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与填写说明" sheetId="1" state="visible" r:id="rId1"/>
    <sheet name="客户维度维护" sheetId="2" state="visible" r:id="rId2"/>
    <sheet name="变更登记" sheetId="3" state="visible" r:id="rId3"/>
    <sheet name="客户别名关系" sheetId="4" state="visible" r:id="rId4"/>
    <sheet name="字段枚举" sheetId="5" state="visible" r:id="rId5"/>
    <sheet name="基线快照" sheetId="6" state="hidden" r:id="rId6"/>
  </sheets>
  <definedNames>
    <definedName name="_xlnm._FilterDatabase" localSheetId="1" hidden="1">'客户维度维护'!$A$1:$Y$220</definedName>
    <definedName name="_xlnm._FilterDatabase" localSheetId="2" hidden="1">'变更登记'!$A$1:$N$101</definedName>
    <definedName name="_xlnm._FilterDatabase" localSheetId="3" hidden="1">'客户别名关系'!$A$1:$J$7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7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I1" authorId="0" shapeId="0">
      <text>
        <t>只填写该客户“胶系”的CCL特殊规则。无规则请留空；条件和结果必须同时清楚。</t>
      </text>
    </comment>
    <comment ref="J1" authorId="0" shapeId="0">
      <text>
        <t>只填写该客户“基板厚度”的CCL特殊规则。无规则请留空；条件和结果必须同时清楚。</t>
      </text>
    </comment>
    <comment ref="K1" authorId="0" shapeId="0">
      <text>
        <t>只填写该客户“铜箔规格”的CCL特殊规则。无规则请留空；条件和结果必须同时清楚。</t>
      </text>
    </comment>
    <comment ref="L1" authorId="0" shapeId="0">
      <text>
        <t>只填写该客户“基板尺寸”的CCL特殊规则。无规则请留空；条件和结果必须同时清楚。</t>
      </text>
    </comment>
    <comment ref="M1" authorId="0" shapeId="0">
      <text>
        <t>只填写该客户“胶水类别”的CCL特殊规则。无规则请留空；条件和结果必须同时清楚。</t>
      </text>
    </comment>
    <comment ref="N1" authorId="0" shapeId="0">
      <text>
        <t>只填写该客户“铜箔类型+印字/非印字”的CCL特殊规则。无规则请留空；条件和结果必须同时清楚。</t>
      </text>
    </comment>
    <comment ref="O1" authorId="0" shapeId="0">
      <text>
        <t>只填写该客户“基板级别”的CCL特殊规则。无规则请留空；条件和结果必须同时清楚。</t>
      </text>
    </comment>
    <comment ref="P1" authorId="0" shapeId="0">
      <text>
        <t>只填写该客户“总/芯厚”的CCL特殊规则。无规则请留空；条件和结果必须同时清楚。</t>
      </text>
    </comment>
  </commentList>
</comments>
</file>

<file path=xl/tables/table1.xml><?xml version="1.0" encoding="utf-8"?>
<table xmlns="http://schemas.openxmlformats.org/spreadsheetml/2006/main" id="1" name="CustomerSpecialMaintenance" displayName="CustomerSpecialMaintenance" ref="A1:Y220" headerRowCount="1">
  <autoFilter ref="A1:Y220"/>
  <tableColumns count="25">
    <tableColumn id="1" name="维护动作*"/>
    <tableColumn id="2" name="客户代码*"/>
    <tableColumn id="3" name="客户简称*"/>
    <tableColumn id="4" name="业务员"/>
    <tableColumn id="5" name="下单员"/>
    <tableColumn id="6" name="客户规则组"/>
    <tableColumn id="7" name="主规则客户"/>
    <tableColumn id="8" name="规则状态*"/>
    <tableColumn id="9" name="胶系"/>
    <tableColumn id="10" name="基板厚度"/>
    <tableColumn id="11" name="铜箔规格"/>
    <tableColumn id="12" name="基板尺寸"/>
    <tableColumn id="13" name="胶水类别"/>
    <tableColumn id="14" name="铜箔类型+印字/非印字"/>
    <tableColumn id="15" name="基板级别"/>
    <tableColumn id="16" name="总/芯厚"/>
    <tableColumn id="17" name="本次变更字段*"/>
    <tableColumn id="18" name="变更原因*"/>
    <tableColumn id="19" name="生效日期"/>
    <tableColumn id="20" name="业务确认人*"/>
    <tableColumn id="21" name="非转码参考说明"/>
    <tableColumn id="22" name="历史通用特殊规则原文（迁移参考）"/>
    <tableColumn id="23" name="历史非影响转码备注原文（迁移参考）"/>
    <tableColumn id="24" name="来源行号"/>
    <tableColumn id="25" name="基线版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4" customWidth="1" min="2" max="2"/>
  </cols>
  <sheetData>
    <row r="1" ht="34" customHeight="1">
      <c r="A1" s="1" t="inlineStr">
        <is>
          <t>客户特殊需求业务维护模板（客户维度）</t>
        </is>
      </c>
    </row>
    <row r="3">
      <c r="A3" s="2" t="inlineStr">
        <is>
          <t>模板版本</t>
        </is>
      </c>
      <c r="B3" s="3" t="inlineStr">
        <is>
          <t>CSR-BIZ-20260724-V1</t>
        </is>
      </c>
    </row>
    <row r="4">
      <c r="A4" s="2" t="inlineStr">
        <is>
          <t>基线日期</t>
        </is>
      </c>
      <c r="B4" s="3" t="inlineStr">
        <is>
          <t>2026-07-24</t>
        </is>
      </c>
    </row>
    <row r="5">
      <c r="A5" s="2" t="inlineStr">
        <is>
          <t>基线客户数</t>
        </is>
      </c>
      <c r="B5" s="3" t="n">
        <v>219</v>
      </c>
    </row>
    <row r="6">
      <c r="A6" s="2" t="inlineStr">
        <is>
          <t>适用范围</t>
        </is>
      </c>
      <c r="B6" s="3" t="inlineStr">
        <is>
          <t>仅CCL营销转码前22码：胶系、基板厚度、铜箔规格、基板尺寸、胶水类别、铜箔类型+印字/非印字、基板级别、总/芯厚</t>
        </is>
      </c>
    </row>
    <row r="7">
      <c r="A7" s="2" t="inlineStr">
        <is>
          <t>核心原则</t>
        </is>
      </c>
      <c r="B7" s="3" t="inlineStr">
        <is>
          <t>一个客户一行；业务写自然语言条件和目标值，不写JSON、规则ID或Python代码。</t>
        </is>
      </c>
    </row>
    <row r="8">
      <c r="A8" s="2" t="inlineStr">
        <is>
          <t>新增客户</t>
        </is>
      </c>
      <c r="B8" s="3" t="inlineStr">
        <is>
          <t>在“客户维度维护”末尾新增一行，维护动作选“新增”，填写客户代码、简称和至少一个规则字段。</t>
        </is>
      </c>
    </row>
    <row r="9">
      <c r="A9" s="2" t="inlineStr">
        <is>
          <t>修改客户</t>
        </is>
      </c>
      <c r="B9" s="3" t="inlineStr">
        <is>
          <t>直接修改对应八字段，维护动作选“修改”，并填写“本次变更字段、变更原因、业务确认人”。</t>
        </is>
      </c>
    </row>
    <row r="10">
      <c r="A10" s="2" t="inlineStr">
        <is>
          <t>删除客户</t>
        </is>
      </c>
      <c r="B10" s="3" t="inlineStr">
        <is>
          <t>不要物理删除整行；维护动作选“停用”，规则状态选“停用”。这样可以区分业务删除与误删。</t>
        </is>
      </c>
    </row>
    <row r="11">
      <c r="A11" s="2" t="inlineStr">
        <is>
          <t>无特殊规则</t>
        </is>
      </c>
      <c r="B11" s="3" t="inlineStr">
        <is>
          <t>对应字段留空即可。不要用“默认”表达无规则；只有确实要覆盖基础规则时才写默认条件。</t>
        </is>
      </c>
    </row>
    <row r="12">
      <c r="A12" s="2" t="inlineStr">
        <is>
          <t>订单备注规则</t>
        </is>
      </c>
      <c r="B12" s="3" t="inlineStr">
        <is>
          <t>写清字段、条件和结果，例如：当订单备注含汽车板/汽板/要汽板时，基板级别=AC。</t>
        </is>
      </c>
    </row>
    <row r="13">
      <c r="A13" s="2" t="inlineStr">
        <is>
          <t>多结果规则</t>
        </is>
      </c>
      <c r="B13" s="3" t="inlineStr">
        <is>
          <t>每个结果必须写唯一选择条件。例如不能只写“RV/3H”，要说明何时RV、何时3H。</t>
        </is>
      </c>
    </row>
    <row r="14">
      <c r="A14" s="2" t="inlineStr">
        <is>
          <t>客户别名</t>
        </is>
      </c>
      <c r="B14" s="3" t="inlineStr">
        <is>
          <t>同一公司多个名称维护在“客户别名关系”，不要复制多套规则。</t>
        </is>
      </c>
    </row>
    <row r="15">
      <c r="A15" s="2" t="inlineStr">
        <is>
          <t>非转码内容</t>
        </is>
      </c>
      <c r="B15" s="3" t="inlineStr">
        <is>
          <t>组合结构、铜箔厂商、玻布厂商、配方代码、包装、报价等写入“非转码参考说明”，不写入八个转码字段。</t>
        </is>
      </c>
    </row>
    <row r="16">
      <c r="A16" s="2" t="inlineStr">
        <is>
          <t>提交前检查</t>
        </is>
      </c>
      <c r="B16" s="3" t="inlineStr">
        <is>
          <t>筛选维护动作≠无变化；检查新增/修改/停用均填写变更原因和确认人；在“变更登记”写本批次摘要。</t>
        </is>
      </c>
    </row>
    <row r="17">
      <c r="A17" s="2" t="inlineStr">
        <is>
          <t>技术处理</t>
        </is>
      </c>
      <c r="B17" s="3" t="inlineStr">
        <is>
          <t>收到新版本后按隐藏基线自动生成新增、修改、停用、字段差异清单，再转换为确定性规则、语义规则或待确认项。</t>
        </is>
      </c>
    </row>
    <row r="20">
      <c r="A20" s="4" t="inlineStr">
        <is>
          <t>本次提交信息（业务填写）</t>
        </is>
      </c>
    </row>
    <row r="21">
      <c r="A21" s="5" t="inlineStr">
        <is>
          <t>本次版本号</t>
        </is>
      </c>
      <c r="B21" s="6" t="inlineStr"/>
    </row>
    <row r="22">
      <c r="A22" s="5" t="inlineStr">
        <is>
          <t>提交日期</t>
        </is>
      </c>
      <c r="B22" s="6" t="inlineStr"/>
    </row>
    <row r="23">
      <c r="A23" s="5" t="inlineStr">
        <is>
          <t>提交人</t>
        </is>
      </c>
      <c r="B23" s="6" t="inlineStr"/>
    </row>
    <row r="24">
      <c r="A24" s="5" t="inlineStr">
        <is>
          <t>业务负责人</t>
        </is>
      </c>
      <c r="B24" s="6" t="inlineStr"/>
    </row>
    <row r="25">
      <c r="A25" s="5" t="inlineStr">
        <is>
          <t>总体变更说明</t>
        </is>
      </c>
      <c r="B25" s="6" t="inlineStr"/>
    </row>
    <row r="28">
      <c r="A28" s="4" t="inlineStr">
        <is>
          <t>本次变更统计</t>
        </is>
      </c>
    </row>
    <row r="29">
      <c r="A29" s="7" t="inlineStr">
        <is>
          <t>新增</t>
        </is>
      </c>
      <c r="B29" s="8">
        <f>COUNTIF('客户维度维护'!A:A,"新增")</f>
        <v/>
      </c>
    </row>
    <row r="30">
      <c r="A30" s="7" t="inlineStr">
        <is>
          <t>修改</t>
        </is>
      </c>
      <c r="B30" s="8">
        <f>COUNTIF('客户维度维护'!A:A,"修改")</f>
        <v/>
      </c>
    </row>
    <row r="31">
      <c r="A31" s="7" t="inlineStr">
        <is>
          <t>停用</t>
        </is>
      </c>
      <c r="B31" s="8">
        <f>COUNTIF('客户维度维护'!A:A,"停用")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0"/>
  <sheetViews>
    <sheetView showGridLines="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30" customWidth="1" min="10" max="10"/>
    <col width="30" customWidth="1" min="11" max="11"/>
    <col width="34" customWidth="1" min="12" max="12"/>
    <col width="26" customWidth="1" min="13" max="13"/>
    <col width="32" customWidth="1" min="14" max="14"/>
    <col width="44" customWidth="1" min="15" max="15"/>
    <col width="30" customWidth="1" min="16" max="16"/>
    <col width="22" customWidth="1" min="17" max="17"/>
    <col width="28" customWidth="1" min="18" max="18"/>
    <col width="13" customWidth="1" min="19" max="19"/>
    <col width="16" customWidth="1" min="20" max="20"/>
    <col width="34" customWidth="1" min="21" max="21"/>
    <col width="46" customWidth="1" min="22" max="22"/>
    <col width="52" customWidth="1" min="23" max="23"/>
    <col width="12" customWidth="1" min="24" max="24"/>
    <col width="22" customWidth="1" min="25" max="25"/>
  </cols>
  <sheetData>
    <row r="1" ht="38" customHeight="1">
      <c r="A1" s="9" t="inlineStr">
        <is>
          <t>维护动作*</t>
        </is>
      </c>
      <c r="B1" s="9" t="inlineStr">
        <is>
          <t>客户代码*</t>
        </is>
      </c>
      <c r="C1" s="9" t="inlineStr">
        <is>
          <t>客户简称*</t>
        </is>
      </c>
      <c r="D1" s="9" t="inlineStr">
        <is>
          <t>业务员</t>
        </is>
      </c>
      <c r="E1" s="9" t="inlineStr">
        <is>
          <t>下单员</t>
        </is>
      </c>
      <c r="F1" s="9" t="inlineStr">
        <is>
          <t>客户规则组</t>
        </is>
      </c>
      <c r="G1" s="9" t="inlineStr">
        <is>
          <t>主规则客户</t>
        </is>
      </c>
      <c r="H1" s="9" t="inlineStr">
        <is>
          <t>规则状态*</t>
        </is>
      </c>
      <c r="I1" s="9" t="inlineStr">
        <is>
          <t>胶系</t>
        </is>
      </c>
      <c r="J1" s="9" t="inlineStr">
        <is>
          <t>基板厚度</t>
        </is>
      </c>
      <c r="K1" s="9" t="inlineStr">
        <is>
          <t>铜箔规格</t>
        </is>
      </c>
      <c r="L1" s="9" t="inlineStr">
        <is>
          <t>基板尺寸</t>
        </is>
      </c>
      <c r="M1" s="9" t="inlineStr">
        <is>
          <t>胶水类别</t>
        </is>
      </c>
      <c r="N1" s="9" t="inlineStr">
        <is>
          <t>铜箔类型+印字/非印字</t>
        </is>
      </c>
      <c r="O1" s="9" t="inlineStr">
        <is>
          <t>基板级别</t>
        </is>
      </c>
      <c r="P1" s="9" t="inlineStr">
        <is>
          <t>总/芯厚</t>
        </is>
      </c>
      <c r="Q1" s="9" t="inlineStr">
        <is>
          <t>本次变更字段*</t>
        </is>
      </c>
      <c r="R1" s="9" t="inlineStr">
        <is>
          <t>变更原因*</t>
        </is>
      </c>
      <c r="S1" s="9" t="inlineStr">
        <is>
          <t>生效日期</t>
        </is>
      </c>
      <c r="T1" s="9" t="inlineStr">
        <is>
          <t>业务确认人*</t>
        </is>
      </c>
      <c r="U1" s="9" t="inlineStr">
        <is>
          <t>非转码参考说明</t>
        </is>
      </c>
      <c r="V1" s="9" t="inlineStr">
        <is>
          <t>历史通用特殊规则原文（迁移参考）</t>
        </is>
      </c>
      <c r="W1" s="9" t="inlineStr">
        <is>
          <t>历史非影响转码备注原文（迁移参考）</t>
        </is>
      </c>
      <c r="X1" s="9" t="inlineStr">
        <is>
          <t>来源行号</t>
        </is>
      </c>
      <c r="Y1" s="9" t="inlineStr">
        <is>
          <t>基线版本</t>
        </is>
      </c>
    </row>
    <row r="2">
      <c r="A2" s="10" t="inlineStr">
        <is>
          <t>无变化</t>
        </is>
      </c>
      <c r="B2" s="10" t="inlineStr">
        <is>
          <t>122023</t>
        </is>
      </c>
      <c r="C2" s="10" t="inlineStr">
        <is>
          <t>超颖电子</t>
        </is>
      </c>
      <c r="D2" s="10" t="inlineStr">
        <is>
          <t>步真豪</t>
        </is>
      </c>
      <c r="E2" s="10" t="inlineStr">
        <is>
          <t>邹慧静</t>
        </is>
      </c>
      <c r="F2" s="10" t="inlineStr"/>
      <c r="G2" s="10" t="inlineStr"/>
      <c r="H2" s="10" t="inlineStr">
        <is>
          <t>启用</t>
        </is>
      </c>
      <c r="I2" s="6" t="inlineStr">
        <is>
          <t>NY3170HF=3C</t>
        </is>
      </c>
      <c r="J2" s="6" t="inlineStr">
        <is>
          <t>客户规格中如果是mil单位, 参考健鼎超颖板厚表格进行换算</t>
        </is>
      </c>
      <c r="K2" s="6" t="inlineStr"/>
      <c r="L2" s="6" t="inlineStr">
        <is>
          <t>28*48=28504900，27*48=7204900，24*48=24604900，42*48=43004900，40*48=41004900，36*48=37004900</t>
        </is>
      </c>
      <c r="M2" s="6" t="inlineStr"/>
      <c r="N2" s="6" t="inlineStr"/>
      <c r="O2" s="6" t="inlineStr">
        <is>
          <t>除汽车板外，基板级别=AT,当胶系是NY-A2时=AC</t>
        </is>
      </c>
      <c r="P2" s="6" t="inlineStr"/>
      <c r="Q2" s="6" t="inlineStr"/>
      <c r="R2" s="6" t="inlineStr"/>
      <c r="S2" s="6" t="inlineStr"/>
      <c r="T2" s="6" t="inlineStr"/>
      <c r="U2" s="11" t="inlineStr"/>
      <c r="V2" s="12" t="inlineStr">
        <is>
          <t>玻布厂商：基板厚度是24mil和25mil时，U0</t>
        </is>
      </c>
      <c r="W2" s="12" t="inlineStr">
        <is>
          <t>1、客户新料号下单参考我们给客户提供的规格书，下厚度和结构，0.8以下是不含铜，0.8含以上是含铜，订单中有（ 請在外包裝上另用標籤備註一下《樣品使用》這四個字）这个几个字样的，需要在系统备注 “ 外包装需注明“样品使用”&amp; ”，还要备注卷数
2、超颖集团的报价单都是未税价格；定颖集团每个月都有手续费，提醒业务走流程
3. 泰国定颖是走外销订单，税率不一样，基板和PP分开下单，记得确认税率；
4. 超颖电子有新进先出原则</t>
        </is>
      </c>
      <c r="X2" s="12" t="n">
        <v>3</v>
      </c>
      <c r="Y2" s="12" t="inlineStr">
        <is>
          <t>CSR-BIZ-20260724-V1</t>
        </is>
      </c>
    </row>
    <row r="3">
      <c r="A3" s="10" t="inlineStr">
        <is>
          <t>无变化</t>
        </is>
      </c>
      <c r="B3" s="10" t="inlineStr">
        <is>
          <t>103890</t>
        </is>
      </c>
      <c r="C3" s="10" t="inlineStr">
        <is>
          <t>珠海景旺</t>
        </is>
      </c>
      <c r="D3" s="10" t="inlineStr">
        <is>
          <t>耿俊莹</t>
        </is>
      </c>
      <c r="E3" s="10" t="inlineStr">
        <is>
          <t>陈明洁</t>
        </is>
      </c>
      <c r="F3" s="10" t="inlineStr"/>
      <c r="G3" s="10" t="inlineStr"/>
      <c r="H3" s="10" t="inlineStr">
        <is>
          <t>启用</t>
        </is>
      </c>
      <c r="I3" s="6" t="inlineStr">
        <is>
          <t>NY3150HC=RV或3H，NY2150=AS</t>
        </is>
      </c>
      <c r="J3" s="6" t="inlineStr"/>
      <c r="K3" s="6" t="inlineStr"/>
      <c r="L3" s="6" t="inlineStr"/>
      <c r="M3" s="6" t="inlineStr"/>
      <c r="N3" s="6" t="inlineStr">
        <is>
          <t>HVLP=HVLP1</t>
        </is>
      </c>
      <c r="O3" s="6" t="inlineStr">
        <is>
          <t>当订单备注有电源板和能源板时=AP，当胶系=NY3150HC = 3H时=AL，当胶系=NY3150HC = RV时=A1，当胶系=NY-A1或NY-A2时=AC</t>
        </is>
      </c>
      <c r="P3" s="6" t="inlineStr"/>
      <c r="Q3" s="6" t="inlineStr"/>
      <c r="R3" s="6" t="inlineStr"/>
      <c r="S3" s="6" t="inlineStr"/>
      <c r="T3" s="6" t="inlineStr"/>
      <c r="U3" s="11" t="inlineStr"/>
      <c r="V3" s="12" t="inlineStr">
        <is>
          <t>胶系：NY2150=AS；</t>
        </is>
      </c>
      <c r="W3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3" s="12" t="n">
        <v>4</v>
      </c>
      <c r="Y3" s="12" t="inlineStr">
        <is>
          <t>CSR-BIZ-20260724-V1</t>
        </is>
      </c>
    </row>
    <row r="4">
      <c r="A4" s="10" t="inlineStr">
        <is>
          <t>无变化</t>
        </is>
      </c>
      <c r="B4" s="10" t="inlineStr">
        <is>
          <t>103031</t>
        </is>
      </c>
      <c r="C4" s="10" t="inlineStr">
        <is>
          <t>江福昌发</t>
        </is>
      </c>
      <c r="D4" s="10" t="inlineStr">
        <is>
          <t>耿挺</t>
        </is>
      </c>
      <c r="E4" s="10" t="inlineStr">
        <is>
          <t>蒋苏莉</t>
        </is>
      </c>
      <c r="F4" s="10" t="inlineStr"/>
      <c r="G4" s="10" t="inlineStr"/>
      <c r="H4" s="10" t="inlineStr">
        <is>
          <t>启用</t>
        </is>
      </c>
      <c r="I4" s="6" t="inlineStr"/>
      <c r="J4" s="6" t="inlineStr">
        <is>
          <t>订单若不备注芯厚，默认是总厚且基板厚度&lt;0.8需要进行芯总厚转换</t>
        </is>
      </c>
      <c r="K4" s="6" t="inlineStr">
        <is>
          <t>H/H =J/J(15um出货)；1/1=f/f(30um出货)</t>
        </is>
      </c>
      <c r="L4" s="6" t="inlineStr">
        <is>
          <t>1888=74.3；2091=82.3；2192=86.3；
1880=74；2082=82；2184=86；940=37；1041=41；1092=43 
948=37.3；1049=41.3；1100=43.3</t>
        </is>
      </c>
      <c r="M4" s="6" t="inlineStr"/>
      <c r="N4" s="6" t="inlineStr"/>
      <c r="O4" s="6" t="inlineStr">
        <is>
          <t>NY2140&amp;0.8mm以上&amp;1oz以下=F1</t>
        </is>
      </c>
      <c r="P4" s="6" t="inlineStr"/>
      <c r="Q4" s="6" t="inlineStr"/>
      <c r="R4" s="6" t="inlineStr"/>
      <c r="S4" s="6" t="inlineStr"/>
      <c r="T4" s="6" t="inlineStr"/>
      <c r="U4" s="11" t="inlineStr"/>
      <c r="V4" s="12" t="inlineStr"/>
      <c r="W4" s="12" t="inlineStr"/>
      <c r="X4" s="12" t="n">
        <v>5</v>
      </c>
      <c r="Y4" s="12" t="inlineStr">
        <is>
          <t>CSR-BIZ-20260724-V1</t>
        </is>
      </c>
    </row>
    <row r="5">
      <c r="A5" s="10" t="inlineStr">
        <is>
          <t>无变化</t>
        </is>
      </c>
      <c r="B5" s="10" t="inlineStr">
        <is>
          <t>103891</t>
        </is>
      </c>
      <c r="C5" s="10" t="inlineStr">
        <is>
          <t>方正F7</t>
        </is>
      </c>
      <c r="D5" s="10" t="inlineStr">
        <is>
          <t>吴世平</t>
        </is>
      </c>
      <c r="E5" s="10" t="inlineStr">
        <is>
          <t>孙洪倩  朱岩川/刘海静/许洁</t>
        </is>
      </c>
      <c r="F5" s="10" t="inlineStr"/>
      <c r="G5" s="10" t="inlineStr"/>
      <c r="H5" s="10" t="inlineStr">
        <is>
          <t>启用</t>
        </is>
      </c>
      <c r="I5" s="6" t="inlineStr">
        <is>
          <t>NY2150=2B</t>
        </is>
      </c>
      <c r="J5" s="6" t="inlineStr">
        <is>
          <t>全部是芯厚</t>
        </is>
      </c>
      <c r="K5" s="6" t="inlineStr"/>
      <c r="L5" s="6" t="inlineStr"/>
      <c r="M5" s="6" t="inlineStr"/>
      <c r="N5" s="6" t="inlineStr">
        <is>
          <t>HS2-M2-VSP=HVLP2 ,HS1-M2-VSP=HVLP1</t>
        </is>
      </c>
      <c r="O5" s="6" t="inlineStr"/>
      <c r="P5" s="6" t="inlineStr">
        <is>
          <t>默认全部芯厚基板厚度&gt;=0.8需要进行芯总厚转换</t>
        </is>
      </c>
      <c r="Q5" s="6" t="inlineStr"/>
      <c r="R5" s="6" t="inlineStr"/>
      <c r="S5" s="6" t="inlineStr"/>
      <c r="T5" s="6" t="inlineStr"/>
      <c r="U5" s="11" t="inlineStr"/>
      <c r="V5" s="12" t="inlineStr"/>
      <c r="W5" s="12" t="inlineStr"/>
      <c r="X5" s="12" t="n">
        <v>6</v>
      </c>
      <c r="Y5" s="12" t="inlineStr">
        <is>
          <t>CSR-BIZ-20260724-V1</t>
        </is>
      </c>
    </row>
    <row r="6">
      <c r="A6" s="10" t="inlineStr">
        <is>
          <t>无变化</t>
        </is>
      </c>
      <c r="B6" s="10" t="inlineStr">
        <is>
          <t>105007</t>
        </is>
      </c>
      <c r="C6" s="10" t="inlineStr">
        <is>
          <t>湖奥士康</t>
        </is>
      </c>
      <c r="D6" s="10" t="inlineStr">
        <is>
          <t>董峰</t>
        </is>
      </c>
      <c r="E6" s="10" t="inlineStr">
        <is>
          <t>王庆</t>
        </is>
      </c>
      <c r="F6" s="10" t="inlineStr"/>
      <c r="G6" s="10" t="inlineStr"/>
      <c r="H6" s="10" t="inlineStr">
        <is>
          <t>启用</t>
        </is>
      </c>
      <c r="I6" s="6" t="inlineStr">
        <is>
          <t>NY-A1=RC</t>
        </is>
      </c>
      <c r="J6" s="6" t="inlineStr"/>
      <c r="K6" s="6" t="inlineStr">
        <is>
          <t>R/R=F/F</t>
        </is>
      </c>
      <c r="L6" s="6" t="inlineStr"/>
      <c r="M6" s="6" t="inlineStr"/>
      <c r="N6" s="6" t="inlineStr">
        <is>
          <t>当备注中有水印要求时=铜箔类型+有水印</t>
        </is>
      </c>
      <c r="O6" s="6" t="inlineStr">
        <is>
          <t>当备注中有X0A0/X0B0/car/汽车板/458/439字样时=AC,当备注中有MINILED字样时=AM,当胶系=NY3150HF时=A1，当胶系=NY2140L时=A2</t>
        </is>
      </c>
      <c r="P6" s="6" t="inlineStr"/>
      <c r="Q6" s="6" t="inlineStr"/>
      <c r="R6" s="6" t="inlineStr"/>
      <c r="S6" s="6" t="inlineStr"/>
      <c r="T6" s="6" t="inlineStr"/>
      <c r="U6" s="11" t="inlineStr"/>
      <c r="V6" s="12" t="inlineStr"/>
      <c r="W6" s="12" t="inlineStr">
        <is>
          <t>1.备注中有688/华为/HW字样的，下688料号
2.备注中有X0A0/X0B0/car/汽车板/458/439字样的，下汽车板料号
3.备注中有MINILED字样的，需要下MINIED品号，下AM等级
4.维护151时，有耐CAF要求的要在“客户特殊要求”栏备注“耐CAF”
5.部分板材会备注有水印要求，需特殊留意
6.奥士康基板均需要在客户特殊要求栏备注耐CAF,除非客户物料描述中没有该字样
7.PP物性规范有短秒要求，详见奥士康集团外卖PP物性规范事宜
8.客户规格R/R对应我司F/F,即1.5/1.5
9.交期回复江西出货+1天，上海出货+2天（湖奥士康下了规格书，要求常规胶系物料都在江西生产）
10.基板、PP订单后面有"T"标志的，需要在特殊要求备注“标签及外包装需要注明T字母”
11.3170M-2116的PP，下200米/卷品号，其他胶系下300米/卷
12.湖奥士康2150-1080 PP下H10长秒规格，3150HF全部下A1结构
13.系统回交期
14.要求下个月到的指定交期
15.NY2140L下A2级别，例如2K01500JJ86304930RWA2TA
16.NY-A1下RC料号
17.NY2140L下A2级别，例如2K01500JJ86304930RWA2TA 偏公差+0.1-0.05 下单*A2TS（偏正公差客户规格会有显示，特别注意！！！）
18.订单备注“华硕样品”，基板指定长春铜箔生产
订单规格带T，标签及外包装需要注明T字母</t>
        </is>
      </c>
      <c r="X6" s="12" t="n">
        <v>7</v>
      </c>
      <c r="Y6" s="12" t="inlineStr">
        <is>
          <t>CSR-BIZ-20260724-V1</t>
        </is>
      </c>
    </row>
    <row r="7">
      <c r="A7" s="10" t="inlineStr">
        <is>
          <t>无变化</t>
        </is>
      </c>
      <c r="B7" s="10" t="inlineStr">
        <is>
          <t>103914</t>
        </is>
      </c>
      <c r="C7" s="10" t="inlineStr">
        <is>
          <t>华通电脑</t>
        </is>
      </c>
      <c r="D7" s="10" t="inlineStr">
        <is>
          <t>包亦啸</t>
        </is>
      </c>
      <c r="E7" s="10" t="inlineStr">
        <is>
          <t>孙洪倩</t>
        </is>
      </c>
      <c r="F7" s="10" t="inlineStr"/>
      <c r="G7" s="10" t="inlineStr"/>
      <c r="H7" s="10" t="inlineStr">
        <is>
          <t>无CCL规则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11" t="inlineStr"/>
      <c r="V7" s="12" t="inlineStr"/>
      <c r="W7" s="12" t="inlineStr"/>
      <c r="X7" s="12" t="n">
        <v>8</v>
      </c>
      <c r="Y7" s="12" t="inlineStr">
        <is>
          <t>CSR-BIZ-20260724-V1</t>
        </is>
      </c>
    </row>
    <row r="8">
      <c r="A8" s="10" t="inlineStr">
        <is>
          <t>无变化</t>
        </is>
      </c>
      <c r="B8" s="10" t="inlineStr">
        <is>
          <t>103458</t>
        </is>
      </c>
      <c r="C8" s="10" t="inlineStr">
        <is>
          <t>惠星之光</t>
        </is>
      </c>
      <c r="D8" s="10" t="inlineStr">
        <is>
          <t>包亦啸</t>
        </is>
      </c>
      <c r="E8" s="10" t="inlineStr">
        <is>
          <t>孙洪倩</t>
        </is>
      </c>
      <c r="F8" s="10" t="inlineStr"/>
      <c r="G8" s="10" t="inlineStr"/>
      <c r="H8" s="10" t="inlineStr">
        <is>
          <t>无CCL规则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11" t="inlineStr"/>
      <c r="V8" s="12" t="inlineStr"/>
      <c r="W8" s="12" t="inlineStr"/>
      <c r="X8" s="12" t="n">
        <v>9</v>
      </c>
      <c r="Y8" s="12" t="inlineStr">
        <is>
          <t>CSR-BIZ-20260724-V1</t>
        </is>
      </c>
    </row>
    <row r="9">
      <c r="A9" s="10" t="inlineStr">
        <is>
          <t>无变化</t>
        </is>
      </c>
      <c r="B9" s="10" t="inlineStr">
        <is>
          <t>103872</t>
        </is>
      </c>
      <c r="C9" s="10" t="inlineStr">
        <is>
          <t>惠州华通</t>
        </is>
      </c>
      <c r="D9" s="10" t="inlineStr">
        <is>
          <t>包亦啸</t>
        </is>
      </c>
      <c r="E9" s="10" t="inlineStr">
        <is>
          <t>孙洪倩</t>
        </is>
      </c>
      <c r="F9" s="10" t="inlineStr"/>
      <c r="G9" s="10" t="inlineStr"/>
      <c r="H9" s="10" t="inlineStr">
        <is>
          <t>无CCL规则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11" t="inlineStr"/>
      <c r="V9" s="12" t="inlineStr"/>
      <c r="W9" s="12" t="inlineStr"/>
      <c r="X9" s="12" t="n">
        <v>10</v>
      </c>
      <c r="Y9" s="12" t="inlineStr">
        <is>
          <t>CSR-BIZ-20260724-V1</t>
        </is>
      </c>
    </row>
    <row r="10">
      <c r="A10" s="10" t="inlineStr">
        <is>
          <t>无变化</t>
        </is>
      </c>
      <c r="B10" s="10" t="inlineStr">
        <is>
          <t>123046</t>
        </is>
      </c>
      <c r="C10" s="10" t="inlineStr">
        <is>
          <t>江西中络</t>
        </is>
      </c>
      <c r="D10" s="10" t="inlineStr">
        <is>
          <t>包亦啸</t>
        </is>
      </c>
      <c r="E10" s="10" t="inlineStr">
        <is>
          <t>张歌</t>
        </is>
      </c>
      <c r="F10" s="10" t="inlineStr"/>
      <c r="G10" s="10" t="inlineStr"/>
      <c r="H10" s="10" t="inlineStr">
        <is>
          <t>无CCL规则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11" t="inlineStr"/>
      <c r="V10" s="12" t="inlineStr"/>
      <c r="W10" s="12" t="inlineStr">
        <is>
          <t>所有PP都用羽边布</t>
        </is>
      </c>
      <c r="X10" s="12" t="n">
        <v>11</v>
      </c>
      <c r="Y10" s="12" t="inlineStr">
        <is>
          <t>CSR-BIZ-20260724-V1</t>
        </is>
      </c>
    </row>
    <row r="11">
      <c r="A11" s="10" t="inlineStr">
        <is>
          <t>无变化</t>
        </is>
      </c>
      <c r="B11" s="10" t="inlineStr">
        <is>
          <t>123074</t>
        </is>
      </c>
      <c r="C11" s="10" t="inlineStr">
        <is>
          <t>龙南鼎泰</t>
        </is>
      </c>
      <c r="D11" s="10" t="inlineStr">
        <is>
          <t>包亦啸</t>
        </is>
      </c>
      <c r="E11" s="10" t="inlineStr">
        <is>
          <t>孙洪倩</t>
        </is>
      </c>
      <c r="F11" s="10" t="inlineStr"/>
      <c r="G11" s="10" t="inlineStr"/>
      <c r="H11" s="10" t="inlineStr">
        <is>
          <t>无CCL规则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11" t="inlineStr"/>
      <c r="V11" s="12" t="inlineStr"/>
      <c r="W11" s="12" t="inlineStr"/>
      <c r="X11" s="12" t="n">
        <v>12</v>
      </c>
      <c r="Y11" s="12" t="inlineStr">
        <is>
          <t>CSR-BIZ-20260724-V1</t>
        </is>
      </c>
    </row>
    <row r="12">
      <c r="A12" s="10" t="inlineStr">
        <is>
          <t>无变化</t>
        </is>
      </c>
      <c r="B12" s="10" t="inlineStr">
        <is>
          <t>103632</t>
        </is>
      </c>
      <c r="C12" s="10" t="inlineStr">
        <is>
          <t>梅州奔创</t>
        </is>
      </c>
      <c r="D12" s="10" t="inlineStr">
        <is>
          <t>包亦啸</t>
        </is>
      </c>
      <c r="E12" s="10" t="inlineStr">
        <is>
          <t>张歌</t>
        </is>
      </c>
      <c r="F12" s="10" t="inlineStr"/>
      <c r="G12" s="10" t="inlineStr"/>
      <c r="H12" s="10" t="inlineStr">
        <is>
          <t>无CCL规则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11" t="inlineStr"/>
      <c r="V12" s="12" t="inlineStr"/>
      <c r="W12" s="12" t="inlineStr"/>
      <c r="X12" s="12" t="n">
        <v>13</v>
      </c>
      <c r="Y12" s="12" t="inlineStr">
        <is>
          <t>CSR-BIZ-20260724-V1</t>
        </is>
      </c>
    </row>
    <row r="13">
      <c r="A13" s="10" t="inlineStr">
        <is>
          <t>无变化</t>
        </is>
      </c>
      <c r="B13" s="10" t="inlineStr">
        <is>
          <t>103448</t>
        </is>
      </c>
      <c r="C13" s="10" t="inlineStr">
        <is>
          <t>广东骏亚</t>
        </is>
      </c>
      <c r="D13" s="10" t="inlineStr">
        <is>
          <t>包亦啸</t>
        </is>
      </c>
      <c r="E13" s="10" t="inlineStr">
        <is>
          <t>孙洪倩</t>
        </is>
      </c>
      <c r="F13" s="10" t="inlineStr"/>
      <c r="G13" s="10" t="inlineStr"/>
      <c r="H13" s="10" t="inlineStr">
        <is>
          <t>无CCL规则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11" t="inlineStr"/>
      <c r="V13" s="12" t="inlineStr"/>
      <c r="W13" s="12" t="inlineStr"/>
      <c r="X13" s="12" t="n">
        <v>14</v>
      </c>
      <c r="Y13" s="12" t="inlineStr">
        <is>
          <t>CSR-BIZ-20260724-V1</t>
        </is>
      </c>
    </row>
    <row r="14">
      <c r="A14" s="10" t="inlineStr">
        <is>
          <t>无变化</t>
        </is>
      </c>
      <c r="B14" s="10" t="inlineStr">
        <is>
          <t>103926</t>
        </is>
      </c>
      <c r="C14" s="10" t="inlineStr">
        <is>
          <t>惠州骏亚</t>
        </is>
      </c>
      <c r="D14" s="10" t="inlineStr">
        <is>
          <t>包亦啸</t>
        </is>
      </c>
      <c r="E14" s="10" t="inlineStr">
        <is>
          <t>孙洪倩</t>
        </is>
      </c>
      <c r="F14" s="10" t="inlineStr"/>
      <c r="G14" s="10" t="inlineStr"/>
      <c r="H14" s="10" t="inlineStr">
        <is>
          <t>无CCL规则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11" t="inlineStr"/>
      <c r="V14" s="12" t="inlineStr"/>
      <c r="W14" s="12" t="inlineStr"/>
      <c r="X14" s="12" t="n">
        <v>15</v>
      </c>
      <c r="Y14" s="12" t="inlineStr">
        <is>
          <t>CSR-BIZ-20260724-V1</t>
        </is>
      </c>
    </row>
    <row r="15">
      <c r="A15" s="10" t="inlineStr">
        <is>
          <t>无变化</t>
        </is>
      </c>
      <c r="B15" s="10" t="inlineStr">
        <is>
          <t>103850</t>
        </is>
      </c>
      <c r="C15" s="10" t="inlineStr">
        <is>
          <t>骏亚精密</t>
        </is>
      </c>
      <c r="D15" s="10" t="inlineStr">
        <is>
          <t>包亦啸</t>
        </is>
      </c>
      <c r="E15" s="10" t="inlineStr">
        <is>
          <t>孙洪倩</t>
        </is>
      </c>
      <c r="F15" s="10" t="inlineStr"/>
      <c r="G15" s="10" t="inlineStr"/>
      <c r="H15" s="10" t="inlineStr">
        <is>
          <t>无CCL规则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11" t="inlineStr"/>
      <c r="V15" s="12" t="inlineStr"/>
      <c r="W15" s="12" t="inlineStr"/>
      <c r="X15" s="12" t="n">
        <v>16</v>
      </c>
      <c r="Y15" s="12" t="inlineStr">
        <is>
          <t>CSR-BIZ-20260724-V1</t>
        </is>
      </c>
    </row>
    <row r="16">
      <c r="A16" s="10" t="inlineStr">
        <is>
          <t>无变化</t>
        </is>
      </c>
      <c r="B16" s="10" t="inlineStr">
        <is>
          <t>123012</t>
        </is>
      </c>
      <c r="C16" s="10" t="inlineStr">
        <is>
          <t>龙南骏亚</t>
        </is>
      </c>
      <c r="D16" s="10" t="inlineStr">
        <is>
          <t>包亦啸</t>
        </is>
      </c>
      <c r="E16" s="10" t="inlineStr">
        <is>
          <t>孙洪倩</t>
        </is>
      </c>
      <c r="F16" s="10" t="inlineStr"/>
      <c r="G16" s="10" t="inlineStr"/>
      <c r="H16" s="10" t="inlineStr">
        <is>
          <t>无CCL规则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11" t="inlineStr"/>
      <c r="V16" s="12" t="inlineStr"/>
      <c r="W16" s="12" t="inlineStr"/>
      <c r="X16" s="12" t="n">
        <v>17</v>
      </c>
      <c r="Y16" s="12" t="inlineStr">
        <is>
          <t>CSR-BIZ-20260724-V1</t>
        </is>
      </c>
    </row>
    <row r="17">
      <c r="A17" s="10" t="inlineStr">
        <is>
          <t>无变化</t>
        </is>
      </c>
      <c r="B17" s="10" t="inlineStr">
        <is>
          <t>103026</t>
        </is>
      </c>
      <c r="C17" s="10" t="inlineStr">
        <is>
          <t>肇庆昌隆</t>
        </is>
      </c>
      <c r="D17" s="10" t="inlineStr">
        <is>
          <t>包亦啸</t>
        </is>
      </c>
      <c r="E17" s="10" t="inlineStr">
        <is>
          <t>张歌</t>
        </is>
      </c>
      <c r="F17" s="10" t="inlineStr"/>
      <c r="G17" s="10" t="inlineStr"/>
      <c r="H17" s="10" t="inlineStr">
        <is>
          <t>无CCL规则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11" t="inlineStr"/>
      <c r="V17" s="12" t="inlineStr"/>
      <c r="W17" s="12" t="inlineStr"/>
      <c r="X17" s="12" t="n">
        <v>18</v>
      </c>
      <c r="Y17" s="12" t="inlineStr">
        <is>
          <t>CSR-BIZ-20260724-V1</t>
        </is>
      </c>
    </row>
    <row r="18">
      <c r="A18" s="10" t="inlineStr">
        <is>
          <t>无变化</t>
        </is>
      </c>
      <c r="B18" s="10" t="inlineStr">
        <is>
          <t>103831</t>
        </is>
      </c>
      <c r="C18" s="10" t="inlineStr">
        <is>
          <t>东莞福哥</t>
        </is>
      </c>
      <c r="D18" s="10" t="inlineStr">
        <is>
          <t>包亦啸</t>
        </is>
      </c>
      <c r="E18" s="10" t="inlineStr">
        <is>
          <t>张歌</t>
        </is>
      </c>
      <c r="F18" s="10" t="inlineStr"/>
      <c r="G18" s="10" t="inlineStr"/>
      <c r="H18" s="10" t="inlineStr">
        <is>
          <t>无CCL规则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11" t="inlineStr"/>
      <c r="V18" s="12" t="inlineStr"/>
      <c r="W18" s="12" t="inlineStr"/>
      <c r="X18" s="12" t="n">
        <v>19</v>
      </c>
      <c r="Y18" s="12" t="inlineStr">
        <is>
          <t>CSR-BIZ-20260724-V1</t>
        </is>
      </c>
    </row>
    <row r="19">
      <c r="A19" s="10" t="inlineStr">
        <is>
          <t>无变化</t>
        </is>
      </c>
      <c r="B19" s="10" t="inlineStr">
        <is>
          <t>103026</t>
        </is>
      </c>
      <c r="C19" s="10" t="inlineStr">
        <is>
          <t>肇庆昌隆</t>
        </is>
      </c>
      <c r="D19" s="10" t="inlineStr">
        <is>
          <t>包亦啸</t>
        </is>
      </c>
      <c r="E19" s="10" t="inlineStr">
        <is>
          <t>张歌</t>
        </is>
      </c>
      <c r="F19" s="10" t="inlineStr"/>
      <c r="G19" s="10" t="inlineStr"/>
      <c r="H19" s="10" t="inlineStr">
        <is>
          <t>无CCL规则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11" t="inlineStr"/>
      <c r="V19" s="12" t="inlineStr"/>
      <c r="W19" s="12" t="inlineStr"/>
      <c r="X19" s="12" t="n">
        <v>20</v>
      </c>
      <c r="Y19" s="12" t="inlineStr">
        <is>
          <t>CSR-BIZ-20260724-V1</t>
        </is>
      </c>
    </row>
    <row r="20">
      <c r="A20" s="10" t="inlineStr">
        <is>
          <t>无变化</t>
        </is>
      </c>
      <c r="B20" s="10" t="inlineStr">
        <is>
          <t>104354</t>
        </is>
      </c>
      <c r="C20" s="10" t="inlineStr">
        <is>
          <t>常熟敬鹏</t>
        </is>
      </c>
      <c r="D20" s="10" t="inlineStr">
        <is>
          <t>步真豪</t>
        </is>
      </c>
      <c r="E20" s="10" t="inlineStr">
        <is>
          <t>邹慧静</t>
        </is>
      </c>
      <c r="F20" s="10" t="inlineStr"/>
      <c r="G20" s="10" t="inlineStr"/>
      <c r="H20" s="10" t="inlineStr">
        <is>
          <t>启用</t>
        </is>
      </c>
      <c r="I20" s="6" t="inlineStr">
        <is>
          <t>NY1140=2A</t>
        </is>
      </c>
      <c r="J20" s="6" t="inlineStr">
        <is>
          <t>0.71(含)以下=芯厚，0.71以上=总厚；客户料品名称上有“FML”为芯厚订单</t>
        </is>
      </c>
      <c r="K20" s="6" t="inlineStr"/>
      <c r="L20" s="6" t="inlineStr">
        <is>
          <t>2090*1245=8230*4900</t>
        </is>
      </c>
      <c r="M20" s="6" t="inlineStr"/>
      <c r="N20" s="6" t="inlineStr"/>
      <c r="O20" s="6" t="inlineStr">
        <is>
          <t>NY1600及NY2140外，其余均下汽车板料号</t>
        </is>
      </c>
      <c r="P20" s="6" t="inlineStr"/>
      <c r="Q20" s="6" t="inlineStr"/>
      <c r="R20" s="6" t="inlineStr"/>
      <c r="S20" s="6" t="inlineStr"/>
      <c r="T20" s="6" t="inlineStr"/>
      <c r="U20" s="11" t="inlineStr"/>
      <c r="V20" s="12" t="inlineStr"/>
      <c r="W20" s="12" t="inlineStr">
        <is>
          <t>1. 敬鹏周日不收货;</t>
        </is>
      </c>
      <c r="X20" s="12" t="n">
        <v>21</v>
      </c>
      <c r="Y20" s="12" t="inlineStr">
        <is>
          <t>CSR-BIZ-20260724-V1</t>
        </is>
      </c>
    </row>
    <row r="21">
      <c r="A21" s="10" t="inlineStr">
        <is>
          <t>无变化</t>
        </is>
      </c>
      <c r="B21" s="10" t="inlineStr">
        <is>
          <t>104273</t>
        </is>
      </c>
      <c r="C21" s="10" t="inlineStr">
        <is>
          <t>昆山竞陆</t>
        </is>
      </c>
      <c r="D21" s="10" t="inlineStr">
        <is>
          <t>步真豪</t>
        </is>
      </c>
      <c r="E21" s="10" t="inlineStr">
        <is>
          <t>邹慧静</t>
        </is>
      </c>
      <c r="F21" s="10" t="inlineStr"/>
      <c r="G21" s="10" t="inlineStr"/>
      <c r="H21" s="10" t="inlineStr">
        <is>
          <t>无CCL规则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11" t="inlineStr"/>
      <c r="V21" s="12" t="inlineStr"/>
      <c r="W21" s="12" t="inlineStr"/>
      <c r="X21" s="12" t="n">
        <v>22</v>
      </c>
      <c r="Y21" s="12" t="inlineStr">
        <is>
          <t>CSR-BIZ-20260724-V1</t>
        </is>
      </c>
    </row>
    <row r="22">
      <c r="A22" s="10" t="inlineStr">
        <is>
          <t>无变化</t>
        </is>
      </c>
      <c r="B22" s="10" t="inlineStr">
        <is>
          <t>104443</t>
        </is>
      </c>
      <c r="C22" s="10" t="inlineStr">
        <is>
          <t>无新美亚</t>
        </is>
      </c>
      <c r="D22" s="10" t="inlineStr">
        <is>
          <t>步真豪</t>
        </is>
      </c>
      <c r="E22" s="10" t="inlineStr">
        <is>
          <t>邹慧静</t>
        </is>
      </c>
      <c r="F22" s="10" t="inlineStr"/>
      <c r="G22" s="10" t="inlineStr"/>
      <c r="H22" s="10" t="inlineStr">
        <is>
          <t>启用</t>
        </is>
      </c>
      <c r="I22" s="6" t="inlineStr"/>
      <c r="J22" s="6" t="inlineStr"/>
      <c r="K22" s="6" t="inlineStr"/>
      <c r="L22" s="6" t="inlineStr">
        <is>
          <t>客户订单中的尺寸, 参考新美亚客户尺寸转换表进行换算</t>
        </is>
      </c>
      <c r="M22" s="6" t="inlineStr"/>
      <c r="N22" s="6" t="inlineStr"/>
      <c r="O22" s="6" t="inlineStr"/>
      <c r="P22" s="6" t="inlineStr">
        <is>
          <t>物料编码631.是芯厚，632.是总厚</t>
        </is>
      </c>
      <c r="Q22" s="6" t="inlineStr"/>
      <c r="R22" s="6" t="inlineStr"/>
      <c r="S22" s="6" t="inlineStr"/>
      <c r="T22" s="6" t="inlineStr"/>
      <c r="U22" s="11" t="inlineStr"/>
      <c r="V22" s="12" t="inlineStr"/>
      <c r="W22" s="12" t="inlineStr">
        <is>
          <t>1.订单上价格是未税价格</t>
        </is>
      </c>
      <c r="X22" s="12" t="n">
        <v>23</v>
      </c>
      <c r="Y22" s="12" t="inlineStr">
        <is>
          <t>CSR-BIZ-20260724-V1</t>
        </is>
      </c>
    </row>
    <row r="23">
      <c r="A23" s="10" t="inlineStr">
        <is>
          <t>无变化</t>
        </is>
      </c>
      <c r="B23" s="10" t="inlineStr">
        <is>
          <t>104143</t>
        </is>
      </c>
      <c r="C23" s="10" t="inlineStr">
        <is>
          <t>江苏苏杭</t>
        </is>
      </c>
      <c r="D23" s="10" t="inlineStr">
        <is>
          <t>陈程</t>
        </is>
      </c>
      <c r="E23" s="10" t="inlineStr">
        <is>
          <t>刘海英</t>
        </is>
      </c>
      <c r="F23" s="10" t="inlineStr"/>
      <c r="G23" s="10" t="inlineStr"/>
      <c r="H23" s="10" t="inlineStr">
        <is>
          <t>启用</t>
        </is>
      </c>
      <c r="I23" s="6" t="inlineStr"/>
      <c r="J23" s="6" t="inlineStr">
        <is>
          <t>维护公差</t>
        </is>
      </c>
      <c r="K23" s="6" t="inlineStr"/>
      <c r="L23" s="6" t="inlineStr"/>
      <c r="M23" s="6" t="inlineStr"/>
      <c r="N23" s="6" t="inlineStr"/>
      <c r="O23" s="6" t="inlineStr">
        <is>
          <t>当胶系=NY2150或胶系=NY2170时=AC</t>
        </is>
      </c>
      <c r="P23" s="6" t="inlineStr"/>
      <c r="Q23" s="6" t="inlineStr"/>
      <c r="R23" s="6" t="inlineStr"/>
      <c r="S23" s="6" t="inlineStr"/>
      <c r="T23" s="6" t="inlineStr"/>
      <c r="U23" s="11" t="inlineStr"/>
      <c r="V23" s="12" t="inlineStr"/>
      <c r="W23" s="12" t="inlineStr"/>
      <c r="X23" s="12" t="n">
        <v>24</v>
      </c>
      <c r="Y23" s="12" t="inlineStr">
        <is>
          <t>CSR-BIZ-20260724-V1</t>
        </is>
      </c>
    </row>
    <row r="24">
      <c r="A24" s="10" t="inlineStr">
        <is>
          <t>无变化</t>
        </is>
      </c>
      <c r="B24" s="10" t="inlineStr">
        <is>
          <t>104230</t>
        </is>
      </c>
      <c r="C24" s="10" t="inlineStr">
        <is>
          <t>昆山苏杭</t>
        </is>
      </c>
      <c r="D24" s="10" t="inlineStr">
        <is>
          <t>陈程</t>
        </is>
      </c>
      <c r="E24" s="10" t="inlineStr">
        <is>
          <t>刘海英</t>
        </is>
      </c>
      <c r="F24" s="10" t="inlineStr"/>
      <c r="G24" s="10" t="inlineStr"/>
      <c r="H24" s="10" t="inlineStr">
        <is>
          <t>无CCL规则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11" t="inlineStr"/>
      <c r="V24" s="12" t="inlineStr"/>
      <c r="W24" s="12" t="inlineStr"/>
      <c r="X24" s="12" t="n">
        <v>25</v>
      </c>
      <c r="Y24" s="12" t="inlineStr">
        <is>
          <t>CSR-BIZ-20260724-V1</t>
        </is>
      </c>
    </row>
    <row r="25">
      <c r="A25" s="10" t="inlineStr">
        <is>
          <t>无变化</t>
        </is>
      </c>
      <c r="B25" s="10" t="inlineStr">
        <is>
          <t>104403</t>
        </is>
      </c>
      <c r="C25" s="10" t="inlineStr">
        <is>
          <t>涟水苏杭</t>
        </is>
      </c>
      <c r="D25" s="10" t="inlineStr">
        <is>
          <t>陈程</t>
        </is>
      </c>
      <c r="E25" s="10" t="inlineStr">
        <is>
          <t>刘海英</t>
        </is>
      </c>
      <c r="F25" s="10" t="inlineStr"/>
      <c r="G25" s="10" t="inlineStr"/>
      <c r="H25" s="10" t="inlineStr">
        <is>
          <t>启用</t>
        </is>
      </c>
      <c r="I25" s="6" t="inlineStr"/>
      <c r="J25" s="6" t="inlineStr">
        <is>
          <t>维护公差</t>
        </is>
      </c>
      <c r="K25" s="6" t="inlineStr"/>
      <c r="L25" s="6" t="inlineStr"/>
      <c r="M25" s="6" t="inlineStr"/>
      <c r="N25" s="6" t="inlineStr"/>
      <c r="O25" s="6" t="inlineStr">
        <is>
          <t>当胶系=NY2150或胶系=NY2170时=AC</t>
        </is>
      </c>
      <c r="P25" s="6" t="inlineStr"/>
      <c r="Q25" s="6" t="inlineStr"/>
      <c r="R25" s="6" t="inlineStr"/>
      <c r="S25" s="6" t="inlineStr"/>
      <c r="T25" s="6" t="inlineStr"/>
      <c r="U25" s="11" t="inlineStr"/>
      <c r="V25" s="12" t="inlineStr"/>
      <c r="W25" s="12" t="inlineStr"/>
      <c r="X25" s="12" t="n">
        <v>26</v>
      </c>
      <c r="Y25" s="12" t="inlineStr">
        <is>
          <t>CSR-BIZ-20260724-V1</t>
        </is>
      </c>
    </row>
    <row r="26">
      <c r="A26" s="10" t="inlineStr">
        <is>
          <t>无变化</t>
        </is>
      </c>
      <c r="B26" s="10" t="inlineStr">
        <is>
          <t>103024</t>
        </is>
      </c>
      <c r="C26" s="10" t="inlineStr">
        <is>
          <t>深圳博敏</t>
        </is>
      </c>
      <c r="D26" s="10" t="inlineStr">
        <is>
          <t>陈程</t>
        </is>
      </c>
      <c r="E26" s="10" t="inlineStr">
        <is>
          <t>娄亚杰</t>
        </is>
      </c>
      <c r="F26" s="10" t="inlineStr"/>
      <c r="G26" s="10" t="inlineStr"/>
      <c r="H26" s="10" t="inlineStr">
        <is>
          <t>启用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>
        <is>
          <t>当胶系NY3150HF=AH时=AD</t>
        </is>
      </c>
      <c r="P26" s="6" t="inlineStr"/>
      <c r="Q26" s="6" t="inlineStr"/>
      <c r="R26" s="6" t="inlineStr"/>
      <c r="S26" s="6" t="inlineStr"/>
      <c r="T26" s="6" t="inlineStr"/>
      <c r="U26" s="11" t="inlineStr"/>
      <c r="V26" s="12" t="inlineStr"/>
      <c r="W26" s="12" t="inlineStr"/>
      <c r="X26" s="12" t="n">
        <v>27</v>
      </c>
      <c r="Y26" s="12" t="inlineStr">
        <is>
          <t>CSR-BIZ-20260724-V1</t>
        </is>
      </c>
    </row>
    <row r="27">
      <c r="A27" s="10" t="inlineStr">
        <is>
          <t>无变化</t>
        </is>
      </c>
      <c r="B27" s="10" t="inlineStr">
        <is>
          <t>103935</t>
        </is>
      </c>
      <c r="C27" s="10" t="inlineStr">
        <is>
          <t>东莞康源</t>
        </is>
      </c>
      <c r="D27" s="10" t="inlineStr">
        <is>
          <t>韩稳权</t>
        </is>
      </c>
      <c r="E27" s="10" t="inlineStr">
        <is>
          <t>欧阳昭婷</t>
        </is>
      </c>
      <c r="F27" s="10" t="inlineStr"/>
      <c r="G27" s="10" t="inlineStr"/>
      <c r="H27" s="10" t="inlineStr">
        <is>
          <t>启用</t>
        </is>
      </c>
      <c r="I27" s="6" t="inlineStr"/>
      <c r="J27" s="6" t="inlineStr"/>
      <c r="K27" s="6" t="inlineStr"/>
      <c r="L27" s="6" t="inlineStr"/>
      <c r="M27" s="6" t="inlineStr"/>
      <c r="N27" s="6" t="inlineStr">
        <is>
          <t>当胶系=3170M时，下RTF铜箔；当胶系=3170M且铜箔规格=T/T时且基板厚度=0.35mm时，下HTE铜箔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11" t="inlineStr"/>
      <c r="V27" s="12" t="inlineStr"/>
      <c r="W27" s="12" t="inlineStr">
        <is>
          <t>全部物料下汽车板</t>
        </is>
      </c>
      <c r="X27" s="12" t="n">
        <v>28</v>
      </c>
      <c r="Y27" s="12" t="inlineStr">
        <is>
          <t>CSR-BIZ-20260724-V1</t>
        </is>
      </c>
    </row>
    <row r="28">
      <c r="A28" s="10" t="inlineStr">
        <is>
          <t>无变化</t>
        </is>
      </c>
      <c r="B28" s="10" t="inlineStr">
        <is>
          <t>101003</t>
        </is>
      </c>
      <c r="C28" s="10" t="inlineStr">
        <is>
          <t>上海山崎</t>
        </is>
      </c>
      <c r="D28" s="10" t="inlineStr">
        <is>
          <t>陈程</t>
        </is>
      </c>
      <c r="E28" s="10" t="inlineStr">
        <is>
          <t>刘海英</t>
        </is>
      </c>
      <c r="F28" s="10" t="inlineStr"/>
      <c r="G28" s="10" t="inlineStr"/>
      <c r="H28" s="10" t="inlineStr">
        <is>
          <t>启用</t>
        </is>
      </c>
      <c r="I28" s="6" t="inlineStr">
        <is>
          <t>NY1140=NY2140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11" t="inlineStr"/>
      <c r="V28" s="12" t="inlineStr"/>
      <c r="W28" s="12" t="inlineStr"/>
      <c r="X28" s="12" t="n">
        <v>29</v>
      </c>
      <c r="Y28" s="12" t="inlineStr">
        <is>
          <t>CSR-BIZ-20260724-V1</t>
        </is>
      </c>
    </row>
    <row r="29">
      <c r="A29" s="10" t="inlineStr">
        <is>
          <t>无变化</t>
        </is>
      </c>
      <c r="B29" s="10" t="inlineStr">
        <is>
          <t>104032</t>
        </is>
      </c>
      <c r="C29" s="10" t="inlineStr">
        <is>
          <t>昆山华新</t>
        </is>
      </c>
      <c r="D29" s="10" t="inlineStr">
        <is>
          <t>陈程</t>
        </is>
      </c>
      <c r="E29" s="10" t="inlineStr">
        <is>
          <t>刘海英</t>
        </is>
      </c>
      <c r="F29" s="10" t="inlineStr"/>
      <c r="G29" s="10" t="inlineStr"/>
      <c r="H29" s="10" t="inlineStr">
        <is>
          <t>启用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>
        <is>
          <t>当胶系=NY2140时=F1</t>
        </is>
      </c>
      <c r="P29" s="6" t="inlineStr"/>
      <c r="Q29" s="6" t="inlineStr"/>
      <c r="R29" s="6" t="inlineStr"/>
      <c r="S29" s="6" t="inlineStr"/>
      <c r="T29" s="6" t="inlineStr"/>
      <c r="U29" s="11" t="inlineStr"/>
      <c r="V29" s="12" t="inlineStr"/>
      <c r="W29" s="12" t="inlineStr"/>
      <c r="X29" s="12" t="n">
        <v>30</v>
      </c>
      <c r="Y29" s="12" t="inlineStr">
        <is>
          <t>CSR-BIZ-20260724-V1</t>
        </is>
      </c>
    </row>
    <row r="30">
      <c r="A30" s="10" t="inlineStr">
        <is>
          <t>无变化</t>
        </is>
      </c>
      <c r="B30" s="10" t="inlineStr">
        <is>
          <t>104174</t>
        </is>
      </c>
      <c r="C30" s="10" t="inlineStr">
        <is>
          <t>昆亿富达</t>
        </is>
      </c>
      <c r="D30" s="10" t="inlineStr">
        <is>
          <t>陈程</t>
        </is>
      </c>
      <c r="E30" s="10" t="inlineStr">
        <is>
          <t>刘海英</t>
        </is>
      </c>
      <c r="F30" s="10" t="inlineStr"/>
      <c r="G30" s="10" t="inlineStr"/>
      <c r="H30" s="10" t="inlineStr">
        <is>
          <t>无CCL规则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11" t="inlineStr"/>
      <c r="V30" s="12" t="inlineStr"/>
      <c r="W30" s="12" t="inlineStr"/>
      <c r="X30" s="12" t="n">
        <v>31</v>
      </c>
      <c r="Y30" s="12" t="inlineStr">
        <is>
          <t>CSR-BIZ-20260724-V1</t>
        </is>
      </c>
    </row>
    <row r="31">
      <c r="A31" s="10" t="inlineStr">
        <is>
          <t>无变化</t>
        </is>
      </c>
      <c r="B31" s="10" t="inlineStr">
        <is>
          <t>103658</t>
        </is>
      </c>
      <c r="C31" s="10" t="inlineStr">
        <is>
          <t>江奔力达</t>
        </is>
      </c>
      <c r="D31" s="10" t="inlineStr">
        <is>
          <t>陈东</t>
        </is>
      </c>
      <c r="E31" s="10" t="inlineStr">
        <is>
          <t>徐世莹</t>
        </is>
      </c>
      <c r="F31" s="10" t="inlineStr"/>
      <c r="G31" s="10" t="inlineStr"/>
      <c r="H31" s="10" t="inlineStr">
        <is>
          <t>无CCL规则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11" t="inlineStr"/>
      <c r="V31" s="12" t="inlineStr"/>
      <c r="W31" s="12" t="inlineStr">
        <is>
          <t>不交易</t>
        </is>
      </c>
      <c r="X31" s="12" t="n">
        <v>32</v>
      </c>
      <c r="Y31" s="12" t="inlineStr">
        <is>
          <t>CSR-BIZ-20260724-V1</t>
        </is>
      </c>
    </row>
    <row r="32">
      <c r="A32" s="10" t="inlineStr">
        <is>
          <t>无变化</t>
        </is>
      </c>
      <c r="B32" s="10" t="inlineStr">
        <is>
          <t>103863</t>
        </is>
      </c>
      <c r="C32" s="10" t="inlineStr">
        <is>
          <t>益明正宏</t>
        </is>
      </c>
      <c r="D32" s="10" t="inlineStr">
        <is>
          <t>陈东</t>
        </is>
      </c>
      <c r="E32" s="10" t="inlineStr">
        <is>
          <t>徐世莹</t>
        </is>
      </c>
      <c r="F32" s="10" t="inlineStr"/>
      <c r="G32" s="10" t="inlineStr"/>
      <c r="H32" s="10" t="inlineStr">
        <is>
          <t>无CCL规则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11" t="inlineStr"/>
      <c r="V32" s="12" t="inlineStr"/>
      <c r="W32" s="12" t="inlineStr">
        <is>
          <t>部分PP规格需根据客户订单短秒；NY3170HC、NY-A1、NY-A2需按汽车板安排</t>
        </is>
      </c>
      <c r="X32" s="12" t="n">
        <v>33</v>
      </c>
      <c r="Y32" s="12" t="inlineStr">
        <is>
          <t>CSR-BIZ-20260724-V1</t>
        </is>
      </c>
    </row>
    <row r="33">
      <c r="A33" s="10" t="inlineStr">
        <is>
          <t>无变化</t>
        </is>
      </c>
      <c r="B33" s="10" t="inlineStr">
        <is>
          <t>123039</t>
        </is>
      </c>
      <c r="C33" s="10" t="inlineStr">
        <is>
          <t>江磊鑫达</t>
        </is>
      </c>
      <c r="D33" s="10" t="inlineStr">
        <is>
          <t>陈东</t>
        </is>
      </c>
      <c r="E33" s="10" t="inlineStr">
        <is>
          <t>徐世莹</t>
        </is>
      </c>
      <c r="F33" s="10" t="inlineStr"/>
      <c r="G33" s="10" t="inlineStr"/>
      <c r="H33" s="10" t="inlineStr">
        <is>
          <t>无CCL规则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11" t="inlineStr"/>
      <c r="V33" s="12" t="inlineStr"/>
      <c r="W33" s="12" t="inlineStr">
        <is>
          <t>所有PP都用羽边布</t>
        </is>
      </c>
      <c r="X33" s="12" t="n">
        <v>34</v>
      </c>
      <c r="Y33" s="12" t="inlineStr">
        <is>
          <t>CSR-BIZ-20260724-V1</t>
        </is>
      </c>
    </row>
    <row r="34">
      <c r="A34" s="10" t="inlineStr">
        <is>
          <t>无变化</t>
        </is>
      </c>
      <c r="B34" s="10" t="inlineStr">
        <is>
          <t>123020</t>
        </is>
      </c>
      <c r="C34" s="10" t="inlineStr">
        <is>
          <t>赣州深联</t>
        </is>
      </c>
      <c r="D34" s="10" t="inlineStr">
        <is>
          <t>陈东</t>
        </is>
      </c>
      <c r="E34" s="10" t="inlineStr">
        <is>
          <t>徐世莹</t>
        </is>
      </c>
      <c r="F34" s="10" t="inlineStr"/>
      <c r="G34" s="10" t="inlineStr"/>
      <c r="H34" s="10" t="inlineStr">
        <is>
          <t>无CCL规则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11" t="inlineStr"/>
      <c r="V34" s="12" t="inlineStr"/>
      <c r="W34" s="12" t="inlineStr">
        <is>
          <t>非切片的常规尺寸客户下正常尺寸，需出放大尺寸（如：客户订单27.3*49，需录入27.3*49.3）；除NY2140规格除外其他所有料号全部按汽车板安排</t>
        </is>
      </c>
      <c r="X34" s="12" t="n">
        <v>35</v>
      </c>
      <c r="Y34" s="12" t="inlineStr">
        <is>
          <t>CSR-BIZ-20260724-V1</t>
        </is>
      </c>
    </row>
    <row r="35">
      <c r="A35" s="10" t="inlineStr">
        <is>
          <t>无变化</t>
        </is>
      </c>
      <c r="B35" s="10" t="inlineStr">
        <is>
          <t>123039</t>
        </is>
      </c>
      <c r="C35" s="10" t="inlineStr">
        <is>
          <t>赣奔力达</t>
        </is>
      </c>
      <c r="D35" s="10" t="inlineStr">
        <is>
          <t>陈东</t>
        </is>
      </c>
      <c r="E35" s="10" t="inlineStr">
        <is>
          <t>徐世莹</t>
        </is>
      </c>
      <c r="F35" s="10" t="inlineStr"/>
      <c r="G35" s="10" t="inlineStr"/>
      <c r="H35" s="10" t="inlineStr">
        <is>
          <t>无CCL规则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11" t="inlineStr"/>
      <c r="V35" s="12" t="inlineStr"/>
      <c r="W35" s="12" t="inlineStr">
        <is>
          <t>不交易</t>
        </is>
      </c>
      <c r="X35" s="12" t="n">
        <v>36</v>
      </c>
      <c r="Y35" s="12" t="inlineStr">
        <is>
          <t>CSR-BIZ-20260724-V1</t>
        </is>
      </c>
    </row>
    <row r="36">
      <c r="A36" s="10" t="inlineStr">
        <is>
          <t>无变化</t>
        </is>
      </c>
      <c r="B36" s="10" t="inlineStr">
        <is>
          <t>103898</t>
        </is>
      </c>
      <c r="C36" s="10" t="inlineStr">
        <is>
          <t>广东喜珍</t>
        </is>
      </c>
      <c r="D36" s="10" t="inlineStr">
        <is>
          <t>董峰</t>
        </is>
      </c>
      <c r="E36" s="10" t="inlineStr">
        <is>
          <t>王庆</t>
        </is>
      </c>
      <c r="F36" s="10" t="inlineStr"/>
      <c r="G36" s="10" t="inlineStr"/>
      <c r="H36" s="10" t="inlineStr">
        <is>
          <t>启用</t>
        </is>
      </c>
      <c r="I36" s="6" t="inlineStr"/>
      <c r="J36" s="6" t="inlineStr"/>
      <c r="K36" s="6" t="inlineStr">
        <is>
          <t>R/R=1.5/1.5=F/F</t>
        </is>
      </c>
      <c r="L36" s="6" t="inlineStr"/>
      <c r="M36" s="6" t="inlineStr"/>
      <c r="N36" s="6" t="inlineStr"/>
      <c r="O36" s="6" t="inlineStr">
        <is>
          <t>当备注中有X0A0/X0B0/car/汽车板/458/439字样时=AC,当备注中有MINILED字样时=AM,当胶系=NY3150HF时=A1，当胶系=NY2140L时=A2</t>
        </is>
      </c>
      <c r="P36" s="6" t="inlineStr"/>
      <c r="Q36" s="6" t="inlineStr"/>
      <c r="R36" s="6" t="inlineStr"/>
      <c r="S36" s="6" t="inlineStr"/>
      <c r="T36" s="6" t="inlineStr"/>
      <c r="U36" s="11" t="inlineStr"/>
      <c r="V36" s="12" t="inlineStr"/>
      <c r="W36" s="12" t="inlineStr">
        <is>
          <t>688不能用7630布  HTE用江铜WO RTF用铜冠F1 7628用泰山E0  2116/1506用台嘉G0  1080/2313/106/1086/1078/1067/1037/3313用宏和 H4   "688""华为"“HW"下688华为料号;                                  订单规格带T，标签及外包装需要注明T字母;</t>
        </is>
      </c>
      <c r="X36" s="12" t="n">
        <v>37</v>
      </c>
      <c r="Y36" s="12" t="inlineStr">
        <is>
          <t>CSR-BIZ-20260724-V1</t>
        </is>
      </c>
    </row>
    <row r="37">
      <c r="A37" s="10" t="inlineStr">
        <is>
          <t>无变化</t>
        </is>
      </c>
      <c r="B37" s="10" t="inlineStr">
        <is>
          <t>257103</t>
        </is>
      </c>
      <c r="C37" s="10" t="inlineStr">
        <is>
          <t>森德科技</t>
        </is>
      </c>
      <c r="D37" s="10" t="inlineStr">
        <is>
          <t>董峰</t>
        </is>
      </c>
      <c r="E37" s="10" t="inlineStr">
        <is>
          <t>王庆</t>
        </is>
      </c>
      <c r="F37" s="10" t="inlineStr"/>
      <c r="G37" s="10" t="inlineStr"/>
      <c r="H37" s="10" t="inlineStr">
        <is>
          <t>启用</t>
        </is>
      </c>
      <c r="I37" s="6" t="inlineStr"/>
      <c r="J37" s="6" t="inlineStr"/>
      <c r="K37" s="6" t="inlineStr">
        <is>
          <t>R/R=1.5/1.5=F/F</t>
        </is>
      </c>
      <c r="L37" s="6" t="inlineStr"/>
      <c r="M37" s="6" t="inlineStr"/>
      <c r="N37" s="6" t="inlineStr"/>
      <c r="O37" s="6" t="inlineStr">
        <is>
          <t>当备注中有X0A0/X0B0/car/汽车板/458/439字样时=AC,当备注中有MINILED字样时=AM,当胶系=NY3150HF时=A1，当胶系=NY2140L时=A2</t>
        </is>
      </c>
      <c r="P37" s="6" t="inlineStr"/>
      <c r="Q37" s="6" t="inlineStr"/>
      <c r="R37" s="6" t="inlineStr"/>
      <c r="S37" s="6" t="inlineStr"/>
      <c r="T37" s="6" t="inlineStr"/>
      <c r="U37" s="11" t="inlineStr"/>
      <c r="V37" s="12" t="inlineStr"/>
      <c r="W37" s="12" t="inlineStr">
        <is>
          <t>688不能用7630布  HTE用江铜WO RTF用铜冠F1 7628用泰山E0  2116/1506用台嘉G0  1080/2313/106/1086/1078/1067/1037/3313用宏和 H4   
订单备注"458""439""X0A0""X0B0""汽车板""CAR" 下汽车板料号；"688""华为"“HW"下688华为料号;NY-A1|默认下汽车板。订单规格带T，标签及外包装需要注明T字母;</t>
        </is>
      </c>
      <c r="X37" s="12" t="n">
        <v>38</v>
      </c>
      <c r="Y37" s="12" t="inlineStr">
        <is>
          <t>CSR-BIZ-20260724-V1</t>
        </is>
      </c>
    </row>
    <row r="38">
      <c r="A38" s="10" t="inlineStr">
        <is>
          <t>无变化</t>
        </is>
      </c>
      <c r="B38" s="10" t="inlineStr">
        <is>
          <t>104370</t>
        </is>
      </c>
      <c r="C38" s="10" t="inlineStr">
        <is>
          <t>南通深南</t>
        </is>
      </c>
      <c r="D38" s="10" t="inlineStr">
        <is>
          <t>方志祥</t>
        </is>
      </c>
      <c r="E38" s="10" t="inlineStr">
        <is>
          <t>王荣</t>
        </is>
      </c>
      <c r="F38" s="10" t="inlineStr">
        <is>
          <t>CGR-SHENNAN</t>
        </is>
      </c>
      <c r="G38" s="10" t="inlineStr">
        <is>
          <t>南通深南</t>
        </is>
      </c>
      <c r="H38" s="10" t="inlineStr">
        <is>
          <t>启用</t>
        </is>
      </c>
      <c r="I38" s="6" t="inlineStr">
        <is>
          <t>无</t>
        </is>
      </c>
      <c r="J38" s="6" t="inlineStr">
        <is>
          <t>客户规格前面芯厚后面总厚</t>
        </is>
      </c>
      <c r="K38" s="6" t="inlineStr"/>
      <c r="L38" s="6" t="inlineStr">
        <is>
          <t>36*48=37*49；40*48=41*49；42*48=43*49；28*48=28.5*49；36*42=37*43；36.5*42.5=37*43；27*48=27*49；24*48=24.5*49；40*42=41*43</t>
        </is>
      </c>
      <c r="M38" s="6" t="inlineStr">
        <is>
          <t>无</t>
        </is>
      </c>
      <c r="N38" s="6" t="inlineStr">
        <is>
          <t>S=RTF R2=RTF2 R3=RTF3 HV=HVLP1 HV2=HLP2 HV3=HVLP3 HV4=HVLP4</t>
        </is>
      </c>
      <c r="O38" s="6" t="inlineStr">
        <is>
          <t>（AE)=AC</t>
        </is>
      </c>
      <c r="P38" s="6" t="inlineStr">
        <is>
          <t>客户规格前面芯厚后面总厚</t>
        </is>
      </c>
      <c r="Q38" s="6" t="inlineStr"/>
      <c r="R38" s="6" t="inlineStr"/>
      <c r="S38" s="6" t="inlineStr"/>
      <c r="T38" s="6" t="inlineStr"/>
      <c r="U38" s="11" t="inlineStr"/>
      <c r="V38" s="12" t="inlineStr">
        <is>
          <t>排版结构：A=106 B=1065 C=1067 D=1078 E=1080 F=1086 G=2112 H=2113 I=2313 J=3313 K=2116 L=2165 M=1500 N=1501 O=1504 P=1506 Q=1652 R=6700 S=7627 T=7628 U=7629 V=7530 Z=1037</t>
        </is>
      </c>
      <c r="W38" s="12" t="inlineStr"/>
      <c r="X38" s="12" t="n">
        <v>39</v>
      </c>
      <c r="Y38" s="12" t="inlineStr">
        <is>
          <t>CSR-BIZ-20260724-V1</t>
        </is>
      </c>
    </row>
    <row r="39">
      <c r="A39" s="10" t="inlineStr">
        <is>
          <t>无变化</t>
        </is>
      </c>
      <c r="B39" s="10" t="inlineStr">
        <is>
          <t>103235</t>
        </is>
      </c>
      <c r="C39" s="10" t="inlineStr">
        <is>
          <t>汕头超声</t>
        </is>
      </c>
      <c r="D39" s="10" t="inlineStr">
        <is>
          <t>方志祥</t>
        </is>
      </c>
      <c r="E39" s="10" t="inlineStr">
        <is>
          <t>王荣</t>
        </is>
      </c>
      <c r="F39" s="10" t="inlineStr"/>
      <c r="G39" s="10" t="inlineStr"/>
      <c r="H39" s="10" t="inlineStr">
        <is>
          <t>无CCL规则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11" t="inlineStr"/>
      <c r="V39" s="12" t="inlineStr"/>
      <c r="W39" s="12" t="inlineStr"/>
      <c r="X39" s="12" t="n">
        <v>40</v>
      </c>
      <c r="Y39" s="12" t="inlineStr">
        <is>
          <t>CSR-BIZ-20260724-V1</t>
        </is>
      </c>
    </row>
    <row r="40">
      <c r="A40" s="10" t="inlineStr">
        <is>
          <t>无变化</t>
        </is>
      </c>
      <c r="B40" s="10" t="inlineStr">
        <is>
          <t>103673</t>
        </is>
      </c>
      <c r="C40" s="10" t="inlineStr">
        <is>
          <t>深南电路</t>
        </is>
      </c>
      <c r="D40" s="10" t="inlineStr">
        <is>
          <t>方志祥</t>
        </is>
      </c>
      <c r="E40" s="10" t="inlineStr">
        <is>
          <t>王荣</t>
        </is>
      </c>
      <c r="F40" s="10" t="inlineStr">
        <is>
          <t>CGR-SHENNAN</t>
        </is>
      </c>
      <c r="G40" s="10" t="inlineStr">
        <is>
          <t>南通深南</t>
        </is>
      </c>
      <c r="H40" s="10" t="inlineStr">
        <is>
          <t>启用</t>
        </is>
      </c>
      <c r="I40" s="6" t="inlineStr">
        <is>
          <t>无</t>
        </is>
      </c>
      <c r="J40" s="6" t="inlineStr">
        <is>
          <t>客户规格前面芯厚后面总厚</t>
        </is>
      </c>
      <c r="K40" s="6" t="inlineStr"/>
      <c r="L40" s="6" t="inlineStr">
        <is>
          <t>36*48=37*49；40*48=41*49；42*48=43*49；28*48=28.5*49；36*42=37*43；36.5*42.5=37*43；27*48=27*49；24*48=24.5*49；40*42=41*43</t>
        </is>
      </c>
      <c r="M40" s="6" t="inlineStr">
        <is>
          <t>无</t>
        </is>
      </c>
      <c r="N40" s="6" t="inlineStr">
        <is>
          <t>S=RTF R2=RTF2 R3=RTF3 HV=HVLP1 HV2=HLP2 HV3=HVLP3 HV4=HVLP4</t>
        </is>
      </c>
      <c r="O40" s="6" t="inlineStr">
        <is>
          <t>（AE)=AC</t>
        </is>
      </c>
      <c r="P40" s="6" t="inlineStr">
        <is>
          <t>客户规格前面芯厚后面总厚</t>
        </is>
      </c>
      <c r="Q40" s="6" t="inlineStr"/>
      <c r="R40" s="6" t="inlineStr"/>
      <c r="S40" s="6" t="inlineStr"/>
      <c r="T40" s="6" t="inlineStr"/>
      <c r="U40" s="11" t="inlineStr"/>
      <c r="V40" s="12" t="inlineStr">
        <is>
          <t>排版结构：A=106 B=1065 C=1067 D=1078 E=1080 F=1086 G=2112 H=2113 I=2313 J=3313 K=2116 L=2165 M=1500 N=1501 O=1504 P=1506 Q=1652 R=6700 S=7627 T=7628 U=7629 V=7530 Z=1037</t>
        </is>
      </c>
      <c r="W40" s="12" t="inlineStr"/>
      <c r="X40" s="12" t="n">
        <v>41</v>
      </c>
      <c r="Y40" s="12" t="inlineStr">
        <is>
          <t>CSR-BIZ-20260724-V1</t>
        </is>
      </c>
    </row>
    <row r="41">
      <c r="A41" s="10" t="inlineStr">
        <is>
          <t>无变化</t>
        </is>
      </c>
      <c r="B41" s="10" t="inlineStr">
        <is>
          <t>104299</t>
        </is>
      </c>
      <c r="C41" s="10" t="inlineStr">
        <is>
          <t>无锡深南</t>
        </is>
      </c>
      <c r="D41" s="10" t="inlineStr">
        <is>
          <t>方志祥</t>
        </is>
      </c>
      <c r="E41" s="10" t="inlineStr">
        <is>
          <t>王荣</t>
        </is>
      </c>
      <c r="F41" s="10" t="inlineStr">
        <is>
          <t>CGR-SHENNAN</t>
        </is>
      </c>
      <c r="G41" s="10" t="inlineStr">
        <is>
          <t>南通深南</t>
        </is>
      </c>
      <c r="H41" s="10" t="inlineStr">
        <is>
          <t>启用</t>
        </is>
      </c>
      <c r="I41" s="6" t="inlineStr">
        <is>
          <t>无</t>
        </is>
      </c>
      <c r="J41" s="6" t="inlineStr">
        <is>
          <t>客户规格前面芯厚后面总厚</t>
        </is>
      </c>
      <c r="K41" s="6" t="inlineStr"/>
      <c r="L41" s="6" t="inlineStr">
        <is>
          <t>36*48=37*49；40*48=41*49；42*48=43*49；28*48=28.5*49；36*42=37*43；36.5*42.5=37*43；27*48=27*49；24*48=24.5*49；40*42=41*43</t>
        </is>
      </c>
      <c r="M41" s="6" t="inlineStr">
        <is>
          <t>无</t>
        </is>
      </c>
      <c r="N41" s="6" t="inlineStr">
        <is>
          <t>S=RTF R2=RTF2 R3=RTF3 HV=HVLP1 HV2=HLP2 HV3=HVLP3 HV4=HVLP4</t>
        </is>
      </c>
      <c r="O41" s="6" t="inlineStr">
        <is>
          <t>（AE)=AC</t>
        </is>
      </c>
      <c r="P41" s="6" t="inlineStr">
        <is>
          <t>客户规格前面芯厚后面总厚</t>
        </is>
      </c>
      <c r="Q41" s="6" t="inlineStr"/>
      <c r="R41" s="6" t="inlineStr"/>
      <c r="S41" s="6" t="inlineStr"/>
      <c r="T41" s="6" t="inlineStr"/>
      <c r="U41" s="11" t="inlineStr"/>
      <c r="V41" s="12" t="inlineStr">
        <is>
          <t>排版结构：A=106 B=1065 C=1067 D=1078 E=1080 F=1086 G=2112 H=2113 I=2313 J=3313 K=2116 L=2165 M=1500 N=1501 O=1504 P=1506 Q=1652 R=6700 S=7627 T=7628 U=7629 V=7530 Z=1037</t>
        </is>
      </c>
      <c r="W41" s="12" t="inlineStr"/>
      <c r="X41" s="12" t="n">
        <v>42</v>
      </c>
      <c r="Y41" s="12" t="inlineStr">
        <is>
          <t>CSR-BIZ-20260724-V1</t>
        </is>
      </c>
    </row>
    <row r="42">
      <c r="A42" s="10" t="inlineStr">
        <is>
          <t>无变化</t>
        </is>
      </c>
      <c r="B42" s="10" t="inlineStr">
        <is>
          <t>123114</t>
        </is>
      </c>
      <c r="C42" s="10" t="inlineStr">
        <is>
          <t>赣州景旺</t>
        </is>
      </c>
      <c r="D42" s="10" t="inlineStr">
        <is>
          <t>耿俊莹</t>
        </is>
      </c>
      <c r="E42" s="10" t="inlineStr">
        <is>
          <t>陈明洁</t>
        </is>
      </c>
      <c r="F42" s="10" t="inlineStr"/>
      <c r="G42" s="10" t="inlineStr"/>
      <c r="H42" s="10" t="inlineStr">
        <is>
          <t>启用</t>
        </is>
      </c>
      <c r="I42" s="6" t="inlineStr">
        <is>
          <t>NY3150HC=RV/3H</t>
        </is>
      </c>
      <c r="J42" s="6" t="inlineStr"/>
      <c r="K42" s="6" t="inlineStr"/>
      <c r="L42" s="6" t="inlineStr">
        <is>
          <t>NY2150 0.13mm 1/1需要下J0J0F0尾缀</t>
        </is>
      </c>
      <c r="M42" s="6" t="inlineStr"/>
      <c r="N42" s="6" t="inlineStr">
        <is>
          <t>HVLP=HVLP1</t>
        </is>
      </c>
      <c r="O42" s="6" t="inlineStr">
        <is>
          <t>当订单备注有电源板和能源板时=AP，当胶系=NY3150HC = 3H时=AL，当胶系=NY3150HC = RV时=A1；当胶系=NY-A1或胶系=NY-A2时=AC</t>
        </is>
      </c>
      <c r="P42" s="6" t="inlineStr"/>
      <c r="Q42" s="6" t="inlineStr"/>
      <c r="R42" s="6" t="inlineStr"/>
      <c r="S42" s="6" t="inlineStr"/>
      <c r="T42" s="6" t="inlineStr"/>
      <c r="U42" s="11" t="inlineStr"/>
      <c r="V42" s="12" t="inlineStr">
        <is>
          <t>胶系：NY2150=2B；</t>
        </is>
      </c>
      <c r="W42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42" s="12" t="n">
        <v>43</v>
      </c>
      <c r="Y42" s="12" t="inlineStr">
        <is>
          <t>CSR-BIZ-20260724-V1</t>
        </is>
      </c>
    </row>
    <row r="43">
      <c r="A43" s="10" t="inlineStr">
        <is>
          <t>无变化</t>
        </is>
      </c>
      <c r="B43" s="10" t="inlineStr">
        <is>
          <t>123018</t>
        </is>
      </c>
      <c r="C43" s="10" t="inlineStr">
        <is>
          <t>江西景旺</t>
        </is>
      </c>
      <c r="D43" s="10" t="inlineStr">
        <is>
          <t>耿俊莹</t>
        </is>
      </c>
      <c r="E43" s="10" t="inlineStr">
        <is>
          <t>陈明洁</t>
        </is>
      </c>
      <c r="F43" s="10" t="inlineStr"/>
      <c r="G43" s="10" t="inlineStr"/>
      <c r="H43" s="10" t="inlineStr">
        <is>
          <t>启用</t>
        </is>
      </c>
      <c r="I43" s="6" t="inlineStr">
        <is>
          <t>NY3150HC=RV/3H</t>
        </is>
      </c>
      <c r="J43" s="6" t="inlineStr"/>
      <c r="K43" s="6" t="inlineStr"/>
      <c r="L43" s="6" t="inlineStr"/>
      <c r="M43" s="6" t="inlineStr"/>
      <c r="N43" s="6" t="inlineStr">
        <is>
          <t>HVLP=HVLP1</t>
        </is>
      </c>
      <c r="O43" s="6" t="inlineStr">
        <is>
          <t>当订单备注有电源板和能源板时=AP，当胶系=NY3150HC = 3H时=AL，当胶系=NY3150HC = RV时=A1；当胶系=NY-A1或胶系=NY-A2时=AC</t>
        </is>
      </c>
      <c r="P43" s="6" t="inlineStr"/>
      <c r="Q43" s="6" t="inlineStr"/>
      <c r="R43" s="6" t="inlineStr"/>
      <c r="S43" s="6" t="inlineStr"/>
      <c r="T43" s="6" t="inlineStr"/>
      <c r="U43" s="11" t="inlineStr"/>
      <c r="V43" s="12" t="inlineStr">
        <is>
          <t>胶系：NY2150=2S；</t>
        </is>
      </c>
      <c r="W43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43" s="12" t="n">
        <v>44</v>
      </c>
      <c r="Y43" s="12" t="inlineStr">
        <is>
          <t>CSR-BIZ-20260724-V1</t>
        </is>
      </c>
    </row>
    <row r="44">
      <c r="A44" s="10" t="inlineStr">
        <is>
          <t>无变化</t>
        </is>
      </c>
      <c r="B44" s="10" t="inlineStr">
        <is>
          <t>103375</t>
        </is>
      </c>
      <c r="C44" s="10" t="inlineStr">
        <is>
          <t>龙川景旺</t>
        </is>
      </c>
      <c r="D44" s="10" t="inlineStr">
        <is>
          <t>耿俊莹</t>
        </is>
      </c>
      <c r="E44" s="10" t="inlineStr">
        <is>
          <t>陈明洁</t>
        </is>
      </c>
      <c r="F44" s="10" t="inlineStr"/>
      <c r="G44" s="10" t="inlineStr"/>
      <c r="H44" s="10" t="inlineStr">
        <is>
          <t>启用</t>
        </is>
      </c>
      <c r="I44" s="6" t="inlineStr">
        <is>
          <t>NY3150HC=RV/3H</t>
        </is>
      </c>
      <c r="J44" s="6" t="inlineStr"/>
      <c r="K44" s="6" t="inlineStr"/>
      <c r="L44" s="6" t="inlineStr"/>
      <c r="M44" s="6" t="inlineStr"/>
      <c r="N44" s="6" t="inlineStr">
        <is>
          <t>HVLP=HVLP1</t>
        </is>
      </c>
      <c r="O44" s="6" t="inlineStr">
        <is>
          <t>当订单备注有电源板和能源板时=AP，当胶系=NY3150HC = 3H时=AL，当胶系=NY3150HC = RV时=A1；当胶系=NY-A1或胶系=NY-A2时=AC</t>
        </is>
      </c>
      <c r="P44" s="6" t="inlineStr"/>
      <c r="Q44" s="6" t="inlineStr"/>
      <c r="R44" s="6" t="inlineStr"/>
      <c r="S44" s="6" t="inlineStr"/>
      <c r="T44" s="6" t="inlineStr"/>
      <c r="U44" s="11" t="inlineStr"/>
      <c r="V44" s="12" t="inlineStr">
        <is>
          <t>胶系：NY2150=2B；</t>
        </is>
      </c>
      <c r="W44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44" s="12" t="n">
        <v>45</v>
      </c>
      <c r="Y44" s="12" t="inlineStr">
        <is>
          <t>CSR-BIZ-20260724-V1</t>
        </is>
      </c>
    </row>
    <row r="45">
      <c r="A45" s="10" t="inlineStr">
        <is>
          <t>无变化</t>
        </is>
      </c>
      <c r="B45" s="10" t="inlineStr">
        <is>
          <t>103040</t>
        </is>
      </c>
      <c r="C45" s="10" t="inlineStr">
        <is>
          <t>深圳景旺</t>
        </is>
      </c>
      <c r="D45" s="10" t="inlineStr">
        <is>
          <t>耿俊莹</t>
        </is>
      </c>
      <c r="E45" s="10" t="inlineStr">
        <is>
          <t>陈明洁</t>
        </is>
      </c>
      <c r="F45" s="10" t="inlineStr"/>
      <c r="G45" s="10" t="inlineStr"/>
      <c r="H45" s="10" t="inlineStr">
        <is>
          <t>启用</t>
        </is>
      </c>
      <c r="I45" s="6" t="inlineStr">
        <is>
          <t>NY3150HC=RV/3H</t>
        </is>
      </c>
      <c r="J45" s="6" t="inlineStr"/>
      <c r="K45" s="6" t="inlineStr"/>
      <c r="L45" s="6" t="inlineStr"/>
      <c r="M45" s="6" t="inlineStr"/>
      <c r="N45" s="6" t="inlineStr">
        <is>
          <t>HVLP=HVLP1</t>
        </is>
      </c>
      <c r="O45" s="6" t="inlineStr">
        <is>
          <t>当订单备注有电源板和能源板时=AP，当胶系=NY3150HC = 3H时=AL，当胶系=NY3150HC = RV时=A1；当胶系=NY-A1或胶系=NY-A2时=AC，当胶系=2150H时=AP</t>
        </is>
      </c>
      <c r="P45" s="6" t="inlineStr"/>
      <c r="Q45" s="6" t="inlineStr"/>
      <c r="R45" s="6" t="inlineStr"/>
      <c r="S45" s="6" t="inlineStr"/>
      <c r="T45" s="6" t="inlineStr"/>
      <c r="U45" s="11" t="inlineStr"/>
      <c r="V45" s="12" t="inlineStr">
        <is>
          <t>胶系：NY2150=2B；</t>
        </is>
      </c>
      <c r="W45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45" s="12" t="n">
        <v>46</v>
      </c>
      <c r="Y45" s="12" t="inlineStr">
        <is>
          <t>CSR-BIZ-20260724-V1</t>
        </is>
      </c>
    </row>
    <row r="46">
      <c r="A46" s="10" t="inlineStr">
        <is>
          <t>无变化</t>
        </is>
      </c>
      <c r="B46" s="10" t="inlineStr">
        <is>
          <t>123007</t>
        </is>
      </c>
      <c r="C46" s="10" t="inlineStr">
        <is>
          <t>吉安满坤</t>
        </is>
      </c>
      <c r="D46" s="10" t="inlineStr">
        <is>
          <t>耿挺</t>
        </is>
      </c>
      <c r="E46" s="10" t="inlineStr">
        <is>
          <t>蒋苏莉</t>
        </is>
      </c>
      <c r="F46" s="10" t="inlineStr"/>
      <c r="G46" s="10" t="inlineStr"/>
      <c r="H46" s="10" t="inlineStr">
        <is>
          <t>无CCL规则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11" t="inlineStr"/>
      <c r="V46" s="12" t="inlineStr">
        <is>
          <t>NY2140 板厚0.8及以上，1oz铜箔以下下F1料号</t>
        </is>
      </c>
      <c r="W46" s="12" t="inlineStr"/>
      <c r="X46" s="12" t="n">
        <v>47</v>
      </c>
      <c r="Y46" s="12" t="inlineStr">
        <is>
          <t>CSR-BIZ-20260724-V1</t>
        </is>
      </c>
    </row>
    <row r="47">
      <c r="A47" s="10" t="inlineStr">
        <is>
          <t>无变化</t>
        </is>
      </c>
      <c r="B47" s="10" t="inlineStr">
        <is>
          <t>123002</t>
        </is>
      </c>
      <c r="C47" s="10" t="inlineStr">
        <is>
          <t>信福昌发</t>
        </is>
      </c>
      <c r="D47" s="10" t="inlineStr">
        <is>
          <t>耿挺</t>
        </is>
      </c>
      <c r="E47" s="10" t="inlineStr">
        <is>
          <t>蒋苏莉</t>
        </is>
      </c>
      <c r="F47" s="10" t="inlineStr"/>
      <c r="G47" s="10" t="inlineStr"/>
      <c r="H47" s="10" t="inlineStr">
        <is>
          <t>启用</t>
        </is>
      </c>
      <c r="I47" s="6" t="inlineStr"/>
      <c r="J47" s="6" t="inlineStr">
        <is>
          <t>订单若不备注芯厚，默认是总厚且基板厚度&lt;0.8需要进行芯总厚转换</t>
        </is>
      </c>
      <c r="K47" s="6" t="inlineStr">
        <is>
          <t>H/H =J/J(15um出货)；1/1=f/f(30um出货)</t>
        </is>
      </c>
      <c r="L47" s="6" t="inlineStr">
        <is>
          <t>1888=74.3；2091=82.3；2192=86.3；
1880=74；2082=82；2184=86；940=37；1041=41；1092=43 
948=37.3；1049=41.3；1100=43.3</t>
        </is>
      </c>
      <c r="M47" s="6" t="inlineStr"/>
      <c r="N47" s="6" t="inlineStr"/>
      <c r="O47" s="6" t="inlineStr">
        <is>
          <t>NY2140&amp;0.8mm以上&amp;1oz以下=F1</t>
        </is>
      </c>
      <c r="P47" s="6" t="inlineStr"/>
      <c r="Q47" s="6" t="inlineStr"/>
      <c r="R47" s="6" t="inlineStr"/>
      <c r="S47" s="6" t="inlineStr"/>
      <c r="T47" s="6" t="inlineStr"/>
      <c r="U47" s="11" t="inlineStr"/>
      <c r="V47" s="12" t="inlineStr"/>
      <c r="W47" s="12" t="inlineStr"/>
      <c r="X47" s="12" t="n">
        <v>48</v>
      </c>
      <c r="Y47" s="12" t="inlineStr">
        <is>
          <t>CSR-BIZ-20260724-V1</t>
        </is>
      </c>
    </row>
    <row r="48">
      <c r="A48" s="10" t="inlineStr">
        <is>
          <t>无变化</t>
        </is>
      </c>
      <c r="B48" s="10" t="inlineStr">
        <is>
          <t>103683</t>
        </is>
      </c>
      <c r="C48" s="10" t="inlineStr">
        <is>
          <t>鹤山中富</t>
        </is>
      </c>
      <c r="D48" s="10" t="inlineStr">
        <is>
          <t>耿挺</t>
        </is>
      </c>
      <c r="E48" s="10" t="inlineStr">
        <is>
          <t>蒋苏莉</t>
        </is>
      </c>
      <c r="F48" s="10" t="inlineStr"/>
      <c r="G48" s="10" t="inlineStr"/>
      <c r="H48" s="10" t="inlineStr">
        <is>
          <t>启用</t>
        </is>
      </c>
      <c r="I48" s="6" t="inlineStr">
        <is>
          <t>当胶系=NY2150H时=2W</t>
        </is>
      </c>
      <c r="J48" s="6" t="inlineStr"/>
      <c r="K48" s="6" t="inlineStr"/>
      <c r="L48" s="6" t="inlineStr"/>
      <c r="M48" s="6" t="inlineStr"/>
      <c r="N48" s="6" t="inlineStr"/>
      <c r="O48" s="6" t="inlineStr">
        <is>
          <t>当订单中客户规格没有Q时=AP</t>
        </is>
      </c>
      <c r="P48" s="6" t="inlineStr"/>
      <c r="Q48" s="6" t="inlineStr"/>
      <c r="R48" s="6" t="inlineStr"/>
      <c r="S48" s="6" t="inlineStr"/>
      <c r="T48" s="6" t="inlineStr"/>
      <c r="U48" s="11" t="inlineStr"/>
      <c r="V48" s="12" t="inlineStr"/>
      <c r="W48" s="12" t="inlineStr"/>
      <c r="X48" s="12" t="n">
        <v>49</v>
      </c>
      <c r="Y48" s="12" t="inlineStr">
        <is>
          <t>CSR-BIZ-20260724-V1</t>
        </is>
      </c>
    </row>
    <row r="49">
      <c r="A49" s="10" t="inlineStr">
        <is>
          <t>无变化</t>
        </is>
      </c>
      <c r="B49" s="10" t="inlineStr">
        <is>
          <t>103067</t>
        </is>
      </c>
      <c r="C49" s="10" t="inlineStr">
        <is>
          <t>深圳中富</t>
        </is>
      </c>
      <c r="D49" s="10" t="inlineStr">
        <is>
          <t>耿挺</t>
        </is>
      </c>
      <c r="E49" s="10" t="inlineStr">
        <is>
          <t>蒋苏莉</t>
        </is>
      </c>
      <c r="F49" s="10" t="inlineStr"/>
      <c r="G49" s="10" t="inlineStr"/>
      <c r="H49" s="10" t="inlineStr">
        <is>
          <t>启用</t>
        </is>
      </c>
      <c r="I49" s="6" t="inlineStr">
        <is>
          <t>当胶系=NY2150H时=2W</t>
        </is>
      </c>
      <c r="J49" s="6" t="inlineStr"/>
      <c r="K49" s="6" t="inlineStr"/>
      <c r="L49" s="6" t="inlineStr"/>
      <c r="M49" s="6" t="inlineStr"/>
      <c r="N49" s="6" t="inlineStr"/>
      <c r="O49" s="6" t="inlineStr">
        <is>
          <t>当订单中客户规格没有Q时=AP</t>
        </is>
      </c>
      <c r="P49" s="6" t="inlineStr"/>
      <c r="Q49" s="6" t="inlineStr"/>
      <c r="R49" s="6" t="inlineStr"/>
      <c r="S49" s="6" t="inlineStr"/>
      <c r="T49" s="6" t="inlineStr"/>
      <c r="U49" s="11" t="inlineStr"/>
      <c r="V49" s="12" t="inlineStr"/>
      <c r="W49" s="12" t="inlineStr"/>
      <c r="X49" s="12" t="n">
        <v>50</v>
      </c>
      <c r="Y49" s="12" t="inlineStr">
        <is>
          <t>CSR-BIZ-20260724-V1</t>
        </is>
      </c>
    </row>
    <row r="50">
      <c r="A50" s="10" t="inlineStr">
        <is>
          <t>无变化</t>
        </is>
      </c>
      <c r="B50" s="10" t="inlineStr">
        <is>
          <t>123041</t>
        </is>
      </c>
      <c r="C50" s="10" t="inlineStr">
        <is>
          <t>江西荣晖</t>
        </is>
      </c>
      <c r="D50" s="10" t="inlineStr">
        <is>
          <t>耿挺</t>
        </is>
      </c>
      <c r="E50" s="10" t="inlineStr">
        <is>
          <t>蒋苏莉</t>
        </is>
      </c>
      <c r="F50" s="10" t="inlineStr"/>
      <c r="G50" s="10" t="inlineStr"/>
      <c r="H50" s="10" t="inlineStr">
        <is>
          <t>无CCL规则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11" t="inlineStr"/>
      <c r="V50" s="12" t="inlineStr">
        <is>
          <t>NY2140 板厚0.8及以上，1oz铜箔以下下F1料号</t>
        </is>
      </c>
      <c r="W50" s="12" t="inlineStr"/>
      <c r="X50" s="12" t="n">
        <v>51</v>
      </c>
      <c r="Y50" s="12" t="inlineStr">
        <is>
          <t>CSR-BIZ-20260724-V1</t>
        </is>
      </c>
    </row>
    <row r="51">
      <c r="A51" s="10" t="inlineStr">
        <is>
          <t>无变化</t>
        </is>
      </c>
      <c r="B51" s="10" t="inlineStr">
        <is>
          <t>204104</t>
        </is>
      </c>
      <c r="C51" s="10" t="inlineStr">
        <is>
          <t>波兰WM</t>
        </is>
      </c>
      <c r="D51" s="10" t="inlineStr">
        <is>
          <t>胡云超</t>
        </is>
      </c>
      <c r="E51" s="10" t="inlineStr">
        <is>
          <t>应鑫宁</t>
        </is>
      </c>
      <c r="F51" s="10" t="inlineStr"/>
      <c r="G51" s="10" t="inlineStr"/>
      <c r="H51" s="10" t="inlineStr">
        <is>
          <t>无CCL规则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11" t="inlineStr"/>
      <c r="V51" s="12" t="inlineStr"/>
      <c r="W51" s="12" t="inlineStr"/>
      <c r="X51" s="12" t="n">
        <v>52</v>
      </c>
      <c r="Y51" s="12" t="inlineStr">
        <is>
          <t>CSR-BIZ-20260724-V1</t>
        </is>
      </c>
    </row>
    <row r="52">
      <c r="A52" s="10" t="inlineStr">
        <is>
          <t>无变化</t>
        </is>
      </c>
      <c r="B52" s="10" t="inlineStr">
        <is>
          <t>204029</t>
        </is>
      </c>
      <c r="C52" s="10" t="inlineStr">
        <is>
          <t>德国HJ</t>
        </is>
      </c>
      <c r="D52" s="10" t="inlineStr">
        <is>
          <t>胡云超</t>
        </is>
      </c>
      <c r="E52" s="10" t="inlineStr">
        <is>
          <t>应鑫宁</t>
        </is>
      </c>
      <c r="F52" s="10" t="inlineStr"/>
      <c r="G52" s="10" t="inlineStr"/>
      <c r="H52" s="10" t="inlineStr">
        <is>
          <t>无CCL规则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11" t="inlineStr"/>
      <c r="V52" s="12" t="inlineStr"/>
      <c r="W52" s="12" t="inlineStr"/>
      <c r="X52" s="12" t="n">
        <v>53</v>
      </c>
      <c r="Y52" s="12" t="inlineStr">
        <is>
          <t>CSR-BIZ-20260724-V1</t>
        </is>
      </c>
    </row>
    <row r="53">
      <c r="A53" s="10" t="inlineStr">
        <is>
          <t>无变化</t>
        </is>
      </c>
      <c r="B53" s="10" t="inlineStr">
        <is>
          <t>103603</t>
        </is>
      </c>
      <c r="C53" s="10" t="inlineStr">
        <is>
          <t>广州名幸</t>
        </is>
      </c>
      <c r="D53" s="10" t="inlineStr">
        <is>
          <t>胡云超</t>
        </is>
      </c>
      <c r="E53" s="10" t="inlineStr">
        <is>
          <t>应鑫宁</t>
        </is>
      </c>
      <c r="F53" s="10" t="inlineStr"/>
      <c r="G53" s="10" t="inlineStr"/>
      <c r="H53" s="10" t="inlineStr">
        <is>
          <t>无CCL规则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11" t="inlineStr"/>
      <c r="V53" s="12" t="inlineStr"/>
      <c r="W53" s="12" t="inlineStr"/>
      <c r="X53" s="12" t="n">
        <v>54</v>
      </c>
      <c r="Y53" s="12" t="inlineStr">
        <is>
          <t>CSR-BIZ-20260724-V1</t>
        </is>
      </c>
    </row>
    <row r="54">
      <c r="A54" s="10" t="inlineStr">
        <is>
          <t>无变化</t>
        </is>
      </c>
      <c r="B54" s="10" t="inlineStr">
        <is>
          <t>207213</t>
        </is>
      </c>
      <c r="C54" s="10" t="inlineStr">
        <is>
          <t>韩国AP</t>
        </is>
      </c>
      <c r="D54" s="10" t="inlineStr">
        <is>
          <t>胡云超</t>
        </is>
      </c>
      <c r="E54" s="10" t="inlineStr">
        <is>
          <t>应鑫宁</t>
        </is>
      </c>
      <c r="F54" s="10" t="inlineStr"/>
      <c r="G54" s="10" t="inlineStr"/>
      <c r="H54" s="10" t="inlineStr">
        <is>
          <t>无CCL规则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11" t="inlineStr"/>
      <c r="V54" s="12" t="inlineStr"/>
      <c r="W54" s="12" t="inlineStr"/>
      <c r="X54" s="12" t="n">
        <v>55</v>
      </c>
      <c r="Y54" s="12" t="inlineStr">
        <is>
          <t>CSR-BIZ-20260724-V1</t>
        </is>
      </c>
    </row>
    <row r="55">
      <c r="A55" s="10" t="inlineStr">
        <is>
          <t>无变化</t>
        </is>
      </c>
      <c r="B55" s="10" t="inlineStr">
        <is>
          <t>207063</t>
        </is>
      </c>
      <c r="C55" s="10" t="inlineStr">
        <is>
          <t>韩国CR</t>
        </is>
      </c>
      <c r="D55" s="10" t="inlineStr">
        <is>
          <t>胡云超</t>
        </is>
      </c>
      <c r="E55" s="10" t="inlineStr">
        <is>
          <t>应鑫宁</t>
        </is>
      </c>
      <c r="F55" s="10" t="inlineStr"/>
      <c r="G55" s="10" t="inlineStr"/>
      <c r="H55" s="10" t="inlineStr">
        <is>
          <t>无CCL规则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11" t="inlineStr"/>
      <c r="V55" s="12" t="inlineStr"/>
      <c r="W55" s="12" t="inlineStr"/>
      <c r="X55" s="12" t="n">
        <v>56</v>
      </c>
      <c r="Y55" s="12" t="inlineStr">
        <is>
          <t>CSR-BIZ-20260724-V1</t>
        </is>
      </c>
    </row>
    <row r="56">
      <c r="A56" s="10" t="inlineStr">
        <is>
          <t>无变化</t>
        </is>
      </c>
      <c r="B56" s="10" t="inlineStr">
        <is>
          <t>207211</t>
        </is>
      </c>
      <c r="C56" s="10" t="inlineStr">
        <is>
          <t>韩国DA</t>
        </is>
      </c>
      <c r="D56" s="10" t="inlineStr">
        <is>
          <t>胡云超</t>
        </is>
      </c>
      <c r="E56" s="10" t="inlineStr">
        <is>
          <t>应鑫宁</t>
        </is>
      </c>
      <c r="F56" s="10" t="inlineStr"/>
      <c r="G56" s="10" t="inlineStr"/>
      <c r="H56" s="10" t="inlineStr">
        <is>
          <t>无CCL规则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11" t="inlineStr"/>
      <c r="V56" s="12" t="inlineStr"/>
      <c r="W56" s="12" t="inlineStr"/>
      <c r="X56" s="12" t="n">
        <v>57</v>
      </c>
      <c r="Y56" s="12" t="inlineStr">
        <is>
          <t>CSR-BIZ-20260724-V1</t>
        </is>
      </c>
    </row>
    <row r="57">
      <c r="A57" s="10" t="inlineStr">
        <is>
          <t>无变化</t>
        </is>
      </c>
      <c r="B57" s="10" t="inlineStr">
        <is>
          <t>257076</t>
        </is>
      </c>
      <c r="C57" s="10" t="inlineStr">
        <is>
          <t>韩国HW</t>
        </is>
      </c>
      <c r="D57" s="10" t="inlineStr">
        <is>
          <t>胡云超</t>
        </is>
      </c>
      <c r="E57" s="10" t="inlineStr">
        <is>
          <t>应鑫宁</t>
        </is>
      </c>
      <c r="F57" s="10" t="inlineStr"/>
      <c r="G57" s="10" t="inlineStr"/>
      <c r="H57" s="10" t="inlineStr">
        <is>
          <t>无CCL规则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11" t="inlineStr"/>
      <c r="V57" s="12" t="inlineStr"/>
      <c r="W57" s="12" t="inlineStr">
        <is>
          <t>所有物料下汽车板料号  基板需要倒角R5，表面刻字型号，厚度，铜箔，裁切边需光滑   PP需要裁切边需光滑</t>
        </is>
      </c>
      <c r="X57" s="12" t="n">
        <v>58</v>
      </c>
      <c r="Y57" s="12" t="inlineStr">
        <is>
          <t>CSR-BIZ-20260724-V1</t>
        </is>
      </c>
    </row>
    <row r="58">
      <c r="A58" s="10" t="inlineStr">
        <is>
          <t>无变化</t>
        </is>
      </c>
      <c r="B58" s="10" t="inlineStr">
        <is>
          <t>207222</t>
        </is>
      </c>
      <c r="C58" s="10" t="inlineStr">
        <is>
          <t>韩国大德</t>
        </is>
      </c>
      <c r="D58" s="10" t="inlineStr">
        <is>
          <t>胡云超</t>
        </is>
      </c>
      <c r="E58" s="10" t="inlineStr">
        <is>
          <t>应鑫宁</t>
        </is>
      </c>
      <c r="F58" s="10" t="inlineStr"/>
      <c r="G58" s="10" t="inlineStr"/>
      <c r="H58" s="10" t="inlineStr">
        <is>
          <t>无CCL规则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11" t="inlineStr"/>
      <c r="V58" s="12" t="inlineStr"/>
      <c r="W58" s="12" t="inlineStr"/>
      <c r="X58" s="12" t="n">
        <v>59</v>
      </c>
      <c r="Y58" s="12" t="inlineStr">
        <is>
          <t>CSR-BIZ-20260724-V1</t>
        </is>
      </c>
    </row>
    <row r="59">
      <c r="A59" s="10" t="inlineStr">
        <is>
          <t>无变化</t>
        </is>
      </c>
      <c r="B59" s="10" t="inlineStr">
        <is>
          <t>201005</t>
        </is>
      </c>
      <c r="C59" s="10" t="inlineStr">
        <is>
          <t>加宏CA</t>
        </is>
      </c>
      <c r="D59" s="10" t="inlineStr">
        <is>
          <t>胡云超</t>
        </is>
      </c>
      <c r="E59" s="10" t="inlineStr">
        <is>
          <t>应鑫宁</t>
        </is>
      </c>
      <c r="F59" s="10" t="inlineStr"/>
      <c r="G59" s="10" t="inlineStr"/>
      <c r="H59" s="10" t="inlineStr">
        <is>
          <t>无CCL规则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11" t="inlineStr"/>
      <c r="V59" s="12" t="inlineStr"/>
      <c r="W59" s="12" t="inlineStr">
        <is>
          <t>全部默认有水印</t>
        </is>
      </c>
      <c r="X59" s="12" t="n">
        <v>60</v>
      </c>
      <c r="Y59" s="12" t="inlineStr">
        <is>
          <t>CSR-BIZ-20260724-V1</t>
        </is>
      </c>
    </row>
    <row r="60">
      <c r="A60" s="10" t="inlineStr">
        <is>
          <t>无变化</t>
        </is>
      </c>
      <c r="B60" s="10" t="inlineStr">
        <is>
          <t>205016</t>
        </is>
      </c>
      <c r="C60" s="10" t="inlineStr">
        <is>
          <t>加拿大S</t>
        </is>
      </c>
      <c r="D60" s="10" t="inlineStr">
        <is>
          <t>胡云超</t>
        </is>
      </c>
      <c r="E60" s="10" t="inlineStr">
        <is>
          <t>应鑫宁</t>
        </is>
      </c>
      <c r="F60" s="10" t="inlineStr"/>
      <c r="G60" s="10" t="inlineStr"/>
      <c r="H60" s="10" t="inlineStr">
        <is>
          <t>无CCL规则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11" t="inlineStr"/>
      <c r="V60" s="12" t="inlineStr"/>
      <c r="W60" s="12" t="inlineStr"/>
      <c r="X60" s="12" t="n">
        <v>61</v>
      </c>
      <c r="Y60" s="12" t="inlineStr">
        <is>
          <t>CSR-BIZ-20260724-V1</t>
        </is>
      </c>
    </row>
    <row r="61">
      <c r="A61" s="10" t="inlineStr">
        <is>
          <t>无变化</t>
        </is>
      </c>
      <c r="B61" s="10" t="inlineStr">
        <is>
          <t>203008</t>
        </is>
      </c>
      <c r="C61" s="10" t="inlineStr">
        <is>
          <t>南非TR</t>
        </is>
      </c>
      <c r="D61" s="10" t="inlineStr">
        <is>
          <t>胡云超</t>
        </is>
      </c>
      <c r="E61" s="10" t="inlineStr">
        <is>
          <t>应鑫宁</t>
        </is>
      </c>
      <c r="F61" s="10" t="inlineStr"/>
      <c r="G61" s="10" t="inlineStr"/>
      <c r="H61" s="10" t="inlineStr">
        <is>
          <t>无CCL规则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11" t="inlineStr"/>
      <c r="V61" s="12" t="inlineStr"/>
      <c r="W61" s="12" t="inlineStr"/>
      <c r="X61" s="12" t="n">
        <v>62</v>
      </c>
      <c r="Y61" s="12" t="inlineStr">
        <is>
          <t>CSR-BIZ-20260724-V1</t>
        </is>
      </c>
    </row>
    <row r="62">
      <c r="A62" s="10" t="inlineStr">
        <is>
          <t>无变化</t>
        </is>
      </c>
      <c r="B62" s="10" t="inlineStr">
        <is>
          <t>207119</t>
        </is>
      </c>
      <c r="C62" s="10" t="inlineStr">
        <is>
          <t>斯尼亚Z</t>
        </is>
      </c>
      <c r="D62" s="10" t="inlineStr">
        <is>
          <t>胡云超</t>
        </is>
      </c>
      <c r="E62" s="10" t="inlineStr">
        <is>
          <t>应鑫宁</t>
        </is>
      </c>
      <c r="F62" s="10" t="inlineStr"/>
      <c r="G62" s="10" t="inlineStr"/>
      <c r="H62" s="10" t="inlineStr">
        <is>
          <t>无CCL规则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11" t="inlineStr"/>
      <c r="V62" s="12" t="inlineStr"/>
      <c r="W62" s="12" t="inlineStr"/>
      <c r="X62" s="12" t="n">
        <v>63</v>
      </c>
      <c r="Y62" s="12" t="inlineStr">
        <is>
          <t>CSR-BIZ-20260724-V1</t>
        </is>
      </c>
    </row>
    <row r="63">
      <c r="A63" s="10" t="inlineStr">
        <is>
          <t>无变化</t>
        </is>
      </c>
      <c r="B63" s="10" t="inlineStr">
        <is>
          <t>204044</t>
        </is>
      </c>
      <c r="C63" s="10" t="inlineStr">
        <is>
          <t>西班牙G</t>
        </is>
      </c>
      <c r="D63" s="10" t="inlineStr">
        <is>
          <t>胡云超</t>
        </is>
      </c>
      <c r="E63" s="10" t="inlineStr">
        <is>
          <t>应鑫宁</t>
        </is>
      </c>
      <c r="F63" s="10" t="inlineStr"/>
      <c r="G63" s="10" t="inlineStr"/>
      <c r="H63" s="10" t="inlineStr">
        <is>
          <t>无CCL规则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11" t="inlineStr"/>
      <c r="V63" s="12" t="inlineStr"/>
      <c r="W63" s="12" t="inlineStr">
        <is>
          <t>有水印需要下"IGAV"</t>
        </is>
      </c>
      <c r="X63" s="12" t="n">
        <v>64</v>
      </c>
      <c r="Y63" s="12" t="inlineStr">
        <is>
          <t>CSR-BIZ-20260724-V1</t>
        </is>
      </c>
    </row>
    <row r="64">
      <c r="A64" s="10" t="inlineStr">
        <is>
          <t>无变化</t>
        </is>
      </c>
      <c r="B64" s="10" t="inlineStr">
        <is>
          <t>207172</t>
        </is>
      </c>
      <c r="C64" s="10" t="inlineStr">
        <is>
          <t>新加坡U</t>
        </is>
      </c>
      <c r="D64" s="10" t="inlineStr">
        <is>
          <t>胡云超</t>
        </is>
      </c>
      <c r="E64" s="10" t="inlineStr">
        <is>
          <t>应鑫宁</t>
        </is>
      </c>
      <c r="F64" s="10" t="inlineStr"/>
      <c r="G64" s="10" t="inlineStr"/>
      <c r="H64" s="10" t="inlineStr">
        <is>
          <t>无CCL规则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11" t="inlineStr"/>
      <c r="V64" s="12" t="inlineStr"/>
      <c r="W64" s="12" t="inlineStr"/>
      <c r="X64" s="12" t="n">
        <v>65</v>
      </c>
      <c r="Y64" s="12" t="inlineStr">
        <is>
          <t>CSR-BIZ-20260724-V1</t>
        </is>
      </c>
    </row>
    <row r="65">
      <c r="A65" s="10" t="inlineStr">
        <is>
          <t>无变化</t>
        </is>
      </c>
      <c r="B65" s="10" t="inlineStr">
        <is>
          <t>207225</t>
        </is>
      </c>
      <c r="C65" s="10" t="inlineStr">
        <is>
          <t>印度AG</t>
        </is>
      </c>
      <c r="D65" s="10" t="inlineStr">
        <is>
          <t>胡云超</t>
        </is>
      </c>
      <c r="E65" s="10" t="inlineStr">
        <is>
          <t>应鑫宁</t>
        </is>
      </c>
      <c r="F65" s="10" t="inlineStr"/>
      <c r="G65" s="10" t="inlineStr"/>
      <c r="H65" s="10" t="inlineStr">
        <is>
          <t>无CCL规则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11" t="inlineStr"/>
      <c r="V65" s="12" t="inlineStr"/>
      <c r="W65" s="12" t="inlineStr"/>
      <c r="X65" s="12" t="n">
        <v>66</v>
      </c>
      <c r="Y65" s="12" t="inlineStr">
        <is>
          <t>CSR-BIZ-20260724-V1</t>
        </is>
      </c>
    </row>
    <row r="66">
      <c r="A66" s="10" t="inlineStr">
        <is>
          <t>无变化</t>
        </is>
      </c>
      <c r="B66" s="10" t="inlineStr">
        <is>
          <t>207180</t>
        </is>
      </c>
      <c r="C66" s="10" t="inlineStr">
        <is>
          <t>印度AK</t>
        </is>
      </c>
      <c r="D66" s="10" t="inlineStr">
        <is>
          <t>胡云超</t>
        </is>
      </c>
      <c r="E66" s="10" t="inlineStr">
        <is>
          <t>应鑫宁</t>
        </is>
      </c>
      <c r="F66" s="10" t="inlineStr"/>
      <c r="G66" s="10" t="inlineStr"/>
      <c r="H66" s="10" t="inlineStr">
        <is>
          <t>无CCL规则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11" t="inlineStr"/>
      <c r="V66" s="12" t="inlineStr"/>
      <c r="W66" s="12" t="inlineStr"/>
      <c r="X66" s="12" t="n">
        <v>67</v>
      </c>
      <c r="Y66" s="12" t="inlineStr">
        <is>
          <t>CSR-BIZ-20260724-V1</t>
        </is>
      </c>
    </row>
    <row r="67">
      <c r="A67" s="10" t="inlineStr">
        <is>
          <t>无变化</t>
        </is>
      </c>
      <c r="B67" s="10" t="inlineStr">
        <is>
          <t>207017</t>
        </is>
      </c>
      <c r="C67" s="10" t="inlineStr">
        <is>
          <t>印度AN</t>
        </is>
      </c>
      <c r="D67" s="10" t="inlineStr">
        <is>
          <t>胡云超</t>
        </is>
      </c>
      <c r="E67" s="10" t="inlineStr">
        <is>
          <t>应鑫宁</t>
        </is>
      </c>
      <c r="F67" s="10" t="inlineStr"/>
      <c r="G67" s="10" t="inlineStr"/>
      <c r="H67" s="10" t="inlineStr">
        <is>
          <t>无CCL规则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11" t="inlineStr"/>
      <c r="V67" s="12" t="inlineStr"/>
      <c r="W67" s="12" t="inlineStr"/>
      <c r="X67" s="12" t="n">
        <v>68</v>
      </c>
      <c r="Y67" s="12" t="inlineStr">
        <is>
          <t>CSR-BIZ-20260724-V1</t>
        </is>
      </c>
    </row>
    <row r="68">
      <c r="A68" s="10" t="inlineStr">
        <is>
          <t>无变化</t>
        </is>
      </c>
      <c r="B68" s="10" t="inlineStr">
        <is>
          <t>207285</t>
        </is>
      </c>
      <c r="C68" s="10" t="inlineStr">
        <is>
          <t>印度AR</t>
        </is>
      </c>
      <c r="D68" s="10" t="inlineStr">
        <is>
          <t>胡云超</t>
        </is>
      </c>
      <c r="E68" s="10" t="inlineStr">
        <is>
          <t>应鑫宁</t>
        </is>
      </c>
      <c r="F68" s="10" t="inlineStr"/>
      <c r="G68" s="10" t="inlineStr"/>
      <c r="H68" s="10" t="inlineStr">
        <is>
          <t>无CCL规则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11" t="inlineStr"/>
      <c r="V68" s="12" t="inlineStr"/>
      <c r="W68" s="12" t="inlineStr"/>
      <c r="X68" s="12" t="n">
        <v>69</v>
      </c>
      <c r="Y68" s="12" t="inlineStr">
        <is>
          <t>CSR-BIZ-20260724-V1</t>
        </is>
      </c>
    </row>
    <row r="69">
      <c r="A69" s="10" t="inlineStr">
        <is>
          <t>无变化</t>
        </is>
      </c>
      <c r="B69" s="10" t="inlineStr">
        <is>
          <t>201017</t>
        </is>
      </c>
      <c r="C69" s="10" t="inlineStr">
        <is>
          <t>印度AT</t>
        </is>
      </c>
      <c r="D69" s="10" t="inlineStr">
        <is>
          <t>胡云超</t>
        </is>
      </c>
      <c r="E69" s="10" t="inlineStr">
        <is>
          <t>应鑫宁</t>
        </is>
      </c>
      <c r="F69" s="10" t="inlineStr"/>
      <c r="G69" s="10" t="inlineStr"/>
      <c r="H69" s="10" t="inlineStr">
        <is>
          <t>无CCL规则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11" t="inlineStr"/>
      <c r="V69" s="12" t="inlineStr"/>
      <c r="W69" s="12" t="inlineStr"/>
      <c r="X69" s="12" t="n">
        <v>70</v>
      </c>
      <c r="Y69" s="12" t="inlineStr">
        <is>
          <t>CSR-BIZ-20260724-V1</t>
        </is>
      </c>
    </row>
    <row r="70">
      <c r="A70" s="10" t="inlineStr">
        <is>
          <t>无变化</t>
        </is>
      </c>
      <c r="B70" s="10" t="inlineStr">
        <is>
          <t>207051</t>
        </is>
      </c>
      <c r="C70" s="10" t="inlineStr">
        <is>
          <t>印度BL</t>
        </is>
      </c>
      <c r="D70" s="10" t="inlineStr">
        <is>
          <t>胡云超</t>
        </is>
      </c>
      <c r="E70" s="10" t="inlineStr">
        <is>
          <t>应鑫宁</t>
        </is>
      </c>
      <c r="F70" s="10" t="inlineStr"/>
      <c r="G70" s="10" t="inlineStr"/>
      <c r="H70" s="10" t="inlineStr">
        <is>
          <t>无CCL规则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11" t="inlineStr"/>
      <c r="V70" s="12" t="inlineStr"/>
      <c r="W70" s="12" t="inlineStr"/>
      <c r="X70" s="12" t="n">
        <v>71</v>
      </c>
      <c r="Y70" s="12" t="inlineStr">
        <is>
          <t>CSR-BIZ-20260724-V1</t>
        </is>
      </c>
    </row>
    <row r="71">
      <c r="A71" s="10" t="inlineStr">
        <is>
          <t>无变化</t>
        </is>
      </c>
      <c r="B71" s="10" t="inlineStr">
        <is>
          <t>207016</t>
        </is>
      </c>
      <c r="C71" s="10" t="inlineStr">
        <is>
          <t>印度BP</t>
        </is>
      </c>
      <c r="D71" s="10" t="inlineStr">
        <is>
          <t>胡云超</t>
        </is>
      </c>
      <c r="E71" s="10" t="inlineStr">
        <is>
          <t>应鑫宁</t>
        </is>
      </c>
      <c r="F71" s="10" t="inlineStr"/>
      <c r="G71" s="10" t="inlineStr"/>
      <c r="H71" s="10" t="inlineStr">
        <is>
          <t>无CCL规则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11" t="inlineStr"/>
      <c r="V71" s="12" t="inlineStr"/>
      <c r="W71" s="12" t="inlineStr"/>
      <c r="X71" s="12" t="n">
        <v>72</v>
      </c>
      <c r="Y71" s="12" t="inlineStr">
        <is>
          <t>CSR-BIZ-20260724-V1</t>
        </is>
      </c>
    </row>
    <row r="72">
      <c r="A72" s="10" t="inlineStr">
        <is>
          <t>无变化</t>
        </is>
      </c>
      <c r="B72" s="10" t="inlineStr">
        <is>
          <t>207052</t>
        </is>
      </c>
      <c r="C72" s="10" t="inlineStr">
        <is>
          <t>印度CO</t>
        </is>
      </c>
      <c r="D72" s="10" t="inlineStr">
        <is>
          <t>胡云超</t>
        </is>
      </c>
      <c r="E72" s="10" t="inlineStr">
        <is>
          <t>应鑫宁</t>
        </is>
      </c>
      <c r="F72" s="10" t="inlineStr"/>
      <c r="G72" s="10" t="inlineStr"/>
      <c r="H72" s="10" t="inlineStr">
        <is>
          <t>无CCL规则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11" t="inlineStr"/>
      <c r="V72" s="12" t="inlineStr"/>
      <c r="W72" s="12" t="inlineStr"/>
      <c r="X72" s="12" t="n">
        <v>73</v>
      </c>
      <c r="Y72" s="12" t="inlineStr">
        <is>
          <t>CSR-BIZ-20260724-V1</t>
        </is>
      </c>
    </row>
    <row r="73">
      <c r="A73" s="10" t="inlineStr">
        <is>
          <t>无变化</t>
        </is>
      </c>
      <c r="B73" s="10" t="inlineStr">
        <is>
          <t>207035</t>
        </is>
      </c>
      <c r="C73" s="10" t="inlineStr">
        <is>
          <t>印度CS</t>
        </is>
      </c>
      <c r="D73" s="10" t="inlineStr">
        <is>
          <t>胡云超</t>
        </is>
      </c>
      <c r="E73" s="10" t="inlineStr">
        <is>
          <t>应鑫宁</t>
        </is>
      </c>
      <c r="F73" s="10" t="inlineStr"/>
      <c r="G73" s="10" t="inlineStr"/>
      <c r="H73" s="10" t="inlineStr">
        <is>
          <t>无CCL规则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11" t="inlineStr"/>
      <c r="V73" s="12" t="inlineStr"/>
      <c r="W73" s="12" t="inlineStr"/>
      <c r="X73" s="12" t="n">
        <v>74</v>
      </c>
      <c r="Y73" s="12" t="inlineStr">
        <is>
          <t>CSR-BIZ-20260724-V1</t>
        </is>
      </c>
    </row>
    <row r="74">
      <c r="A74" s="10" t="inlineStr">
        <is>
          <t>无变化</t>
        </is>
      </c>
      <c r="B74" s="10" t="inlineStr">
        <is>
          <t>207185</t>
        </is>
      </c>
      <c r="C74" s="10" t="inlineStr">
        <is>
          <t>印度DK</t>
        </is>
      </c>
      <c r="D74" s="10" t="inlineStr">
        <is>
          <t>胡云超</t>
        </is>
      </c>
      <c r="E74" s="10" t="inlineStr">
        <is>
          <t>应鑫宁</t>
        </is>
      </c>
      <c r="F74" s="10" t="inlineStr"/>
      <c r="G74" s="10" t="inlineStr"/>
      <c r="H74" s="10" t="inlineStr">
        <is>
          <t>无CCL规则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11" t="inlineStr"/>
      <c r="V74" s="12" t="inlineStr"/>
      <c r="W74" s="12" t="inlineStr"/>
      <c r="X74" s="12" t="n">
        <v>75</v>
      </c>
      <c r="Y74" s="12" t="inlineStr">
        <is>
          <t>CSR-BIZ-20260724-V1</t>
        </is>
      </c>
    </row>
    <row r="75">
      <c r="A75" s="10" t="inlineStr">
        <is>
          <t>无变化</t>
        </is>
      </c>
      <c r="B75" s="10" t="inlineStr">
        <is>
          <t>257027</t>
        </is>
      </c>
      <c r="C75" s="10" t="inlineStr">
        <is>
          <t>印度EP</t>
        </is>
      </c>
      <c r="D75" s="10" t="inlineStr">
        <is>
          <t>胡云超</t>
        </is>
      </c>
      <c r="E75" s="10" t="inlineStr">
        <is>
          <t>应鑫宁</t>
        </is>
      </c>
      <c r="F75" s="10" t="inlineStr"/>
      <c r="G75" s="10" t="inlineStr"/>
      <c r="H75" s="10" t="inlineStr">
        <is>
          <t>无CCL规则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11" t="inlineStr"/>
      <c r="V75" s="12" t="inlineStr"/>
      <c r="W75" s="12" t="inlineStr"/>
      <c r="X75" s="12" t="n">
        <v>76</v>
      </c>
      <c r="Y75" s="12" t="inlineStr">
        <is>
          <t>CSR-BIZ-20260724-V1</t>
        </is>
      </c>
    </row>
    <row r="76">
      <c r="A76" s="10" t="inlineStr">
        <is>
          <t>无变化</t>
        </is>
      </c>
      <c r="B76" s="10" t="inlineStr">
        <is>
          <t>205013</t>
        </is>
      </c>
      <c r="C76" s="10" t="inlineStr">
        <is>
          <t>印度FC</t>
        </is>
      </c>
      <c r="D76" s="10" t="inlineStr">
        <is>
          <t>胡云超</t>
        </is>
      </c>
      <c r="E76" s="10" t="inlineStr">
        <is>
          <t>应鑫宁</t>
        </is>
      </c>
      <c r="F76" s="10" t="inlineStr"/>
      <c r="G76" s="10" t="inlineStr"/>
      <c r="H76" s="10" t="inlineStr">
        <is>
          <t>无CCL规则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11" t="inlineStr"/>
      <c r="V76" s="12" t="inlineStr"/>
      <c r="W76" s="12" t="inlineStr"/>
      <c r="X76" s="12" t="n">
        <v>77</v>
      </c>
      <c r="Y76" s="12" t="inlineStr">
        <is>
          <t>CSR-BIZ-20260724-V1</t>
        </is>
      </c>
    </row>
    <row r="77">
      <c r="A77" s="10" t="inlineStr">
        <is>
          <t>无变化</t>
        </is>
      </c>
      <c r="B77" s="10" t="inlineStr">
        <is>
          <t>207256</t>
        </is>
      </c>
      <c r="C77" s="10" t="inlineStr">
        <is>
          <t>印度FH</t>
        </is>
      </c>
      <c r="D77" s="10" t="inlineStr">
        <is>
          <t>胡云超</t>
        </is>
      </c>
      <c r="E77" s="10" t="inlineStr">
        <is>
          <t>应鑫宁</t>
        </is>
      </c>
      <c r="F77" s="10" t="inlineStr"/>
      <c r="G77" s="10" t="inlineStr"/>
      <c r="H77" s="10" t="inlineStr">
        <is>
          <t>无CCL规则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11" t="inlineStr"/>
      <c r="V77" s="12" t="inlineStr"/>
      <c r="W77" s="12" t="inlineStr"/>
      <c r="X77" s="12" t="n">
        <v>78</v>
      </c>
      <c r="Y77" s="12" t="inlineStr">
        <is>
          <t>CSR-BIZ-20260724-V1</t>
        </is>
      </c>
    </row>
    <row r="78">
      <c r="A78" s="10" t="inlineStr">
        <is>
          <t>无变化</t>
        </is>
      </c>
      <c r="B78" s="10" t="inlineStr">
        <is>
          <t>207257</t>
        </is>
      </c>
      <c r="C78" s="10" t="inlineStr">
        <is>
          <t>印度IN</t>
        </is>
      </c>
      <c r="D78" s="10" t="inlineStr">
        <is>
          <t>胡云超</t>
        </is>
      </c>
      <c r="E78" s="10" t="inlineStr">
        <is>
          <t>应鑫宁</t>
        </is>
      </c>
      <c r="F78" s="10" t="inlineStr"/>
      <c r="G78" s="10" t="inlineStr"/>
      <c r="H78" s="10" t="inlineStr">
        <is>
          <t>无CCL规则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11" t="inlineStr"/>
      <c r="V78" s="12" t="inlineStr"/>
      <c r="W78" s="12" t="inlineStr"/>
      <c r="X78" s="12" t="n">
        <v>79</v>
      </c>
      <c r="Y78" s="12" t="inlineStr">
        <is>
          <t>CSR-BIZ-20260724-V1</t>
        </is>
      </c>
    </row>
    <row r="79">
      <c r="A79" s="10" t="inlineStr">
        <is>
          <t>无变化</t>
        </is>
      </c>
      <c r="B79" s="10" t="inlineStr">
        <is>
          <t>257056</t>
        </is>
      </c>
      <c r="C79" s="10" t="inlineStr">
        <is>
          <t>印度ITI</t>
        </is>
      </c>
      <c r="D79" s="10" t="inlineStr">
        <is>
          <t>胡云超</t>
        </is>
      </c>
      <c r="E79" s="10" t="inlineStr">
        <is>
          <t>应鑫宁</t>
        </is>
      </c>
      <c r="F79" s="10" t="inlineStr"/>
      <c r="G79" s="10" t="inlineStr"/>
      <c r="H79" s="10" t="inlineStr">
        <is>
          <t>无CCL规则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11" t="inlineStr"/>
      <c r="V79" s="12" t="inlineStr"/>
      <c r="W79" s="12" t="inlineStr"/>
      <c r="X79" s="12" t="n">
        <v>80</v>
      </c>
      <c r="Y79" s="12" t="inlineStr">
        <is>
          <t>CSR-BIZ-20260724-V1</t>
        </is>
      </c>
    </row>
    <row r="80">
      <c r="A80" s="10" t="inlineStr">
        <is>
          <t>无变化</t>
        </is>
      </c>
      <c r="B80" s="10" t="inlineStr">
        <is>
          <t>207055</t>
        </is>
      </c>
      <c r="C80" s="10" t="inlineStr">
        <is>
          <t>印度Me</t>
        </is>
      </c>
      <c r="D80" s="10" t="inlineStr">
        <is>
          <t>胡云超</t>
        </is>
      </c>
      <c r="E80" s="10" t="inlineStr">
        <is>
          <t>应鑫宁</t>
        </is>
      </c>
      <c r="F80" s="10" t="inlineStr"/>
      <c r="G80" s="10" t="inlineStr"/>
      <c r="H80" s="10" t="inlineStr">
        <is>
          <t>无CCL规则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11" t="inlineStr"/>
      <c r="V80" s="12" t="inlineStr"/>
      <c r="W80" s="12" t="inlineStr"/>
      <c r="X80" s="12" t="n">
        <v>81</v>
      </c>
      <c r="Y80" s="12" t="inlineStr">
        <is>
          <t>CSR-BIZ-20260724-V1</t>
        </is>
      </c>
    </row>
    <row r="81">
      <c r="A81" s="10" t="inlineStr">
        <is>
          <t>无变化</t>
        </is>
      </c>
      <c r="B81" s="10" t="inlineStr">
        <is>
          <t>207287</t>
        </is>
      </c>
      <c r="C81" s="10" t="inlineStr">
        <is>
          <t>印度MS</t>
        </is>
      </c>
      <c r="D81" s="10" t="inlineStr">
        <is>
          <t>胡云超</t>
        </is>
      </c>
      <c r="E81" s="10" t="inlineStr">
        <is>
          <t>应鑫宁</t>
        </is>
      </c>
      <c r="F81" s="10" t="inlineStr"/>
      <c r="G81" s="10" t="inlineStr"/>
      <c r="H81" s="10" t="inlineStr">
        <is>
          <t>无CCL规则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11" t="inlineStr"/>
      <c r="V81" s="12" t="inlineStr"/>
      <c r="W81" s="12" t="inlineStr"/>
      <c r="X81" s="12" t="n">
        <v>82</v>
      </c>
      <c r="Y81" s="12" t="inlineStr">
        <is>
          <t>CSR-BIZ-20260724-V1</t>
        </is>
      </c>
    </row>
    <row r="82">
      <c r="A82" s="10" t="inlineStr">
        <is>
          <t>无变化</t>
        </is>
      </c>
      <c r="B82" s="10" t="inlineStr">
        <is>
          <t>207120</t>
        </is>
      </c>
      <c r="C82" s="10" t="inlineStr">
        <is>
          <t>印度NS</t>
        </is>
      </c>
      <c r="D82" s="10" t="inlineStr">
        <is>
          <t>胡云超</t>
        </is>
      </c>
      <c r="E82" s="10" t="inlineStr">
        <is>
          <t>应鑫宁</t>
        </is>
      </c>
      <c r="F82" s="10" t="inlineStr"/>
      <c r="G82" s="10" t="inlineStr"/>
      <c r="H82" s="10" t="inlineStr">
        <is>
          <t>无CCL规则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11" t="inlineStr"/>
      <c r="V82" s="12" t="inlineStr"/>
      <c r="W82" s="12" t="inlineStr"/>
      <c r="X82" s="12" t="n">
        <v>83</v>
      </c>
      <c r="Y82" s="12" t="inlineStr">
        <is>
          <t>CSR-BIZ-20260724-V1</t>
        </is>
      </c>
    </row>
    <row r="83">
      <c r="A83" s="10" t="inlineStr">
        <is>
          <t>无变化</t>
        </is>
      </c>
      <c r="B83" s="10" t="inlineStr">
        <is>
          <t>207283</t>
        </is>
      </c>
      <c r="C83" s="10" t="inlineStr">
        <is>
          <t>印度NT</t>
        </is>
      </c>
      <c r="D83" s="10" t="inlineStr">
        <is>
          <t>胡云超</t>
        </is>
      </c>
      <c r="E83" s="10" t="inlineStr">
        <is>
          <t>应鑫宁</t>
        </is>
      </c>
      <c r="F83" s="10" t="inlineStr"/>
      <c r="G83" s="10" t="inlineStr"/>
      <c r="H83" s="10" t="inlineStr">
        <is>
          <t>无CCL规则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11" t="inlineStr"/>
      <c r="V83" s="12" t="inlineStr"/>
      <c r="W83" s="12" t="inlineStr"/>
      <c r="X83" s="12" t="n">
        <v>84</v>
      </c>
      <c r="Y83" s="12" t="inlineStr">
        <is>
          <t>CSR-BIZ-20260724-V1</t>
        </is>
      </c>
    </row>
    <row r="84">
      <c r="A84" s="10" t="inlineStr">
        <is>
          <t>无变化</t>
        </is>
      </c>
      <c r="B84" s="10" t="inlineStr">
        <is>
          <t>207186</t>
        </is>
      </c>
      <c r="C84" s="10" t="inlineStr">
        <is>
          <t>印度RA</t>
        </is>
      </c>
      <c r="D84" s="10" t="inlineStr">
        <is>
          <t>胡云超</t>
        </is>
      </c>
      <c r="E84" s="10" t="inlineStr">
        <is>
          <t>应鑫宁</t>
        </is>
      </c>
      <c r="F84" s="10" t="inlineStr"/>
      <c r="G84" s="10" t="inlineStr"/>
      <c r="H84" s="10" t="inlineStr">
        <is>
          <t>无CCL规则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11" t="inlineStr"/>
      <c r="V84" s="12" t="inlineStr"/>
      <c r="W84" s="12" t="inlineStr"/>
      <c r="X84" s="12" t="n">
        <v>85</v>
      </c>
      <c r="Y84" s="12" t="inlineStr">
        <is>
          <t>CSR-BIZ-20260724-V1</t>
        </is>
      </c>
    </row>
    <row r="85">
      <c r="A85" s="10" t="inlineStr">
        <is>
          <t>无变化</t>
        </is>
      </c>
      <c r="B85" s="10" t="inlineStr">
        <is>
          <t>257004</t>
        </is>
      </c>
      <c r="C85" s="10" t="inlineStr">
        <is>
          <t>印度RU</t>
        </is>
      </c>
      <c r="D85" s="10" t="inlineStr">
        <is>
          <t>胡云超</t>
        </is>
      </c>
      <c r="E85" s="10" t="inlineStr">
        <is>
          <t>应鑫宁</t>
        </is>
      </c>
      <c r="F85" s="10" t="inlineStr"/>
      <c r="G85" s="10" t="inlineStr"/>
      <c r="H85" s="10" t="inlineStr">
        <is>
          <t>无CCL规则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11" t="inlineStr"/>
      <c r="V85" s="12" t="inlineStr"/>
      <c r="W85" s="12" t="inlineStr"/>
      <c r="X85" s="12" t="n">
        <v>86</v>
      </c>
      <c r="Y85" s="12" t="inlineStr">
        <is>
          <t>CSR-BIZ-20260724-V1</t>
        </is>
      </c>
    </row>
    <row r="86">
      <c r="A86" s="10" t="inlineStr">
        <is>
          <t>无变化</t>
        </is>
      </c>
      <c r="B86" s="10" t="inlineStr">
        <is>
          <t>257045</t>
        </is>
      </c>
      <c r="C86" s="10" t="inlineStr">
        <is>
          <t>印度SE</t>
        </is>
      </c>
      <c r="D86" s="10" t="inlineStr">
        <is>
          <t>胡云超</t>
        </is>
      </c>
      <c r="E86" s="10" t="inlineStr">
        <is>
          <t>应鑫宁</t>
        </is>
      </c>
      <c r="F86" s="10" t="inlineStr"/>
      <c r="G86" s="10" t="inlineStr"/>
      <c r="H86" s="10" t="inlineStr">
        <is>
          <t>无CCL规则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11" t="inlineStr"/>
      <c r="V86" s="12" t="inlineStr"/>
      <c r="W86" s="12" t="inlineStr"/>
      <c r="X86" s="12" t="n">
        <v>87</v>
      </c>
      <c r="Y86" s="12" t="inlineStr">
        <is>
          <t>CSR-BIZ-20260724-V1</t>
        </is>
      </c>
    </row>
    <row r="87">
      <c r="A87" s="10" t="inlineStr">
        <is>
          <t>无变化</t>
        </is>
      </c>
      <c r="B87" s="10" t="inlineStr">
        <is>
          <t>207214</t>
        </is>
      </c>
      <c r="C87" s="10" t="inlineStr">
        <is>
          <t>印度SI</t>
        </is>
      </c>
      <c r="D87" s="10" t="inlineStr">
        <is>
          <t>胡云超</t>
        </is>
      </c>
      <c r="E87" s="10" t="inlineStr">
        <is>
          <t>应鑫宁</t>
        </is>
      </c>
      <c r="F87" s="10" t="inlineStr"/>
      <c r="G87" s="10" t="inlineStr"/>
      <c r="H87" s="10" t="inlineStr">
        <is>
          <t>无CCL规则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11" t="inlineStr"/>
      <c r="V87" s="12" t="inlineStr"/>
      <c r="W87" s="12" t="inlineStr"/>
      <c r="X87" s="12" t="n">
        <v>88</v>
      </c>
      <c r="Y87" s="12" t="inlineStr">
        <is>
          <t>CSR-BIZ-20260724-V1</t>
        </is>
      </c>
    </row>
    <row r="88">
      <c r="A88" s="10" t="inlineStr">
        <is>
          <t>无变化</t>
        </is>
      </c>
      <c r="B88" s="10" t="inlineStr">
        <is>
          <t>203010</t>
        </is>
      </c>
      <c r="C88" s="10" t="inlineStr">
        <is>
          <t>印度SS</t>
        </is>
      </c>
      <c r="D88" s="10" t="inlineStr">
        <is>
          <t>胡云超</t>
        </is>
      </c>
      <c r="E88" s="10" t="inlineStr">
        <is>
          <t>应鑫宁</t>
        </is>
      </c>
      <c r="F88" s="10" t="inlineStr"/>
      <c r="G88" s="10" t="inlineStr"/>
      <c r="H88" s="10" t="inlineStr">
        <is>
          <t>无CCL规则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11" t="inlineStr"/>
      <c r="V88" s="12" t="inlineStr"/>
      <c r="W88" s="12" t="inlineStr"/>
      <c r="X88" s="12" t="n">
        <v>89</v>
      </c>
      <c r="Y88" s="12" t="inlineStr">
        <is>
          <t>CSR-BIZ-20260724-V1</t>
        </is>
      </c>
    </row>
    <row r="89">
      <c r="A89" s="10" t="inlineStr">
        <is>
          <t>无变化</t>
        </is>
      </c>
      <c r="B89" s="10" t="inlineStr">
        <is>
          <t>257054</t>
        </is>
      </c>
      <c r="C89" s="10" t="inlineStr">
        <is>
          <t>越Neo</t>
        </is>
      </c>
      <c r="D89" s="10" t="inlineStr">
        <is>
          <t>胡云超</t>
        </is>
      </c>
      <c r="E89" s="10" t="inlineStr">
        <is>
          <t>应鑫宁</t>
        </is>
      </c>
      <c r="F89" s="10" t="inlineStr"/>
      <c r="G89" s="10" t="inlineStr"/>
      <c r="H89" s="10" t="inlineStr">
        <is>
          <t>无CCL规则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11" t="inlineStr"/>
      <c r="V89" s="12" t="inlineStr"/>
      <c r="W89" s="12" t="inlineStr"/>
      <c r="X89" s="12" t="n">
        <v>90</v>
      </c>
      <c r="Y89" s="12" t="inlineStr">
        <is>
          <t>CSR-BIZ-20260724-V1</t>
        </is>
      </c>
    </row>
    <row r="90">
      <c r="A90" s="10" t="inlineStr">
        <is>
          <t>无变化</t>
        </is>
      </c>
      <c r="B90" s="10" t="inlineStr">
        <is>
          <t>257093</t>
        </is>
      </c>
      <c r="C90" s="10" t="inlineStr">
        <is>
          <t>越南HW</t>
        </is>
      </c>
      <c r="D90" s="10" t="inlineStr">
        <is>
          <t>胡云超</t>
        </is>
      </c>
      <c r="E90" s="10" t="inlineStr">
        <is>
          <t>应鑫宁</t>
        </is>
      </c>
      <c r="F90" s="10" t="inlineStr"/>
      <c r="G90" s="10" t="inlineStr"/>
      <c r="H90" s="10" t="inlineStr">
        <is>
          <t>无CCL规则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11" t="inlineStr"/>
      <c r="V90" s="12" t="inlineStr"/>
      <c r="W90" s="12" t="inlineStr">
        <is>
          <t>所有物料下汽车板料号  基板需要倒角R5，表面刻字型号，厚度，铜箔，裁切边需光滑   PP需要裁切边需光滑</t>
        </is>
      </c>
      <c r="X90" s="12" t="n">
        <v>91</v>
      </c>
      <c r="Y90" s="12" t="inlineStr">
        <is>
          <t>CSR-BIZ-20260724-V1</t>
        </is>
      </c>
    </row>
    <row r="91">
      <c r="A91" s="10" t="inlineStr">
        <is>
          <t>无变化</t>
        </is>
      </c>
      <c r="B91" s="10" t="inlineStr">
        <is>
          <t>257066</t>
        </is>
      </c>
      <c r="C91" s="10" t="inlineStr">
        <is>
          <t>韩Bluetop</t>
        </is>
      </c>
      <c r="D91" s="10" t="inlineStr">
        <is>
          <t>胡云超</t>
        </is>
      </c>
      <c r="E91" s="10" t="inlineStr">
        <is>
          <t>应鑫宁</t>
        </is>
      </c>
      <c r="F91" s="10" t="inlineStr"/>
      <c r="G91" s="10" t="inlineStr"/>
      <c r="H91" s="10" t="inlineStr">
        <is>
          <t>无CCL规则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11" t="inlineStr"/>
      <c r="V91" s="12" t="inlineStr"/>
      <c r="W91" s="12" t="inlineStr">
        <is>
          <t>2B-7628-RC43%厂内订单按RC44%下单 客户特殊要求备注：“标签、报告等按RC43%列印”</t>
        </is>
      </c>
      <c r="X91" s="12" t="n">
        <v>92</v>
      </c>
      <c r="Y91" s="12" t="inlineStr">
        <is>
          <t>CSR-BIZ-20260724-V1</t>
        </is>
      </c>
    </row>
    <row r="92">
      <c r="A92" s="10" t="inlineStr">
        <is>
          <t>无变化</t>
        </is>
      </c>
      <c r="B92" s="10" t="inlineStr">
        <is>
          <t>257064</t>
        </is>
      </c>
      <c r="C92" s="10" t="inlineStr">
        <is>
          <t>韩PCL</t>
        </is>
      </c>
      <c r="D92" s="10" t="inlineStr">
        <is>
          <t>胡云超</t>
        </is>
      </c>
      <c r="E92" s="10" t="inlineStr">
        <is>
          <t>应鑫宁</t>
        </is>
      </c>
      <c r="F92" s="10" t="inlineStr"/>
      <c r="G92" s="10" t="inlineStr"/>
      <c r="H92" s="10" t="inlineStr">
        <is>
          <t>无CCL规则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11" t="inlineStr"/>
      <c r="V92" s="12" t="inlineStr"/>
      <c r="W92" s="12" t="inlineStr"/>
      <c r="X92" s="12" t="n">
        <v>93</v>
      </c>
      <c r="Y92" s="12" t="inlineStr">
        <is>
          <t>CSR-BIZ-20260724-V1</t>
        </is>
      </c>
    </row>
    <row r="93">
      <c r="A93" s="10" t="inlineStr">
        <is>
          <t>无变化</t>
        </is>
      </c>
      <c r="B93" s="10" t="inlineStr">
        <is>
          <t>257089</t>
        </is>
      </c>
      <c r="C93" s="10" t="inlineStr">
        <is>
          <t>突尼斯FUBA</t>
        </is>
      </c>
      <c r="D93" s="10" t="inlineStr">
        <is>
          <t>胡云超</t>
        </is>
      </c>
      <c r="E93" s="10" t="inlineStr">
        <is>
          <t>应鑫宁</t>
        </is>
      </c>
      <c r="F93" s="10" t="inlineStr"/>
      <c r="G93" s="10" t="inlineStr"/>
      <c r="H93" s="10" t="inlineStr">
        <is>
          <t>无CCL规则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11" t="inlineStr"/>
      <c r="V93" s="12" t="inlineStr"/>
      <c r="W93" s="12" t="inlineStr">
        <is>
          <t>不同厚度不可以拼托 一托只能有一个批号</t>
        </is>
      </c>
      <c r="X93" s="12" t="n">
        <v>94</v>
      </c>
      <c r="Y93" s="12" t="inlineStr">
        <is>
          <t>CSR-BIZ-20260724-V1</t>
        </is>
      </c>
    </row>
    <row r="94">
      <c r="A94" s="10" t="inlineStr">
        <is>
          <t>无变化</t>
        </is>
      </c>
      <c r="B94" s="10" t="inlineStr">
        <is>
          <t>104447</t>
        </is>
      </c>
      <c r="C94" s="10" t="inlineStr">
        <is>
          <t>苏安捷利</t>
        </is>
      </c>
      <c r="D94" s="10" t="inlineStr">
        <is>
          <t>黄磊</t>
        </is>
      </c>
      <c r="E94" s="10" t="inlineStr">
        <is>
          <t>应鑫宁</t>
        </is>
      </c>
      <c r="F94" s="10" t="inlineStr"/>
      <c r="G94" s="10" t="inlineStr"/>
      <c r="H94" s="10" t="inlineStr">
        <is>
          <t>无CCL规则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11" t="inlineStr"/>
      <c r="V94" s="12" t="inlineStr"/>
      <c r="W94" s="12" t="inlineStr">
        <is>
          <t>1.1 “苏州二厂&amp; 客户要求统一使用木栈板 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t>
        </is>
      </c>
      <c r="X94" s="12" t="n">
        <v>95</v>
      </c>
      <c r="Y94" s="12" t="inlineStr">
        <is>
          <t>CSR-BIZ-20260724-V1</t>
        </is>
      </c>
    </row>
    <row r="95">
      <c r="A95" s="10" t="inlineStr">
        <is>
          <t>无变化</t>
        </is>
      </c>
      <c r="B95" s="10" t="inlineStr">
        <is>
          <t>102010</t>
        </is>
      </c>
      <c r="C95" s="10" t="inlineStr">
        <is>
          <t>北京兴斐</t>
        </is>
      </c>
      <c r="D95" s="10" t="inlineStr">
        <is>
          <t>黄磊</t>
        </is>
      </c>
      <c r="E95" s="10" t="inlineStr">
        <is>
          <t>应鑫宁</t>
        </is>
      </c>
      <c r="F95" s="10" t="inlineStr"/>
      <c r="G95" s="10" t="inlineStr"/>
      <c r="H95" s="10" t="inlineStr">
        <is>
          <t>无CCL规则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11" t="inlineStr"/>
      <c r="V95" s="12" t="inlineStr"/>
      <c r="W95" s="12" t="inlineStr">
        <is>
          <t>下单特殊要求需备注：公差±1mm，倒角R3 板面：平滑无毛刺、无褶皱、无翘板、无铜屑异物、划伤长度＜5cm 端面及四角：边缘平滑无毛刺、无拉丝</t>
        </is>
      </c>
      <c r="X95" s="12" t="n">
        <v>96</v>
      </c>
      <c r="Y95" s="12" t="inlineStr">
        <is>
          <t>CSR-BIZ-20260724-V1</t>
        </is>
      </c>
    </row>
    <row r="96">
      <c r="A96" s="10" t="inlineStr">
        <is>
          <t>无变化</t>
        </is>
      </c>
      <c r="B96" s="10" t="inlineStr">
        <is>
          <t>101135</t>
        </is>
      </c>
      <c r="C96" s="10" t="inlineStr">
        <is>
          <t>美维科技</t>
        </is>
      </c>
      <c r="D96" s="10" t="inlineStr">
        <is>
          <t>黄磊</t>
        </is>
      </c>
      <c r="E96" s="10" t="inlineStr">
        <is>
          <t>应鑫宁</t>
        </is>
      </c>
      <c r="F96" s="10" t="inlineStr"/>
      <c r="G96" s="10" t="inlineStr"/>
      <c r="H96" s="10" t="inlineStr">
        <is>
          <t>无CCL规则</t>
        </is>
      </c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11" t="inlineStr"/>
      <c r="V96" s="12" t="inlineStr"/>
      <c r="W96" s="12" t="inlineStr"/>
      <c r="X96" s="12" t="n">
        <v>97</v>
      </c>
      <c r="Y96" s="12" t="inlineStr">
        <is>
          <t>CSR-BIZ-20260724-V1</t>
        </is>
      </c>
    </row>
    <row r="97">
      <c r="A97" s="10" t="inlineStr">
        <is>
          <t>无变化</t>
        </is>
      </c>
      <c r="B97" s="10" t="inlineStr">
        <is>
          <t>104441</t>
        </is>
      </c>
      <c r="C97" s="10" t="inlineStr">
        <is>
          <t>南京芯爱</t>
        </is>
      </c>
      <c r="D97" s="10" t="inlineStr">
        <is>
          <t>黄磊</t>
        </is>
      </c>
      <c r="E97" s="10" t="inlineStr">
        <is>
          <t>应鑫宁</t>
        </is>
      </c>
      <c r="F97" s="10" t="inlineStr"/>
      <c r="G97" s="10" t="inlineStr"/>
      <c r="H97" s="10" t="inlineStr">
        <is>
          <t>无CCL规则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11" t="inlineStr"/>
      <c r="V97" s="12" t="inlineStr"/>
      <c r="W97" s="12" t="inlineStr">
        <is>
          <t>客户特殊要求栏CCL备注：倒角R5  板厚公差和基材品质均为A级板品质（根据客户订单要求）3.94*3.94的一般订单不会要求倒角</t>
        </is>
      </c>
      <c r="X97" s="12" t="n">
        <v>98</v>
      </c>
      <c r="Y97" s="12" t="inlineStr">
        <is>
          <t>CSR-BIZ-20260724-V1</t>
        </is>
      </c>
    </row>
    <row r="98">
      <c r="A98" s="10" t="inlineStr">
        <is>
          <t>无变化</t>
        </is>
      </c>
      <c r="B98" s="10" t="inlineStr">
        <is>
          <t>102010</t>
        </is>
      </c>
      <c r="C98" s="10" t="inlineStr">
        <is>
          <t>京揖斐电</t>
        </is>
      </c>
      <c r="D98" s="10" t="inlineStr">
        <is>
          <t>黄磊</t>
        </is>
      </c>
      <c r="E98" s="10" t="inlineStr">
        <is>
          <t>应鑫宁</t>
        </is>
      </c>
      <c r="F98" s="10" t="inlineStr"/>
      <c r="G98" s="10" t="inlineStr"/>
      <c r="H98" s="10" t="inlineStr">
        <is>
          <t>无CCL规则</t>
        </is>
      </c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11" t="inlineStr"/>
      <c r="V98" s="12" t="inlineStr"/>
      <c r="W98" s="12" t="inlineStr">
        <is>
          <t>公差±1mm，倒角R3 板面：平滑无毛刺、无褶皱、无翘板、无铜屑异物、划伤长度＜5cm 端面及四角：边缘平滑无毛刺、无拉丝</t>
        </is>
      </c>
      <c r="X98" s="12" t="n">
        <v>99</v>
      </c>
      <c r="Y98" s="12" t="inlineStr">
        <is>
          <t>CSR-BIZ-20260724-V1</t>
        </is>
      </c>
    </row>
    <row r="99">
      <c r="A99" s="10" t="inlineStr">
        <is>
          <t>无变化</t>
        </is>
      </c>
      <c r="B99" s="10" t="inlineStr">
        <is>
          <t>123043</t>
        </is>
      </c>
      <c r="C99" s="10" t="inlineStr">
        <is>
          <t>吉安生益</t>
        </is>
      </c>
      <c r="D99" s="10" t="inlineStr">
        <is>
          <t>赖国</t>
        </is>
      </c>
      <c r="E99" s="10" t="inlineStr">
        <is>
          <t>王婷</t>
        </is>
      </c>
      <c r="F99" s="10" t="inlineStr"/>
      <c r="G99" s="10" t="inlineStr"/>
      <c r="H99" s="10" t="inlineStr">
        <is>
          <t>启用</t>
        </is>
      </c>
      <c r="I99" s="6" t="inlineStr"/>
      <c r="J99" s="6" t="inlineStr"/>
      <c r="K99" s="6" t="inlineStr"/>
      <c r="L99" s="6" t="inlineStr"/>
      <c r="M99" s="6" t="inlineStr"/>
      <c r="N99" s="6" t="inlineStr">
        <is>
          <t>HS1-M2-VSP=HVLP1,HS2-M2-VSP=HVLP2</t>
        </is>
      </c>
      <c r="O99" s="6" t="inlineStr">
        <is>
          <t>当客户规格描述有“AT板”字样时=AC</t>
        </is>
      </c>
      <c r="P99" s="6" t="inlineStr"/>
      <c r="Q99" s="6" t="inlineStr"/>
      <c r="R99" s="6" t="inlineStr"/>
      <c r="S99" s="6" t="inlineStr"/>
      <c r="T99" s="6" t="inlineStr"/>
      <c r="U99" s="11" t="inlineStr"/>
      <c r="V99" s="12" t="inlineStr">
        <is>
          <t>订单未备注铜箔，默认HTE</t>
        </is>
      </c>
      <c r="W99" s="12" t="inlineStr"/>
      <c r="X99" s="12" t="n">
        <v>100</v>
      </c>
      <c r="Y99" s="12" t="inlineStr">
        <is>
          <t>CSR-BIZ-20260724-V1</t>
        </is>
      </c>
    </row>
    <row r="100">
      <c r="A100" s="10" t="inlineStr">
        <is>
          <t>无变化</t>
        </is>
      </c>
      <c r="B100" s="10" t="inlineStr">
        <is>
          <t>103738</t>
        </is>
      </c>
      <c r="C100" s="10" t="inlineStr">
        <is>
          <t>生益电子</t>
        </is>
      </c>
      <c r="D100" s="10" t="inlineStr">
        <is>
          <t>赖国</t>
        </is>
      </c>
      <c r="E100" s="10" t="inlineStr">
        <is>
          <t>王婷</t>
        </is>
      </c>
      <c r="F100" s="10" t="inlineStr"/>
      <c r="G100" s="10" t="inlineStr"/>
      <c r="H100" s="10" t="inlineStr">
        <is>
          <t>启用</t>
        </is>
      </c>
      <c r="I100" s="6" t="inlineStr">
        <is>
          <t>NY2150=AS</t>
        </is>
      </c>
      <c r="J100" s="6" t="inlineStr"/>
      <c r="K100" s="6" t="inlineStr"/>
      <c r="L100" s="6" t="inlineStr"/>
      <c r="M100" s="6" t="inlineStr"/>
      <c r="N100" s="6" t="inlineStr">
        <is>
          <t>HS1-M2-VSP=HVLP1,HS2-M2-VSP=HVLP2</t>
        </is>
      </c>
      <c r="O100" s="6" t="inlineStr">
        <is>
          <t>当客户规格描述有“AT板”字样时=AC</t>
        </is>
      </c>
      <c r="P100" s="6" t="inlineStr"/>
      <c r="Q100" s="6" t="inlineStr"/>
      <c r="R100" s="6" t="inlineStr"/>
      <c r="S100" s="6" t="inlineStr"/>
      <c r="T100" s="6" t="inlineStr"/>
      <c r="U100" s="11" t="inlineStr"/>
      <c r="V100" s="12" t="inlineStr">
        <is>
          <t>订单未备注铜箔，默认HTE</t>
        </is>
      </c>
      <c r="W100" s="12" t="inlineStr"/>
      <c r="X100" s="12" t="n">
        <v>101</v>
      </c>
      <c r="Y100" s="12" t="inlineStr">
        <is>
          <t>CSR-BIZ-20260724-V1</t>
        </is>
      </c>
    </row>
    <row r="101">
      <c r="A101" s="10" t="inlineStr">
        <is>
          <t>无变化</t>
        </is>
      </c>
      <c r="B101" s="10" t="inlineStr">
        <is>
          <t>103312</t>
        </is>
      </c>
      <c r="C101" s="10" t="inlineStr">
        <is>
          <t>深万基隆</t>
        </is>
      </c>
      <c r="D101" s="10" t="inlineStr">
        <is>
          <t>刘丽华</t>
        </is>
      </c>
      <c r="E101" s="10" t="inlineStr">
        <is>
          <t>蒋苏莉</t>
        </is>
      </c>
      <c r="F101" s="10" t="inlineStr"/>
      <c r="G101" s="10" t="inlineStr"/>
      <c r="H101" s="10" t="inlineStr">
        <is>
          <t>启用</t>
        </is>
      </c>
      <c r="I101" s="6" t="inlineStr"/>
      <c r="J101" s="6" t="inlineStr">
        <is>
          <t>订单若不备注芯厚，默认是总厚且基板厚度&lt;0.8需要进行芯总厚转换</t>
        </is>
      </c>
      <c r="K101" s="6" t="inlineStr">
        <is>
          <t>H/H =J/J(15um出货)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11" t="inlineStr"/>
      <c r="V101" s="12" t="inlineStr">
        <is>
          <t>NY2140 板厚0.8及以上，1oz铜箔以下下F1料号</t>
        </is>
      </c>
      <c r="W101" s="12" t="inlineStr"/>
      <c r="X101" s="12" t="n">
        <v>102</v>
      </c>
      <c r="Y101" s="12" t="inlineStr">
        <is>
          <t>CSR-BIZ-20260724-V1</t>
        </is>
      </c>
    </row>
    <row r="102">
      <c r="A102" s="10" t="inlineStr">
        <is>
          <t>无变化</t>
        </is>
      </c>
      <c r="B102" s="10" t="inlineStr">
        <is>
          <t>103317</t>
        </is>
      </c>
      <c r="C102" s="10" t="inlineStr">
        <is>
          <t>惠威尔高</t>
        </is>
      </c>
      <c r="D102" s="10" t="inlineStr">
        <is>
          <t>刘丽华</t>
        </is>
      </c>
      <c r="E102" s="10" t="inlineStr">
        <is>
          <t>蒋苏莉</t>
        </is>
      </c>
      <c r="F102" s="10" t="inlineStr"/>
      <c r="G102" s="10" t="inlineStr"/>
      <c r="H102" s="10" t="inlineStr">
        <is>
          <t>无CCL规则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11" t="inlineStr"/>
      <c r="V102" s="12" t="inlineStr">
        <is>
          <t>NY2140 板厚0.8及以上，1oz铜箔以下下F1料号</t>
        </is>
      </c>
      <c r="W102" s="12" t="inlineStr"/>
      <c r="X102" s="12" t="n">
        <v>103</v>
      </c>
      <c r="Y102" s="12" t="inlineStr">
        <is>
          <t>CSR-BIZ-20260724-V1</t>
        </is>
      </c>
    </row>
    <row r="103">
      <c r="A103" s="10" t="inlineStr">
        <is>
          <t>无变化</t>
        </is>
      </c>
      <c r="B103" s="10" t="inlineStr">
        <is>
          <t>123036</t>
        </is>
      </c>
      <c r="C103" s="10" t="inlineStr">
        <is>
          <t>江威尔高</t>
        </is>
      </c>
      <c r="D103" s="10" t="inlineStr">
        <is>
          <t>刘丽华</t>
        </is>
      </c>
      <c r="E103" s="10" t="inlineStr">
        <is>
          <t>蒋苏莉</t>
        </is>
      </c>
      <c r="F103" s="10" t="inlineStr"/>
      <c r="G103" s="10" t="inlineStr"/>
      <c r="H103" s="10" t="inlineStr">
        <is>
          <t>无CCL规则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11" t="inlineStr"/>
      <c r="V103" s="12" t="inlineStr">
        <is>
          <t>NY2140 板厚0.8及以上，1oz铜箔以下下F1料号</t>
        </is>
      </c>
      <c r="W103" s="12" t="inlineStr"/>
      <c r="X103" s="12" t="n">
        <v>104</v>
      </c>
      <c r="Y103" s="12" t="inlineStr">
        <is>
          <t>CSR-BIZ-20260724-V1</t>
        </is>
      </c>
    </row>
    <row r="104">
      <c r="A104" s="10" t="inlineStr">
        <is>
          <t>无变化</t>
        </is>
      </c>
      <c r="B104" s="10" t="inlineStr">
        <is>
          <t>123037</t>
        </is>
      </c>
      <c r="C104" s="10" t="inlineStr">
        <is>
          <t>江西弘高</t>
        </is>
      </c>
      <c r="D104" s="10" t="inlineStr">
        <is>
          <t>刘丽华</t>
        </is>
      </c>
      <c r="E104" s="10" t="inlineStr">
        <is>
          <t>蒋苏莉</t>
        </is>
      </c>
      <c r="F104" s="10" t="inlineStr"/>
      <c r="G104" s="10" t="inlineStr"/>
      <c r="H104" s="10" t="inlineStr">
        <is>
          <t>启用</t>
        </is>
      </c>
      <c r="I104" s="6" t="inlineStr">
        <is>
          <t>当胶系=NY3150HF时，全部按HDI AD料号</t>
        </is>
      </c>
      <c r="J104" s="6" t="inlineStr"/>
      <c r="K104" s="6" t="inlineStr"/>
      <c r="L104" s="6" t="inlineStr"/>
      <c r="M104" s="6" t="inlineStr"/>
      <c r="N104" s="6" t="inlineStr"/>
      <c r="O104" s="6" t="inlineStr">
        <is>
          <t>当胶系=NY3150HF时=AD</t>
        </is>
      </c>
      <c r="P104" s="6" t="inlineStr"/>
      <c r="Q104" s="6" t="inlineStr"/>
      <c r="R104" s="6" t="inlineStr"/>
      <c r="S104" s="6" t="inlineStr"/>
      <c r="T104" s="6" t="inlineStr"/>
      <c r="U104" s="11" t="inlineStr"/>
      <c r="V104" s="12" t="inlineStr">
        <is>
          <t>NY2140 板厚0.8及以上，1oz铜箔以下下F1料号</t>
        </is>
      </c>
      <c r="W104" s="12" t="inlineStr"/>
      <c r="X104" s="12" t="n">
        <v>105</v>
      </c>
      <c r="Y104" s="12" t="inlineStr">
        <is>
          <t>CSR-BIZ-20260724-V1</t>
        </is>
      </c>
    </row>
    <row r="105">
      <c r="A105" s="10" t="inlineStr">
        <is>
          <t>无变化</t>
        </is>
      </c>
      <c r="B105" s="10" t="inlineStr">
        <is>
          <t>193037</t>
        </is>
      </c>
      <c r="C105" s="10" t="inlineStr">
        <is>
          <t>合通建业</t>
        </is>
      </c>
      <c r="D105" s="10" t="inlineStr">
        <is>
          <t>刘丽华</t>
        </is>
      </c>
      <c r="E105" s="10" t="inlineStr">
        <is>
          <t>蒋苏莉</t>
        </is>
      </c>
      <c r="F105" s="10" t="inlineStr"/>
      <c r="G105" s="10" t="inlineStr"/>
      <c r="H105" s="10" t="inlineStr">
        <is>
          <t>无CCL规则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11" t="inlineStr"/>
      <c r="V105" s="12" t="inlineStr">
        <is>
          <t>NY2140 板厚0.8及以上，1oz铜箔以下下F1料号</t>
        </is>
      </c>
      <c r="W105" s="12" t="inlineStr"/>
      <c r="X105" s="12" t="n">
        <v>106</v>
      </c>
      <c r="Y105" s="12" t="inlineStr">
        <is>
          <t>CSR-BIZ-20260724-V1</t>
        </is>
      </c>
    </row>
    <row r="106">
      <c r="A106" s="10" t="inlineStr">
        <is>
          <t>无变化</t>
        </is>
      </c>
      <c r="B106" s="10" t="inlineStr">
        <is>
          <t>123014</t>
        </is>
      </c>
      <c r="C106" s="10" t="inlineStr">
        <is>
          <t>江西联益</t>
        </is>
      </c>
      <c r="D106" s="10" t="inlineStr">
        <is>
          <t>刘丽华</t>
        </is>
      </c>
      <c r="E106" s="10" t="inlineStr">
        <is>
          <t>蒋苏莉</t>
        </is>
      </c>
      <c r="F106" s="10" t="inlineStr"/>
      <c r="G106" s="10" t="inlineStr"/>
      <c r="H106" s="10" t="inlineStr">
        <is>
          <t>启用</t>
        </is>
      </c>
      <c r="I106" s="6" t="inlineStr">
        <is>
          <t>当胶系=NY2150时，全部按汽车板料号；当胶系=NY2170时，全部按汽车板料号；当胶系=NY2140且厚度＜0.8mm时，全部按汽车板料号</t>
        </is>
      </c>
      <c r="J106" s="6" t="inlineStr"/>
      <c r="K106" s="6" t="inlineStr"/>
      <c r="L106" s="6" t="inlineStr"/>
      <c r="M106" s="6" t="inlineStr"/>
      <c r="N106" s="6" t="inlineStr"/>
      <c r="O106" s="6" t="inlineStr">
        <is>
          <t>当胶系=NY2150或NY2170时=AC；当胶系=NY2140且厚度＜0.8mm时=AC</t>
        </is>
      </c>
      <c r="P106" s="6" t="inlineStr"/>
      <c r="Q106" s="6" t="inlineStr"/>
      <c r="R106" s="6" t="inlineStr"/>
      <c r="S106" s="6" t="inlineStr"/>
      <c r="T106" s="6" t="inlineStr"/>
      <c r="U106" s="11" t="inlineStr"/>
      <c r="V106" s="12" t="inlineStr">
        <is>
          <t>NY2140 板厚0.8及以上，1oz铜箔以下下F1料号</t>
        </is>
      </c>
      <c r="W106" s="12" t="inlineStr"/>
      <c r="X106" s="12" t="n">
        <v>107</v>
      </c>
      <c r="Y106" s="12" t="inlineStr">
        <is>
          <t>CSR-BIZ-20260724-V1</t>
        </is>
      </c>
    </row>
    <row r="107">
      <c r="A107" s="10" t="inlineStr">
        <is>
          <t>无变化</t>
        </is>
      </c>
      <c r="B107" s="10" t="inlineStr">
        <is>
          <t>103868</t>
        </is>
      </c>
      <c r="C107" s="10" t="inlineStr">
        <is>
          <t>崇达HDI厂</t>
        </is>
      </c>
      <c r="D107" s="10" t="inlineStr">
        <is>
          <t>韩稳权</t>
        </is>
      </c>
      <c r="E107" s="10" t="inlineStr">
        <is>
          <t>欧阳昭婷</t>
        </is>
      </c>
      <c r="F107" s="10" t="inlineStr"/>
      <c r="G107" s="10" t="inlineStr"/>
      <c r="H107" s="10" t="inlineStr">
        <is>
          <t>启用</t>
        </is>
      </c>
      <c r="I107" s="6" t="inlineStr">
        <is>
          <t>当胶系=NY3150HF时，全部按AH HDI料号；当胶系=NY3150HC时，全部按汽车板料号，当胶系=NY-A1时，全部按汽车板料号</t>
        </is>
      </c>
      <c r="J107" s="6" t="inlineStr"/>
      <c r="K107" s="6" t="inlineStr"/>
      <c r="L107" s="6" t="inlineStr"/>
      <c r="M107" s="6" t="inlineStr"/>
      <c r="N107" s="6" t="inlineStr"/>
      <c r="O107" s="6" t="inlineStr">
        <is>
          <t>当胶系=NY3150HF时=AD，当胶系=NHY3150HC或NY-A1时=AC</t>
        </is>
      </c>
      <c r="P107" s="6" t="inlineStr"/>
      <c r="Q107" s="6" t="inlineStr"/>
      <c r="R107" s="6" t="inlineStr"/>
      <c r="S107" s="6" t="inlineStr"/>
      <c r="T107" s="6" t="inlineStr"/>
      <c r="U107" s="11" t="inlineStr"/>
      <c r="V107" s="12" t="inlineStr"/>
      <c r="W107" s="12" t="inlineStr">
        <is>
          <t>按芯厚下单的规格151里客户厚度需维护总厚厚度</t>
        </is>
      </c>
      <c r="X107" s="12" t="n">
        <v>108</v>
      </c>
      <c r="Y107" s="12" t="inlineStr">
        <is>
          <t>CSR-BIZ-20260724-V1</t>
        </is>
      </c>
    </row>
    <row r="108">
      <c r="A108" s="10" t="inlineStr">
        <is>
          <t>无变化</t>
        </is>
      </c>
      <c r="B108" s="10" t="inlineStr">
        <is>
          <t>103769</t>
        </is>
      </c>
      <c r="C108" s="10" t="inlineStr">
        <is>
          <t>崇达一厂</t>
        </is>
      </c>
      <c r="D108" s="10" t="inlineStr">
        <is>
          <t>韩稳权</t>
        </is>
      </c>
      <c r="E108" s="10" t="inlineStr">
        <is>
          <t>欧阳昭婷</t>
        </is>
      </c>
      <c r="F108" s="10" t="inlineStr"/>
      <c r="G108" s="10" t="inlineStr"/>
      <c r="H108" s="10" t="inlineStr">
        <is>
          <t>启用</t>
        </is>
      </c>
      <c r="I108" s="6" t="inlineStr">
        <is>
          <t>当胶系=NY3150HF时，全部按AH HDI料号；当胶系=NY3150HC时，全部按汽车板料号，当胶系=NY-A1时，全部按汽车板料号</t>
        </is>
      </c>
      <c r="J108" s="6" t="inlineStr"/>
      <c r="K108" s="6" t="inlineStr"/>
      <c r="L108" s="6" t="inlineStr"/>
      <c r="M108" s="6" t="inlineStr"/>
      <c r="N108" s="6" t="inlineStr"/>
      <c r="O108" s="6" t="inlineStr">
        <is>
          <t>当胶系=NY3150HF时=AD，当胶系=NHY3150HC或NY-A1时=AC</t>
        </is>
      </c>
      <c r="P108" s="6" t="inlineStr"/>
      <c r="Q108" s="6" t="inlineStr"/>
      <c r="R108" s="6" t="inlineStr"/>
      <c r="S108" s="6" t="inlineStr"/>
      <c r="T108" s="6" t="inlineStr"/>
      <c r="U108" s="11" t="inlineStr"/>
      <c r="V108" s="12" t="inlineStr"/>
      <c r="W108" s="12" t="inlineStr">
        <is>
          <t>按芯厚下单的规格151里客户厚度需维护总厚厚度</t>
        </is>
      </c>
      <c r="X108" s="12" t="n">
        <v>109</v>
      </c>
      <c r="Y108" s="12" t="inlineStr">
        <is>
          <t>CSR-BIZ-20260724-V1</t>
        </is>
      </c>
    </row>
    <row r="109">
      <c r="A109" s="10" t="inlineStr">
        <is>
          <t>无变化</t>
        </is>
      </c>
      <c r="B109" s="10" t="inlineStr">
        <is>
          <t>103770</t>
        </is>
      </c>
      <c r="C109" s="10" t="inlineStr">
        <is>
          <t>深圳崇达</t>
        </is>
      </c>
      <c r="D109" s="10" t="inlineStr">
        <is>
          <t>韩稳权</t>
        </is>
      </c>
      <c r="E109" s="10" t="inlineStr">
        <is>
          <t>欧阳昭婷</t>
        </is>
      </c>
      <c r="F109" s="10" t="inlineStr"/>
      <c r="G109" s="10" t="inlineStr"/>
      <c r="H109" s="10" t="inlineStr">
        <is>
          <t>启用</t>
        </is>
      </c>
      <c r="I109" s="6" t="inlineStr">
        <is>
          <t>当胶系=NY3150HF时，全部按AH HDI料号；当胶系=NY3150HC时，全部按汽车板料号，当胶系=NY-A1时，全部按汽车板料号</t>
        </is>
      </c>
      <c r="J109" s="6" t="inlineStr"/>
      <c r="K109" s="6" t="inlineStr"/>
      <c r="L109" s="6" t="inlineStr"/>
      <c r="M109" s="6" t="inlineStr"/>
      <c r="N109" s="6" t="inlineStr"/>
      <c r="O109" s="6" t="inlineStr">
        <is>
          <t>当胶系=NY3150HF时=AD，当胶系=NHY3150HC或NY-A1时=AC</t>
        </is>
      </c>
      <c r="P109" s="6" t="inlineStr"/>
      <c r="Q109" s="6" t="inlineStr"/>
      <c r="R109" s="6" t="inlineStr"/>
      <c r="S109" s="6" t="inlineStr"/>
      <c r="T109" s="6" t="inlineStr"/>
      <c r="U109" s="11" t="inlineStr"/>
      <c r="V109" s="12" t="inlineStr"/>
      <c r="W109" s="12" t="inlineStr">
        <is>
          <t>按芯厚下单的规格151里客户厚度需维护总厚厚度</t>
        </is>
      </c>
      <c r="X109" s="12" t="n">
        <v>110</v>
      </c>
      <c r="Y109" s="12" t="inlineStr">
        <is>
          <t>CSR-BIZ-20260724-V1</t>
        </is>
      </c>
    </row>
    <row r="110">
      <c r="A110" s="10" t="inlineStr">
        <is>
          <t>无变化</t>
        </is>
      </c>
      <c r="B110" s="10" t="inlineStr">
        <is>
          <t>103894</t>
        </is>
      </c>
      <c r="C110" s="10" t="inlineStr">
        <is>
          <t>珠海崇达</t>
        </is>
      </c>
      <c r="D110" s="10" t="inlineStr">
        <is>
          <t>韩稳权</t>
        </is>
      </c>
      <c r="E110" s="10" t="inlineStr">
        <is>
          <t>欧阳昭婷</t>
        </is>
      </c>
      <c r="F110" s="10" t="inlineStr"/>
      <c r="G110" s="10" t="inlineStr"/>
      <c r="H110" s="10" t="inlineStr">
        <is>
          <t>启用</t>
        </is>
      </c>
      <c r="I110" s="6" t="inlineStr">
        <is>
          <t>当胶系=NY3150HF时，全部按AH HDI料号；当胶系=NY3150HC时，全部按汽车板料号，当胶系=NY-A1时，全部按汽车板料号</t>
        </is>
      </c>
      <c r="J110" s="6" t="inlineStr"/>
      <c r="K110" s="6" t="inlineStr"/>
      <c r="L110" s="6" t="inlineStr"/>
      <c r="M110" s="6" t="inlineStr"/>
      <c r="N110" s="6" t="inlineStr"/>
      <c r="O110" s="6" t="inlineStr">
        <is>
          <t>当胶系=NY3150HF时=AD，当胶系=NHY3150HC或NY-A1时=AC</t>
        </is>
      </c>
      <c r="P110" s="6" t="inlineStr"/>
      <c r="Q110" s="6" t="inlineStr"/>
      <c r="R110" s="6" t="inlineStr"/>
      <c r="S110" s="6" t="inlineStr"/>
      <c r="T110" s="6" t="inlineStr"/>
      <c r="U110" s="11" t="inlineStr"/>
      <c r="V110" s="12" t="inlineStr"/>
      <c r="W110" s="12" t="inlineStr">
        <is>
          <t>按芯厚下单的规格151里客户厚度需维护总厚厚度</t>
        </is>
      </c>
      <c r="X110" s="12" t="n">
        <v>111</v>
      </c>
      <c r="Y110" s="12" t="inlineStr">
        <is>
          <t>CSR-BIZ-20260724-V1</t>
        </is>
      </c>
    </row>
    <row r="111">
      <c r="A111" s="10" t="inlineStr">
        <is>
          <t>无变化</t>
        </is>
      </c>
      <c r="B111" s="10" t="inlineStr">
        <is>
          <t>107008</t>
        </is>
      </c>
      <c r="C111" s="10" t="inlineStr">
        <is>
          <t>金州崇达</t>
        </is>
      </c>
      <c r="D111" s="10" t="inlineStr">
        <is>
          <t>韩稳权</t>
        </is>
      </c>
      <c r="E111" s="10" t="inlineStr">
        <is>
          <t>欧阳昭婷</t>
        </is>
      </c>
      <c r="F111" s="10" t="inlineStr"/>
      <c r="G111" s="10" t="inlineStr"/>
      <c r="H111" s="10" t="inlineStr">
        <is>
          <t>启用</t>
        </is>
      </c>
      <c r="I111" s="6" t="inlineStr">
        <is>
          <t>当胶系=NY3150HF时，全部按AH HDI料号；当胶系=NY-A1时，全部按汽车板料号</t>
        </is>
      </c>
      <c r="J111" s="6" t="inlineStr"/>
      <c r="K111" s="6" t="inlineStr"/>
      <c r="L111" s="6" t="inlineStr"/>
      <c r="M111" s="6" t="inlineStr"/>
      <c r="N111" s="6" t="inlineStr"/>
      <c r="O111" s="6" t="inlineStr">
        <is>
          <t>当胶系=NY3150HF时=AD，当胶系=NY-A1时=AC</t>
        </is>
      </c>
      <c r="P111" s="6" t="inlineStr"/>
      <c r="Q111" s="6" t="inlineStr"/>
      <c r="R111" s="6" t="inlineStr"/>
      <c r="S111" s="6" t="inlineStr"/>
      <c r="T111" s="6" t="inlineStr"/>
      <c r="U111" s="11" t="inlineStr"/>
      <c r="V111" s="12" t="inlineStr"/>
      <c r="W111" s="12" t="inlineStr">
        <is>
          <t>按芯厚下单的规格151里客户厚度需维护总厚厚度</t>
        </is>
      </c>
      <c r="X111" s="12" t="n">
        <v>112</v>
      </c>
      <c r="Y111" s="12" t="inlineStr">
        <is>
          <t>CSR-BIZ-20260724-V1</t>
        </is>
      </c>
    </row>
    <row r="112">
      <c r="A112" s="10" t="inlineStr">
        <is>
          <t>无变化</t>
        </is>
      </c>
      <c r="B112" s="10" t="inlineStr">
        <is>
          <t>103901</t>
        </is>
      </c>
      <c r="C112" s="10" t="inlineStr">
        <is>
          <t>广东依顿</t>
        </is>
      </c>
      <c r="D112" s="10" t="inlineStr">
        <is>
          <t>亓连杰</t>
        </is>
      </c>
      <c r="E112" s="10" t="inlineStr">
        <is>
          <t>徐世莹</t>
        </is>
      </c>
      <c r="F112" s="10" t="inlineStr">
        <is>
          <t>CGR-YIDUN</t>
        </is>
      </c>
      <c r="G112" s="10" t="inlineStr">
        <is>
          <t>广东依顿</t>
        </is>
      </c>
      <c r="H112" s="10" t="inlineStr">
        <is>
          <t>启用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>
        <is>
          <t>如果订单备注是汽车板则=AC;NY2150H 56mil 1/1和H/H 8张布 汽车板要求安排AY等级；NY2150H 1.5oz（含）以上铜箔厚度 HW订单需按AP电源板，1.5oz（不含）以下按普通A1等级安排</t>
        </is>
      </c>
      <c r="P112" s="6" t="inlineStr"/>
      <c r="Q112" s="6" t="inlineStr"/>
      <c r="R112" s="6" t="inlineStr"/>
      <c r="S112" s="6" t="inlineStr"/>
      <c r="T112" s="6" t="inlineStr"/>
      <c r="U112" s="11" t="inlineStr"/>
      <c r="V112" s="12" t="inlineStr"/>
      <c r="W112" s="12" t="inlineStr">
        <is>
          <t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t>
        </is>
      </c>
      <c r="X112" s="12" t="n">
        <v>113</v>
      </c>
      <c r="Y112" s="12" t="inlineStr">
        <is>
          <t>CSR-BIZ-20260724-V1</t>
        </is>
      </c>
    </row>
    <row r="113">
      <c r="A113" s="10" t="inlineStr">
        <is>
          <t>无变化</t>
        </is>
      </c>
      <c r="B113" s="10" t="inlineStr">
        <is>
          <t>103981</t>
        </is>
      </c>
      <c r="C113" s="10" t="inlineStr">
        <is>
          <t>崇达高层</t>
        </is>
      </c>
      <c r="D113" s="10" t="inlineStr">
        <is>
          <t>韩稳权</t>
        </is>
      </c>
      <c r="E113" s="10" t="inlineStr">
        <is>
          <t>欧阳昭婷</t>
        </is>
      </c>
      <c r="F113" s="10" t="inlineStr"/>
      <c r="G113" s="10" t="inlineStr"/>
      <c r="H113" s="10" t="inlineStr">
        <is>
          <t>启用</t>
        </is>
      </c>
      <c r="I113" s="6" t="inlineStr">
        <is>
          <t>当胶系=NY3150HF时，全部按AH HDI料号；当胶系=NY3150HC时，全部按汽车板料号，当胶系=NY-A1时，全部按汽车板料号</t>
        </is>
      </c>
      <c r="J113" s="6" t="inlineStr"/>
      <c r="K113" s="6" t="inlineStr"/>
      <c r="L113" s="6" t="inlineStr"/>
      <c r="M113" s="6" t="inlineStr"/>
      <c r="N113" s="6" t="inlineStr"/>
      <c r="O113" s="6" t="inlineStr">
        <is>
          <t>当胶系=NY3150HF时=AD，当胶系=NHY3150HC或NY-A1时=AC</t>
        </is>
      </c>
      <c r="P113" s="6" t="inlineStr"/>
      <c r="Q113" s="6" t="inlineStr"/>
      <c r="R113" s="6" t="inlineStr"/>
      <c r="S113" s="6" t="inlineStr"/>
      <c r="T113" s="6" t="inlineStr"/>
      <c r="U113" s="11" t="inlineStr"/>
      <c r="V113" s="12" t="inlineStr"/>
      <c r="W113" s="12" t="inlineStr">
        <is>
          <t>按芯厚下单的规格151里客户厚度需维护总厚厚度</t>
        </is>
      </c>
      <c r="X113" s="12" t="n">
        <v>114</v>
      </c>
      <c r="Y113" s="12" t="inlineStr">
        <is>
          <t>CSR-BIZ-20260724-V1</t>
        </is>
      </c>
    </row>
    <row r="114">
      <c r="A114" s="10" t="inlineStr">
        <is>
          <t>无变化</t>
        </is>
      </c>
      <c r="B114" s="10" t="inlineStr">
        <is>
          <t>133038</t>
        </is>
      </c>
      <c r="C114" s="10" t="inlineStr">
        <is>
          <t>安徽万奔</t>
        </is>
      </c>
      <c r="D114" s="10" t="inlineStr">
        <is>
          <t>齐怀远</t>
        </is>
      </c>
      <c r="E114" s="10" t="inlineStr">
        <is>
          <t>杨黛妮</t>
        </is>
      </c>
      <c r="F114" s="10" t="inlineStr"/>
      <c r="G114" s="10" t="inlineStr"/>
      <c r="H114" s="10" t="inlineStr">
        <is>
          <t>启用</t>
        </is>
      </c>
      <c r="I114" s="6" t="inlineStr"/>
      <c r="J114" s="6" t="inlineStr"/>
      <c r="K114" s="6" t="inlineStr"/>
      <c r="L114" s="6" t="inlineStr">
        <is>
          <t>全部默认下加大0.3尺寸</t>
        </is>
      </c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11" t="inlineStr"/>
      <c r="V114" s="12" t="inlineStr"/>
      <c r="W114" s="12" t="inlineStr"/>
      <c r="X114" s="12" t="n">
        <v>115</v>
      </c>
      <c r="Y114" s="12" t="inlineStr">
        <is>
          <t>CSR-BIZ-20260724-V1</t>
        </is>
      </c>
    </row>
    <row r="115">
      <c r="A115" s="10" t="inlineStr">
        <is>
          <t>无变化</t>
        </is>
      </c>
      <c r="B115" s="10" t="inlineStr">
        <is>
          <t>123015</t>
        </is>
      </c>
      <c r="C115" s="10" t="inlineStr">
        <is>
          <t>赣州超跃</t>
        </is>
      </c>
      <c r="D115" s="10" t="inlineStr">
        <is>
          <t>邱飞</t>
        </is>
      </c>
      <c r="E115" s="10" t="inlineStr">
        <is>
          <t>梁莹</t>
        </is>
      </c>
      <c r="F115" s="10" t="inlineStr"/>
      <c r="G115" s="10" t="inlineStr"/>
      <c r="H115" s="10" t="inlineStr">
        <is>
          <t>启用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>
        <is>
          <t>NY2140&amp;板厚0.8(含)以上&amp;1oz铜箔以下下F1料号</t>
        </is>
      </c>
      <c r="P115" s="6" t="inlineStr"/>
      <c r="Q115" s="6" t="inlineStr"/>
      <c r="R115" s="6" t="inlineStr"/>
      <c r="S115" s="6" t="inlineStr"/>
      <c r="T115" s="6" t="inlineStr"/>
      <c r="U115" s="11" t="inlineStr"/>
      <c r="V115" s="12" t="inlineStr"/>
      <c r="W115" s="12" t="inlineStr"/>
      <c r="X115" s="12" t="n">
        <v>116</v>
      </c>
      <c r="Y115" s="12" t="inlineStr">
        <is>
          <t>CSR-BIZ-20260724-V1</t>
        </is>
      </c>
    </row>
    <row r="116">
      <c r="A116" s="10" t="inlineStr">
        <is>
          <t>无变化</t>
        </is>
      </c>
      <c r="B116" s="10" t="inlineStr">
        <is>
          <t>123024</t>
        </is>
      </c>
      <c r="C116" s="10" t="inlineStr">
        <is>
          <t>赣州金顺</t>
        </is>
      </c>
      <c r="D116" s="10" t="inlineStr">
        <is>
          <t>邱飞</t>
        </is>
      </c>
      <c r="E116" s="10" t="inlineStr">
        <is>
          <t>梁莹</t>
        </is>
      </c>
      <c r="F116" s="10" t="inlineStr"/>
      <c r="G116" s="10" t="inlineStr"/>
      <c r="H116" s="10" t="inlineStr">
        <is>
          <t>启用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>
        <is>
          <t>NY2140&amp;板厚0.8(含)以上&amp;1oz铜箔以下下F1料号</t>
        </is>
      </c>
      <c r="P116" s="6" t="inlineStr"/>
      <c r="Q116" s="6" t="inlineStr"/>
      <c r="R116" s="6" t="inlineStr"/>
      <c r="S116" s="6" t="inlineStr"/>
      <c r="T116" s="6" t="inlineStr"/>
      <c r="U116" s="11" t="inlineStr"/>
      <c r="V116" s="12" t="inlineStr"/>
      <c r="W116" s="12" t="inlineStr"/>
      <c r="X116" s="12" t="n">
        <v>117</v>
      </c>
      <c r="Y116" s="12" t="inlineStr">
        <is>
          <t>CSR-BIZ-20260724-V1</t>
        </is>
      </c>
    </row>
    <row r="117">
      <c r="A117" s="10" t="inlineStr">
        <is>
          <t>无变化</t>
        </is>
      </c>
      <c r="B117" s="10" t="inlineStr">
        <is>
          <t>123003</t>
        </is>
      </c>
      <c r="C117" s="10" t="inlineStr">
        <is>
          <t>赣州逸豪</t>
        </is>
      </c>
      <c r="D117" s="10" t="inlineStr">
        <is>
          <t>邱飞</t>
        </is>
      </c>
      <c r="E117" s="10" t="inlineStr">
        <is>
          <t>梁莹</t>
        </is>
      </c>
      <c r="F117" s="10" t="inlineStr"/>
      <c r="G117" s="10" t="inlineStr"/>
      <c r="H117" s="10" t="inlineStr">
        <is>
          <t>启用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>
        <is>
          <t>NY2140&amp;板厚0.8(含)以上&amp;1oz铜箔以下下F1料号</t>
        </is>
      </c>
      <c r="P117" s="6" t="inlineStr"/>
      <c r="Q117" s="6" t="inlineStr"/>
      <c r="R117" s="6" t="inlineStr"/>
      <c r="S117" s="6" t="inlineStr"/>
      <c r="T117" s="6" t="inlineStr"/>
      <c r="U117" s="11" t="inlineStr"/>
      <c r="V117" s="12" t="inlineStr"/>
      <c r="W117" s="12" t="inlineStr"/>
      <c r="X117" s="12" t="n">
        <v>118</v>
      </c>
      <c r="Y117" s="12" t="inlineStr">
        <is>
          <t>CSR-BIZ-20260724-V1</t>
        </is>
      </c>
    </row>
    <row r="118">
      <c r="A118" s="10" t="inlineStr">
        <is>
          <t>无变化</t>
        </is>
      </c>
      <c r="B118" s="10" t="inlineStr">
        <is>
          <t>110024</t>
        </is>
      </c>
      <c r="C118" s="10" t="inlineStr">
        <is>
          <t>淄博芯材</t>
        </is>
      </c>
      <c r="D118" s="10" t="inlineStr">
        <is>
          <t>孙书碧</t>
        </is>
      </c>
      <c r="E118" s="10" t="inlineStr">
        <is>
          <t>应鑫宁</t>
        </is>
      </c>
      <c r="F118" s="10" t="inlineStr"/>
      <c r="G118" s="10" t="inlineStr"/>
      <c r="H118" s="10" t="inlineStr">
        <is>
          <t>无CCL规则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11" t="inlineStr"/>
      <c r="V118" s="12" t="inlineStr"/>
      <c r="W118" s="12" t="inlineStr"/>
      <c r="X118" s="12" t="n">
        <v>119</v>
      </c>
      <c r="Y118" s="12" t="inlineStr">
        <is>
          <t>CSR-BIZ-20260724-V1</t>
        </is>
      </c>
    </row>
    <row r="119">
      <c r="A119" s="10" t="inlineStr">
        <is>
          <t>无变化</t>
        </is>
      </c>
      <c r="B119" s="10" t="inlineStr">
        <is>
          <t>103536</t>
        </is>
      </c>
      <c r="C119" s="10" t="inlineStr">
        <is>
          <t>博敏电子</t>
        </is>
      </c>
      <c r="D119" s="10" t="inlineStr">
        <is>
          <t>陈程</t>
        </is>
      </c>
      <c r="E119" s="10" t="inlineStr">
        <is>
          <t>娄亚杰</t>
        </is>
      </c>
      <c r="F119" s="10" t="inlineStr"/>
      <c r="G119" s="10" t="inlineStr"/>
      <c r="H119" s="10" t="inlineStr">
        <is>
          <t>启用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>
        <is>
          <t>NY3150HF=AH AD</t>
        </is>
      </c>
      <c r="P119" s="6" t="inlineStr"/>
      <c r="Q119" s="6" t="inlineStr"/>
      <c r="R119" s="6" t="inlineStr"/>
      <c r="S119" s="6" t="inlineStr"/>
      <c r="T119" s="6" t="inlineStr"/>
      <c r="U119" s="11" t="inlineStr"/>
      <c r="V119" s="12" t="inlineStr"/>
      <c r="W119" s="12" t="inlineStr"/>
      <c r="X119" s="12" t="n">
        <v>120</v>
      </c>
      <c r="Y119" s="12" t="inlineStr">
        <is>
          <t>CSR-BIZ-20260724-V1</t>
        </is>
      </c>
    </row>
    <row r="120">
      <c r="A120" s="10" t="inlineStr">
        <is>
          <t>无变化</t>
        </is>
      </c>
      <c r="B120" s="10" t="inlineStr">
        <is>
          <t>104253</t>
        </is>
      </c>
      <c r="C120" s="10" t="inlineStr">
        <is>
          <t>江苏博敏</t>
        </is>
      </c>
      <c r="D120" s="10" t="inlineStr">
        <is>
          <t>陈程</t>
        </is>
      </c>
      <c r="E120" s="10" t="inlineStr">
        <is>
          <t>娄亚杰</t>
        </is>
      </c>
      <c r="F120" s="10" t="inlineStr"/>
      <c r="G120" s="10" t="inlineStr"/>
      <c r="H120" s="10" t="inlineStr">
        <is>
          <t>启用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>
        <is>
          <t>NY3150HF=AH AD</t>
        </is>
      </c>
      <c r="P120" s="6" t="inlineStr"/>
      <c r="Q120" s="6" t="inlineStr"/>
      <c r="R120" s="6" t="inlineStr"/>
      <c r="S120" s="6" t="inlineStr"/>
      <c r="T120" s="6" t="inlineStr"/>
      <c r="U120" s="11" t="inlineStr"/>
      <c r="V120" s="12" t="inlineStr"/>
      <c r="W120" s="12" t="inlineStr"/>
      <c r="X120" s="12" t="n">
        <v>121</v>
      </c>
      <c r="Y120" s="12" t="inlineStr">
        <is>
          <t>CSR-BIZ-20260724-V1</t>
        </is>
      </c>
    </row>
    <row r="121">
      <c r="A121" s="10" t="inlineStr">
        <is>
          <t>无变化</t>
        </is>
      </c>
      <c r="B121" s="10" t="inlineStr">
        <is>
          <t>257038</t>
        </is>
      </c>
      <c r="C121" s="10" t="inlineStr">
        <is>
          <t>泰APE</t>
        </is>
      </c>
      <c r="D121" s="10" t="inlineStr">
        <is>
          <t>王磊4</t>
        </is>
      </c>
      <c r="E121" s="10" t="inlineStr">
        <is>
          <t>罗正梅</t>
        </is>
      </c>
      <c r="F121" s="10" t="inlineStr"/>
      <c r="G121" s="10" t="inlineStr"/>
      <c r="H121" s="10" t="inlineStr">
        <is>
          <t>无CCL规则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11" t="inlineStr"/>
      <c r="V121" s="12" t="inlineStr"/>
      <c r="W121" s="12" t="inlineStr"/>
      <c r="X121" s="12" t="n">
        <v>122</v>
      </c>
      <c r="Y121" s="12" t="inlineStr">
        <is>
          <t>CSR-BIZ-20260724-V1</t>
        </is>
      </c>
    </row>
    <row r="122">
      <c r="A122" s="10" t="inlineStr">
        <is>
          <t>无变化</t>
        </is>
      </c>
      <c r="B122" s="10" t="inlineStr">
        <is>
          <t>104343</t>
        </is>
      </c>
      <c r="C122" s="10" t="inlineStr">
        <is>
          <t>常熟金像</t>
        </is>
      </c>
      <c r="D122" s="10" t="inlineStr">
        <is>
          <t>王磊4</t>
        </is>
      </c>
      <c r="E122" s="10" t="inlineStr">
        <is>
          <t>罗正梅</t>
        </is>
      </c>
      <c r="F122" s="10" t="inlineStr"/>
      <c r="G122" s="10" t="inlineStr"/>
      <c r="H122" s="10" t="inlineStr">
        <is>
          <t>无CCL规则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11" t="inlineStr"/>
      <c r="V122" s="12" t="inlineStr"/>
      <c r="W122" s="12" t="inlineStr"/>
      <c r="X122" s="12" t="n">
        <v>123</v>
      </c>
      <c r="Y122" s="12" t="inlineStr">
        <is>
          <t>CSR-BIZ-20260724-V1</t>
        </is>
      </c>
    </row>
    <row r="123">
      <c r="A123" s="10" t="inlineStr">
        <is>
          <t>无变化</t>
        </is>
      </c>
      <c r="B123" s="10" t="inlineStr">
        <is>
          <t>103722</t>
        </is>
      </c>
      <c r="C123" s="10" t="inlineStr">
        <is>
          <t>东莞泰山</t>
        </is>
      </c>
      <c r="D123" s="10" t="inlineStr">
        <is>
          <t>王玲</t>
        </is>
      </c>
      <c r="E123" s="10" t="inlineStr">
        <is>
          <t>王婷</t>
        </is>
      </c>
      <c r="F123" s="10" t="inlineStr"/>
      <c r="G123" s="10" t="inlineStr"/>
      <c r="H123" s="10" t="inlineStr">
        <is>
          <t>无CCL规则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11" t="inlineStr"/>
      <c r="V123" s="12" t="inlineStr"/>
      <c r="W123" s="12" t="inlineStr"/>
      <c r="X123" s="12" t="n">
        <v>124</v>
      </c>
      <c r="Y123" s="12" t="inlineStr">
        <is>
          <t>CSR-BIZ-20260724-V1</t>
        </is>
      </c>
    </row>
    <row r="124">
      <c r="A124" s="10" t="inlineStr">
        <is>
          <t>无变化</t>
        </is>
      </c>
      <c r="B124" s="10" t="inlineStr">
        <is>
          <t>103628</t>
        </is>
      </c>
      <c r="C124" s="10" t="inlineStr">
        <is>
          <t>鹤山安栢</t>
        </is>
      </c>
      <c r="D124" s="10" t="inlineStr">
        <is>
          <t>王玲</t>
        </is>
      </c>
      <c r="E124" s="10" t="inlineStr">
        <is>
          <t>王婷</t>
        </is>
      </c>
      <c r="F124" s="10" t="inlineStr"/>
      <c r="G124" s="10" t="inlineStr"/>
      <c r="H124" s="10" t="inlineStr">
        <is>
          <t>无CCL规则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11" t="inlineStr"/>
      <c r="V124" s="12" t="inlineStr"/>
      <c r="W124" s="12" t="inlineStr"/>
      <c r="X124" s="12" t="n">
        <v>125</v>
      </c>
      <c r="Y124" s="12" t="inlineStr">
        <is>
          <t>CSR-BIZ-20260724-V1</t>
        </is>
      </c>
    </row>
    <row r="125">
      <c r="A125" s="10" t="inlineStr">
        <is>
          <t>无变化</t>
        </is>
      </c>
      <c r="B125" s="10" t="inlineStr">
        <is>
          <t>103792</t>
        </is>
      </c>
      <c r="C125" s="10" t="inlineStr">
        <is>
          <t>广东世运</t>
        </is>
      </c>
      <c r="D125" s="10" t="inlineStr">
        <is>
          <t>王玲</t>
        </is>
      </c>
      <c r="E125" s="10" t="inlineStr">
        <is>
          <t>王婷</t>
        </is>
      </c>
      <c r="F125" s="10" t="inlineStr"/>
      <c r="G125" s="10" t="inlineStr"/>
      <c r="H125" s="10" t="inlineStr">
        <is>
          <t>启用</t>
        </is>
      </c>
      <c r="I125" s="6" t="inlineStr"/>
      <c r="J125" s="6" t="inlineStr"/>
      <c r="K125" s="6" t="inlineStr"/>
      <c r="L125" s="6" t="inlineStr">
        <is>
          <t>725.4*1244.6=28.56*49  691.6*1244.6=27.23*49</t>
        </is>
      </c>
      <c r="M125" s="6" t="inlineStr"/>
      <c r="N125" s="6" t="inlineStr"/>
      <c r="O125" s="6" t="inlineStr">
        <is>
          <t>NY3150HF 全部下AL品号；客户订单备注栏如：2DPOA74309E 第5码：A普通汽车板，S是安全类的，都需下汽车板AC</t>
        </is>
      </c>
      <c r="P125" s="6" t="inlineStr"/>
      <c r="Q125" s="6" t="inlineStr"/>
      <c r="R125" s="6" t="inlineStr"/>
      <c r="S125" s="6" t="inlineStr"/>
      <c r="T125" s="6" t="inlineStr"/>
      <c r="U125" s="11" t="inlineStr"/>
      <c r="V125" s="12" t="inlineStr">
        <is>
          <t>订单未备注铜箔，默认HTE</t>
        </is>
      </c>
      <c r="W125" s="12" t="inlineStr"/>
      <c r="X125" s="12" t="n">
        <v>126</v>
      </c>
      <c r="Y125" s="12" t="inlineStr">
        <is>
          <t>CSR-BIZ-20260724-V1</t>
        </is>
      </c>
    </row>
    <row r="126">
      <c r="A126" s="10" t="inlineStr">
        <is>
          <t>无变化</t>
        </is>
      </c>
      <c r="B126" s="10" t="inlineStr">
        <is>
          <t>103809</t>
        </is>
      </c>
      <c r="C126" s="10" t="inlineStr">
        <is>
          <t>鹤山世安</t>
        </is>
      </c>
      <c r="D126" s="10" t="inlineStr">
        <is>
          <t>王玲</t>
        </is>
      </c>
      <c r="E126" s="10" t="inlineStr">
        <is>
          <t>王婷</t>
        </is>
      </c>
      <c r="F126" s="10" t="inlineStr"/>
      <c r="G126" s="10" t="inlineStr"/>
      <c r="H126" s="10" t="inlineStr">
        <is>
          <t>启用</t>
        </is>
      </c>
      <c r="I126" s="6" t="inlineStr"/>
      <c r="J126" s="6" t="inlineStr"/>
      <c r="K126" s="6" t="inlineStr"/>
      <c r="L126" s="6" t="inlineStr">
        <is>
          <t>725.4*1244.6=28.56*49  691.6*1244.6=27.23*49</t>
        </is>
      </c>
      <c r="M126" s="6" t="inlineStr"/>
      <c r="N126" s="6" t="inlineStr"/>
      <c r="O126" s="6" t="inlineStr">
        <is>
          <t>NY3150HF 全部下AL品号；客户订单备注栏如：2DPOA74309E 第5码：A普通汽车板，S是安全类的，都需下汽车板AC</t>
        </is>
      </c>
      <c r="P126" s="6" t="inlineStr"/>
      <c r="Q126" s="6" t="inlineStr"/>
      <c r="R126" s="6" t="inlineStr"/>
      <c r="S126" s="6" t="inlineStr"/>
      <c r="T126" s="6" t="inlineStr"/>
      <c r="U126" s="11" t="inlineStr"/>
      <c r="V126" s="12" t="inlineStr">
        <is>
          <t>订单未备注铜箔，默认HTE</t>
        </is>
      </c>
      <c r="W126" s="12" t="inlineStr"/>
      <c r="X126" s="12" t="n">
        <v>127</v>
      </c>
      <c r="Y126" s="12" t="inlineStr">
        <is>
          <t>CSR-BIZ-20260724-V1</t>
        </is>
      </c>
    </row>
    <row r="127">
      <c r="A127" s="10" t="inlineStr">
        <is>
          <t>无变化</t>
        </is>
      </c>
      <c r="B127" s="10" t="inlineStr">
        <is>
          <t>103874</t>
        </is>
      </c>
      <c r="C127" s="10" t="inlineStr">
        <is>
          <t>珠海德丽</t>
        </is>
      </c>
      <c r="D127" s="10" t="inlineStr">
        <is>
          <t>王玲</t>
        </is>
      </c>
      <c r="E127" s="10" t="inlineStr">
        <is>
          <t>王婷</t>
        </is>
      </c>
      <c r="F127" s="10" t="inlineStr"/>
      <c r="G127" s="10" t="inlineStr"/>
      <c r="H127" s="10" t="inlineStr">
        <is>
          <t>启用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>
        <is>
          <t>默认不含铜</t>
        </is>
      </c>
      <c r="Q127" s="6" t="inlineStr"/>
      <c r="R127" s="6" t="inlineStr"/>
      <c r="S127" s="6" t="inlineStr"/>
      <c r="T127" s="6" t="inlineStr"/>
      <c r="U127" s="11" t="inlineStr"/>
      <c r="V127" s="12" t="inlineStr"/>
      <c r="W127" s="12" t="inlineStr"/>
      <c r="X127" s="12" t="n">
        <v>128</v>
      </c>
      <c r="Y127" s="12" t="inlineStr">
        <is>
          <t>CSR-BIZ-20260724-V1</t>
        </is>
      </c>
    </row>
    <row r="128">
      <c r="A128" s="10" t="inlineStr">
        <is>
          <t>无变化</t>
        </is>
      </c>
      <c r="B128" s="10" t="inlineStr">
        <is>
          <t>103875</t>
        </is>
      </c>
      <c r="C128" s="10" t="inlineStr">
        <is>
          <t>珠海超毅</t>
        </is>
      </c>
      <c r="D128" s="10" t="inlineStr">
        <is>
          <t>王玲</t>
        </is>
      </c>
      <c r="E128" s="10" t="inlineStr">
        <is>
          <t>王婷</t>
        </is>
      </c>
      <c r="F128" s="10" t="inlineStr"/>
      <c r="G128" s="10" t="inlineStr"/>
      <c r="H128" s="10" t="inlineStr">
        <is>
          <t>启用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>
        <is>
          <t>默认不含铜</t>
        </is>
      </c>
      <c r="Q128" s="6" t="inlineStr"/>
      <c r="R128" s="6" t="inlineStr"/>
      <c r="S128" s="6" t="inlineStr"/>
      <c r="T128" s="6" t="inlineStr"/>
      <c r="U128" s="11" t="inlineStr"/>
      <c r="V128" s="12" t="inlineStr"/>
      <c r="W128" s="12" t="inlineStr"/>
      <c r="X128" s="12" t="n">
        <v>129</v>
      </c>
      <c r="Y128" s="12" t="inlineStr">
        <is>
          <t>CSR-BIZ-20260724-V1</t>
        </is>
      </c>
    </row>
    <row r="129">
      <c r="A129" s="10" t="inlineStr">
        <is>
          <t>无变化</t>
        </is>
      </c>
      <c r="B129" s="10" t="inlineStr"/>
      <c r="C129" s="10" t="inlineStr">
        <is>
          <t>深圳邦基</t>
        </is>
      </c>
      <c r="D129" s="10" t="inlineStr">
        <is>
          <t>王玲</t>
        </is>
      </c>
      <c r="E129" s="10" t="inlineStr">
        <is>
          <t>王婷</t>
        </is>
      </c>
      <c r="F129" s="10" t="inlineStr"/>
      <c r="G129" s="10" t="inlineStr"/>
      <c r="H129" s="10" t="inlineStr">
        <is>
          <t>无CCL规则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11" t="inlineStr"/>
      <c r="V129" s="12" t="inlineStr"/>
      <c r="W129" s="12" t="inlineStr"/>
      <c r="X129" s="12" t="n">
        <v>130</v>
      </c>
      <c r="Y129" s="12" t="inlineStr">
        <is>
          <t>CSR-BIZ-20260724-V1</t>
        </is>
      </c>
    </row>
    <row r="130">
      <c r="A130" s="10" t="inlineStr">
        <is>
          <t>无变化</t>
        </is>
      </c>
      <c r="B130" s="10" t="inlineStr">
        <is>
          <t>104158</t>
        </is>
      </c>
      <c r="C130" s="10" t="inlineStr">
        <is>
          <t>江苏瀚宇</t>
        </is>
      </c>
      <c r="D130" s="10" t="inlineStr">
        <is>
          <t>吴成令</t>
        </is>
      </c>
      <c r="E130" s="10" t="inlineStr">
        <is>
          <t>刘海英</t>
        </is>
      </c>
      <c r="F130" s="10" t="inlineStr"/>
      <c r="G130" s="10" t="inlineStr"/>
      <c r="H130" s="10" t="inlineStr">
        <is>
          <t>启用</t>
        </is>
      </c>
      <c r="I130" s="6" t="inlineStr"/>
      <c r="J130" s="6" t="inlineStr">
        <is>
          <t>003=3mil=0.079</t>
        </is>
      </c>
      <c r="K130" s="6" t="inlineStr"/>
      <c r="L130" s="6" t="inlineStr"/>
      <c r="M130" s="6" t="inlineStr"/>
      <c r="N130" s="6" t="inlineStr"/>
      <c r="O130" s="6" t="inlineStr">
        <is>
          <t>客户物料编码最后一位是Q时=AC</t>
        </is>
      </c>
      <c r="P130" s="6" t="inlineStr">
        <is>
          <t>31mil含以上总厚</t>
        </is>
      </c>
      <c r="Q130" s="6" t="inlineStr"/>
      <c r="R130" s="6" t="inlineStr"/>
      <c r="S130" s="6" t="inlineStr"/>
      <c r="T130" s="6" t="inlineStr"/>
      <c r="U130" s="11" t="inlineStr"/>
      <c r="V130" s="12" t="inlineStr"/>
      <c r="W130" s="12" t="inlineStr"/>
      <c r="X130" s="12" t="n">
        <v>131</v>
      </c>
      <c r="Y130" s="12" t="inlineStr">
        <is>
          <t>CSR-BIZ-20260724-V1</t>
        </is>
      </c>
    </row>
    <row r="131">
      <c r="A131" s="10" t="inlineStr">
        <is>
          <t>无变化</t>
        </is>
      </c>
      <c r="B131" s="10" t="inlineStr">
        <is>
          <t>104283</t>
        </is>
      </c>
      <c r="C131" s="10" t="inlineStr">
        <is>
          <t>苏州吴通</t>
        </is>
      </c>
      <c r="D131" s="10" t="inlineStr">
        <is>
          <t>吴成令</t>
        </is>
      </c>
      <c r="E131" s="10" t="inlineStr">
        <is>
          <t>刘海英</t>
        </is>
      </c>
      <c r="F131" s="10" t="inlineStr"/>
      <c r="G131" s="10" t="inlineStr"/>
      <c r="H131" s="10" t="inlineStr">
        <is>
          <t>启用</t>
        </is>
      </c>
      <c r="I131" s="6" t="inlineStr"/>
      <c r="J131" s="6" t="inlineStr">
        <is>
          <t>&lt;1.7 维护公差</t>
        </is>
      </c>
      <c r="K131" s="6" t="inlineStr"/>
      <c r="L131" s="6" t="inlineStr"/>
      <c r="M131" s="6" t="inlineStr"/>
      <c r="N131" s="6" t="inlineStr"/>
      <c r="O131" s="6" t="inlineStr">
        <is>
          <t>NY-A2=AC</t>
        </is>
      </c>
      <c r="P131" s="6" t="inlineStr">
        <is>
          <t>0.8含以上总厚 0.8以下芯厚</t>
        </is>
      </c>
      <c r="Q131" s="6" t="inlineStr"/>
      <c r="R131" s="6" t="inlineStr"/>
      <c r="S131" s="6" t="inlineStr"/>
      <c r="T131" s="6" t="inlineStr"/>
      <c r="U131" s="11" t="inlineStr"/>
      <c r="V131" s="12" t="inlineStr"/>
      <c r="W131" s="12" t="inlineStr"/>
      <c r="X131" s="12" t="n">
        <v>132</v>
      </c>
      <c r="Y131" s="12" t="inlineStr">
        <is>
          <t>CSR-BIZ-20260724-V1</t>
        </is>
      </c>
    </row>
    <row r="132">
      <c r="A132" s="10" t="inlineStr">
        <is>
          <t>无变化</t>
        </is>
      </c>
      <c r="B132" s="10" t="inlineStr">
        <is>
          <t>104373</t>
        </is>
      </c>
      <c r="C132" s="10" t="inlineStr">
        <is>
          <t>江苏广谦</t>
        </is>
      </c>
      <c r="D132" s="10" t="inlineStr">
        <is>
          <t>吴成令</t>
        </is>
      </c>
      <c r="E132" s="10" t="inlineStr">
        <is>
          <t>刘海英</t>
        </is>
      </c>
      <c r="F132" s="10" t="inlineStr"/>
      <c r="G132" s="10" t="inlineStr"/>
      <c r="H132" s="10" t="inlineStr">
        <is>
          <t>启用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>
        <is>
          <t>0.8含以上总厚 0.8以下芯厚</t>
        </is>
      </c>
      <c r="Q132" s="6" t="inlineStr"/>
      <c r="R132" s="6" t="inlineStr"/>
      <c r="S132" s="6" t="inlineStr"/>
      <c r="T132" s="6" t="inlineStr"/>
      <c r="U132" s="11" t="inlineStr"/>
      <c r="V132" s="12" t="inlineStr"/>
      <c r="W132" s="12" t="inlineStr"/>
      <c r="X132" s="12" t="n">
        <v>133</v>
      </c>
      <c r="Y132" s="12" t="inlineStr">
        <is>
          <t>CSR-BIZ-20260724-V1</t>
        </is>
      </c>
    </row>
    <row r="133">
      <c r="A133" s="10" t="inlineStr">
        <is>
          <t>无变化</t>
        </is>
      </c>
      <c r="B133" s="10" t="inlineStr">
        <is>
          <t>133025</t>
        </is>
      </c>
      <c r="C133" s="10" t="inlineStr">
        <is>
          <t>广德三生</t>
        </is>
      </c>
      <c r="D133" s="10" t="inlineStr">
        <is>
          <t>吴成令</t>
        </is>
      </c>
      <c r="E133" s="10" t="inlineStr">
        <is>
          <t>刘海英</t>
        </is>
      </c>
      <c r="F133" s="10" t="inlineStr"/>
      <c r="G133" s="10" t="inlineStr"/>
      <c r="H133" s="10" t="inlineStr">
        <is>
          <t>启用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>
        <is>
          <t>0.8含以上总厚 0.8以下芯厚</t>
        </is>
      </c>
      <c r="Q133" s="6" t="inlineStr"/>
      <c r="R133" s="6" t="inlineStr"/>
      <c r="S133" s="6" t="inlineStr"/>
      <c r="T133" s="6" t="inlineStr"/>
      <c r="U133" s="11" t="inlineStr"/>
      <c r="V133" s="12" t="inlineStr"/>
      <c r="W133" s="12" t="inlineStr"/>
      <c r="X133" s="12" t="n">
        <v>134</v>
      </c>
      <c r="Y133" s="12" t="inlineStr">
        <is>
          <t>CSR-BIZ-20260724-V1</t>
        </is>
      </c>
    </row>
    <row r="134">
      <c r="A134" s="10" t="inlineStr">
        <is>
          <t>无变化</t>
        </is>
      </c>
      <c r="B134" s="10" t="inlineStr">
        <is>
          <t>133019</t>
        </is>
      </c>
      <c r="C134" s="10" t="inlineStr">
        <is>
          <t>铜陵安博</t>
        </is>
      </c>
      <c r="D134" s="10" t="inlineStr">
        <is>
          <t>吴成令</t>
        </is>
      </c>
      <c r="E134" s="10" t="inlineStr">
        <is>
          <t>刘海英</t>
        </is>
      </c>
      <c r="F134" s="10" t="inlineStr"/>
      <c r="G134" s="10" t="inlineStr"/>
      <c r="H134" s="10" t="inlineStr">
        <is>
          <t>无CCL规则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11" t="inlineStr"/>
      <c r="V134" s="12" t="inlineStr"/>
      <c r="W134" s="12" t="inlineStr"/>
      <c r="X134" s="12" t="n">
        <v>135</v>
      </c>
      <c r="Y134" s="12" t="inlineStr">
        <is>
          <t>CSR-BIZ-20260724-V1</t>
        </is>
      </c>
    </row>
    <row r="135">
      <c r="A135" s="10" t="inlineStr">
        <is>
          <t>无变化</t>
        </is>
      </c>
      <c r="B135" s="10" t="inlineStr">
        <is>
          <t>104329</t>
        </is>
      </c>
      <c r="C135" s="10" t="inlineStr">
        <is>
          <t>宜兴硅谷</t>
        </is>
      </c>
      <c r="D135" s="10" t="inlineStr">
        <is>
          <t>吴成令</t>
        </is>
      </c>
      <c r="E135" s="10" t="inlineStr">
        <is>
          <t>刘海英</t>
        </is>
      </c>
      <c r="F135" s="10" t="inlineStr"/>
      <c r="G135" s="10" t="inlineStr"/>
      <c r="H135" s="10" t="inlineStr">
        <is>
          <t>启用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>
        <is>
          <t>T/C芯厚 D/S总厚</t>
        </is>
      </c>
      <c r="Q135" s="6" t="inlineStr"/>
      <c r="R135" s="6" t="inlineStr"/>
      <c r="S135" s="6" t="inlineStr"/>
      <c r="T135" s="6" t="inlineStr"/>
      <c r="U135" s="11" t="inlineStr"/>
      <c r="V135" s="12" t="inlineStr"/>
      <c r="W135" s="12" t="inlineStr"/>
      <c r="X135" s="12" t="n">
        <v>136</v>
      </c>
      <c r="Y135" s="12" t="inlineStr">
        <is>
          <t>CSR-BIZ-20260724-V1</t>
        </is>
      </c>
    </row>
    <row r="136">
      <c r="A136" s="10" t="inlineStr">
        <is>
          <t>无变化</t>
        </is>
      </c>
      <c r="B136" s="10" t="inlineStr">
        <is>
          <t>129005</t>
        </is>
      </c>
      <c r="C136" s="10" t="inlineStr">
        <is>
          <t>重庆方正</t>
        </is>
      </c>
      <c r="D136" s="10" t="inlineStr">
        <is>
          <t>吴世平</t>
        </is>
      </c>
      <c r="E136" s="10" t="inlineStr">
        <is>
          <t>孙洪倩  况荣梅</t>
        </is>
      </c>
      <c r="F136" s="10" t="inlineStr"/>
      <c r="G136" s="10" t="inlineStr"/>
      <c r="H136" s="10" t="inlineStr">
        <is>
          <t>启用</t>
        </is>
      </c>
      <c r="I136" s="6" t="inlineStr"/>
      <c r="J136" s="6" t="inlineStr"/>
      <c r="K136" s="6" t="inlineStr"/>
      <c r="L136" s="6" t="inlineStr"/>
      <c r="M136" s="6" t="inlineStr"/>
      <c r="N136" s="6" t="inlineStr">
        <is>
          <t>HS2-M2-VSP=HVLP2 ,HS1-M2-VSP=HVLP1</t>
        </is>
      </c>
      <c r="O136" s="6" t="inlineStr"/>
      <c r="P136" s="6" t="inlineStr"/>
      <c r="Q136" s="6" t="inlineStr"/>
      <c r="R136" s="6" t="inlineStr"/>
      <c r="S136" s="6" t="inlineStr"/>
      <c r="T136" s="6" t="inlineStr"/>
      <c r="U136" s="11" t="inlineStr"/>
      <c r="V136" s="12" t="inlineStr"/>
      <c r="W136" s="12" t="inlineStr"/>
      <c r="X136" s="12" t="n">
        <v>137</v>
      </c>
      <c r="Y136" s="12" t="inlineStr">
        <is>
          <t>CSR-BIZ-20260724-V1</t>
        </is>
      </c>
    </row>
    <row r="137">
      <c r="A137" s="10" t="inlineStr">
        <is>
          <t>无变化</t>
        </is>
      </c>
      <c r="B137" s="10" t="inlineStr">
        <is>
          <t>193006</t>
        </is>
      </c>
      <c r="C137" s="10" t="inlineStr">
        <is>
          <t>珠海驰方</t>
        </is>
      </c>
      <c r="D137" s="10" t="inlineStr">
        <is>
          <t>吴世平</t>
        </is>
      </c>
      <c r="E137" s="10" t="inlineStr">
        <is>
          <t>孙洪倩  陈橼</t>
        </is>
      </c>
      <c r="F137" s="10" t="inlineStr"/>
      <c r="G137" s="10" t="inlineStr"/>
      <c r="H137" s="10" t="inlineStr">
        <is>
          <t>启用</t>
        </is>
      </c>
      <c r="I137" s="6" t="inlineStr"/>
      <c r="J137" s="6" t="inlineStr"/>
      <c r="K137" s="6" t="inlineStr"/>
      <c r="L137" s="6" t="inlineStr"/>
      <c r="M137" s="6" t="inlineStr"/>
      <c r="N137" s="6" t="inlineStr">
        <is>
          <t>HS2-M2-VSP=HVLP2 ,HS1-M2-VSP=HVLP1</t>
        </is>
      </c>
      <c r="O137" s="6" t="inlineStr"/>
      <c r="P137" s="6" t="inlineStr"/>
      <c r="Q137" s="6" t="inlineStr"/>
      <c r="R137" s="6" t="inlineStr"/>
      <c r="S137" s="6" t="inlineStr"/>
      <c r="T137" s="6" t="inlineStr"/>
      <c r="U137" s="11" t="inlineStr"/>
      <c r="V137" s="12" t="inlineStr"/>
      <c r="W137" s="12" t="inlineStr"/>
      <c r="X137" s="12" t="n">
        <v>138</v>
      </c>
      <c r="Y137" s="12" t="inlineStr">
        <is>
          <t>CSR-BIZ-20260724-V1</t>
        </is>
      </c>
    </row>
    <row r="138">
      <c r="A138" s="10" t="inlineStr">
        <is>
          <t>无变化</t>
        </is>
      </c>
      <c r="B138" s="10" t="inlineStr">
        <is>
          <t>103938</t>
        </is>
      </c>
      <c r="C138" s="10" t="inlineStr">
        <is>
          <t>方正F3</t>
        </is>
      </c>
      <c r="D138" s="10" t="inlineStr">
        <is>
          <t>吴世平</t>
        </is>
      </c>
      <c r="E138" s="10" t="inlineStr">
        <is>
          <t>孙洪倩  边瑶瑶/宦忠平</t>
        </is>
      </c>
      <c r="F138" s="10" t="inlineStr"/>
      <c r="G138" s="10" t="inlineStr"/>
      <c r="H138" s="10" t="inlineStr">
        <is>
          <t>启用</t>
        </is>
      </c>
      <c r="I138" s="6" t="inlineStr"/>
      <c r="J138" s="6" t="inlineStr"/>
      <c r="K138" s="6" t="inlineStr"/>
      <c r="L138" s="6" t="inlineStr"/>
      <c r="M138" s="6" t="inlineStr"/>
      <c r="N138" s="6" t="inlineStr">
        <is>
          <t>HS2-M2-VSP=HVLP2 ,HS1-M2-VSP=HVLP1</t>
        </is>
      </c>
      <c r="O138" s="6" t="inlineStr"/>
      <c r="P138" s="6" t="inlineStr"/>
      <c r="Q138" s="6" t="inlineStr"/>
      <c r="R138" s="6" t="inlineStr"/>
      <c r="S138" s="6" t="inlineStr"/>
      <c r="T138" s="6" t="inlineStr"/>
      <c r="U138" s="11" t="inlineStr"/>
      <c r="V138" s="12" t="inlineStr"/>
      <c r="W138" s="12" t="inlineStr"/>
      <c r="X138" s="12" t="n">
        <v>139</v>
      </c>
      <c r="Y138" s="12" t="inlineStr">
        <is>
          <t>CSR-BIZ-20260724-V1</t>
        </is>
      </c>
    </row>
    <row r="139">
      <c r="A139" s="10" t="inlineStr">
        <is>
          <t>无变化</t>
        </is>
      </c>
      <c r="B139" s="10" t="inlineStr">
        <is>
          <t>103864</t>
        </is>
      </c>
      <c r="C139" s="10" t="inlineStr">
        <is>
          <t>广州添利</t>
        </is>
      </c>
      <c r="D139" s="10" t="inlineStr">
        <is>
          <t>吴世平</t>
        </is>
      </c>
      <c r="E139" s="10" t="inlineStr">
        <is>
          <t>孙洪倩</t>
        </is>
      </c>
      <c r="F139" s="10" t="inlineStr"/>
      <c r="G139" s="10" t="inlineStr"/>
      <c r="H139" s="10" t="inlineStr">
        <is>
          <t>无CCL规则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11" t="inlineStr"/>
      <c r="V139" s="12" t="inlineStr"/>
      <c r="W139" s="12" t="inlineStr"/>
      <c r="X139" s="12" t="n">
        <v>140</v>
      </c>
      <c r="Y139" s="12" t="inlineStr">
        <is>
          <t>CSR-BIZ-20260724-V1</t>
        </is>
      </c>
    </row>
    <row r="140">
      <c r="A140" s="10" t="inlineStr">
        <is>
          <t>无变化</t>
        </is>
      </c>
      <c r="B140" s="10" t="inlineStr">
        <is>
          <t>123010</t>
        </is>
      </c>
      <c r="C140" s="10" t="inlineStr">
        <is>
          <t>江西红森</t>
        </is>
      </c>
      <c r="D140" s="10" t="inlineStr">
        <is>
          <t>吴世平</t>
        </is>
      </c>
      <c r="E140" s="10" t="inlineStr">
        <is>
          <t>孙洪倩</t>
        </is>
      </c>
      <c r="F140" s="10" t="inlineStr"/>
      <c r="G140" s="10" t="inlineStr"/>
      <c r="H140" s="10" t="inlineStr">
        <is>
          <t>无CCL规则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11" t="inlineStr"/>
      <c r="V140" s="12" t="inlineStr"/>
      <c r="W140" s="12" t="inlineStr"/>
      <c r="X140" s="12" t="n">
        <v>141</v>
      </c>
      <c r="Y140" s="12" t="inlineStr">
        <is>
          <t>CSR-BIZ-20260724-V1</t>
        </is>
      </c>
    </row>
    <row r="141">
      <c r="A141" s="10" t="inlineStr">
        <is>
          <t>无变化</t>
        </is>
      </c>
      <c r="B141" s="10" t="inlineStr">
        <is>
          <t>257112</t>
        </is>
      </c>
      <c r="C141" s="10" t="inlineStr">
        <is>
          <t>泰国方正</t>
        </is>
      </c>
      <c r="D141" s="10" t="inlineStr">
        <is>
          <t>吴世平</t>
        </is>
      </c>
      <c r="E141" s="10" t="inlineStr">
        <is>
          <t>孙洪倩  蒋鑫</t>
        </is>
      </c>
      <c r="F141" s="10" t="inlineStr"/>
      <c r="G141" s="10" t="inlineStr"/>
      <c r="H141" s="10" t="inlineStr">
        <is>
          <t>无CCL规则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11" t="inlineStr"/>
      <c r="V141" s="12" t="inlineStr"/>
      <c r="W141" s="12" t="inlineStr"/>
      <c r="X141" s="12" t="n">
        <v>142</v>
      </c>
      <c r="Y141" s="12" t="inlineStr">
        <is>
          <t>CSR-BIZ-20260724-V1</t>
        </is>
      </c>
    </row>
    <row r="142">
      <c r="A142" s="10" t="inlineStr">
        <is>
          <t>无变化</t>
        </is>
      </c>
      <c r="B142" s="10" t="inlineStr">
        <is>
          <t>123010</t>
        </is>
      </c>
      <c r="C142" s="10" t="inlineStr">
        <is>
          <t>江西红板</t>
        </is>
      </c>
      <c r="D142" s="10" t="inlineStr">
        <is>
          <t>吴世平</t>
        </is>
      </c>
      <c r="E142" s="10" t="inlineStr">
        <is>
          <t>孙洪倩</t>
        </is>
      </c>
      <c r="F142" s="10" t="inlineStr"/>
      <c r="G142" s="10" t="inlineStr"/>
      <c r="H142" s="10" t="inlineStr">
        <is>
          <t>无CCL规则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11" t="inlineStr"/>
      <c r="V142" s="12" t="inlineStr"/>
      <c r="W142" s="12" t="inlineStr"/>
      <c r="X142" s="12" t="n">
        <v>143</v>
      </c>
      <c r="Y142" s="12" t="inlineStr">
        <is>
          <t>CSR-BIZ-20260724-V1</t>
        </is>
      </c>
    </row>
    <row r="143">
      <c r="A143" s="10" t="inlineStr">
        <is>
          <t>无变化</t>
        </is>
      </c>
      <c r="B143" s="10" t="inlineStr">
        <is>
          <t>106008</t>
        </is>
      </c>
      <c r="C143" s="10" t="inlineStr">
        <is>
          <t>川英创力</t>
        </is>
      </c>
      <c r="D143" s="10" t="inlineStr">
        <is>
          <t>夏则栋</t>
        </is>
      </c>
      <c r="E143" s="10" t="inlineStr">
        <is>
          <t>莫玉</t>
        </is>
      </c>
      <c r="F143" s="10" t="inlineStr"/>
      <c r="G143" s="10" t="inlineStr"/>
      <c r="H143" s="10" t="inlineStr">
        <is>
          <t>启用</t>
        </is>
      </c>
      <c r="I143" s="6" t="inlineStr">
        <is>
          <t>订单上没有写胶系时=NY2140，TG140=NY2140,TG150=NY2150,TG170=NY2170</t>
        </is>
      </c>
      <c r="J143" s="6" t="inlineStr"/>
      <c r="K143" s="6" t="inlineStr">
        <is>
          <t>客户W/W=厂内F/F</t>
        </is>
      </c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11" t="inlineStr"/>
      <c r="V143" s="12" t="inlineStr"/>
      <c r="W143" s="12" t="inlineStr"/>
      <c r="X143" s="12" t="n">
        <v>144</v>
      </c>
      <c r="Y143" s="12" t="inlineStr">
        <is>
          <t>CSR-BIZ-20260724-V1</t>
        </is>
      </c>
    </row>
    <row r="144">
      <c r="A144" s="10" t="inlineStr">
        <is>
          <t>无变化</t>
        </is>
      </c>
      <c r="B144" s="10" t="inlineStr">
        <is>
          <t>104376</t>
        </is>
      </c>
      <c r="C144" s="10" t="inlineStr">
        <is>
          <t>沪士电子</t>
        </is>
      </c>
      <c r="D144" s="10" t="inlineStr">
        <is>
          <t>夏则栋</t>
        </is>
      </c>
      <c r="E144" s="10" t="inlineStr">
        <is>
          <t>莫玉</t>
        </is>
      </c>
      <c r="F144" s="10" t="inlineStr"/>
      <c r="G144" s="10" t="inlineStr"/>
      <c r="H144" s="10" t="inlineStr">
        <is>
          <t>启用</t>
        </is>
      </c>
      <c r="I144" s="6" t="inlineStr"/>
      <c r="J144" s="6" t="inlineStr"/>
      <c r="K144" s="6" t="inlineStr"/>
      <c r="L144" s="6" t="inlineStr"/>
      <c r="M144" s="6" t="inlineStr"/>
      <c r="N144" s="6" t="inlineStr">
        <is>
          <t>PVLP=HVLP2，FVLP=HVLP3，HVLP=HVLP1</t>
        </is>
      </c>
      <c r="O144" s="6" t="inlineStr"/>
      <c r="P144" s="6" t="inlineStr"/>
      <c r="Q144" s="6" t="inlineStr"/>
      <c r="R144" s="6" t="inlineStr"/>
      <c r="S144" s="6" t="inlineStr"/>
      <c r="T144" s="6" t="inlineStr"/>
      <c r="U144" s="11" t="inlineStr"/>
      <c r="V144" s="12" t="inlineStr"/>
      <c r="W144" s="12" t="inlineStr"/>
      <c r="X144" s="12" t="n">
        <v>145</v>
      </c>
      <c r="Y144" s="12" t="inlineStr">
        <is>
          <t>CSR-BIZ-20260724-V1</t>
        </is>
      </c>
    </row>
    <row r="145">
      <c r="A145" s="10" t="inlineStr">
        <is>
          <t>无变化</t>
        </is>
      </c>
      <c r="B145" s="10" t="inlineStr">
        <is>
          <t>122018</t>
        </is>
      </c>
      <c r="C145" s="10" t="inlineStr">
        <is>
          <t>黄石沪士</t>
        </is>
      </c>
      <c r="D145" s="10" t="inlineStr">
        <is>
          <t>夏则栋</t>
        </is>
      </c>
      <c r="E145" s="10" t="inlineStr">
        <is>
          <t>莫玉</t>
        </is>
      </c>
      <c r="F145" s="10" t="inlineStr"/>
      <c r="G145" s="10" t="inlineStr"/>
      <c r="H145" s="10" t="inlineStr">
        <is>
          <t>启用</t>
        </is>
      </c>
      <c r="I145" s="6" t="inlineStr"/>
      <c r="J145" s="6" t="inlineStr"/>
      <c r="K145" s="6" t="inlineStr"/>
      <c r="L145" s="6" t="inlineStr"/>
      <c r="M145" s="6" t="inlineStr"/>
      <c r="N145" s="6" t="inlineStr">
        <is>
          <t>PVLP=HVLP2，FVLP=HVLP3，HVLP=HVLP1</t>
        </is>
      </c>
      <c r="O145" s="6" t="inlineStr"/>
      <c r="P145" s="6" t="inlineStr"/>
      <c r="Q145" s="6" t="inlineStr"/>
      <c r="R145" s="6" t="inlineStr"/>
      <c r="S145" s="6" t="inlineStr"/>
      <c r="T145" s="6" t="inlineStr"/>
      <c r="U145" s="11" t="inlineStr"/>
      <c r="V145" s="12" t="inlineStr"/>
      <c r="W145" s="12" t="inlineStr"/>
      <c r="X145" s="12" t="n">
        <v>146</v>
      </c>
      <c r="Y145" s="12" t="inlineStr">
        <is>
          <t>CSR-BIZ-20260724-V1</t>
        </is>
      </c>
    </row>
    <row r="146">
      <c r="A146" s="10" t="inlineStr">
        <is>
          <t>无变化</t>
        </is>
      </c>
      <c r="B146" s="10" t="inlineStr">
        <is>
          <t>104353</t>
        </is>
      </c>
      <c r="C146" s="10" t="inlineStr">
        <is>
          <t>江苏贺鸿</t>
        </is>
      </c>
      <c r="D146" s="10" t="inlineStr">
        <is>
          <t>夏则栋</t>
        </is>
      </c>
      <c r="E146" s="10" t="inlineStr">
        <is>
          <t>莫玉</t>
        </is>
      </c>
      <c r="F146" s="10" t="inlineStr"/>
      <c r="G146" s="10" t="inlineStr"/>
      <c r="H146" s="10" t="inlineStr">
        <is>
          <t>无CCL规则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11" t="inlineStr"/>
      <c r="V146" s="12" t="inlineStr"/>
      <c r="W146" s="12" t="inlineStr"/>
      <c r="X146" s="12" t="n">
        <v>147</v>
      </c>
      <c r="Y146" s="12" t="inlineStr">
        <is>
          <t>CSR-BIZ-20260724-V1</t>
        </is>
      </c>
    </row>
    <row r="147">
      <c r="A147" s="10" t="inlineStr">
        <is>
          <t>无变化</t>
        </is>
      </c>
      <c r="B147" s="10" t="inlineStr">
        <is>
          <t>109067</t>
        </is>
      </c>
      <c r="C147" s="10" t="inlineStr">
        <is>
          <t>衢州顺络</t>
        </is>
      </c>
      <c r="D147" s="10" t="inlineStr">
        <is>
          <t>夏则栋</t>
        </is>
      </c>
      <c r="E147" s="10" t="inlineStr">
        <is>
          <t>莫玉</t>
        </is>
      </c>
      <c r="F147" s="10" t="inlineStr"/>
      <c r="G147" s="10" t="inlineStr"/>
      <c r="H147" s="10" t="inlineStr">
        <is>
          <t>无CCL规则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11" t="inlineStr"/>
      <c r="V147" s="12" t="inlineStr"/>
      <c r="W147" s="12" t="inlineStr"/>
      <c r="X147" s="12" t="n">
        <v>148</v>
      </c>
      <c r="Y147" s="12" t="inlineStr">
        <is>
          <t>CSR-BIZ-20260724-V1</t>
        </is>
      </c>
    </row>
    <row r="148">
      <c r="A148" s="10" t="inlineStr">
        <is>
          <t>无变化</t>
        </is>
      </c>
      <c r="B148" s="10" t="inlineStr">
        <is>
          <t>106017</t>
        </is>
      </c>
      <c r="C148" s="10" t="inlineStr">
        <is>
          <t>遂宁志超</t>
        </is>
      </c>
      <c r="D148" s="10" t="inlineStr">
        <is>
          <t>夏则栋</t>
        </is>
      </c>
      <c r="E148" s="10" t="inlineStr">
        <is>
          <t>莫玉</t>
        </is>
      </c>
      <c r="F148" s="10" t="inlineStr"/>
      <c r="G148" s="10" t="inlineStr"/>
      <c r="H148" s="10" t="inlineStr">
        <is>
          <t>无CCL规则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11" t="inlineStr"/>
      <c r="V148" s="12" t="inlineStr"/>
      <c r="W148" s="12" t="inlineStr"/>
      <c r="X148" s="12" t="n">
        <v>149</v>
      </c>
      <c r="Y148" s="12" t="inlineStr">
        <is>
          <t>CSR-BIZ-20260724-V1</t>
        </is>
      </c>
    </row>
    <row r="149">
      <c r="A149" s="10" t="inlineStr">
        <is>
          <t>无变化</t>
        </is>
      </c>
      <c r="B149" s="10" t="inlineStr">
        <is>
          <t>111001</t>
        </is>
      </c>
      <c r="C149" s="10" t="inlineStr">
        <is>
          <t>天津普林</t>
        </is>
      </c>
      <c r="D149" s="10" t="inlineStr">
        <is>
          <t>齐怀远</t>
        </is>
      </c>
      <c r="E149" s="10" t="inlineStr">
        <is>
          <t>杨黛妮</t>
        </is>
      </c>
      <c r="F149" s="10" t="inlineStr"/>
      <c r="G149" s="10" t="inlineStr"/>
      <c r="H149" s="10" t="inlineStr">
        <is>
          <t>启用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>
        <is>
          <t>客户订单上有“汽车板”字样=AC</t>
        </is>
      </c>
      <c r="P149" s="6" t="inlineStr"/>
      <c r="Q149" s="6" t="inlineStr"/>
      <c r="R149" s="6" t="inlineStr"/>
      <c r="S149" s="6" t="inlineStr"/>
      <c r="T149" s="6" t="inlineStr"/>
      <c r="U149" s="11" t="inlineStr"/>
      <c r="V149" s="12" t="inlineStr"/>
      <c r="W149" s="12" t="inlineStr"/>
      <c r="X149" s="12" t="n">
        <v>150</v>
      </c>
      <c r="Y149" s="12" t="inlineStr">
        <is>
          <t>CSR-BIZ-20260724-V1</t>
        </is>
      </c>
    </row>
    <row r="150">
      <c r="A150" s="10" t="inlineStr">
        <is>
          <t>无变化</t>
        </is>
      </c>
      <c r="B150" s="10" t="inlineStr">
        <is>
          <t>104369</t>
        </is>
      </c>
      <c r="C150" s="10" t="inlineStr">
        <is>
          <t>无锡统盟</t>
        </is>
      </c>
      <c r="D150" s="10" t="inlineStr">
        <is>
          <t>夏则栋</t>
        </is>
      </c>
      <c r="E150" s="10" t="inlineStr">
        <is>
          <t>莫玉</t>
        </is>
      </c>
      <c r="F150" s="10" t="inlineStr"/>
      <c r="G150" s="10" t="inlineStr"/>
      <c r="H150" s="10" t="inlineStr">
        <is>
          <t>无CCL规则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11" t="inlineStr"/>
      <c r="V150" s="12" t="inlineStr"/>
      <c r="W150" s="12" t="inlineStr"/>
      <c r="X150" s="12" t="n">
        <v>151</v>
      </c>
      <c r="Y150" s="12" t="inlineStr">
        <is>
          <t>CSR-BIZ-20260724-V1</t>
        </is>
      </c>
    </row>
    <row r="151">
      <c r="A151" s="10" t="inlineStr">
        <is>
          <t>无变化</t>
        </is>
      </c>
      <c r="B151" s="10" t="inlineStr">
        <is>
          <t>109084</t>
        </is>
      </c>
      <c r="C151" s="10" t="inlineStr">
        <is>
          <t>浙江君浩</t>
        </is>
      </c>
      <c r="D151" s="10" t="inlineStr">
        <is>
          <t>夏则栋</t>
        </is>
      </c>
      <c r="E151" s="10" t="inlineStr">
        <is>
          <t>莫玉</t>
        </is>
      </c>
      <c r="F151" s="10" t="inlineStr"/>
      <c r="G151" s="10" t="inlineStr"/>
      <c r="H151" s="10" t="inlineStr">
        <is>
          <t>无CCL规则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11" t="inlineStr"/>
      <c r="V151" s="12" t="inlineStr"/>
      <c r="W151" s="12" t="inlineStr"/>
      <c r="X151" s="12" t="n">
        <v>152</v>
      </c>
      <c r="Y151" s="12" t="inlineStr">
        <is>
          <t>CSR-BIZ-20260724-V1</t>
        </is>
      </c>
    </row>
    <row r="152">
      <c r="A152" s="10" t="inlineStr">
        <is>
          <t>无变化</t>
        </is>
      </c>
      <c r="B152" s="10" t="inlineStr">
        <is>
          <t>109003</t>
        </is>
      </c>
      <c r="C152" s="10" t="inlineStr">
        <is>
          <t>浙江上豪</t>
        </is>
      </c>
      <c r="D152" s="10" t="inlineStr">
        <is>
          <t>夏则栋</t>
        </is>
      </c>
      <c r="E152" s="10" t="inlineStr">
        <is>
          <t>莫玉</t>
        </is>
      </c>
      <c r="F152" s="10" t="inlineStr"/>
      <c r="G152" s="10" t="inlineStr"/>
      <c r="H152" s="10" t="inlineStr">
        <is>
          <t>无CCL规则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11" t="inlineStr"/>
      <c r="V152" s="12" t="inlineStr"/>
      <c r="W152" s="12" t="inlineStr"/>
      <c r="X152" s="12" t="n">
        <v>153</v>
      </c>
      <c r="Y152" s="12" t="inlineStr">
        <is>
          <t>CSR-BIZ-20260724-V1</t>
        </is>
      </c>
    </row>
    <row r="153">
      <c r="A153" s="10" t="inlineStr">
        <is>
          <t>无变化</t>
        </is>
      </c>
      <c r="B153" s="10" t="inlineStr">
        <is>
          <t>104339</t>
        </is>
      </c>
      <c r="C153" s="10" t="inlineStr">
        <is>
          <t>统盟二厂</t>
        </is>
      </c>
      <c r="D153" s="10" t="inlineStr">
        <is>
          <t>夏则栋</t>
        </is>
      </c>
      <c r="E153" s="10" t="inlineStr">
        <is>
          <t>莫玉</t>
        </is>
      </c>
      <c r="F153" s="10" t="inlineStr"/>
      <c r="G153" s="10" t="inlineStr"/>
      <c r="H153" s="10" t="inlineStr">
        <is>
          <t>无CCL规则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11" t="inlineStr"/>
      <c r="V153" s="12" t="inlineStr"/>
      <c r="W153" s="12" t="inlineStr"/>
      <c r="X153" s="12" t="n">
        <v>154</v>
      </c>
      <c r="Y153" s="12" t="inlineStr">
        <is>
          <t>CSR-BIZ-20260724-V1</t>
        </is>
      </c>
    </row>
    <row r="154">
      <c r="A154" s="10" t="inlineStr">
        <is>
          <t>无变化</t>
        </is>
      </c>
      <c r="B154" s="10" t="inlineStr">
        <is>
          <t>104418</t>
        </is>
      </c>
      <c r="C154" s="10" t="inlineStr">
        <is>
          <t>统盟三厂</t>
        </is>
      </c>
      <c r="D154" s="10" t="inlineStr">
        <is>
          <t>夏则栋</t>
        </is>
      </c>
      <c r="E154" s="10" t="inlineStr">
        <is>
          <t>莫玉</t>
        </is>
      </c>
      <c r="F154" s="10" t="inlineStr"/>
      <c r="G154" s="10" t="inlineStr"/>
      <c r="H154" s="10" t="inlineStr">
        <is>
          <t>无CCL规则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11" t="inlineStr"/>
      <c r="V154" s="12" t="inlineStr"/>
      <c r="W154" s="12" t="inlineStr"/>
      <c r="X154" s="12" t="n">
        <v>155</v>
      </c>
      <c r="Y154" s="12" t="inlineStr">
        <is>
          <t>CSR-BIZ-20260724-V1</t>
        </is>
      </c>
    </row>
    <row r="155">
      <c r="A155" s="10" t="inlineStr">
        <is>
          <t>无变化</t>
        </is>
      </c>
      <c r="B155" s="10" t="inlineStr">
        <is>
          <t>106011</t>
        </is>
      </c>
      <c r="C155" s="10" t="inlineStr">
        <is>
          <t>川华兴宇</t>
        </is>
      </c>
      <c r="D155" s="10" t="inlineStr">
        <is>
          <t>夏则栋</t>
        </is>
      </c>
      <c r="E155" s="10" t="inlineStr">
        <is>
          <t>莫玉</t>
        </is>
      </c>
      <c r="F155" s="10" t="inlineStr"/>
      <c r="G155" s="10" t="inlineStr"/>
      <c r="H155" s="10" t="inlineStr">
        <is>
          <t>启用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>
        <is>
          <t>NY3150HC/NY3170HC=AC；NY2140=A1;NY2140L=A5;NY2150/NY2170 0.9mm（含）以上=A1；NY2150/NY2170 0.9mm（含）以下=AC</t>
        </is>
      </c>
      <c r="P155" s="6" t="inlineStr"/>
      <c r="Q155" s="6" t="inlineStr"/>
      <c r="R155" s="6" t="inlineStr"/>
      <c r="S155" s="6" t="inlineStr"/>
      <c r="T155" s="6" t="inlineStr"/>
      <c r="U155" s="11" t="inlineStr"/>
      <c r="V155" s="12" t="inlineStr"/>
      <c r="W155" s="12" t="inlineStr"/>
      <c r="X155" s="12" t="n">
        <v>156</v>
      </c>
      <c r="Y155" s="12" t="inlineStr">
        <is>
          <t>CSR-BIZ-20260724-V1</t>
        </is>
      </c>
    </row>
    <row r="156">
      <c r="A156" s="10" t="inlineStr">
        <is>
          <t>无变化</t>
        </is>
      </c>
      <c r="B156" s="10" t="inlineStr">
        <is>
          <t>103711</t>
        </is>
      </c>
      <c r="C156" s="10" t="inlineStr">
        <is>
          <t>东莞若美</t>
        </is>
      </c>
      <c r="D156" s="10" t="inlineStr">
        <is>
          <t>谢守驰</t>
        </is>
      </c>
      <c r="E156" s="10" t="inlineStr">
        <is>
          <t>张歌</t>
        </is>
      </c>
      <c r="F156" s="10" t="inlineStr"/>
      <c r="G156" s="10" t="inlineStr"/>
      <c r="H156" s="10" t="inlineStr">
        <is>
          <t>无CCL规则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11" t="inlineStr"/>
      <c r="V156" s="12" t="inlineStr"/>
      <c r="W156" s="12" t="inlineStr"/>
      <c r="X156" s="12" t="n">
        <v>157</v>
      </c>
      <c r="Y156" s="12" t="inlineStr">
        <is>
          <t>CSR-BIZ-20260724-V1</t>
        </is>
      </c>
    </row>
    <row r="157">
      <c r="A157" s="10" t="inlineStr">
        <is>
          <t>无变化</t>
        </is>
      </c>
      <c r="B157" s="10" t="inlineStr">
        <is>
          <t>103931</t>
        </is>
      </c>
      <c r="C157" s="10" t="inlineStr">
        <is>
          <t>东晶维鑫</t>
        </is>
      </c>
      <c r="D157" s="10" t="inlineStr">
        <is>
          <t>谢守驰</t>
        </is>
      </c>
      <c r="E157" s="10" t="inlineStr">
        <is>
          <t>张歌</t>
        </is>
      </c>
      <c r="F157" s="10" t="inlineStr"/>
      <c r="G157" s="10" t="inlineStr"/>
      <c r="H157" s="10" t="inlineStr">
        <is>
          <t>无CCL规则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11" t="inlineStr"/>
      <c r="V157" s="12" t="inlineStr"/>
      <c r="W157" s="12" t="inlineStr"/>
      <c r="X157" s="12" t="n">
        <v>158</v>
      </c>
      <c r="Y157" s="12" t="inlineStr">
        <is>
          <t>CSR-BIZ-20260724-V1</t>
        </is>
      </c>
    </row>
    <row r="158">
      <c r="A158" s="10" t="inlineStr">
        <is>
          <t>无变化</t>
        </is>
      </c>
      <c r="B158" s="10" t="inlineStr">
        <is>
          <t>122019</t>
        </is>
      </c>
      <c r="C158" s="10" t="inlineStr">
        <is>
          <t>湖北金禄</t>
        </is>
      </c>
      <c r="D158" s="10" t="inlineStr">
        <is>
          <t>谢守驰</t>
        </is>
      </c>
      <c r="E158" s="10" t="inlineStr">
        <is>
          <t>张歌</t>
        </is>
      </c>
      <c r="F158" s="10" t="inlineStr"/>
      <c r="G158" s="10" t="inlineStr"/>
      <c r="H158" s="10" t="inlineStr">
        <is>
          <t>启用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>
        <is>
          <t>当胶系=NY3150HF、NY3176HF、NY3170HF，都下AD HDI板，当备注宁德、ND字样=AC</t>
        </is>
      </c>
      <c r="P158" s="6" t="inlineStr"/>
      <c r="Q158" s="6" t="inlineStr"/>
      <c r="R158" s="6" t="inlineStr"/>
      <c r="S158" s="6" t="inlineStr"/>
      <c r="T158" s="6" t="inlineStr"/>
      <c r="U158" s="11" t="inlineStr"/>
      <c r="V158" s="12" t="inlineStr"/>
      <c r="W158" s="12" t="inlineStr"/>
      <c r="X158" s="12" t="n">
        <v>159</v>
      </c>
      <c r="Y158" s="12" t="inlineStr">
        <is>
          <t>CSR-BIZ-20260724-V1</t>
        </is>
      </c>
    </row>
    <row r="159">
      <c r="A159" s="10" t="inlineStr">
        <is>
          <t>无变化</t>
        </is>
      </c>
      <c r="B159" s="10" t="inlineStr">
        <is>
          <t>104359</t>
        </is>
      </c>
      <c r="C159" s="10" t="inlineStr">
        <is>
          <t>淮安特创</t>
        </is>
      </c>
      <c r="D159" s="10" t="inlineStr">
        <is>
          <t>谢守驰</t>
        </is>
      </c>
      <c r="E159" s="10" t="inlineStr">
        <is>
          <t>张歌</t>
        </is>
      </c>
      <c r="F159" s="10" t="inlineStr"/>
      <c r="G159" s="10" t="inlineStr"/>
      <c r="H159" s="10" t="inlineStr">
        <is>
          <t>启用</t>
        </is>
      </c>
      <c r="I159" s="6" t="inlineStr">
        <is>
          <t>NY3150HF=3B</t>
        </is>
      </c>
      <c r="J159" s="6" t="inlineStr"/>
      <c r="K159" s="6" t="inlineStr"/>
      <c r="L159" s="6" t="inlineStr">
        <is>
          <t>37*49=37.3*49.3，41*49=41.3*49.3，43*49=43.3*49.3，74*49=74.3*49.3，82*49=82.3*49.3，86*49=86.3*49.3</t>
        </is>
      </c>
      <c r="M159" s="6" t="inlineStr"/>
      <c r="N159" s="6" t="inlineStr"/>
      <c r="O159" s="6" t="inlineStr">
        <is>
          <t>当NY3150HF=3B时=AT;当备注中有汽车专用字样时=AC；当胶系=NY3150HF,厚度=0.5，铜箔=1/1时=AC</t>
        </is>
      </c>
      <c r="P159" s="6" t="inlineStr"/>
      <c r="Q159" s="6" t="inlineStr"/>
      <c r="R159" s="6" t="inlineStr"/>
      <c r="S159" s="6" t="inlineStr"/>
      <c r="T159" s="6" t="inlineStr"/>
      <c r="U159" s="11" t="inlineStr"/>
      <c r="V159" s="12" t="inlineStr"/>
      <c r="W159" s="12" t="inlineStr">
        <is>
          <t>尺寸放大0.3；PP要备注卷数</t>
        </is>
      </c>
      <c r="X159" s="12" t="n">
        <v>160</v>
      </c>
      <c r="Y159" s="12" t="inlineStr">
        <is>
          <t>CSR-BIZ-20260724-V1</t>
        </is>
      </c>
    </row>
    <row r="160">
      <c r="A160" s="10" t="inlineStr">
        <is>
          <t>无变化</t>
        </is>
      </c>
      <c r="B160" s="10" t="inlineStr">
        <is>
          <t>103613</t>
        </is>
      </c>
      <c r="C160" s="10" t="inlineStr">
        <is>
          <t>惠州特创</t>
        </is>
      </c>
      <c r="D160" s="10" t="inlineStr">
        <is>
          <t>谢守驰</t>
        </is>
      </c>
      <c r="E160" s="10" t="inlineStr">
        <is>
          <t>张歌</t>
        </is>
      </c>
      <c r="F160" s="10" t="inlineStr"/>
      <c r="G160" s="10" t="inlineStr"/>
      <c r="H160" s="10" t="inlineStr">
        <is>
          <t>启用</t>
        </is>
      </c>
      <c r="I160" s="6" t="inlineStr"/>
      <c r="J160" s="6" t="inlineStr"/>
      <c r="K160" s="6" t="inlineStr"/>
      <c r="L160" s="6" t="inlineStr">
        <is>
          <t>37*49=37.3*49.3，41*49=41.3*49.3，43*49=43.3*49.3，74*49=74.3*49.3，82*49=82.3*49.3，86*49=86.3*49.3</t>
        </is>
      </c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11" t="inlineStr"/>
      <c r="V160" s="12" t="inlineStr"/>
      <c r="W160" s="12" t="inlineStr">
        <is>
          <t>尺寸放大0.3；PP要备注卷数</t>
        </is>
      </c>
      <c r="X160" s="12" t="n">
        <v>161</v>
      </c>
      <c r="Y160" s="12" t="inlineStr">
        <is>
          <t>CSR-BIZ-20260724-V1</t>
        </is>
      </c>
    </row>
    <row r="161">
      <c r="A161" s="10" t="inlineStr">
        <is>
          <t>无变化</t>
        </is>
      </c>
      <c r="B161" s="10" t="inlineStr">
        <is>
          <t>123075</t>
        </is>
      </c>
      <c r="C161" s="10" t="inlineStr">
        <is>
          <t>江联锦成</t>
        </is>
      </c>
      <c r="D161" s="10" t="inlineStr">
        <is>
          <t>谢守驰</t>
        </is>
      </c>
      <c r="E161" s="10" t="inlineStr">
        <is>
          <t>张歌</t>
        </is>
      </c>
      <c r="F161" s="10" t="inlineStr"/>
      <c r="G161" s="10" t="inlineStr"/>
      <c r="H161" s="10" t="inlineStr">
        <is>
          <t>无CCL规则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11" t="inlineStr"/>
      <c r="V161" s="12" t="inlineStr"/>
      <c r="W161" s="12" t="inlineStr"/>
      <c r="X161" s="12" t="n">
        <v>162</v>
      </c>
      <c r="Y161" s="12" t="inlineStr">
        <is>
          <t>CSR-BIZ-20260724-V1</t>
        </is>
      </c>
    </row>
    <row r="162">
      <c r="A162" s="10" t="inlineStr">
        <is>
          <t>无变化</t>
        </is>
      </c>
      <c r="B162" s="10" t="inlineStr">
        <is>
          <t>103729</t>
        </is>
      </c>
      <c r="C162" s="10" t="inlineStr">
        <is>
          <t>清远金禄</t>
        </is>
      </c>
      <c r="D162" s="10" t="inlineStr">
        <is>
          <t>谢守驰</t>
        </is>
      </c>
      <c r="E162" s="10" t="inlineStr">
        <is>
          <t>张歌</t>
        </is>
      </c>
      <c r="F162" s="10" t="inlineStr"/>
      <c r="G162" s="10" t="inlineStr"/>
      <c r="H162" s="10" t="inlineStr">
        <is>
          <t>启用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>
        <is>
          <t>当胶系=NY3150HF、NY3176HF、NY3170HF时=AD</t>
        </is>
      </c>
      <c r="P162" s="6" t="inlineStr"/>
      <c r="Q162" s="6" t="inlineStr"/>
      <c r="R162" s="6" t="inlineStr"/>
      <c r="S162" s="6" t="inlineStr"/>
      <c r="T162" s="6" t="inlineStr"/>
      <c r="U162" s="11" t="inlineStr"/>
      <c r="V162" s="12" t="inlineStr"/>
      <c r="W162" s="12" t="inlineStr"/>
      <c r="X162" s="12" t="n">
        <v>163</v>
      </c>
      <c r="Y162" s="12" t="inlineStr">
        <is>
          <t>CSR-BIZ-20260724-V1</t>
        </is>
      </c>
    </row>
    <row r="163">
      <c r="A163" s="10" t="inlineStr">
        <is>
          <t>无变化</t>
        </is>
      </c>
      <c r="B163" s="10" t="inlineStr">
        <is>
          <t>103032</t>
        </is>
      </c>
      <c r="C163" s="10" t="inlineStr">
        <is>
          <t>深圳富盛</t>
        </is>
      </c>
      <c r="D163" s="10" t="inlineStr">
        <is>
          <t>谢守驰</t>
        </is>
      </c>
      <c r="E163" s="10" t="inlineStr">
        <is>
          <t>张歌</t>
        </is>
      </c>
      <c r="F163" s="10" t="inlineStr"/>
      <c r="G163" s="10" t="inlineStr"/>
      <c r="H163" s="10" t="inlineStr">
        <is>
          <t>无CCL规则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11" t="inlineStr"/>
      <c r="V163" s="12" t="inlineStr"/>
      <c r="W163" s="12" t="inlineStr"/>
      <c r="X163" s="12" t="n">
        <v>164</v>
      </c>
      <c r="Y163" s="12" t="inlineStr">
        <is>
          <t>CSR-BIZ-20260724-V1</t>
        </is>
      </c>
    </row>
    <row r="164">
      <c r="A164" s="10" t="inlineStr">
        <is>
          <t>无变化</t>
        </is>
      </c>
      <c r="B164" s="10" t="inlineStr">
        <is>
          <t>103932</t>
        </is>
      </c>
      <c r="C164" s="10" t="inlineStr">
        <is>
          <t>深圳申凯</t>
        </is>
      </c>
      <c r="D164" s="10" t="inlineStr">
        <is>
          <t>谢守驰</t>
        </is>
      </c>
      <c r="E164" s="10" t="inlineStr">
        <is>
          <t>张歌</t>
        </is>
      </c>
      <c r="F164" s="10" t="inlineStr"/>
      <c r="G164" s="10" t="inlineStr"/>
      <c r="H164" s="10" t="inlineStr">
        <is>
          <t>无CCL规则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11" t="inlineStr"/>
      <c r="V164" s="12" t="inlineStr"/>
      <c r="W164" s="12" t="inlineStr"/>
      <c r="X164" s="12" t="n">
        <v>165</v>
      </c>
      <c r="Y164" s="12" t="inlineStr">
        <is>
          <t>CSR-BIZ-20260724-V1</t>
        </is>
      </c>
    </row>
    <row r="165">
      <c r="A165" s="10" t="inlineStr">
        <is>
          <t>无变化</t>
        </is>
      </c>
      <c r="B165" s="10" t="inlineStr">
        <is>
          <t>103507</t>
        </is>
      </c>
      <c r="C165" s="10" t="inlineStr">
        <is>
          <t>众信天成</t>
        </is>
      </c>
      <c r="D165" s="10" t="inlineStr">
        <is>
          <t>谢守驰</t>
        </is>
      </c>
      <c r="E165" s="10" t="inlineStr">
        <is>
          <t>张歌</t>
        </is>
      </c>
      <c r="F165" s="10" t="inlineStr"/>
      <c r="G165" s="10" t="inlineStr"/>
      <c r="H165" s="10" t="inlineStr">
        <is>
          <t>无CCL规则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11" t="inlineStr"/>
      <c r="V165" s="12" t="inlineStr"/>
      <c r="W165" s="12" t="inlineStr"/>
      <c r="X165" s="12" t="n">
        <v>166</v>
      </c>
      <c r="Y165" s="12" t="inlineStr">
        <is>
          <t>CSR-BIZ-20260724-V1</t>
        </is>
      </c>
    </row>
    <row r="166">
      <c r="A166" s="10" t="inlineStr">
        <is>
          <t>无变化</t>
        </is>
      </c>
      <c r="B166" s="10" t="inlineStr">
        <is>
          <t>103477</t>
        </is>
      </c>
      <c r="C166" s="10" t="inlineStr">
        <is>
          <t>深路通达</t>
        </is>
      </c>
      <c r="D166" s="10" t="inlineStr">
        <is>
          <t>谢守驰</t>
        </is>
      </c>
      <c r="E166" s="10" t="inlineStr">
        <is>
          <t>张歌</t>
        </is>
      </c>
      <c r="F166" s="10" t="inlineStr"/>
      <c r="G166" s="10" t="inlineStr"/>
      <c r="H166" s="10" t="inlineStr">
        <is>
          <t>无CCL规则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11" t="inlineStr"/>
      <c r="V166" s="12" t="inlineStr"/>
      <c r="W166" s="12" t="inlineStr"/>
      <c r="X166" s="12" t="n">
        <v>167</v>
      </c>
      <c r="Y166" s="12" t="inlineStr">
        <is>
          <t>CSR-BIZ-20260724-V1</t>
        </is>
      </c>
    </row>
    <row r="167">
      <c r="A167" s="10" t="inlineStr">
        <is>
          <t>无变化</t>
        </is>
      </c>
      <c r="B167" s="10" t="inlineStr">
        <is>
          <t>123032</t>
        </is>
      </c>
      <c r="C167" s="10" t="inlineStr">
        <is>
          <t>信丰汇和</t>
        </is>
      </c>
      <c r="D167" s="10" t="inlineStr">
        <is>
          <t>谢守驰</t>
        </is>
      </c>
      <c r="E167" s="10" t="inlineStr">
        <is>
          <t>张歌</t>
        </is>
      </c>
      <c r="F167" s="10" t="inlineStr"/>
      <c r="G167" s="10" t="inlineStr"/>
      <c r="H167" s="10" t="inlineStr">
        <is>
          <t>启用</t>
        </is>
      </c>
      <c r="I167" s="6" t="inlineStr"/>
      <c r="J167" s="6" t="inlineStr"/>
      <c r="K167" s="6" t="inlineStr"/>
      <c r="L167" s="6" t="inlineStr">
        <is>
          <t>37*41=37.3*49.3，41*49=41.3*49.3，43*49=43.3*49.3，82*49=82.3*49.3，86*49=86.3*49.3</t>
        </is>
      </c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11" t="inlineStr"/>
      <c r="V167" s="12" t="inlineStr"/>
      <c r="W167" s="12" t="inlineStr">
        <is>
          <t>尺寸放大0.3</t>
        </is>
      </c>
      <c r="X167" s="12" t="n">
        <v>168</v>
      </c>
      <c r="Y167" s="12" t="inlineStr">
        <is>
          <t>CSR-BIZ-20260724-V1</t>
        </is>
      </c>
    </row>
    <row r="168">
      <c r="A168" s="10" t="inlineStr">
        <is>
          <t>无变化</t>
        </is>
      </c>
      <c r="B168" s="10" t="inlineStr">
        <is>
          <t>123004</t>
        </is>
      </c>
      <c r="C168" s="10" t="inlineStr">
        <is>
          <t>信丰共赢</t>
        </is>
      </c>
      <c r="D168" s="10" t="inlineStr">
        <is>
          <t>徐书英</t>
        </is>
      </c>
      <c r="E168" s="10" t="inlineStr">
        <is>
          <t>梁莹</t>
        </is>
      </c>
      <c r="F168" s="10" t="inlineStr"/>
      <c r="G168" s="10" t="inlineStr"/>
      <c r="H168" s="10" t="inlineStr">
        <is>
          <t>启用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>
        <is>
          <t>NY2140&amp;板厚0.8(含)以上&amp;1oz铜箔以下=F1料号</t>
        </is>
      </c>
      <c r="P168" s="6" t="inlineStr"/>
      <c r="Q168" s="6" t="inlineStr"/>
      <c r="R168" s="6" t="inlineStr"/>
      <c r="S168" s="6" t="inlineStr"/>
      <c r="T168" s="6" t="inlineStr"/>
      <c r="U168" s="11" t="inlineStr"/>
      <c r="V168" s="12" t="inlineStr">
        <is>
          <t>NY2140 板厚0.8及以上，1oz铜箔以下下F1料号</t>
        </is>
      </c>
      <c r="W168" s="12" t="inlineStr"/>
      <c r="X168" s="12" t="n">
        <v>169</v>
      </c>
      <c r="Y168" s="12" t="inlineStr">
        <is>
          <t>CSR-BIZ-20260724-V1</t>
        </is>
      </c>
    </row>
    <row r="169">
      <c r="A169" s="10" t="inlineStr">
        <is>
          <t>无变化</t>
        </is>
      </c>
      <c r="B169" s="10" t="inlineStr">
        <is>
          <t>123021</t>
        </is>
      </c>
      <c r="C169" s="10" t="inlineStr">
        <is>
          <t>信迅捷兴</t>
        </is>
      </c>
      <c r="D169" s="10" t="inlineStr">
        <is>
          <t>徐书英</t>
        </is>
      </c>
      <c r="E169" s="10" t="inlineStr">
        <is>
          <t>梁莹</t>
        </is>
      </c>
      <c r="F169" s="10" t="inlineStr"/>
      <c r="G169" s="10" t="inlineStr"/>
      <c r="H169" s="10" t="inlineStr">
        <is>
          <t>启用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>
        <is>
          <t>NY2140&amp;板厚0.8(含)以上&amp;1oz铜箔以下=F1料号</t>
        </is>
      </c>
      <c r="P169" s="6" t="inlineStr"/>
      <c r="Q169" s="6" t="inlineStr"/>
      <c r="R169" s="6" t="inlineStr"/>
      <c r="S169" s="6" t="inlineStr"/>
      <c r="T169" s="6" t="inlineStr"/>
      <c r="U169" s="11" t="inlineStr"/>
      <c r="V169" s="12" t="inlineStr"/>
      <c r="W169" s="12" t="inlineStr"/>
      <c r="X169" s="12" t="n">
        <v>170</v>
      </c>
      <c r="Y169" s="12" t="inlineStr">
        <is>
          <t>CSR-BIZ-20260724-V1</t>
        </is>
      </c>
    </row>
    <row r="170">
      <c r="A170" s="10" t="inlineStr">
        <is>
          <t>无变化</t>
        </is>
      </c>
      <c r="B170" s="10" t="inlineStr">
        <is>
          <t>103006</t>
        </is>
      </c>
      <c r="C170" s="10" t="inlineStr">
        <is>
          <t>中宝悦嘉</t>
        </is>
      </c>
      <c r="D170" s="10" t="inlineStr">
        <is>
          <t>徐书英</t>
        </is>
      </c>
      <c r="E170" s="10" t="inlineStr">
        <is>
          <t>梁莹</t>
        </is>
      </c>
      <c r="F170" s="10" t="inlineStr"/>
      <c r="G170" s="10" t="inlineStr"/>
      <c r="H170" s="10" t="inlineStr">
        <is>
          <t>启用</t>
        </is>
      </c>
      <c r="I170" s="6" t="inlineStr"/>
      <c r="J170" s="6" t="inlineStr"/>
      <c r="K170" s="6" t="inlineStr">
        <is>
          <t>1-/1-=K/K；H-/H-=J/J</t>
        </is>
      </c>
      <c r="L170" s="6" t="inlineStr"/>
      <c r="M170" s="6" t="inlineStr"/>
      <c r="N170" s="6" t="inlineStr"/>
      <c r="O170" s="6" t="inlineStr">
        <is>
          <t>NY2140&amp;板厚0.8(含)以上&amp;1oz铜箔以下下F1料号； NY1600=A2</t>
        </is>
      </c>
      <c r="P170" s="6" t="inlineStr"/>
      <c r="Q170" s="6" t="inlineStr"/>
      <c r="R170" s="6" t="inlineStr"/>
      <c r="S170" s="6" t="inlineStr"/>
      <c r="T170" s="6" t="inlineStr"/>
      <c r="U170" s="11" t="inlineStr"/>
      <c r="V170" s="12" t="inlineStr"/>
      <c r="W170" s="12" t="inlineStr"/>
      <c r="X170" s="12" t="n">
        <v>171</v>
      </c>
      <c r="Y170" s="12" t="inlineStr">
        <is>
          <t>CSR-BIZ-20260724-V1</t>
        </is>
      </c>
    </row>
    <row r="171">
      <c r="A171" s="10" t="inlineStr">
        <is>
          <t>无变化</t>
        </is>
      </c>
      <c r="B171" s="10" t="inlineStr">
        <is>
          <t>123040</t>
        </is>
      </c>
      <c r="C171" s="10" t="inlineStr">
        <is>
          <t>技研新阳</t>
        </is>
      </c>
      <c r="D171" s="10" t="inlineStr">
        <is>
          <t>徐书英</t>
        </is>
      </c>
      <c r="E171" s="10" t="inlineStr">
        <is>
          <t>古清婷</t>
        </is>
      </c>
      <c r="F171" s="10" t="inlineStr"/>
      <c r="G171" s="10" t="inlineStr"/>
      <c r="H171" s="10" t="inlineStr">
        <is>
          <t>无CCL规则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11" t="inlineStr"/>
      <c r="V171" s="12" t="inlineStr"/>
      <c r="W171" s="12" t="inlineStr"/>
      <c r="X171" s="12" t="n">
        <v>172</v>
      </c>
      <c r="Y171" s="12" t="inlineStr">
        <is>
          <t>CSR-BIZ-20260724-V1</t>
        </is>
      </c>
    </row>
    <row r="172">
      <c r="A172" s="10" t="inlineStr">
        <is>
          <t>无变化</t>
        </is>
      </c>
      <c r="B172" s="10" t="inlineStr">
        <is>
          <t>103936</t>
        </is>
      </c>
      <c r="C172" s="10" t="inlineStr">
        <is>
          <t>珠海益天</t>
        </is>
      </c>
      <c r="D172" s="10" t="inlineStr">
        <is>
          <t>徐书英</t>
        </is>
      </c>
      <c r="E172" s="10" t="inlineStr">
        <is>
          <t>古清婷</t>
        </is>
      </c>
      <c r="F172" s="10" t="inlineStr"/>
      <c r="G172" s="10" t="inlineStr"/>
      <c r="H172" s="10" t="inlineStr">
        <is>
          <t>无CCL规则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11" t="inlineStr"/>
      <c r="V172" s="12" t="inlineStr"/>
      <c r="W172" s="12" t="inlineStr"/>
      <c r="X172" s="12" t="n">
        <v>173</v>
      </c>
      <c r="Y172" s="12" t="inlineStr">
        <is>
          <t>CSR-BIZ-20260724-V1</t>
        </is>
      </c>
    </row>
    <row r="173">
      <c r="A173" s="10" t="inlineStr">
        <is>
          <t>无变化</t>
        </is>
      </c>
      <c r="B173" s="10" t="inlineStr">
        <is>
          <t>123008</t>
        </is>
      </c>
      <c r="C173" s="10" t="inlineStr">
        <is>
          <t>九江明阳</t>
        </is>
      </c>
      <c r="D173" s="10" t="inlineStr">
        <is>
          <t>徐书英</t>
        </is>
      </c>
      <c r="E173" s="10" t="inlineStr">
        <is>
          <t>梁莹</t>
        </is>
      </c>
      <c r="F173" s="10" t="inlineStr"/>
      <c r="G173" s="10" t="inlineStr"/>
      <c r="H173" s="10" t="inlineStr">
        <is>
          <t>启用</t>
        </is>
      </c>
      <c r="I173" s="6" t="inlineStr"/>
      <c r="J173" s="6" t="inlineStr"/>
      <c r="K173" s="6" t="inlineStr">
        <is>
          <t>W/W=F/F</t>
        </is>
      </c>
      <c r="L173" s="6" t="inlineStr"/>
      <c r="M173" s="6" t="inlineStr"/>
      <c r="N173" s="6" t="inlineStr"/>
      <c r="O173" s="6" t="inlineStr">
        <is>
          <t>NY2140&amp;板厚0.8(含)以上&amp;1oz铜箔以下下F1料号</t>
        </is>
      </c>
      <c r="P173" s="6" t="inlineStr"/>
      <c r="Q173" s="6" t="inlineStr"/>
      <c r="R173" s="6" t="inlineStr"/>
      <c r="S173" s="6" t="inlineStr"/>
      <c r="T173" s="6" t="inlineStr"/>
      <c r="U173" s="11" t="inlineStr"/>
      <c r="V173" s="12" t="inlineStr"/>
      <c r="W173" s="12" t="inlineStr"/>
      <c r="X173" s="12" t="n">
        <v>174</v>
      </c>
      <c r="Y173" s="12" t="inlineStr">
        <is>
          <t>CSR-BIZ-20260724-V1</t>
        </is>
      </c>
    </row>
    <row r="174">
      <c r="A174" s="10" t="inlineStr">
        <is>
          <t>无变化</t>
        </is>
      </c>
      <c r="B174" s="10" t="inlineStr">
        <is>
          <t>103045</t>
        </is>
      </c>
      <c r="C174" s="10" t="inlineStr">
        <is>
          <t>深圳明阳</t>
        </is>
      </c>
      <c r="D174" s="10" t="inlineStr">
        <is>
          <t>徐书英</t>
        </is>
      </c>
      <c r="E174" s="10" t="inlineStr">
        <is>
          <t>梁莹</t>
        </is>
      </c>
      <c r="F174" s="10" t="inlineStr"/>
      <c r="G174" s="10" t="inlineStr"/>
      <c r="H174" s="10" t="inlineStr">
        <is>
          <t>启用</t>
        </is>
      </c>
      <c r="I174" s="6" t="inlineStr"/>
      <c r="J174" s="6" t="inlineStr"/>
      <c r="K174" s="6" t="inlineStr">
        <is>
          <t>W/W=F/F</t>
        </is>
      </c>
      <c r="L174" s="6" t="inlineStr"/>
      <c r="M174" s="6" t="inlineStr"/>
      <c r="N174" s="6" t="inlineStr"/>
      <c r="O174" s="6" t="inlineStr">
        <is>
          <t>NY2140&amp;板厚0.8(含)以上&amp;1oz铜箔以下下F1料号</t>
        </is>
      </c>
      <c r="P174" s="6" t="inlineStr"/>
      <c r="Q174" s="6" t="inlineStr"/>
      <c r="R174" s="6" t="inlineStr"/>
      <c r="S174" s="6" t="inlineStr"/>
      <c r="T174" s="6" t="inlineStr"/>
      <c r="U174" s="11" t="inlineStr"/>
      <c r="V174" s="12" t="inlineStr"/>
      <c r="W174" s="12" t="inlineStr"/>
      <c r="X174" s="12" t="n">
        <v>175</v>
      </c>
      <c r="Y174" s="12" t="inlineStr">
        <is>
          <t>CSR-BIZ-20260724-V1</t>
        </is>
      </c>
    </row>
    <row r="175">
      <c r="A175" s="10" t="inlineStr">
        <is>
          <t>无变化</t>
        </is>
      </c>
      <c r="B175" s="10" t="inlineStr">
        <is>
          <t>123040</t>
        </is>
      </c>
      <c r="C175" s="10" t="inlineStr">
        <is>
          <t>技研新阳</t>
        </is>
      </c>
      <c r="D175" s="10" t="inlineStr">
        <is>
          <t>徐书英</t>
        </is>
      </c>
      <c r="E175" s="10" t="inlineStr">
        <is>
          <t>古清婷</t>
        </is>
      </c>
      <c r="F175" s="10" t="inlineStr"/>
      <c r="G175" s="10" t="inlineStr"/>
      <c r="H175" s="10" t="inlineStr">
        <is>
          <t>无CCL规则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11" t="inlineStr"/>
      <c r="V175" s="12" t="inlineStr"/>
      <c r="W175" s="12" t="inlineStr"/>
      <c r="X175" s="12" t="n">
        <v>176</v>
      </c>
      <c r="Y175" s="12" t="inlineStr">
        <is>
          <t>CSR-BIZ-20260724-V1</t>
        </is>
      </c>
    </row>
    <row r="176">
      <c r="A176" s="10" t="inlineStr">
        <is>
          <t>无变化</t>
        </is>
      </c>
      <c r="B176" s="10" t="inlineStr">
        <is>
          <t>123066</t>
        </is>
      </c>
      <c r="C176" s="10" t="inlineStr">
        <is>
          <t>江西伟林</t>
        </is>
      </c>
      <c r="D176" s="10" t="inlineStr">
        <is>
          <t>徐书英</t>
        </is>
      </c>
      <c r="E176" s="10" t="inlineStr">
        <is>
          <t>梁莹</t>
        </is>
      </c>
      <c r="F176" s="10" t="inlineStr"/>
      <c r="G176" s="10" t="inlineStr"/>
      <c r="H176" s="10" t="inlineStr">
        <is>
          <t>无CCL规则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11" t="inlineStr"/>
      <c r="V176" s="12" t="inlineStr"/>
      <c r="W176" s="12" t="inlineStr"/>
      <c r="X176" s="12" t="n">
        <v>177</v>
      </c>
      <c r="Y176" s="12" t="inlineStr">
        <is>
          <t>CSR-BIZ-20260724-V1</t>
        </is>
      </c>
    </row>
    <row r="177">
      <c r="A177" s="10" t="inlineStr">
        <is>
          <t>无变化</t>
        </is>
      </c>
      <c r="B177" s="10" t="inlineStr">
        <is>
          <t>103936</t>
        </is>
      </c>
      <c r="C177" s="10" t="inlineStr">
        <is>
          <t>珠海益天</t>
        </is>
      </c>
      <c r="D177" s="10" t="inlineStr">
        <is>
          <t>徐书英</t>
        </is>
      </c>
      <c r="E177" s="10" t="inlineStr">
        <is>
          <t>古清婷</t>
        </is>
      </c>
      <c r="F177" s="10" t="inlineStr"/>
      <c r="G177" s="10" t="inlineStr"/>
      <c r="H177" s="10" t="inlineStr">
        <is>
          <t>无CCL规则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11" t="inlineStr"/>
      <c r="V177" s="12" t="inlineStr"/>
      <c r="W177" s="12" t="inlineStr"/>
      <c r="X177" s="12" t="n">
        <v>178</v>
      </c>
      <c r="Y177" s="12" t="inlineStr">
        <is>
          <t>CSR-BIZ-20260724-V1</t>
        </is>
      </c>
    </row>
    <row r="178">
      <c r="A178" s="10" t="inlineStr">
        <is>
          <t>无变化</t>
        </is>
      </c>
      <c r="B178" s="10" t="inlineStr">
        <is>
          <t>105011</t>
        </is>
      </c>
      <c r="C178" s="10" t="inlineStr">
        <is>
          <t>湖南鹰飞</t>
        </is>
      </c>
      <c r="D178" s="10" t="inlineStr">
        <is>
          <t>董俟铨</t>
        </is>
      </c>
      <c r="E178" s="10" t="inlineStr">
        <is>
          <t>古清婷</t>
        </is>
      </c>
      <c r="F178" s="10" t="inlineStr"/>
      <c r="G178" s="10" t="inlineStr"/>
      <c r="H178" s="10" t="inlineStr">
        <is>
          <t>启用</t>
        </is>
      </c>
      <c r="I178" s="6" t="inlineStr">
        <is>
          <t>普通板=2A,无卤素板=AH</t>
        </is>
      </c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11" t="inlineStr"/>
      <c r="V178" s="12" t="inlineStr"/>
      <c r="W178" s="12" t="inlineStr"/>
      <c r="X178" s="12" t="n">
        <v>179</v>
      </c>
      <c r="Y178" s="12" t="inlineStr">
        <is>
          <t>CSR-BIZ-20260724-V1</t>
        </is>
      </c>
    </row>
    <row r="179">
      <c r="A179" s="10" t="inlineStr">
        <is>
          <t>无变化</t>
        </is>
      </c>
      <c r="B179" s="10" t="inlineStr">
        <is>
          <t>105017</t>
        </is>
      </c>
      <c r="C179" s="10" t="inlineStr">
        <is>
          <t>益宝悦嘉</t>
        </is>
      </c>
      <c r="D179" s="10" t="inlineStr">
        <is>
          <t>徐书英</t>
        </is>
      </c>
      <c r="E179" s="10" t="inlineStr">
        <is>
          <t>梁莹</t>
        </is>
      </c>
      <c r="F179" s="10" t="inlineStr"/>
      <c r="G179" s="10" t="inlineStr"/>
      <c r="H179" s="10" t="inlineStr">
        <is>
          <t>启用</t>
        </is>
      </c>
      <c r="I179" s="6" t="inlineStr"/>
      <c r="J179" s="6" t="inlineStr"/>
      <c r="K179" s="6" t="inlineStr">
        <is>
          <t>1-/1-=K/K H-/H-=J/J</t>
        </is>
      </c>
      <c r="L179" s="6" t="inlineStr"/>
      <c r="M179" s="6" t="inlineStr"/>
      <c r="N179" s="6" t="inlineStr"/>
      <c r="O179" s="6" t="inlineStr">
        <is>
          <t>NY2140&amp;板厚0.8(含)以上&amp;1oz铜箔以下下F1料号； NY1600=A2</t>
        </is>
      </c>
      <c r="P179" s="6" t="inlineStr"/>
      <c r="Q179" s="6" t="inlineStr"/>
      <c r="R179" s="6" t="inlineStr"/>
      <c r="S179" s="6" t="inlineStr"/>
      <c r="T179" s="6" t="inlineStr"/>
      <c r="U179" s="11" t="inlineStr"/>
      <c r="V179" s="12" t="inlineStr"/>
      <c r="W179" s="12" t="inlineStr"/>
      <c r="X179" s="12" t="n">
        <v>180</v>
      </c>
      <c r="Y179" s="12" t="inlineStr">
        <is>
          <t>CSR-BIZ-20260724-V1</t>
        </is>
      </c>
    </row>
    <row r="180">
      <c r="A180" s="10" t="inlineStr">
        <is>
          <t>无变化</t>
        </is>
      </c>
      <c r="B180" s="10" t="inlineStr">
        <is>
          <t>103996</t>
        </is>
      </c>
      <c r="C180" s="10" t="inlineStr">
        <is>
          <t>深三德盈</t>
        </is>
      </c>
      <c r="D180" s="10" t="inlineStr">
        <is>
          <t>徐书英</t>
        </is>
      </c>
      <c r="E180" s="10" t="inlineStr">
        <is>
          <t>梁莹</t>
        </is>
      </c>
      <c r="F180" s="10" t="inlineStr"/>
      <c r="G180" s="10" t="inlineStr"/>
      <c r="H180" s="10" t="inlineStr">
        <is>
          <t>启用</t>
        </is>
      </c>
      <c r="I180" s="6" t="inlineStr"/>
      <c r="J180" s="6" t="inlineStr">
        <is>
          <t>客户订单默认含铜，不含铜会备注</t>
        </is>
      </c>
      <c r="K180" s="6" t="inlineStr"/>
      <c r="L180" s="6" t="inlineStr"/>
      <c r="M180" s="6" t="inlineStr"/>
      <c r="N180" s="6" t="inlineStr"/>
      <c r="O180" s="6" t="inlineStr">
        <is>
          <t>NY2140&amp;板厚0.8(含)以上&amp;1oz铜箔以下下F1料号</t>
        </is>
      </c>
      <c r="P180" s="6" t="inlineStr"/>
      <c r="Q180" s="6" t="inlineStr"/>
      <c r="R180" s="6" t="inlineStr"/>
      <c r="S180" s="6" t="inlineStr"/>
      <c r="T180" s="6" t="inlineStr"/>
      <c r="U180" s="11" t="inlineStr"/>
      <c r="V180" s="12" t="inlineStr"/>
      <c r="W180" s="12" t="inlineStr"/>
      <c r="X180" s="12" t="n">
        <v>181</v>
      </c>
      <c r="Y180" s="12" t="inlineStr">
        <is>
          <t>CSR-BIZ-20260724-V1</t>
        </is>
      </c>
    </row>
    <row r="181">
      <c r="A181" s="10" t="inlineStr">
        <is>
          <t>无变化</t>
        </is>
      </c>
      <c r="B181" s="10" t="inlineStr">
        <is>
          <t>103407</t>
        </is>
      </c>
      <c r="C181" s="10" t="inlineStr">
        <is>
          <t>深圳恩达</t>
        </is>
      </c>
      <c r="D181" s="10" t="inlineStr">
        <is>
          <t>董俟铨</t>
        </is>
      </c>
      <c r="E181" s="10" t="inlineStr">
        <is>
          <t>古清婷</t>
        </is>
      </c>
      <c r="F181" s="10" t="inlineStr"/>
      <c r="G181" s="10" t="inlineStr"/>
      <c r="H181" s="10" t="inlineStr">
        <is>
          <t>无CCL规则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11" t="inlineStr"/>
      <c r="V181" s="12" t="inlineStr"/>
      <c r="W181" s="12" t="inlineStr">
        <is>
          <t>所有料号都是汽车板</t>
        </is>
      </c>
      <c r="X181" s="12" t="n">
        <v>182</v>
      </c>
      <c r="Y181" s="12" t="inlineStr">
        <is>
          <t>CSR-BIZ-20260724-V1</t>
        </is>
      </c>
    </row>
    <row r="182">
      <c r="A182" s="10" t="inlineStr">
        <is>
          <t>无变化</t>
        </is>
      </c>
      <c r="B182" s="10" t="inlineStr">
        <is>
          <t>127003</t>
        </is>
      </c>
      <c r="C182" s="10" t="inlineStr">
        <is>
          <t>桂林诗宇</t>
        </is>
      </c>
      <c r="D182" s="10" t="inlineStr">
        <is>
          <t>徐书英</t>
        </is>
      </c>
      <c r="E182" s="10" t="inlineStr">
        <is>
          <t>梁莹</t>
        </is>
      </c>
      <c r="F182" s="10" t="inlineStr"/>
      <c r="G182" s="10" t="inlineStr"/>
      <c r="H182" s="10" t="inlineStr">
        <is>
          <t>启用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>
        <is>
          <t>AD</t>
        </is>
      </c>
      <c r="P182" s="6" t="inlineStr"/>
      <c r="Q182" s="6" t="inlineStr"/>
      <c r="R182" s="6" t="inlineStr"/>
      <c r="S182" s="6" t="inlineStr"/>
      <c r="T182" s="6" t="inlineStr"/>
      <c r="U182" s="11" t="inlineStr"/>
      <c r="V182" s="12" t="inlineStr">
        <is>
          <t>所有物料都是HDI物料</t>
        </is>
      </c>
      <c r="W182" s="12" t="inlineStr"/>
      <c r="X182" s="12" t="n">
        <v>183</v>
      </c>
      <c r="Y182" s="12" t="inlineStr">
        <is>
          <t>CSR-BIZ-20260724-V1</t>
        </is>
      </c>
    </row>
    <row r="183">
      <c r="A183" s="10" t="inlineStr">
        <is>
          <t>无变化</t>
        </is>
      </c>
      <c r="B183" s="10" t="inlineStr">
        <is>
          <t>103295、
103692、
123063、
123054、
103385、
123108</t>
        </is>
      </c>
      <c r="C183" s="10" t="inlineStr">
        <is>
          <t>科翔集团</t>
        </is>
      </c>
      <c r="D183" s="10" t="inlineStr">
        <is>
          <t>徐书英</t>
        </is>
      </c>
      <c r="E183" s="10" t="inlineStr">
        <is>
          <t>梁莹</t>
        </is>
      </c>
      <c r="F183" s="10" t="inlineStr"/>
      <c r="G183" s="10" t="inlineStr"/>
      <c r="H183" s="10" t="inlineStr">
        <is>
          <t>启用</t>
        </is>
      </c>
      <c r="I183" s="6" t="inlineStr">
        <is>
          <t>NY3150HF-AH</t>
        </is>
      </c>
      <c r="J183" s="6" t="inlineStr"/>
      <c r="K183" s="6" t="inlineStr"/>
      <c r="L183" s="6" t="inlineStr"/>
      <c r="M183" s="6" t="inlineStr"/>
      <c r="N183" s="6" t="inlineStr"/>
      <c r="O183" s="6" t="inlineStr">
        <is>
          <t>NY3150HF=AD;NY-A1=AC;NY-A2=AC</t>
        </is>
      </c>
      <c r="P183" s="6" t="inlineStr"/>
      <c r="Q183" s="6" t="inlineStr"/>
      <c r="R183" s="6" t="inlineStr"/>
      <c r="S183" s="6" t="inlineStr"/>
      <c r="T183" s="6" t="inlineStr"/>
      <c r="U183" s="11" t="inlineStr"/>
      <c r="V183" s="12" t="inlineStr"/>
      <c r="W183" s="12" t="inlineStr"/>
      <c r="X183" s="12" t="n">
        <v>184</v>
      </c>
      <c r="Y183" s="12" t="inlineStr">
        <is>
          <t>CSR-BIZ-20260724-V1</t>
        </is>
      </c>
    </row>
    <row r="184">
      <c r="A184" s="10" t="inlineStr">
        <is>
          <t>无变化</t>
        </is>
      </c>
      <c r="B184" s="10" t="inlineStr">
        <is>
          <t>103990、
103984、
123016、
123103</t>
        </is>
      </c>
      <c r="C184" s="10" t="inlineStr">
        <is>
          <t>广华升鑫、深华升鑫</t>
        </is>
      </c>
      <c r="D184" s="10" t="inlineStr">
        <is>
          <t>徐书英</t>
        </is>
      </c>
      <c r="E184" s="10" t="inlineStr">
        <is>
          <t>梁莹</t>
        </is>
      </c>
      <c r="F184" s="10" t="inlineStr"/>
      <c r="G184" s="10" t="inlineStr"/>
      <c r="H184" s="10" t="inlineStr">
        <is>
          <t>启用</t>
        </is>
      </c>
      <c r="I184" s="6" t="inlineStr">
        <is>
          <t>NY-A2=AL</t>
        </is>
      </c>
      <c r="J184" s="6" t="inlineStr">
        <is>
          <t>客户订单默认含铜，不含铜会备注</t>
        </is>
      </c>
      <c r="K184" s="6" t="inlineStr">
        <is>
          <t>客户订单备注</t>
        </is>
      </c>
      <c r="L184" s="6" t="inlineStr"/>
      <c r="M184" s="6" t="inlineStr"/>
      <c r="N184" s="6" t="inlineStr"/>
      <c r="O184" s="6" t="inlineStr">
        <is>
          <t>当胶系=NY-A2时=AC</t>
        </is>
      </c>
      <c r="P184" s="6" t="inlineStr"/>
      <c r="Q184" s="6" t="inlineStr"/>
      <c r="R184" s="6" t="inlineStr"/>
      <c r="S184" s="6" t="inlineStr"/>
      <c r="T184" s="6" t="inlineStr"/>
      <c r="U184" s="11" t="inlineStr"/>
      <c r="V184" s="12" t="inlineStr"/>
      <c r="W184" s="12" t="inlineStr"/>
      <c r="X184" s="12" t="n">
        <v>185</v>
      </c>
      <c r="Y184" s="12" t="inlineStr">
        <is>
          <t>CSR-BIZ-20260724-V1</t>
        </is>
      </c>
    </row>
    <row r="185">
      <c r="A185" s="10" t="inlineStr">
        <is>
          <t>无变化</t>
        </is>
      </c>
      <c r="B185" s="10" t="inlineStr">
        <is>
          <t>123022</t>
        </is>
      </c>
      <c r="C185" s="10" t="inlineStr">
        <is>
          <t>江中信华</t>
        </is>
      </c>
      <c r="D185" s="10" t="inlineStr">
        <is>
          <t>徐永钢</t>
        </is>
      </c>
      <c r="E185" s="10" t="inlineStr">
        <is>
          <t>娄亚杰</t>
        </is>
      </c>
      <c r="F185" s="10" t="inlineStr"/>
      <c r="G185" s="10" t="inlineStr"/>
      <c r="H185" s="10" t="inlineStr">
        <is>
          <t>无CCL规则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11" t="inlineStr"/>
      <c r="V185" s="12" t="inlineStr"/>
      <c r="W185" s="12" t="inlineStr"/>
      <c r="X185" s="12" t="n">
        <v>186</v>
      </c>
      <c r="Y185" s="12" t="inlineStr">
        <is>
          <t>CSR-BIZ-20260724-V1</t>
        </is>
      </c>
    </row>
    <row r="186">
      <c r="A186" s="10" t="inlineStr">
        <is>
          <t>无变化</t>
        </is>
      </c>
      <c r="B186" s="10" t="inlineStr">
        <is>
          <t>104326</t>
        </is>
      </c>
      <c r="C186" s="10" t="inlineStr">
        <is>
          <t>江苏协和</t>
        </is>
      </c>
      <c r="D186" s="10" t="inlineStr">
        <is>
          <t>徐永钢</t>
        </is>
      </c>
      <c r="E186" s="10" t="inlineStr">
        <is>
          <t>娄亚杰</t>
        </is>
      </c>
      <c r="F186" s="10" t="inlineStr"/>
      <c r="G186" s="10" t="inlineStr"/>
      <c r="H186" s="10" t="inlineStr">
        <is>
          <t>无CCL规则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11" t="inlineStr"/>
      <c r="V186" s="12" t="inlineStr"/>
      <c r="W186" s="12" t="inlineStr"/>
      <c r="X186" s="12" t="n">
        <v>187</v>
      </c>
      <c r="Y186" s="12" t="inlineStr">
        <is>
          <t>CSR-BIZ-20260724-V1</t>
        </is>
      </c>
    </row>
    <row r="187">
      <c r="A187" s="10" t="inlineStr">
        <is>
          <t>无变化</t>
        </is>
      </c>
      <c r="B187" s="10" t="inlineStr">
        <is>
          <t>103959</t>
        </is>
      </c>
      <c r="C187" s="10" t="inlineStr">
        <is>
          <t>东莞华港</t>
        </is>
      </c>
      <c r="D187" s="10" t="inlineStr">
        <is>
          <t>徐永钢</t>
        </is>
      </c>
      <c r="E187" s="10" t="inlineStr">
        <is>
          <t>娄亚杰</t>
        </is>
      </c>
      <c r="F187" s="10" t="inlineStr"/>
      <c r="G187" s="10" t="inlineStr"/>
      <c r="H187" s="10" t="inlineStr">
        <is>
          <t>无CCL规则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11" t="inlineStr"/>
      <c r="V187" s="12" t="inlineStr"/>
      <c r="W187" s="12" t="inlineStr"/>
      <c r="X187" s="12" t="n">
        <v>188</v>
      </c>
      <c r="Y187" s="12" t="inlineStr">
        <is>
          <t>CSR-BIZ-20260724-V1</t>
        </is>
      </c>
    </row>
    <row r="188">
      <c r="A188" s="10" t="inlineStr">
        <is>
          <t>无变化</t>
        </is>
      </c>
      <c r="B188" s="10" t="inlineStr">
        <is>
          <t>122013</t>
        </is>
      </c>
      <c r="C188" s="10" t="inlineStr">
        <is>
          <t>湖北健鼎</t>
        </is>
      </c>
      <c r="D188" s="10" t="inlineStr">
        <is>
          <t>徐永钢</t>
        </is>
      </c>
      <c r="E188" s="10" t="inlineStr">
        <is>
          <t>娄亚杰</t>
        </is>
      </c>
      <c r="F188" s="10" t="inlineStr"/>
      <c r="G188" s="10" t="inlineStr"/>
      <c r="H188" s="10" t="inlineStr">
        <is>
          <t>启用</t>
        </is>
      </c>
      <c r="I188" s="6" t="inlineStr"/>
      <c r="J188" s="6" t="inlineStr">
        <is>
          <t>详情见健鼎下单特殊要求表</t>
        </is>
      </c>
      <c r="K188" s="6" t="inlineStr"/>
      <c r="L188" s="6" t="inlineStr"/>
      <c r="M188" s="6" t="inlineStr"/>
      <c r="N188" s="6" t="inlineStr">
        <is>
          <t>当胶系=NY3170M且下单有双面字样时=RTF，当胶系=NY3170M且下单无该字样时=HTE</t>
        </is>
      </c>
      <c r="O188" s="6" t="inlineStr">
        <is>
          <t>当规格中带有TFT字样时=AT</t>
        </is>
      </c>
      <c r="P188" s="6" t="inlineStr"/>
      <c r="Q188" s="6" t="inlineStr"/>
      <c r="R188" s="6" t="inlineStr"/>
      <c r="S188" s="6" t="inlineStr"/>
      <c r="T188" s="6" t="inlineStr"/>
      <c r="U188" s="11" t="inlineStr"/>
      <c r="V188" s="12" t="inlineStr"/>
      <c r="W188" s="12" t="inlineStr">
        <is>
          <t>1、品名规格中有 TFT 字样的下AT**；
2、 NY3170M胶系，下单有双面字样的为 RTF，无该字样为 HTE；
3、 客户若发来新料号，必须有CAF字样，若订单无该字样，邮件沟通让客户更新品名规格；
4、对账完成后，合同+结算单，快递给肖艳
5.K表示寄售，订单上面0单价的也是寄售，寄售下331-
6.每天都要发在途
7.订单交期需要在系统上回复客户
8.基板下E/H/I结构（编码规范有） 如：3B00075HH28504900YWACCE</t>
        </is>
      </c>
      <c r="X188" s="12" t="n">
        <v>189</v>
      </c>
      <c r="Y188" s="12" t="inlineStr">
        <is>
          <t>CSR-BIZ-20260724-V1</t>
        </is>
      </c>
    </row>
    <row r="189">
      <c r="A189" s="10" t="inlineStr">
        <is>
          <t>无变化</t>
        </is>
      </c>
      <c r="B189" s="10" t="inlineStr">
        <is>
          <t>104106</t>
        </is>
      </c>
      <c r="C189" s="10" t="inlineStr">
        <is>
          <t>昆山华晨</t>
        </is>
      </c>
      <c r="D189" s="10" t="inlineStr">
        <is>
          <t>徐永钢</t>
        </is>
      </c>
      <c r="E189" s="10" t="inlineStr">
        <is>
          <t>娄亚杰</t>
        </is>
      </c>
      <c r="F189" s="10" t="inlineStr"/>
      <c r="G189" s="10" t="inlineStr"/>
      <c r="H189" s="10" t="inlineStr">
        <is>
          <t>无CCL规则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11" t="inlineStr"/>
      <c r="V189" s="12" t="inlineStr"/>
      <c r="W189" s="12" t="inlineStr"/>
      <c r="X189" s="12" t="n">
        <v>190</v>
      </c>
      <c r="Y189" s="12" t="inlineStr">
        <is>
          <t>CSR-BIZ-20260724-V1</t>
        </is>
      </c>
    </row>
    <row r="190">
      <c r="A190" s="10" t="inlineStr">
        <is>
          <t>无变化</t>
        </is>
      </c>
      <c r="B190" s="10" t="inlineStr">
        <is>
          <t>104312</t>
        </is>
      </c>
      <c r="C190" s="10" t="inlineStr">
        <is>
          <t>无锡健鼎</t>
        </is>
      </c>
      <c r="D190" s="10" t="inlineStr">
        <is>
          <t>徐永钢</t>
        </is>
      </c>
      <c r="E190" s="10" t="inlineStr">
        <is>
          <t>娄亚杰</t>
        </is>
      </c>
      <c r="F190" s="10" t="inlineStr"/>
      <c r="G190" s="10" t="inlineStr"/>
      <c r="H190" s="10" t="inlineStr">
        <is>
          <t>启用</t>
        </is>
      </c>
      <c r="I190" s="6" t="inlineStr"/>
      <c r="J190" s="6" t="inlineStr"/>
      <c r="K190" s="6" t="inlineStr"/>
      <c r="L190" s="6" t="inlineStr"/>
      <c r="M190" s="6" t="inlineStr"/>
      <c r="N190" s="6" t="inlineStr">
        <is>
          <t>当胶系=NY3170M且下单有双面字样时=RTF，当胶系=NY3170M且下单无该字样时=HTE</t>
        </is>
      </c>
      <c r="O190" s="6" t="inlineStr">
        <is>
          <t>当规格中带有TFT字样时=AT</t>
        </is>
      </c>
      <c r="P190" s="6" t="inlineStr"/>
      <c r="Q190" s="6" t="inlineStr"/>
      <c r="R190" s="6" t="inlineStr"/>
      <c r="S190" s="6" t="inlineStr"/>
      <c r="T190" s="6" t="inlineStr"/>
      <c r="U190" s="11" t="inlineStr"/>
      <c r="V190" s="12" t="inlineStr"/>
      <c r="W190" s="12" t="inlineStr">
        <is>
          <t>1、品名规格中有 TFT 字样的下AT**；
2、 NY3170M胶系，下单有双面字样的为 RTF，无该字样为 HTE；
3、 客户若发来新料号，必须有CAF字样，若订单无该字样，邮件沟通让客户更新品名规格；
4、对账完成后，合同+结算单，交业务带给客户盖章                         5、账号：W1503A0001密码：pc1234   网址：https://epo.tripod-tech.com/irj/portal  
 6，区分团结厂C301和芙蓉厂C302
7.K表示寄售，订单上面0单价的也是寄售，寄售下331-
8.每天都要发在途
9.订单交期需要在系统上回复客户
10.基板下E结构（编码规范有） 如：3B00075HH28504900YWACCE</t>
        </is>
      </c>
      <c r="X190" s="12" t="n">
        <v>191</v>
      </c>
      <c r="Y190" s="12" t="inlineStr">
        <is>
          <t>CSR-BIZ-20260724-V1</t>
        </is>
      </c>
    </row>
    <row r="191">
      <c r="A191" s="10" t="inlineStr">
        <is>
          <t>无变化</t>
        </is>
      </c>
      <c r="B191" s="10" t="inlineStr">
        <is>
          <t>104417</t>
        </is>
      </c>
      <c r="C191" s="10" t="inlineStr">
        <is>
          <t>江苏洲旭</t>
        </is>
      </c>
      <c r="D191" s="10" t="inlineStr">
        <is>
          <t>徐永钢</t>
        </is>
      </c>
      <c r="E191" s="10" t="inlineStr">
        <is>
          <t>娄亚杰</t>
        </is>
      </c>
      <c r="F191" s="10" t="inlineStr"/>
      <c r="G191" s="10" t="inlineStr"/>
      <c r="H191" s="10" t="inlineStr">
        <is>
          <t>无CCL规则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11" t="inlineStr"/>
      <c r="V191" s="12" t="inlineStr"/>
      <c r="W191" s="12" t="inlineStr">
        <is>
          <t>2、 NY3170M胶系，下单有双面字样的为 RTF，无该字样为 HTE；</t>
        </is>
      </c>
      <c r="X191" s="12" t="n">
        <v>192</v>
      </c>
      <c r="Y191" s="12" t="inlineStr">
        <is>
          <t>CSR-BIZ-20260724-V1</t>
        </is>
      </c>
    </row>
    <row r="192">
      <c r="A192" s="10" t="inlineStr">
        <is>
          <t>无变化</t>
        </is>
      </c>
      <c r="B192" s="10" t="inlineStr">
        <is>
          <t>10440</t>
        </is>
      </c>
      <c r="C192" s="10" t="inlineStr">
        <is>
          <t>淮宏恒胜</t>
        </is>
      </c>
      <c r="D192" s="10" t="inlineStr">
        <is>
          <t>徐永钢</t>
        </is>
      </c>
      <c r="E192" s="10" t="inlineStr">
        <is>
          <t>娄亚杰</t>
        </is>
      </c>
      <c r="F192" s="10" t="inlineStr"/>
      <c r="G192" s="10" t="inlineStr"/>
      <c r="H192" s="10" t="inlineStr">
        <is>
          <t>无CCL规则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11" t="inlineStr"/>
      <c r="V192" s="12" t="inlineStr"/>
      <c r="W192" s="12" t="inlineStr">
        <is>
          <t>3、 客户若发来新料号，必须有CAF字样，若订单无该字样，邮件沟通让客户更新品名规格；</t>
        </is>
      </c>
      <c r="X192" s="12" t="n">
        <v>193</v>
      </c>
      <c r="Y192" s="12" t="inlineStr">
        <is>
          <t>CSR-BIZ-20260724-V1</t>
        </is>
      </c>
    </row>
    <row r="193">
      <c r="A193" s="10" t="inlineStr">
        <is>
          <t>无变化</t>
        </is>
      </c>
      <c r="B193" s="10" t="inlineStr">
        <is>
          <t>103908</t>
        </is>
      </c>
      <c r="C193" s="10" t="inlineStr">
        <is>
          <t>广合二厂</t>
        </is>
      </c>
      <c r="D193" s="10" t="inlineStr">
        <is>
          <t>杨伟</t>
        </is>
      </c>
      <c r="E193" s="10" t="inlineStr">
        <is>
          <t>欧阳昭婷</t>
        </is>
      </c>
      <c r="F193" s="10" t="inlineStr"/>
      <c r="G193" s="10" t="inlineStr"/>
      <c r="H193" s="10" t="inlineStr">
        <is>
          <t>无CCL规则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11" t="inlineStr"/>
      <c r="V193" s="12" t="inlineStr"/>
      <c r="W193" s="12" t="inlineStr">
        <is>
          <t>4、对账完成后，合同+结算单，交业务带给客户盖章                         5、账号：W1503A0001密码：pc1234   网址：https://epo.tripod-tech.com/irj/portal</t>
        </is>
      </c>
      <c r="X193" s="12" t="n">
        <v>194</v>
      </c>
      <c r="Y193" s="12" t="inlineStr">
        <is>
          <t>CSR-BIZ-20260724-V1</t>
        </is>
      </c>
    </row>
    <row r="194">
      <c r="A194" s="10" t="inlineStr">
        <is>
          <t>无变化</t>
        </is>
      </c>
      <c r="B194" s="10" t="inlineStr">
        <is>
          <t>103878</t>
        </is>
      </c>
      <c r="C194" s="10" t="inlineStr">
        <is>
          <t>广合一厂</t>
        </is>
      </c>
      <c r="D194" s="10" t="inlineStr">
        <is>
          <t>杨伟</t>
        </is>
      </c>
      <c r="E194" s="10" t="inlineStr">
        <is>
          <t>欧阳昭婷</t>
        </is>
      </c>
      <c r="F194" s="10" t="inlineStr"/>
      <c r="G194" s="10" t="inlineStr"/>
      <c r="H194" s="10" t="inlineStr">
        <is>
          <t>无CCL规则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11" t="inlineStr"/>
      <c r="V194" s="12" t="inlineStr"/>
      <c r="W194" s="12" t="inlineStr">
        <is>
          <t>6，区分团结厂C301和芙蓉厂C302</t>
        </is>
      </c>
      <c r="X194" s="12" t="n">
        <v>195</v>
      </c>
      <c r="Y194" s="12" t="inlineStr">
        <is>
          <t>CSR-BIZ-20260724-V1</t>
        </is>
      </c>
    </row>
    <row r="195">
      <c r="A195" s="10" t="inlineStr">
        <is>
          <t>无变化</t>
        </is>
      </c>
      <c r="B195" s="10" t="inlineStr">
        <is>
          <t>122021</t>
        </is>
      </c>
      <c r="C195" s="10" t="inlineStr">
        <is>
          <t>黄石广合</t>
        </is>
      </c>
      <c r="D195" s="10" t="inlineStr">
        <is>
          <t>杨伟</t>
        </is>
      </c>
      <c r="E195" s="10" t="inlineStr">
        <is>
          <t>欧阳昭婷</t>
        </is>
      </c>
      <c r="F195" s="10" t="inlineStr"/>
      <c r="G195" s="10" t="inlineStr"/>
      <c r="H195" s="10" t="inlineStr">
        <is>
          <t>启用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>
        <is>
          <t>当胶系=NY2150且厚度=43mil且结构=6*7628时=AT,当胶系=NY2150且厚度=47mil、51mil、59mil、67mil、75mil时=AT,当胶系=NY3150HF时，全部按AB等级NB专用料号</t>
        </is>
      </c>
      <c r="P195" s="6" t="inlineStr"/>
      <c r="Q195" s="6" t="inlineStr"/>
      <c r="R195" s="6" t="inlineStr"/>
      <c r="S195" s="6" t="inlineStr"/>
      <c r="T195" s="6" t="inlineStr"/>
      <c r="U195" s="11" t="inlineStr"/>
      <c r="V195" s="12" t="inlineStr"/>
      <c r="W195" s="12" t="inlineStr">
        <is>
          <t>7.K表示寄售，订单上面0单价的也是寄售，寄售下331-</t>
        </is>
      </c>
      <c r="X195" s="12" t="n">
        <v>196</v>
      </c>
      <c r="Y195" s="12" t="inlineStr">
        <is>
          <t>CSR-BIZ-20260724-V1</t>
        </is>
      </c>
    </row>
    <row r="196">
      <c r="A196" s="10" t="inlineStr">
        <is>
          <t>无变化</t>
        </is>
      </c>
      <c r="B196" s="10" t="inlineStr">
        <is>
          <t>103787</t>
        </is>
      </c>
      <c r="C196" s="10" t="inlineStr">
        <is>
          <t>兴森快捷</t>
        </is>
      </c>
      <c r="D196" s="10" t="inlineStr">
        <is>
          <t>杨伟</t>
        </is>
      </c>
      <c r="E196" s="10" t="inlineStr">
        <is>
          <t>欧阳昭婷</t>
        </is>
      </c>
      <c r="F196" s="10" t="inlineStr"/>
      <c r="G196" s="10" t="inlineStr"/>
      <c r="H196" s="10" t="inlineStr">
        <is>
          <t>启用</t>
        </is>
      </c>
      <c r="I196" s="6" t="inlineStr"/>
      <c r="J196" s="6" t="inlineStr">
        <is>
          <t>T/C  是芯厚   D/C是总厚</t>
        </is>
      </c>
      <c r="K196" s="6" t="inlineStr"/>
      <c r="L196" s="6" t="inlineStr"/>
      <c r="M196" s="6" t="inlineStr"/>
      <c r="N196" s="6" t="inlineStr"/>
      <c r="O196" s="6" t="inlineStr"/>
      <c r="P196" s="6" t="inlineStr">
        <is>
          <t>T/C  是芯厚   D/C是总厚</t>
        </is>
      </c>
      <c r="Q196" s="6" t="inlineStr"/>
      <c r="R196" s="6" t="inlineStr"/>
      <c r="S196" s="6" t="inlineStr"/>
      <c r="T196" s="6" t="inlineStr"/>
      <c r="U196" s="11" t="inlineStr"/>
      <c r="V196" s="12" t="inlineStr"/>
      <c r="W196" s="12" t="inlineStr">
        <is>
          <t>8.每天都要发在途</t>
        </is>
      </c>
      <c r="X196" s="12" t="n">
        <v>197</v>
      </c>
      <c r="Y196" s="12" t="inlineStr">
        <is>
          <t>CSR-BIZ-20260724-V1</t>
        </is>
      </c>
    </row>
    <row r="197">
      <c r="A197" s="10" t="inlineStr">
        <is>
          <t>无变化</t>
        </is>
      </c>
      <c r="B197" s="10" t="inlineStr">
        <is>
          <t>103861</t>
        </is>
      </c>
      <c r="C197" s="10" t="inlineStr">
        <is>
          <t>广州兴森</t>
        </is>
      </c>
      <c r="D197" s="10" t="inlineStr">
        <is>
          <t>杨伟</t>
        </is>
      </c>
      <c r="E197" s="10" t="inlineStr">
        <is>
          <t>欧阳昭婷</t>
        </is>
      </c>
      <c r="F197" s="10" t="inlineStr"/>
      <c r="G197" s="10" t="inlineStr"/>
      <c r="H197" s="10" t="inlineStr">
        <is>
          <t>无CCL规则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11" t="inlineStr"/>
      <c r="V197" s="12" t="inlineStr"/>
      <c r="W197" s="12" t="inlineStr">
        <is>
          <t>9.订单交期需要在系统上回复客户</t>
        </is>
      </c>
      <c r="X197" s="12" t="n">
        <v>198</v>
      </c>
      <c r="Y197" s="12" t="inlineStr">
        <is>
          <t>CSR-BIZ-20260724-V1</t>
        </is>
      </c>
    </row>
    <row r="198">
      <c r="A198" s="10" t="inlineStr">
        <is>
          <t>无变化</t>
        </is>
      </c>
      <c r="B198" s="10" t="inlineStr">
        <is>
          <t>103840</t>
        </is>
      </c>
      <c r="C198" s="10" t="inlineStr">
        <is>
          <t>四会富仕</t>
        </is>
      </c>
      <c r="D198" s="10" t="inlineStr">
        <is>
          <t>杨伟</t>
        </is>
      </c>
      <c r="E198" s="10" t="inlineStr">
        <is>
          <t>欧阳昭婷</t>
        </is>
      </c>
      <c r="F198" s="10" t="inlineStr"/>
      <c r="G198" s="10" t="inlineStr"/>
      <c r="H198" s="10" t="inlineStr">
        <is>
          <t>无CCL规则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11" t="inlineStr"/>
      <c r="V198" s="12" t="inlineStr"/>
      <c r="W198" s="12" t="inlineStr">
        <is>
          <t>10.基板下E结构（编码规范有） 如：3B00075HH28504900YWACCE</t>
        </is>
      </c>
      <c r="X198" s="12" t="n">
        <v>199</v>
      </c>
      <c r="Y198" s="12" t="inlineStr">
        <is>
          <t>CSR-BIZ-20260724-V1</t>
        </is>
      </c>
    </row>
    <row r="199">
      <c r="A199" s="10" t="inlineStr">
        <is>
          <t>无变化</t>
        </is>
      </c>
      <c r="B199" s="10" t="inlineStr">
        <is>
          <t>123057</t>
        </is>
      </c>
      <c r="C199" s="10" t="inlineStr">
        <is>
          <t>江西旭昇</t>
        </is>
      </c>
      <c r="D199" s="10" t="inlineStr">
        <is>
          <t>张传威</t>
        </is>
      </c>
      <c r="E199" s="10" t="inlineStr">
        <is>
          <t>王荣</t>
        </is>
      </c>
      <c r="F199" s="10" t="inlineStr"/>
      <c r="G199" s="10" t="inlineStr"/>
      <c r="H199" s="10" t="inlineStr">
        <is>
          <t>启用</t>
        </is>
      </c>
      <c r="I199" s="6" t="inlineStr">
        <is>
          <t>NY3150HF=AH</t>
        </is>
      </c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11" t="inlineStr"/>
      <c r="V199" s="12" t="inlineStr"/>
      <c r="W199" s="12" t="inlineStr"/>
      <c r="X199" s="12" t="n">
        <v>200</v>
      </c>
      <c r="Y199" s="12" t="inlineStr">
        <is>
          <t>CSR-BIZ-20260724-V1</t>
        </is>
      </c>
    </row>
    <row r="200">
      <c r="A200" s="10" t="inlineStr">
        <is>
          <t>无变化</t>
        </is>
      </c>
      <c r="B200" s="10" t="inlineStr">
        <is>
          <t>103106</t>
        </is>
      </c>
      <c r="C200" s="10" t="inlineStr">
        <is>
          <t>惠阳胜华</t>
        </is>
      </c>
      <c r="D200" s="10" t="inlineStr">
        <is>
          <t>赵军华</t>
        </is>
      </c>
      <c r="E200" s="10" t="inlineStr">
        <is>
          <t>邹慧静</t>
        </is>
      </c>
      <c r="F200" s="10" t="inlineStr"/>
      <c r="G200" s="10" t="inlineStr"/>
      <c r="H200" s="10" t="inlineStr">
        <is>
          <t>无CCL规则</t>
        </is>
      </c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11" t="inlineStr"/>
      <c r="V200" s="12" t="inlineStr"/>
      <c r="W200" s="12" t="inlineStr"/>
      <c r="X200" s="12" t="n">
        <v>201</v>
      </c>
      <c r="Y200" s="12" t="inlineStr">
        <is>
          <t>CSR-BIZ-20260724-V1</t>
        </is>
      </c>
    </row>
    <row r="201">
      <c r="A201" s="10" t="inlineStr">
        <is>
          <t>无变化</t>
        </is>
      </c>
      <c r="B201" s="10" t="inlineStr">
        <is>
          <t>103557</t>
        </is>
      </c>
      <c r="C201" s="10" t="inlineStr">
        <is>
          <t>惠州胜宏</t>
        </is>
      </c>
      <c r="D201" s="10" t="inlineStr">
        <is>
          <t>赵军华</t>
        </is>
      </c>
      <c r="E201" s="10" t="inlineStr">
        <is>
          <t>邹慧静</t>
        </is>
      </c>
      <c r="F201" s="10" t="inlineStr"/>
      <c r="G201" s="10" t="inlineStr"/>
      <c r="H201" s="10" t="inlineStr">
        <is>
          <t>无CCL规则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11" t="inlineStr"/>
      <c r="V201" s="12" t="inlineStr"/>
      <c r="W201" s="12" t="inlineStr"/>
      <c r="X201" s="12" t="n">
        <v>202</v>
      </c>
      <c r="Y201" s="12" t="inlineStr">
        <is>
          <t>CSR-BIZ-20260724-V1</t>
        </is>
      </c>
    </row>
    <row r="202">
      <c r="A202" s="10" t="inlineStr">
        <is>
          <t>无变化</t>
        </is>
      </c>
      <c r="B202" s="10" t="inlineStr">
        <is>
          <t>103786</t>
        </is>
      </c>
      <c r="C202" s="10" t="inlineStr">
        <is>
          <t>惠州泰和</t>
        </is>
      </c>
      <c r="D202" s="10" t="inlineStr">
        <is>
          <t>赵军华</t>
        </is>
      </c>
      <c r="E202" s="10" t="inlineStr">
        <is>
          <t>邹慧静</t>
        </is>
      </c>
      <c r="F202" s="10" t="inlineStr"/>
      <c r="G202" s="10" t="inlineStr"/>
      <c r="H202" s="10" t="inlineStr">
        <is>
          <t>启用</t>
        </is>
      </c>
      <c r="I202" s="6" t="inlineStr"/>
      <c r="J202" s="6" t="inlineStr"/>
      <c r="K202" s="6" t="inlineStr"/>
      <c r="L202" s="6" t="inlineStr"/>
      <c r="M202" s="6" t="inlineStr"/>
      <c r="N202" s="6" t="inlineStr"/>
      <c r="O202" s="6" t="inlineStr">
        <is>
          <t>NY3150HF&amp;1.2（含）含铜以下=AT</t>
        </is>
      </c>
      <c r="P202" s="6" t="inlineStr"/>
      <c r="Q202" s="6" t="inlineStr"/>
      <c r="R202" s="6" t="inlineStr"/>
      <c r="S202" s="6" t="inlineStr"/>
      <c r="T202" s="6" t="inlineStr"/>
      <c r="U202" s="11" t="inlineStr"/>
      <c r="V202" s="12" t="inlineStr"/>
      <c r="W202" s="12" t="inlineStr">
        <is>
          <t>1. 客户周日和每个月最后一天不收货；2. PP冷藏车发货，跟基板分开发货</t>
        </is>
      </c>
      <c r="X202" s="12" t="n">
        <v>203</v>
      </c>
      <c r="Y202" s="12" t="inlineStr">
        <is>
          <t>CSR-BIZ-20260724-V1</t>
        </is>
      </c>
    </row>
    <row r="203">
      <c r="A203" s="10" t="inlineStr">
        <is>
          <t>无变化</t>
        </is>
      </c>
      <c r="B203" s="10" t="inlineStr">
        <is>
          <t>103968</t>
        </is>
      </c>
      <c r="C203" s="10" t="inlineStr">
        <is>
          <t>珠海泰和</t>
        </is>
      </c>
      <c r="D203" s="10" t="inlineStr">
        <is>
          <t>赵军华</t>
        </is>
      </c>
      <c r="E203" s="10" t="inlineStr">
        <is>
          <t>邹慧静</t>
        </is>
      </c>
      <c r="F203" s="10" t="inlineStr"/>
      <c r="G203" s="10" t="inlineStr"/>
      <c r="H203" s="10" t="inlineStr">
        <is>
          <t>无CCL规则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11" t="inlineStr"/>
      <c r="V203" s="12" t="inlineStr"/>
      <c r="W203" s="12" t="inlineStr"/>
      <c r="X203" s="12" t="n">
        <v>204</v>
      </c>
      <c r="Y203" s="12" t="inlineStr">
        <is>
          <t>CSR-BIZ-20260724-V1</t>
        </is>
      </c>
    </row>
    <row r="204">
      <c r="A204" s="10" t="inlineStr">
        <is>
          <t>无变化</t>
        </is>
      </c>
      <c r="B204" s="10" t="inlineStr">
        <is>
          <t>101061</t>
        </is>
      </c>
      <c r="C204" s="10" t="inlineStr">
        <is>
          <t>上海伟奋</t>
        </is>
      </c>
      <c r="D204" s="10" t="inlineStr">
        <is>
          <t>陈程</t>
        </is>
      </c>
      <c r="E204" s="10" t="inlineStr">
        <is>
          <t>刘海英</t>
        </is>
      </c>
      <c r="F204" s="10" t="inlineStr"/>
      <c r="G204" s="10" t="inlineStr"/>
      <c r="H204" s="10" t="inlineStr">
        <is>
          <t>无CCL规则</t>
        </is>
      </c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11" t="inlineStr"/>
      <c r="V204" s="12" t="inlineStr"/>
      <c r="W204" s="12" t="inlineStr"/>
      <c r="X204" s="12" t="n">
        <v>205</v>
      </c>
      <c r="Y204" s="12" t="inlineStr">
        <is>
          <t>CSR-BIZ-20260724-V1</t>
        </is>
      </c>
    </row>
    <row r="205">
      <c r="A205" s="10" t="inlineStr">
        <is>
          <t>无变化</t>
        </is>
      </c>
      <c r="B205" s="10" t="inlineStr">
        <is>
          <t>103576</t>
        </is>
      </c>
      <c r="C205" s="10" t="inlineStr">
        <is>
          <t>珠海乐健</t>
        </is>
      </c>
      <c r="D205" s="10" t="inlineStr">
        <is>
          <t>耿俊莹</t>
        </is>
      </c>
      <c r="E205" s="10" t="inlineStr">
        <is>
          <t>陈明洁</t>
        </is>
      </c>
      <c r="F205" s="10" t="inlineStr"/>
      <c r="G205" s="10" t="inlineStr"/>
      <c r="H205" s="10" t="inlineStr">
        <is>
          <t>启用</t>
        </is>
      </c>
      <c r="I205" s="6" t="inlineStr">
        <is>
          <t>型号NY2150 板厚1.1mm 全部下非汽车板；型号NY2150 板厚 1.5/1.45mm 铜厚 H/H 1/1 2/2 全部下非汽车板，此外PP和基板都下汽车板！</t>
        </is>
      </c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11" t="inlineStr"/>
      <c r="V205" s="12" t="inlineStr"/>
      <c r="W205" s="12" t="inlineStr"/>
      <c r="X205" s="12" t="n">
        <v>206</v>
      </c>
      <c r="Y205" s="12" t="inlineStr">
        <is>
          <t>CSR-BIZ-20260724-V1</t>
        </is>
      </c>
    </row>
    <row r="206">
      <c r="A206" s="10" t="inlineStr">
        <is>
          <t>无变化</t>
        </is>
      </c>
      <c r="B206" s="10" t="inlineStr">
        <is>
          <t>123123</t>
        </is>
      </c>
      <c r="C206" s="10" t="inlineStr">
        <is>
          <t>赣州乐健</t>
        </is>
      </c>
      <c r="D206" s="10" t="inlineStr">
        <is>
          <t>耿俊莹</t>
        </is>
      </c>
      <c r="E206" s="10" t="inlineStr">
        <is>
          <t>陈明洁</t>
        </is>
      </c>
      <c r="F206" s="10" t="inlineStr"/>
      <c r="G206" s="10" t="inlineStr"/>
      <c r="H206" s="10" t="inlineStr">
        <is>
          <t>启用</t>
        </is>
      </c>
      <c r="I206" s="6" t="inlineStr">
        <is>
          <t>型号NY2150 板厚1.1mm 全部下非汽车板；型号NY2150 板厚 1.5/1.45mm 铜厚 H/H 1/1 2/2 全部下非汽车板，此外PP和基板都下汽车板！</t>
        </is>
      </c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11" t="inlineStr"/>
      <c r="V206" s="12" t="inlineStr"/>
      <c r="W206" s="12" t="inlineStr"/>
      <c r="X206" s="12" t="n">
        <v>207</v>
      </c>
      <c r="Y206" s="12" t="inlineStr">
        <is>
          <t>CSR-BIZ-20260724-V1</t>
        </is>
      </c>
    </row>
    <row r="207">
      <c r="A207" s="10" t="inlineStr">
        <is>
          <t>无变化</t>
        </is>
      </c>
      <c r="B207" s="10" t="inlineStr">
        <is>
          <t>104458</t>
        </is>
      </c>
      <c r="C207" s="10" t="inlineStr">
        <is>
          <t>南通康源</t>
        </is>
      </c>
      <c r="D207" s="10" t="inlineStr">
        <is>
          <t>韩稳权</t>
        </is>
      </c>
      <c r="E207" s="10" t="inlineStr">
        <is>
          <t>欧阳昭婷</t>
        </is>
      </c>
      <c r="F207" s="10" t="inlineStr"/>
      <c r="G207" s="10" t="inlineStr"/>
      <c r="H207" s="10" t="inlineStr">
        <is>
          <t>无CCL规则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11" t="inlineStr"/>
      <c r="V207" s="12" t="inlineStr"/>
      <c r="W207" s="12" t="inlineStr"/>
      <c r="X207" s="12" t="n">
        <v>208</v>
      </c>
      <c r="Y207" s="12" t="inlineStr">
        <is>
          <t>CSR-BIZ-20260724-V1</t>
        </is>
      </c>
    </row>
    <row r="208">
      <c r="A208" s="10" t="inlineStr">
        <is>
          <t>无变化</t>
        </is>
      </c>
      <c r="B208" s="10" t="inlineStr">
        <is>
          <t>104326</t>
        </is>
      </c>
      <c r="C208" s="10" t="inlineStr">
        <is>
          <t>江苏协和</t>
        </is>
      </c>
      <c r="D208" s="10" t="inlineStr">
        <is>
          <t>吴成令</t>
        </is>
      </c>
      <c r="E208" s="10" t="inlineStr">
        <is>
          <t>刘海英</t>
        </is>
      </c>
      <c r="F208" s="10" t="inlineStr"/>
      <c r="G208" s="10" t="inlineStr"/>
      <c r="H208" s="10" t="inlineStr">
        <is>
          <t>无CCL规则</t>
        </is>
      </c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11" t="inlineStr"/>
      <c r="V208" s="12" t="inlineStr"/>
      <c r="W208" s="12" t="inlineStr"/>
      <c r="X208" s="12" t="n">
        <v>209</v>
      </c>
      <c r="Y208" s="12" t="inlineStr">
        <is>
          <t>CSR-BIZ-20260724-V1</t>
        </is>
      </c>
    </row>
    <row r="209">
      <c r="A209" s="10" t="inlineStr">
        <is>
          <t>无变化</t>
        </is>
      </c>
      <c r="B209" s="10" t="inlineStr">
        <is>
          <t>104196</t>
        </is>
      </c>
      <c r="C209" s="10" t="inlineStr">
        <is>
          <t>昆山华兴</t>
        </is>
      </c>
      <c r="D209" s="10" t="inlineStr">
        <is>
          <t>陈程</t>
        </is>
      </c>
      <c r="E209" s="10" t="inlineStr">
        <is>
          <t>刘海英</t>
        </is>
      </c>
      <c r="F209" s="10" t="inlineStr"/>
      <c r="G209" s="10" t="inlineStr"/>
      <c r="H209" s="10" t="inlineStr">
        <is>
          <t>启用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>
        <is>
          <t>NY2140=F1</t>
        </is>
      </c>
      <c r="P209" s="6" t="inlineStr"/>
      <c r="Q209" s="6" t="inlineStr"/>
      <c r="R209" s="6" t="inlineStr"/>
      <c r="S209" s="6" t="inlineStr"/>
      <c r="T209" s="6" t="inlineStr"/>
      <c r="U209" s="11" t="inlineStr"/>
      <c r="V209" s="12" t="inlineStr"/>
      <c r="W209" s="12" t="inlineStr"/>
      <c r="X209" s="12" t="n">
        <v>210</v>
      </c>
      <c r="Y209" s="12" t="inlineStr">
        <is>
          <t>CSR-BIZ-20260724-V1</t>
        </is>
      </c>
    </row>
    <row r="210">
      <c r="A210" s="10" t="inlineStr">
        <is>
          <t>无变化</t>
        </is>
      </c>
      <c r="B210" s="10" t="inlineStr">
        <is>
          <t>157001</t>
        </is>
      </c>
      <c r="C210" s="10" t="inlineStr">
        <is>
          <t>泰国景旺</t>
        </is>
      </c>
      <c r="D210" s="10" t="inlineStr">
        <is>
          <t>耿俊莹</t>
        </is>
      </c>
      <c r="E210" s="10" t="inlineStr">
        <is>
          <t>陈明洁</t>
        </is>
      </c>
      <c r="F210" s="10" t="inlineStr"/>
      <c r="G210" s="10" t="inlineStr"/>
      <c r="H210" s="10" t="inlineStr">
        <is>
          <t>启用</t>
        </is>
      </c>
      <c r="I210" s="6" t="inlineStr">
        <is>
          <t>NY3150HC=RV/3H；NY2150H全部下AP电源板，NY-A1,NY-A2下AC汽车板</t>
        </is>
      </c>
      <c r="J210" s="6" t="inlineStr"/>
      <c r="K210" s="6" t="inlineStr"/>
      <c r="L210" s="6" t="inlineStr"/>
      <c r="M210" s="6" t="inlineStr"/>
      <c r="N210" s="6" t="inlineStr">
        <is>
          <t>HVLP=HVLP1</t>
        </is>
      </c>
      <c r="O210" s="6" t="inlineStr">
        <is>
          <t>当订单备注有电源板和能源板时=AP，当胶系=NY3150HC = 3H时=AL，当胶系=NY3150HC = RV时=A1,当胶系=NY2150H时=AP，当胶系=NY-A1或NY-A2时=AC</t>
        </is>
      </c>
      <c r="P210" s="6" t="inlineStr"/>
      <c r="Q210" s="6" t="inlineStr"/>
      <c r="R210" s="6" t="inlineStr"/>
      <c r="S210" s="6" t="inlineStr"/>
      <c r="T210" s="6" t="inlineStr"/>
      <c r="U210" s="11" t="inlineStr"/>
      <c r="V210" s="12" t="inlineStr">
        <is>
          <t>胶系：NY2150=2B；</t>
        </is>
      </c>
      <c r="W210" s="12" t="inlineStr">
        <is>
          <t>1、PP下24.41IN，151维护时特殊要求写：幅宽24.41IN 。订单备注：（例如）客户入库数量以此为准幅宽24.41IN 1卷 （300米)&amp; 
2、PP下24.65IN,151维护时特殊要求写：幅宽24.65IN 。订单备注：（例如）客户入库数量以此为准幅宽24.65IN 2卷 （600米)&amp;</t>
        </is>
      </c>
      <c r="X210" s="12" t="n">
        <v>211</v>
      </c>
      <c r="Y210" s="12" t="inlineStr">
        <is>
          <t>CSR-BIZ-20260724-V1</t>
        </is>
      </c>
    </row>
    <row r="211">
      <c r="A211" s="10" t="inlineStr">
        <is>
          <t>无变化</t>
        </is>
      </c>
      <c r="B211" s="10" t="inlineStr">
        <is>
          <t>103059</t>
        </is>
      </c>
      <c r="C211" s="10" t="inlineStr">
        <is>
          <t>深同创鑫</t>
        </is>
      </c>
      <c r="D211" s="10" t="inlineStr">
        <is>
          <t>董俟铨</t>
        </is>
      </c>
      <c r="E211" s="10" t="inlineStr">
        <is>
          <t>古清婷</t>
        </is>
      </c>
      <c r="F211" s="10" t="inlineStr"/>
      <c r="G211" s="10" t="inlineStr"/>
      <c r="H211" s="10" t="inlineStr">
        <is>
          <t>启用</t>
        </is>
      </c>
      <c r="I211" s="6" t="inlineStr"/>
      <c r="J211" s="6" t="inlineStr">
        <is>
          <t>客户订单默认含铜，不含铜会备注</t>
        </is>
      </c>
      <c r="K211" s="6" t="inlineStr">
        <is>
          <t>客户订单备注</t>
        </is>
      </c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11" t="inlineStr"/>
      <c r="V211" s="12" t="inlineStr"/>
      <c r="W211" s="12" t="inlineStr"/>
      <c r="X211" s="12" t="n">
        <v>212</v>
      </c>
      <c r="Y211" s="12" t="inlineStr">
        <is>
          <t>CSR-BIZ-20260724-V1</t>
        </is>
      </c>
    </row>
    <row r="212">
      <c r="A212" s="10" t="inlineStr">
        <is>
          <t>无变化</t>
        </is>
      </c>
      <c r="B212" s="10" t="inlineStr">
        <is>
          <t>103844</t>
        </is>
      </c>
      <c r="C212" s="10" t="inlineStr">
        <is>
          <t>万安裕维</t>
        </is>
      </c>
      <c r="D212" s="10" t="inlineStr">
        <is>
          <t>邱飞</t>
        </is>
      </c>
      <c r="E212" s="10" t="inlineStr">
        <is>
          <t>梁莹</t>
        </is>
      </c>
      <c r="F212" s="10" t="inlineStr"/>
      <c r="G212" s="10" t="inlineStr"/>
      <c r="H212" s="10" t="inlineStr">
        <is>
          <t>启用</t>
        </is>
      </c>
      <c r="I212" s="6" t="inlineStr">
        <is>
          <t>客户没标注TG或者TG130=2140；TG150=2B；TG150和无卤素=3B；TG150&amp;无卤素&amp;CTI600=3H；TG135&amp;CTI600=1L</t>
        </is>
      </c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11" t="inlineStr"/>
      <c r="V212" s="12" t="inlineStr"/>
      <c r="W212" s="12" t="inlineStr"/>
      <c r="X212" s="12" t="n">
        <v>213</v>
      </c>
      <c r="Y212" s="12" t="inlineStr">
        <is>
          <t>CSR-BIZ-20260724-V1</t>
        </is>
      </c>
    </row>
    <row r="213">
      <c r="A213" s="10" t="inlineStr">
        <is>
          <t>无变化</t>
        </is>
      </c>
      <c r="B213" s="10" t="inlineStr">
        <is>
          <t>103757</t>
        </is>
      </c>
      <c r="C213" s="10" t="inlineStr">
        <is>
          <t>汕头宏俐</t>
        </is>
      </c>
      <c r="D213" s="10" t="inlineStr">
        <is>
          <t>邱飞</t>
        </is>
      </c>
      <c r="E213" s="10" t="inlineStr">
        <is>
          <t>梁莹</t>
        </is>
      </c>
      <c r="F213" s="10" t="inlineStr"/>
      <c r="G213" s="10" t="inlineStr"/>
      <c r="H213" s="10" t="inlineStr">
        <is>
          <t>启用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>
        <is>
          <t>所有胶系都下AC</t>
        </is>
      </c>
      <c r="P213" s="6" t="inlineStr"/>
      <c r="Q213" s="6" t="inlineStr"/>
      <c r="R213" s="6" t="inlineStr"/>
      <c r="S213" s="6" t="inlineStr"/>
      <c r="T213" s="6" t="inlineStr"/>
      <c r="U213" s="11" t="inlineStr"/>
      <c r="V213" s="12" t="inlineStr"/>
      <c r="W213" s="12" t="inlineStr"/>
      <c r="X213" s="12" t="n">
        <v>214</v>
      </c>
      <c r="Y213" s="12" t="inlineStr">
        <is>
          <t>CSR-BIZ-20260724-V1</t>
        </is>
      </c>
    </row>
    <row r="214">
      <c r="A214" s="10" t="inlineStr">
        <is>
          <t>无变化</t>
        </is>
      </c>
      <c r="B214" s="10" t="inlineStr">
        <is>
          <t>103353</t>
        </is>
      </c>
      <c r="C214" s="10" t="inlineStr">
        <is>
          <t>清远富盈</t>
        </is>
      </c>
      <c r="D214" s="10" t="inlineStr">
        <is>
          <t>邱飞</t>
        </is>
      </c>
      <c r="E214" s="10" t="inlineStr">
        <is>
          <t>梁莹</t>
        </is>
      </c>
      <c r="F214" s="10" t="inlineStr"/>
      <c r="G214" s="10" t="inlineStr"/>
      <c r="H214" s="10" t="inlineStr">
        <is>
          <t>启用</t>
        </is>
      </c>
      <c r="I214" s="6" t="inlineStr">
        <is>
          <t>NY2170&amp;5/5=2E</t>
        </is>
      </c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11" t="inlineStr"/>
      <c r="V214" s="12" t="inlineStr"/>
      <c r="W214" s="12" t="inlineStr"/>
      <c r="X214" s="12" t="n">
        <v>215</v>
      </c>
      <c r="Y214" s="12" t="inlineStr">
        <is>
          <t>CSR-BIZ-20260724-V1</t>
        </is>
      </c>
    </row>
    <row r="215">
      <c r="A215" s="10" t="inlineStr">
        <is>
          <t>无变化</t>
        </is>
      </c>
      <c r="B215" s="10" t="inlineStr">
        <is>
          <t>123111</t>
        </is>
      </c>
      <c r="C215" s="10" t="inlineStr">
        <is>
          <t>九江华秋、江门华秋</t>
        </is>
      </c>
      <c r="D215" s="10" t="inlineStr">
        <is>
          <t>邱飞</t>
        </is>
      </c>
      <c r="E215" s="10" t="inlineStr">
        <is>
          <t>梁莹</t>
        </is>
      </c>
      <c r="F215" s="10" t="inlineStr"/>
      <c r="G215" s="10" t="inlineStr"/>
      <c r="H215" s="10" t="inlineStr">
        <is>
          <t>无CCL规则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11" t="inlineStr"/>
      <c r="V215" s="12" t="inlineStr"/>
      <c r="W215" s="12" t="inlineStr"/>
      <c r="X215" s="12" t="n">
        <v>216</v>
      </c>
      <c r="Y215" s="12" t="inlineStr">
        <is>
          <t>CSR-BIZ-20260724-V1</t>
        </is>
      </c>
    </row>
    <row r="216">
      <c r="A216" s="10" t="inlineStr">
        <is>
          <t>无变化</t>
        </is>
      </c>
      <c r="B216" s="10" t="inlineStr">
        <is>
          <t>103910</t>
        </is>
      </c>
      <c r="C216" s="10" t="inlineStr">
        <is>
          <t>珠海中京</t>
        </is>
      </c>
      <c r="D216" s="10" t="inlineStr">
        <is>
          <t>刘友志</t>
        </is>
      </c>
      <c r="E216" s="10" t="inlineStr">
        <is>
          <t>王婷</t>
        </is>
      </c>
      <c r="F216" s="10" t="inlineStr"/>
      <c r="G216" s="10" t="inlineStr"/>
      <c r="H216" s="10" t="inlineStr">
        <is>
          <t>无CCL规则</t>
        </is>
      </c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11" t="inlineStr"/>
      <c r="V216" s="12" t="inlineStr">
        <is>
          <t>订单未备注铜箔，默认HTE</t>
        </is>
      </c>
      <c r="W216" s="12" t="inlineStr"/>
      <c r="X216" s="12" t="n">
        <v>217</v>
      </c>
      <c r="Y216" s="12" t="inlineStr">
        <is>
          <t>CSR-BIZ-20260724-V1</t>
        </is>
      </c>
    </row>
    <row r="217">
      <c r="A217" s="10" t="inlineStr">
        <is>
          <t>无变化</t>
        </is>
      </c>
      <c r="B217" s="10" t="inlineStr">
        <is>
          <t>103020</t>
        </is>
      </c>
      <c r="C217" s="10" t="inlineStr">
        <is>
          <t>惠州中京</t>
        </is>
      </c>
      <c r="D217" s="10" t="inlineStr">
        <is>
          <t>刘友志</t>
        </is>
      </c>
      <c r="E217" s="10" t="inlineStr">
        <is>
          <t>王婷</t>
        </is>
      </c>
      <c r="F217" s="10" t="inlineStr"/>
      <c r="G217" s="10" t="inlineStr"/>
      <c r="H217" s="10" t="inlineStr">
        <is>
          <t>无CCL规则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11" t="inlineStr"/>
      <c r="V217" s="12" t="inlineStr">
        <is>
          <t>订单未备注铜箔，默认HTE</t>
        </is>
      </c>
      <c r="W217" s="12" t="inlineStr"/>
      <c r="X217" s="12" t="n">
        <v>218</v>
      </c>
      <c r="Y217" s="12" t="inlineStr">
        <is>
          <t>CSR-BIZ-20260724-V1</t>
        </is>
      </c>
    </row>
    <row r="218">
      <c r="A218" s="10" t="inlineStr">
        <is>
          <t>无变化</t>
        </is>
      </c>
      <c r="B218" s="10" t="inlineStr">
        <is>
          <t>103901</t>
        </is>
      </c>
      <c r="C218" s="10" t="inlineStr">
        <is>
          <t>广州伊顿</t>
        </is>
      </c>
      <c r="D218" s="10" t="inlineStr"/>
      <c r="E218" s="10" t="inlineStr">
        <is>
          <t>徐世莹</t>
        </is>
      </c>
      <c r="F218" s="10" t="inlineStr">
        <is>
          <t>CGR-YIDUN</t>
        </is>
      </c>
      <c r="G218" s="10" t="inlineStr">
        <is>
          <t>广东依顿</t>
        </is>
      </c>
      <c r="H218" s="10" t="inlineStr">
        <is>
          <t>引用主客户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11" t="inlineStr"/>
      <c r="V218" s="12" t="inlineStr"/>
      <c r="W218" s="12" t="inlineStr"/>
      <c r="X218" s="12" t="n">
        <v>219</v>
      </c>
      <c r="Y218" s="12" t="inlineStr">
        <is>
          <t>CSR-BIZ-20260724-V1</t>
        </is>
      </c>
    </row>
    <row r="219">
      <c r="A219" s="10" t="inlineStr">
        <is>
          <t>无变化</t>
        </is>
      </c>
      <c r="B219" s="10" t="inlineStr">
        <is>
          <t>203012</t>
        </is>
      </c>
      <c r="C219" s="10" t="inlineStr">
        <is>
          <t>深圳安比</t>
        </is>
      </c>
      <c r="D219" s="10" t="inlineStr"/>
      <c r="E219" s="10" t="inlineStr">
        <is>
          <t>应鑫宁</t>
        </is>
      </c>
      <c r="F219" s="10" t="inlineStr"/>
      <c r="G219" s="10" t="inlineStr"/>
      <c r="H219" s="10" t="inlineStr">
        <is>
          <t>启用</t>
        </is>
      </c>
      <c r="I219" s="6" t="inlineStr"/>
      <c r="J219" s="6" t="inlineStr">
        <is>
          <t>备注会标注是否含铜，含铜是总厚且&lt;0.8时需要总厚转芯厚</t>
        </is>
      </c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11" t="inlineStr"/>
      <c r="V219" s="12" t="inlineStr"/>
      <c r="W219" s="12" t="inlineStr"/>
      <c r="X219" s="12" t="n">
        <v>220</v>
      </c>
      <c r="Y219" s="12" t="inlineStr">
        <is>
          <t>CSR-BIZ-20260724-V1</t>
        </is>
      </c>
    </row>
    <row r="220">
      <c r="A220" s="10" t="inlineStr">
        <is>
          <t>无变化</t>
        </is>
      </c>
      <c r="B220" s="10" t="inlineStr">
        <is>
          <t>103295</t>
        </is>
      </c>
      <c r="C220" s="10" t="inlineStr">
        <is>
          <t>惠州智恩</t>
        </is>
      </c>
      <c r="D220" s="10" t="inlineStr"/>
      <c r="E220" s="10" t="inlineStr">
        <is>
          <t>张歌</t>
        </is>
      </c>
      <c r="F220" s="10" t="inlineStr"/>
      <c r="G220" s="10" t="inlineStr"/>
      <c r="H220" s="10" t="inlineStr">
        <is>
          <t>启用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>
        <is>
          <t>NY-A2下汽车板</t>
        </is>
      </c>
      <c r="P220" s="6" t="inlineStr"/>
      <c r="Q220" s="6" t="inlineStr"/>
      <c r="R220" s="6" t="inlineStr"/>
      <c r="S220" s="6" t="inlineStr"/>
      <c r="T220" s="6" t="inlineStr"/>
      <c r="U220" s="11" t="inlineStr"/>
      <c r="V220" s="12" t="inlineStr"/>
      <c r="W220" s="12" t="inlineStr"/>
      <c r="X220" s="12" t="n">
        <v>221</v>
      </c>
      <c r="Y220" s="12" t="inlineStr">
        <is>
          <t>CSR-BIZ-20260724-V1</t>
        </is>
      </c>
    </row>
  </sheetData>
  <autoFilter ref="A1:Y220"/>
  <conditionalFormatting sqref="A2:A2000">
    <cfRule type="expression" priority="5" dxfId="0">
      <formula>$A2="新增"</formula>
    </cfRule>
    <cfRule type="expression" priority="6" dxfId="1">
      <formula>$A2="修改"</formula>
    </cfRule>
    <cfRule type="expression" priority="7" dxfId="3">
      <formula>$A2="停用"</formula>
    </cfRule>
  </conditionalFormatting>
  <conditionalFormatting sqref="B2:B2000">
    <cfRule type="expression" priority="8" dxfId="3">
      <formula>AND($B2&lt;&gt;"",$A2&lt;&gt;"停用",IF($F2="",COUNTIF($B:$B,$B2)&gt;1,COUNTIFS($B:$B,$B2,$F:$F,"&lt;&gt;"&amp;$F2)&gt;0))</formula>
    </cfRule>
  </conditionalFormatting>
  <dataValidations count="3">
    <dataValidation sqref="A2:A2000" showDropDown="0" showInputMessage="0" showErrorMessage="0" allowBlank="0" type="list">
      <formula1>='字段枚举'!$A$2:$A$5</formula1>
    </dataValidation>
    <dataValidation sqref="Q2:Q2000" showDropDown="0" showInputMessage="0" showErrorMessage="0" allowBlank="1" type="list">
      <formula1>='字段枚举'!$C$2:$C$10</formula1>
    </dataValidation>
    <dataValidation sqref="H2:H2000" showDropDown="0" showInputMessage="0" showErrorMessage="0" allowBlank="0" type="list">
      <formula1>='字段枚举'!$B$2:$B$5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2" customWidth="1" min="4" max="4"/>
    <col width="14" customWidth="1" min="5" max="5"/>
    <col width="18" customWidth="1" min="6" max="6"/>
    <col width="22" customWidth="1" min="7" max="7"/>
    <col width="36" customWidth="1" min="8" max="8"/>
    <col width="36" customWidth="1" min="9" max="9"/>
    <col width="36" customWidth="1" min="10" max="10"/>
    <col width="13" customWidth="1" min="11" max="11"/>
    <col width="16" customWidth="1" min="12" max="12"/>
    <col width="16" customWidth="1" min="13" max="13"/>
    <col width="36" customWidth="1" min="14" max="14"/>
  </cols>
  <sheetData>
    <row r="1">
      <c r="A1" s="13" t="inlineStr">
        <is>
          <t>变更批次号*</t>
        </is>
      </c>
      <c r="B1" s="13" t="inlineStr">
        <is>
          <t>提交日期*</t>
        </is>
      </c>
      <c r="C1" s="13" t="inlineStr">
        <is>
          <t>提交人*</t>
        </is>
      </c>
      <c r="D1" s="13" t="inlineStr">
        <is>
          <t>维护动作*</t>
        </is>
      </c>
      <c r="E1" s="13" t="inlineStr">
        <is>
          <t>客户代码*</t>
        </is>
      </c>
      <c r="F1" s="13" t="inlineStr">
        <is>
          <t>客户简称*</t>
        </is>
      </c>
      <c r="G1" s="13" t="inlineStr">
        <is>
          <t>变更字段*</t>
        </is>
      </c>
      <c r="H1" s="13" t="inlineStr">
        <is>
          <t>变更前</t>
        </is>
      </c>
      <c r="I1" s="13" t="inlineStr">
        <is>
          <t>变更后</t>
        </is>
      </c>
      <c r="J1" s="13" t="inlineStr">
        <is>
          <t>变更原因*</t>
        </is>
      </c>
      <c r="K1" s="13" t="inlineStr">
        <is>
          <t>生效日期</t>
        </is>
      </c>
      <c r="L1" s="13" t="inlineStr">
        <is>
          <t>业务确认人*</t>
        </is>
      </c>
      <c r="M1" s="13" t="inlineStr">
        <is>
          <t>处理状态</t>
        </is>
      </c>
      <c r="N1" s="13" t="inlineStr">
        <is>
          <t>技术反馈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14" t="n"/>
      <c r="N2" s="1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14" t="n"/>
      <c r="N3" s="1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14" t="n"/>
      <c r="N4" s="1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14" t="n"/>
      <c r="N5" s="1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14" t="n"/>
      <c r="N6" s="1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14" t="n"/>
      <c r="N7" s="1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4" t="n"/>
      <c r="N8" s="1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4" t="n"/>
      <c r="N9" s="1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4" t="n"/>
      <c r="N10" s="1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4" t="n"/>
      <c r="N11" s="1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4" t="n"/>
      <c r="N12" s="1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4" t="n"/>
      <c r="N13" s="14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4" t="n"/>
      <c r="N14" s="1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4" t="n"/>
      <c r="N15" s="14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4" t="n"/>
      <c r="N16" s="14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4" t="n"/>
      <c r="N17" s="14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14" t="n"/>
      <c r="N18" s="14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14" t="n"/>
      <c r="N19" s="14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14" t="n"/>
      <c r="N20" s="14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14" t="n"/>
      <c r="N21" s="14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14" t="n"/>
      <c r="N22" s="14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14" t="n"/>
      <c r="N23" s="14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4" t="n"/>
      <c r="N24" s="14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4" t="n"/>
      <c r="N25" s="14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4" t="n"/>
      <c r="N26" s="14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14" t="n"/>
      <c r="N27" s="14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14" t="n"/>
      <c r="N28" s="14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14" t="n"/>
      <c r="N29" s="14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14" t="n"/>
      <c r="N30" s="14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14" t="n"/>
      <c r="N31" s="14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14" t="n"/>
      <c r="N32" s="14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14" t="n"/>
      <c r="N33" s="14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14" t="n"/>
      <c r="N34" s="14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14" t="n"/>
      <c r="N35" s="14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14" t="n"/>
      <c r="N36" s="14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14" t="n"/>
      <c r="N37" s="14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14" t="n"/>
      <c r="N38" s="14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14" t="n"/>
      <c r="N39" s="14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14" t="n"/>
      <c r="N40" s="14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4" t="n"/>
      <c r="N41" s="14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4" t="n"/>
      <c r="N42" s="14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14" t="n"/>
      <c r="N43" s="14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4" t="n"/>
      <c r="N44" s="14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4" t="n"/>
      <c r="N45" s="14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4" t="n"/>
      <c r="N46" s="14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14" t="n"/>
      <c r="N47" s="14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14" t="n"/>
      <c r="N48" s="14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14" t="n"/>
      <c r="N49" s="14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14" t="n"/>
      <c r="N50" s="14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14" t="n"/>
      <c r="N51" s="14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14" t="n"/>
      <c r="N52" s="14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4" t="n"/>
      <c r="N53" s="14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4" t="n"/>
      <c r="N54" s="14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4" t="n"/>
      <c r="N55" s="14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14" t="n"/>
      <c r="N56" s="14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14" t="n"/>
      <c r="N57" s="14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14" t="n"/>
      <c r="N58" s="14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14" t="n"/>
      <c r="N59" s="14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14" t="n"/>
      <c r="N60" s="14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14" t="n"/>
      <c r="N61" s="14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14" t="n"/>
      <c r="N62" s="14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14" t="n"/>
      <c r="N63" s="14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14" t="n"/>
      <c r="N64" s="14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14" t="n"/>
      <c r="N65" s="14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14" t="n"/>
      <c r="N66" s="14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14" t="n"/>
      <c r="N67" s="14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14" t="n"/>
      <c r="N68" s="14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14" t="n"/>
      <c r="N69" s="14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4" t="n"/>
      <c r="N70" s="14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4" t="n"/>
      <c r="N71" s="14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14" t="n"/>
      <c r="N72" s="14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4" t="n"/>
      <c r="N73" s="14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4" t="n"/>
      <c r="N74" s="14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4" t="n"/>
      <c r="N75" s="14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14" t="n"/>
      <c r="N76" s="14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14" t="n"/>
      <c r="N77" s="14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14" t="n"/>
      <c r="N78" s="14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14" t="n"/>
      <c r="N79" s="14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14" t="n"/>
      <c r="N80" s="14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14" t="n"/>
      <c r="N81" s="14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4" t="n"/>
      <c r="N82" s="14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4" t="n"/>
      <c r="N83" s="14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4" t="n"/>
      <c r="N84" s="14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14" t="n"/>
      <c r="N85" s="14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14" t="n"/>
      <c r="N86" s="14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14" t="n"/>
      <c r="N87" s="14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14" t="n"/>
      <c r="N88" s="14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14" t="n"/>
      <c r="N89" s="14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14" t="n"/>
      <c r="N90" s="14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14" t="n"/>
      <c r="N91" s="14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14" t="n"/>
      <c r="N92" s="14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14" t="n"/>
      <c r="N93" s="14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14" t="n"/>
      <c r="N94" s="14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14" t="n"/>
      <c r="N95" s="14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14" t="n"/>
      <c r="N96" s="14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14" t="n"/>
      <c r="N97" s="14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14" t="n"/>
      <c r="N98" s="14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4" t="n"/>
      <c r="N99" s="14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4" t="n"/>
      <c r="N100" s="14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14" t="n"/>
      <c r="N101" s="14" t="n"/>
    </row>
  </sheetData>
  <autoFilter ref="A1:N101"/>
  <dataValidations count="2">
    <dataValidation sqref="D2:D1000" showDropDown="0" showInputMessage="0" showErrorMessage="0" allowBlank="1" type="list">
      <formula1>='字段枚举'!$A$3:$A$5</formula1>
    </dataValidation>
    <dataValidation sqref="G2:G1000" showDropDown="0" showInputMessage="0" showErrorMessage="0" allowBlank="1" type="list">
      <formula1>='字段枚举'!$C$2:$C$10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20" customWidth="1" min="6" max="6"/>
    <col width="10" customWidth="1" min="7" max="7"/>
    <col width="12" customWidth="1" min="8" max="8"/>
    <col width="36" customWidth="1" min="9" max="9"/>
    <col width="16" customWidth="1" min="10" max="10"/>
  </cols>
  <sheetData>
    <row r="1">
      <c r="A1" s="15" t="inlineStr">
        <is>
          <t>规则组ID*</t>
        </is>
      </c>
      <c r="B1" s="15" t="inlineStr">
        <is>
          <t>规则组名称*</t>
        </is>
      </c>
      <c r="C1" s="15" t="inlineStr">
        <is>
          <t>主客户代码</t>
        </is>
      </c>
      <c r="D1" s="15" t="inlineStr">
        <is>
          <t>主客户简称*</t>
        </is>
      </c>
      <c r="E1" s="15" t="inlineStr">
        <is>
          <t>成员客户代码</t>
        </is>
      </c>
      <c r="F1" s="15" t="inlineStr">
        <is>
          <t>成员客户简称*</t>
        </is>
      </c>
      <c r="G1" s="15" t="inlineStr">
        <is>
          <t>启用*</t>
        </is>
      </c>
      <c r="H1" s="15" t="inlineStr">
        <is>
          <t>维护动作*</t>
        </is>
      </c>
      <c r="I1" s="15" t="inlineStr">
        <is>
          <t>变更原因</t>
        </is>
      </c>
      <c r="J1" s="15" t="inlineStr">
        <is>
          <t>业务确认人</t>
        </is>
      </c>
    </row>
    <row r="2">
      <c r="A2" s="6" t="inlineStr">
        <is>
          <t>CGR-YIDUN</t>
        </is>
      </c>
      <c r="B2" s="6" t="inlineStr">
        <is>
          <t>依顿客户组</t>
        </is>
      </c>
      <c r="C2" s="6" t="inlineStr">
        <is>
          <t>103901</t>
        </is>
      </c>
      <c r="D2" s="6" t="inlineStr">
        <is>
          <t>广东依顿</t>
        </is>
      </c>
      <c r="E2" s="6" t="inlineStr">
        <is>
          <t>103901</t>
        </is>
      </c>
      <c r="F2" s="6" t="inlineStr">
        <is>
          <t>广东依顿</t>
        </is>
      </c>
      <c r="G2" s="6" t="inlineStr">
        <is>
          <t>是</t>
        </is>
      </c>
      <c r="H2" s="6" t="inlineStr">
        <is>
          <t>无变化</t>
        </is>
      </c>
      <c r="I2" s="6" t="inlineStr">
        <is>
          <t>现有受控客户别名</t>
        </is>
      </c>
      <c r="J2" s="6" t="inlineStr"/>
    </row>
    <row r="3">
      <c r="A3" s="6" t="inlineStr">
        <is>
          <t>CGR-YIDUN</t>
        </is>
      </c>
      <c r="B3" s="6" t="inlineStr">
        <is>
          <t>依顿客户组</t>
        </is>
      </c>
      <c r="C3" s="6" t="inlineStr">
        <is>
          <t>103901</t>
        </is>
      </c>
      <c r="D3" s="6" t="inlineStr">
        <is>
          <t>广东依顿</t>
        </is>
      </c>
      <c r="E3" s="6" t="inlineStr">
        <is>
          <t>103901</t>
        </is>
      </c>
      <c r="F3" s="6" t="inlineStr">
        <is>
          <t>广州伊顿</t>
        </is>
      </c>
      <c r="G3" s="6" t="inlineStr">
        <is>
          <t>是</t>
        </is>
      </c>
      <c r="H3" s="6" t="inlineStr">
        <is>
          <t>无变化</t>
        </is>
      </c>
      <c r="I3" s="6" t="inlineStr">
        <is>
          <t>现有受控客户别名</t>
        </is>
      </c>
      <c r="J3" s="6" t="inlineStr"/>
    </row>
    <row r="4">
      <c r="A4" s="6" t="inlineStr">
        <is>
          <t>CGR-SHENNAN</t>
        </is>
      </c>
      <c r="B4" s="6" t="inlineStr">
        <is>
          <t>深南集团</t>
        </is>
      </c>
      <c r="C4" s="6" t="inlineStr">
        <is>
          <t>104370</t>
        </is>
      </c>
      <c r="D4" s="6" t="inlineStr">
        <is>
          <t>南通深南</t>
        </is>
      </c>
      <c r="E4" s="6" t="inlineStr">
        <is>
          <t>104370</t>
        </is>
      </c>
      <c r="F4" s="6" t="inlineStr">
        <is>
          <t>南通深南</t>
        </is>
      </c>
      <c r="G4" s="6" t="inlineStr">
        <is>
          <t>是</t>
        </is>
      </c>
      <c r="H4" s="6" t="inlineStr">
        <is>
          <t>无变化</t>
        </is>
      </c>
      <c r="I4" s="6" t="inlineStr">
        <is>
          <t>2026-07-21业务确认共享规则</t>
        </is>
      </c>
      <c r="J4" s="6" t="inlineStr"/>
    </row>
    <row r="5">
      <c r="A5" s="6" t="inlineStr">
        <is>
          <t>CGR-SHENNAN</t>
        </is>
      </c>
      <c r="B5" s="6" t="inlineStr">
        <is>
          <t>深南集团</t>
        </is>
      </c>
      <c r="C5" s="6" t="inlineStr">
        <is>
          <t>104370</t>
        </is>
      </c>
      <c r="D5" s="6" t="inlineStr">
        <is>
          <t>南通深南</t>
        </is>
      </c>
      <c r="E5" s="6" t="inlineStr">
        <is>
          <t>103673</t>
        </is>
      </c>
      <c r="F5" s="6" t="inlineStr">
        <is>
          <t>深南电路</t>
        </is>
      </c>
      <c r="G5" s="6" t="inlineStr">
        <is>
          <t>是</t>
        </is>
      </c>
      <c r="H5" s="6" t="inlineStr">
        <is>
          <t>无变化</t>
        </is>
      </c>
      <c r="I5" s="6" t="inlineStr">
        <is>
          <t>2026-07-21业务确认共享规则</t>
        </is>
      </c>
      <c r="J5" s="6" t="inlineStr"/>
    </row>
    <row r="6">
      <c r="A6" s="6" t="inlineStr">
        <is>
          <t>CGR-SHENNAN</t>
        </is>
      </c>
      <c r="B6" s="6" t="inlineStr">
        <is>
          <t>深南集团</t>
        </is>
      </c>
      <c r="C6" s="6" t="inlineStr">
        <is>
          <t>104370</t>
        </is>
      </c>
      <c r="D6" s="6" t="inlineStr">
        <is>
          <t>南通深南</t>
        </is>
      </c>
      <c r="E6" s="6" t="inlineStr">
        <is>
          <t>104299</t>
        </is>
      </c>
      <c r="F6" s="6" t="inlineStr">
        <is>
          <t>无锡深南</t>
        </is>
      </c>
      <c r="G6" s="6" t="inlineStr">
        <is>
          <t>是</t>
        </is>
      </c>
      <c r="H6" s="6" t="inlineStr">
        <is>
          <t>无变化</t>
        </is>
      </c>
      <c r="I6" s="6" t="inlineStr">
        <is>
          <t>2026-07-21业务确认共享规则</t>
        </is>
      </c>
      <c r="J6" s="6" t="inlineStr"/>
    </row>
    <row r="7">
      <c r="A7" s="6" t="inlineStr">
        <is>
          <t>CGR-SHENNAN</t>
        </is>
      </c>
      <c r="B7" s="6" t="inlineStr">
        <is>
          <t>深南集团</t>
        </is>
      </c>
      <c r="C7" s="6" t="inlineStr">
        <is>
          <t>104370</t>
        </is>
      </c>
      <c r="D7" s="6" t="inlineStr">
        <is>
          <t>南通深南</t>
        </is>
      </c>
      <c r="E7" s="6" t="inlineStr"/>
      <c r="F7" s="6" t="inlineStr">
        <is>
          <t>深南集团</t>
        </is>
      </c>
      <c r="G7" s="6" t="inlineStr">
        <is>
          <t>是</t>
        </is>
      </c>
      <c r="H7" s="6" t="inlineStr">
        <is>
          <t>无变化</t>
        </is>
      </c>
      <c r="I7" s="6" t="inlineStr">
        <is>
          <t>2026-07-21业务确认共享规则</t>
        </is>
      </c>
      <c r="J7" s="6" t="inlineStr"/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62" customWidth="1" min="4" max="4"/>
    <col width="34" customWidth="1" min="5" max="5"/>
  </cols>
  <sheetData>
    <row r="1">
      <c r="A1" s="15" t="inlineStr">
        <is>
          <t>维护动作</t>
        </is>
      </c>
      <c r="B1" s="15" t="inlineStr">
        <is>
          <t>规则状态</t>
        </is>
      </c>
      <c r="C1" s="15" t="inlineStr">
        <is>
          <t>变更字段</t>
        </is>
      </c>
      <c r="D1" s="15" t="inlineStr">
        <is>
          <t>示例规则写法</t>
        </is>
      </c>
      <c r="E1" s="15" t="inlineStr">
        <is>
          <t>说明</t>
        </is>
      </c>
    </row>
    <row r="2">
      <c r="A2" s="16" t="inlineStr">
        <is>
          <t>无变化</t>
        </is>
      </c>
      <c r="B2" s="16" t="inlineStr">
        <is>
          <t>启用</t>
        </is>
      </c>
      <c r="C2" s="16" t="inlineStr">
        <is>
          <t>整行/客户主数据</t>
        </is>
      </c>
      <c r="D2" s="16" t="inlineStr">
        <is>
          <t>当订单备注含汽车板/汽板/要汽板时，基板级别=AC</t>
        </is>
      </c>
      <c r="E2" s="16" t="inlineStr">
        <is>
          <t>条件字段、关键词和结果明确</t>
        </is>
      </c>
    </row>
    <row r="3">
      <c r="A3" s="16" t="inlineStr">
        <is>
          <t>新增</t>
        </is>
      </c>
      <c r="B3" s="16" t="inlineStr">
        <is>
          <t>停用</t>
        </is>
      </c>
      <c r="C3" s="16" t="inlineStr">
        <is>
          <t>胶系</t>
        </is>
      </c>
      <c r="D3" s="16" t="inlineStr">
        <is>
          <t>当胶系=NY2150时，胶系代码=2T</t>
        </is>
      </c>
      <c r="E3" s="16" t="inlineStr">
        <is>
          <t>必须写适用胶系和目标</t>
        </is>
      </c>
    </row>
    <row r="4">
      <c r="A4" s="16" t="inlineStr">
        <is>
          <t>修改</t>
        </is>
      </c>
      <c r="B4" s="16" t="inlineStr">
        <is>
          <t>无CCL规则</t>
        </is>
      </c>
      <c r="C4" s="16" t="inlineStr">
        <is>
          <t>基板厚度</t>
        </is>
      </c>
      <c r="D4" s="16" t="inlineStr">
        <is>
          <t>基板厚度&lt;0.8时，按总芯厚转换表由总厚转芯厚</t>
        </is>
      </c>
      <c r="E4" s="16" t="inlineStr">
        <is>
          <t>可引用已受控算法表</t>
        </is>
      </c>
    </row>
    <row r="5">
      <c r="A5" s="16" t="inlineStr">
        <is>
          <t>停用</t>
        </is>
      </c>
      <c r="B5" s="16" t="inlineStr">
        <is>
          <t>引用主客户</t>
        </is>
      </c>
      <c r="C5" s="16" t="inlineStr">
        <is>
          <t>铜箔规格</t>
        </is>
      </c>
      <c r="D5" s="16" t="inlineStr">
        <is>
          <t>R/R或1.5/1.5时，铜箔规格=F/F</t>
        </is>
      </c>
      <c r="E5" s="16" t="inlineStr">
        <is>
          <t>多个同义写法可并列</t>
        </is>
      </c>
    </row>
    <row r="6">
      <c r="A6" s="16" t="inlineStr"/>
      <c r="B6" s="16" t="inlineStr"/>
      <c r="C6" s="16" t="inlineStr">
        <is>
          <t>基板尺寸</t>
        </is>
      </c>
      <c r="D6" s="16" t="inlineStr">
        <is>
          <t>客户尺寸36*48映射为厂内37*49</t>
        </is>
      </c>
      <c r="E6" s="16" t="inlineStr">
        <is>
          <t>写客户值和厂内值</t>
        </is>
      </c>
    </row>
    <row r="7">
      <c r="A7" s="16" t="inlineStr"/>
      <c r="B7" s="16" t="inlineStr"/>
      <c r="C7" s="16" t="inlineStr">
        <is>
          <t>胶水类别</t>
        </is>
      </c>
      <c r="D7" s="16" t="inlineStr">
        <is>
          <t>NY3150HF且规格或订单备注不含TFT时，胶水类别=R</t>
        </is>
      </c>
      <c r="E7" s="16" t="inlineStr">
        <is>
          <t>缺失条件要写清</t>
        </is>
      </c>
    </row>
    <row r="8">
      <c r="A8" s="16" t="inlineStr"/>
      <c r="B8" s="16" t="inlineStr"/>
      <c r="C8" s="16" t="inlineStr">
        <is>
          <t>铜箔类型+印字/非印字</t>
        </is>
      </c>
      <c r="D8" s="16" t="inlineStr">
        <is>
          <t>订单未备注铜箔类型时，按HTE无水印处理</t>
        </is>
      </c>
      <c r="E8" s="16" t="inlineStr">
        <is>
          <t>只有明确默认才写</t>
        </is>
      </c>
    </row>
    <row r="9">
      <c r="A9" s="16" t="inlineStr"/>
      <c r="B9" s="16" t="inlineStr"/>
      <c r="C9" s="16" t="inlineStr">
        <is>
          <t>基板级别</t>
        </is>
      </c>
      <c r="D9" s="16" t="inlineStr">
        <is>
          <t>NY2150H且56mil且1/1或H/H且备注含8张布汽车板时=AY</t>
        </is>
      </c>
      <c r="E9" s="16" t="inlineStr">
        <is>
          <t>多条件必须全部列出</t>
        </is>
      </c>
    </row>
    <row r="10">
      <c r="A10" s="16" t="inlineStr"/>
      <c r="B10" s="16" t="inlineStr"/>
      <c r="C10" s="16" t="inlineStr">
        <is>
          <t>总/芯厚</t>
        </is>
      </c>
      <c r="D10" s="16" t="inlineStr">
        <is>
          <t>客户物料编码含631时=芯厚；含632时=总厚</t>
        </is>
      </c>
      <c r="E10" s="16" t="inlineStr">
        <is>
          <t>每个结果有唯一条件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客户代码</t>
        </is>
      </c>
      <c r="B1" t="inlineStr">
        <is>
          <t>客户简称</t>
        </is>
      </c>
      <c r="C1" t="inlineStr">
        <is>
          <t>规则状态</t>
        </is>
      </c>
      <c r="D1" t="inlineStr">
        <is>
          <t>胶系</t>
        </is>
      </c>
      <c r="E1" t="inlineStr">
        <is>
          <t>基板厚度</t>
        </is>
      </c>
      <c r="F1" t="inlineStr">
        <is>
          <t>铜箔规格</t>
        </is>
      </c>
      <c r="G1" t="inlineStr">
        <is>
          <t>基板尺寸</t>
        </is>
      </c>
      <c r="H1" t="inlineStr">
        <is>
          <t>胶水类别</t>
        </is>
      </c>
      <c r="I1" t="inlineStr">
        <is>
          <t>铜箔类型+印字/非印字</t>
        </is>
      </c>
      <c r="J1" t="inlineStr">
        <is>
          <t>基板级别</t>
        </is>
      </c>
      <c r="K1" t="inlineStr">
        <is>
          <t>总/芯厚</t>
        </is>
      </c>
      <c r="L1" t="inlineStr">
        <is>
          <t>来源行号</t>
        </is>
      </c>
      <c r="M1" t="inlineStr">
        <is>
          <t>基线版本</t>
        </is>
      </c>
    </row>
    <row r="2">
      <c r="A2" t="inlineStr">
        <is>
          <t>122023</t>
        </is>
      </c>
      <c r="B2" t="inlineStr">
        <is>
          <t>超颖电子</t>
        </is>
      </c>
      <c r="C2" t="inlineStr">
        <is>
          <t>启用</t>
        </is>
      </c>
      <c r="D2" t="inlineStr">
        <is>
          <t>NY3170HF=3C</t>
        </is>
      </c>
      <c r="E2" t="inlineStr">
        <is>
          <t>客户规格中如果是mil单位, 参考健鼎超颖板厚表格进行换算</t>
        </is>
      </c>
      <c r="G2" t="inlineStr">
        <is>
          <t>28*48=28504900，27*48=7204900，24*48=24604900，42*48=43004900，40*48=41004900，36*48=37004900</t>
        </is>
      </c>
      <c r="J2" t="inlineStr">
        <is>
          <t>除汽车板外，基板级别=AT,当胶系是NY-A2时=AC</t>
        </is>
      </c>
      <c r="L2" t="n">
        <v>3</v>
      </c>
      <c r="M2" t="inlineStr">
        <is>
          <t>CSR-BIZ-20260724-V1</t>
        </is>
      </c>
    </row>
    <row r="3">
      <c r="A3" t="inlineStr">
        <is>
          <t>103890</t>
        </is>
      </c>
      <c r="B3" t="inlineStr">
        <is>
          <t>珠海景旺</t>
        </is>
      </c>
      <c r="C3" t="inlineStr">
        <is>
          <t>启用</t>
        </is>
      </c>
      <c r="D3" t="inlineStr">
        <is>
          <t>NY3150HC=RV或3H，NY2150=AS</t>
        </is>
      </c>
      <c r="I3" t="inlineStr">
        <is>
          <t>HVLP=HVLP1</t>
        </is>
      </c>
      <c r="J3" t="inlineStr">
        <is>
          <t>当订单备注有电源板和能源板时=AP，当胶系=NY3150HC = 3H时=AL，当胶系=NY3150HC = RV时=A1，当胶系=NY-A1或NY-A2时=AC</t>
        </is>
      </c>
      <c r="L3" t="n">
        <v>4</v>
      </c>
      <c r="M3" t="inlineStr">
        <is>
          <t>CSR-BIZ-20260724-V1</t>
        </is>
      </c>
    </row>
    <row r="4">
      <c r="A4" t="inlineStr">
        <is>
          <t>103031</t>
        </is>
      </c>
      <c r="B4" t="inlineStr">
        <is>
          <t>江福昌发</t>
        </is>
      </c>
      <c r="C4" t="inlineStr">
        <is>
          <t>启用</t>
        </is>
      </c>
      <c r="E4" t="inlineStr">
        <is>
          <t>订单若不备注芯厚，默认是总厚且基板厚度&lt;0.8需要进行芯总厚转换</t>
        </is>
      </c>
      <c r="F4" t="inlineStr">
        <is>
          <t>H/H =J/J(15um出货)；1/1=f/f(30um出货)</t>
        </is>
      </c>
      <c r="G4" t="inlineStr">
        <is>
          <t>1888=74.3；2091=82.3；2192=86.3；
1880=74；2082=82；2184=86；940=37；1041=41；1092=43 
948=37.3；1049=41.3；1100=43.3</t>
        </is>
      </c>
      <c r="J4" t="inlineStr">
        <is>
          <t>NY2140&amp;0.8mm以上&amp;1oz以下=F1</t>
        </is>
      </c>
      <c r="L4" t="n">
        <v>5</v>
      </c>
      <c r="M4" t="inlineStr">
        <is>
          <t>CSR-BIZ-20260724-V1</t>
        </is>
      </c>
    </row>
    <row r="5">
      <c r="A5" t="inlineStr">
        <is>
          <t>103891</t>
        </is>
      </c>
      <c r="B5" t="inlineStr">
        <is>
          <t>方正F7</t>
        </is>
      </c>
      <c r="C5" t="inlineStr">
        <is>
          <t>启用</t>
        </is>
      </c>
      <c r="D5" t="inlineStr">
        <is>
          <t>NY2150=2B</t>
        </is>
      </c>
      <c r="E5" t="inlineStr">
        <is>
          <t>全部是芯厚</t>
        </is>
      </c>
      <c r="I5" t="inlineStr">
        <is>
          <t>HS2-M2-VSP=HVLP2 ,HS1-M2-VSP=HVLP1</t>
        </is>
      </c>
      <c r="K5" t="inlineStr">
        <is>
          <t>默认全部芯厚基板厚度&gt;=0.8需要进行芯总厚转换</t>
        </is>
      </c>
      <c r="L5" t="n">
        <v>6</v>
      </c>
      <c r="M5" t="inlineStr">
        <is>
          <t>CSR-BIZ-20260724-V1</t>
        </is>
      </c>
    </row>
    <row r="6">
      <c r="A6" t="inlineStr">
        <is>
          <t>105007</t>
        </is>
      </c>
      <c r="B6" t="inlineStr">
        <is>
          <t>湖奥士康</t>
        </is>
      </c>
      <c r="C6" t="inlineStr">
        <is>
          <t>启用</t>
        </is>
      </c>
      <c r="D6" t="inlineStr">
        <is>
          <t>NY-A1=RC</t>
        </is>
      </c>
      <c r="F6" t="inlineStr">
        <is>
          <t>R/R=F/F</t>
        </is>
      </c>
      <c r="I6" t="inlineStr">
        <is>
          <t>当备注中有水印要求时=铜箔类型+有水印</t>
        </is>
      </c>
      <c r="J6" t="inlineStr">
        <is>
          <t>当备注中有X0A0/X0B0/car/汽车板/458/439字样时=AC,当备注中有MINILED字样时=AM,当胶系=NY3150HF时=A1，当胶系=NY2140L时=A2</t>
        </is>
      </c>
      <c r="L6" t="n">
        <v>7</v>
      </c>
      <c r="M6" t="inlineStr">
        <is>
          <t>CSR-BIZ-20260724-V1</t>
        </is>
      </c>
    </row>
    <row r="7">
      <c r="A7" t="inlineStr">
        <is>
          <t>103914</t>
        </is>
      </c>
      <c r="B7" t="inlineStr">
        <is>
          <t>华通电脑</t>
        </is>
      </c>
      <c r="C7" t="inlineStr">
        <is>
          <t>无CCL规则</t>
        </is>
      </c>
      <c r="L7" t="n">
        <v>8</v>
      </c>
      <c r="M7" t="inlineStr">
        <is>
          <t>CSR-BIZ-20260724-V1</t>
        </is>
      </c>
    </row>
    <row r="8">
      <c r="A8" t="inlineStr">
        <is>
          <t>103458</t>
        </is>
      </c>
      <c r="B8" t="inlineStr">
        <is>
          <t>惠星之光</t>
        </is>
      </c>
      <c r="C8" t="inlineStr">
        <is>
          <t>无CCL规则</t>
        </is>
      </c>
      <c r="L8" t="n">
        <v>9</v>
      </c>
      <c r="M8" t="inlineStr">
        <is>
          <t>CSR-BIZ-20260724-V1</t>
        </is>
      </c>
    </row>
    <row r="9">
      <c r="A9" t="inlineStr">
        <is>
          <t>103872</t>
        </is>
      </c>
      <c r="B9" t="inlineStr">
        <is>
          <t>惠州华通</t>
        </is>
      </c>
      <c r="C9" t="inlineStr">
        <is>
          <t>无CCL规则</t>
        </is>
      </c>
      <c r="L9" t="n">
        <v>10</v>
      </c>
      <c r="M9" t="inlineStr">
        <is>
          <t>CSR-BIZ-20260724-V1</t>
        </is>
      </c>
    </row>
    <row r="10">
      <c r="A10" t="inlineStr">
        <is>
          <t>123046</t>
        </is>
      </c>
      <c r="B10" t="inlineStr">
        <is>
          <t>江西中络</t>
        </is>
      </c>
      <c r="C10" t="inlineStr">
        <is>
          <t>无CCL规则</t>
        </is>
      </c>
      <c r="L10" t="n">
        <v>11</v>
      </c>
      <c r="M10" t="inlineStr">
        <is>
          <t>CSR-BIZ-20260724-V1</t>
        </is>
      </c>
    </row>
    <row r="11">
      <c r="A11" t="inlineStr">
        <is>
          <t>123074</t>
        </is>
      </c>
      <c r="B11" t="inlineStr">
        <is>
          <t>龙南鼎泰</t>
        </is>
      </c>
      <c r="C11" t="inlineStr">
        <is>
          <t>无CCL规则</t>
        </is>
      </c>
      <c r="L11" t="n">
        <v>12</v>
      </c>
      <c r="M11" t="inlineStr">
        <is>
          <t>CSR-BIZ-20260724-V1</t>
        </is>
      </c>
    </row>
    <row r="12">
      <c r="A12" t="inlineStr">
        <is>
          <t>103632</t>
        </is>
      </c>
      <c r="B12" t="inlineStr">
        <is>
          <t>梅州奔创</t>
        </is>
      </c>
      <c r="C12" t="inlineStr">
        <is>
          <t>无CCL规则</t>
        </is>
      </c>
      <c r="L12" t="n">
        <v>13</v>
      </c>
      <c r="M12" t="inlineStr">
        <is>
          <t>CSR-BIZ-20260724-V1</t>
        </is>
      </c>
    </row>
    <row r="13">
      <c r="A13" t="inlineStr">
        <is>
          <t>103448</t>
        </is>
      </c>
      <c r="B13" t="inlineStr">
        <is>
          <t>广东骏亚</t>
        </is>
      </c>
      <c r="C13" t="inlineStr">
        <is>
          <t>无CCL规则</t>
        </is>
      </c>
      <c r="L13" t="n">
        <v>14</v>
      </c>
      <c r="M13" t="inlineStr">
        <is>
          <t>CSR-BIZ-20260724-V1</t>
        </is>
      </c>
    </row>
    <row r="14">
      <c r="A14" t="inlineStr">
        <is>
          <t>103926</t>
        </is>
      </c>
      <c r="B14" t="inlineStr">
        <is>
          <t>惠州骏亚</t>
        </is>
      </c>
      <c r="C14" t="inlineStr">
        <is>
          <t>无CCL规则</t>
        </is>
      </c>
      <c r="L14" t="n">
        <v>15</v>
      </c>
      <c r="M14" t="inlineStr">
        <is>
          <t>CSR-BIZ-20260724-V1</t>
        </is>
      </c>
    </row>
    <row r="15">
      <c r="A15" t="inlineStr">
        <is>
          <t>103850</t>
        </is>
      </c>
      <c r="B15" t="inlineStr">
        <is>
          <t>骏亚精密</t>
        </is>
      </c>
      <c r="C15" t="inlineStr">
        <is>
          <t>无CCL规则</t>
        </is>
      </c>
      <c r="L15" t="n">
        <v>16</v>
      </c>
      <c r="M15" t="inlineStr">
        <is>
          <t>CSR-BIZ-20260724-V1</t>
        </is>
      </c>
    </row>
    <row r="16">
      <c r="A16" t="inlineStr">
        <is>
          <t>123012</t>
        </is>
      </c>
      <c r="B16" t="inlineStr">
        <is>
          <t>龙南骏亚</t>
        </is>
      </c>
      <c r="C16" t="inlineStr">
        <is>
          <t>无CCL规则</t>
        </is>
      </c>
      <c r="L16" t="n">
        <v>17</v>
      </c>
      <c r="M16" t="inlineStr">
        <is>
          <t>CSR-BIZ-20260724-V1</t>
        </is>
      </c>
    </row>
    <row r="17">
      <c r="A17" t="inlineStr">
        <is>
          <t>103026</t>
        </is>
      </c>
      <c r="B17" t="inlineStr">
        <is>
          <t>肇庆昌隆</t>
        </is>
      </c>
      <c r="C17" t="inlineStr">
        <is>
          <t>无CCL规则</t>
        </is>
      </c>
      <c r="L17" t="n">
        <v>18</v>
      </c>
      <c r="M17" t="inlineStr">
        <is>
          <t>CSR-BIZ-20260724-V1</t>
        </is>
      </c>
    </row>
    <row r="18">
      <c r="A18" t="inlineStr">
        <is>
          <t>103831</t>
        </is>
      </c>
      <c r="B18" t="inlineStr">
        <is>
          <t>东莞福哥</t>
        </is>
      </c>
      <c r="C18" t="inlineStr">
        <is>
          <t>无CCL规则</t>
        </is>
      </c>
      <c r="L18" t="n">
        <v>19</v>
      </c>
      <c r="M18" t="inlineStr">
        <is>
          <t>CSR-BIZ-20260724-V1</t>
        </is>
      </c>
    </row>
    <row r="19">
      <c r="A19" t="inlineStr">
        <is>
          <t>103026</t>
        </is>
      </c>
      <c r="B19" t="inlineStr">
        <is>
          <t>肇庆昌隆</t>
        </is>
      </c>
      <c r="C19" t="inlineStr">
        <is>
          <t>无CCL规则</t>
        </is>
      </c>
      <c r="L19" t="n">
        <v>20</v>
      </c>
      <c r="M19" t="inlineStr">
        <is>
          <t>CSR-BIZ-20260724-V1</t>
        </is>
      </c>
    </row>
    <row r="20">
      <c r="A20" t="inlineStr">
        <is>
          <t>104354</t>
        </is>
      </c>
      <c r="B20" t="inlineStr">
        <is>
          <t>常熟敬鹏</t>
        </is>
      </c>
      <c r="C20" t="inlineStr">
        <is>
          <t>启用</t>
        </is>
      </c>
      <c r="D20" t="inlineStr">
        <is>
          <t>NY1140=2A</t>
        </is>
      </c>
      <c r="E20" t="inlineStr">
        <is>
          <t>0.71(含)以下=芯厚，0.71以上=总厚；客户料品名称上有“FML”为芯厚订单</t>
        </is>
      </c>
      <c r="G20" t="inlineStr">
        <is>
          <t>2090*1245=8230*4900</t>
        </is>
      </c>
      <c r="J20" t="inlineStr">
        <is>
          <t>NY1600及NY2140外，其余均下汽车板料号</t>
        </is>
      </c>
      <c r="L20" t="n">
        <v>21</v>
      </c>
      <c r="M20" t="inlineStr">
        <is>
          <t>CSR-BIZ-20260724-V1</t>
        </is>
      </c>
    </row>
    <row r="21">
      <c r="A21" t="inlineStr">
        <is>
          <t>104273</t>
        </is>
      </c>
      <c r="B21" t="inlineStr">
        <is>
          <t>昆山竞陆</t>
        </is>
      </c>
      <c r="C21" t="inlineStr">
        <is>
          <t>无CCL规则</t>
        </is>
      </c>
      <c r="L21" t="n">
        <v>22</v>
      </c>
      <c r="M21" t="inlineStr">
        <is>
          <t>CSR-BIZ-20260724-V1</t>
        </is>
      </c>
    </row>
    <row r="22">
      <c r="A22" t="inlineStr">
        <is>
          <t>104443</t>
        </is>
      </c>
      <c r="B22" t="inlineStr">
        <is>
          <t>无新美亚</t>
        </is>
      </c>
      <c r="C22" t="inlineStr">
        <is>
          <t>启用</t>
        </is>
      </c>
      <c r="G22" t="inlineStr">
        <is>
          <t>客户订单中的尺寸, 参考新美亚客户尺寸转换表进行换算</t>
        </is>
      </c>
      <c r="K22" t="inlineStr">
        <is>
          <t>物料编码631.是芯厚，632.是总厚</t>
        </is>
      </c>
      <c r="L22" t="n">
        <v>23</v>
      </c>
      <c r="M22" t="inlineStr">
        <is>
          <t>CSR-BIZ-20260724-V1</t>
        </is>
      </c>
    </row>
    <row r="23">
      <c r="A23" t="inlineStr">
        <is>
          <t>104143</t>
        </is>
      </c>
      <c r="B23" t="inlineStr">
        <is>
          <t>江苏苏杭</t>
        </is>
      </c>
      <c r="C23" t="inlineStr">
        <is>
          <t>启用</t>
        </is>
      </c>
      <c r="E23" t="inlineStr">
        <is>
          <t>维护公差</t>
        </is>
      </c>
      <c r="J23" t="inlineStr">
        <is>
          <t>当胶系=NY2150或胶系=NY2170时=AC</t>
        </is>
      </c>
      <c r="L23" t="n">
        <v>24</v>
      </c>
      <c r="M23" t="inlineStr">
        <is>
          <t>CSR-BIZ-20260724-V1</t>
        </is>
      </c>
    </row>
    <row r="24">
      <c r="A24" t="inlineStr">
        <is>
          <t>104230</t>
        </is>
      </c>
      <c r="B24" t="inlineStr">
        <is>
          <t>昆山苏杭</t>
        </is>
      </c>
      <c r="C24" t="inlineStr">
        <is>
          <t>无CCL规则</t>
        </is>
      </c>
      <c r="L24" t="n">
        <v>25</v>
      </c>
      <c r="M24" t="inlineStr">
        <is>
          <t>CSR-BIZ-20260724-V1</t>
        </is>
      </c>
    </row>
    <row r="25">
      <c r="A25" t="inlineStr">
        <is>
          <t>104403</t>
        </is>
      </c>
      <c r="B25" t="inlineStr">
        <is>
          <t>涟水苏杭</t>
        </is>
      </c>
      <c r="C25" t="inlineStr">
        <is>
          <t>启用</t>
        </is>
      </c>
      <c r="E25" t="inlineStr">
        <is>
          <t>维护公差</t>
        </is>
      </c>
      <c r="J25" t="inlineStr">
        <is>
          <t>当胶系=NY2150或胶系=NY2170时=AC</t>
        </is>
      </c>
      <c r="L25" t="n">
        <v>26</v>
      </c>
      <c r="M25" t="inlineStr">
        <is>
          <t>CSR-BIZ-20260724-V1</t>
        </is>
      </c>
    </row>
    <row r="26">
      <c r="A26" t="inlineStr">
        <is>
          <t>103024</t>
        </is>
      </c>
      <c r="B26" t="inlineStr">
        <is>
          <t>深圳博敏</t>
        </is>
      </c>
      <c r="C26" t="inlineStr">
        <is>
          <t>启用</t>
        </is>
      </c>
      <c r="J26" t="inlineStr">
        <is>
          <t>当胶系NY3150HF=AH时=AD</t>
        </is>
      </c>
      <c r="L26" t="n">
        <v>27</v>
      </c>
      <c r="M26" t="inlineStr">
        <is>
          <t>CSR-BIZ-20260724-V1</t>
        </is>
      </c>
    </row>
    <row r="27">
      <c r="A27" t="inlineStr">
        <is>
          <t>103935</t>
        </is>
      </c>
      <c r="B27" t="inlineStr">
        <is>
          <t>东莞康源</t>
        </is>
      </c>
      <c r="C27" t="inlineStr">
        <is>
          <t>启用</t>
        </is>
      </c>
      <c r="I27" t="inlineStr">
        <is>
          <t>当胶系=3170M时，下RTF铜箔；当胶系=3170M且铜箔规格=T/T时且基板厚度=0.35mm时，下HTE铜箔</t>
        </is>
      </c>
      <c r="L27" t="n">
        <v>28</v>
      </c>
      <c r="M27" t="inlineStr">
        <is>
          <t>CSR-BIZ-20260724-V1</t>
        </is>
      </c>
    </row>
    <row r="28">
      <c r="A28" t="inlineStr">
        <is>
          <t>101003</t>
        </is>
      </c>
      <c r="B28" t="inlineStr">
        <is>
          <t>上海山崎</t>
        </is>
      </c>
      <c r="C28" t="inlineStr">
        <is>
          <t>启用</t>
        </is>
      </c>
      <c r="D28" t="inlineStr">
        <is>
          <t>NY1140=NY2140</t>
        </is>
      </c>
      <c r="L28" t="n">
        <v>29</v>
      </c>
      <c r="M28" t="inlineStr">
        <is>
          <t>CSR-BIZ-20260724-V1</t>
        </is>
      </c>
    </row>
    <row r="29">
      <c r="A29" t="inlineStr">
        <is>
          <t>104032</t>
        </is>
      </c>
      <c r="B29" t="inlineStr">
        <is>
          <t>昆山华新</t>
        </is>
      </c>
      <c r="C29" t="inlineStr">
        <is>
          <t>启用</t>
        </is>
      </c>
      <c r="J29" t="inlineStr">
        <is>
          <t>当胶系=NY2140时=F1</t>
        </is>
      </c>
      <c r="L29" t="n">
        <v>30</v>
      </c>
      <c r="M29" t="inlineStr">
        <is>
          <t>CSR-BIZ-20260724-V1</t>
        </is>
      </c>
    </row>
    <row r="30">
      <c r="A30" t="inlineStr">
        <is>
          <t>104174</t>
        </is>
      </c>
      <c r="B30" t="inlineStr">
        <is>
          <t>昆亿富达</t>
        </is>
      </c>
      <c r="C30" t="inlineStr">
        <is>
          <t>无CCL规则</t>
        </is>
      </c>
      <c r="L30" t="n">
        <v>31</v>
      </c>
      <c r="M30" t="inlineStr">
        <is>
          <t>CSR-BIZ-20260724-V1</t>
        </is>
      </c>
    </row>
    <row r="31">
      <c r="A31" t="inlineStr">
        <is>
          <t>103658</t>
        </is>
      </c>
      <c r="B31" t="inlineStr">
        <is>
          <t>江奔力达</t>
        </is>
      </c>
      <c r="C31" t="inlineStr">
        <is>
          <t>无CCL规则</t>
        </is>
      </c>
      <c r="L31" t="n">
        <v>32</v>
      </c>
      <c r="M31" t="inlineStr">
        <is>
          <t>CSR-BIZ-20260724-V1</t>
        </is>
      </c>
    </row>
    <row r="32">
      <c r="A32" t="inlineStr">
        <is>
          <t>103863</t>
        </is>
      </c>
      <c r="B32" t="inlineStr">
        <is>
          <t>益明正宏</t>
        </is>
      </c>
      <c r="C32" t="inlineStr">
        <is>
          <t>无CCL规则</t>
        </is>
      </c>
      <c r="L32" t="n">
        <v>33</v>
      </c>
      <c r="M32" t="inlineStr">
        <is>
          <t>CSR-BIZ-20260724-V1</t>
        </is>
      </c>
    </row>
    <row r="33">
      <c r="A33" t="inlineStr">
        <is>
          <t>123039</t>
        </is>
      </c>
      <c r="B33" t="inlineStr">
        <is>
          <t>江磊鑫达</t>
        </is>
      </c>
      <c r="C33" t="inlineStr">
        <is>
          <t>无CCL规则</t>
        </is>
      </c>
      <c r="L33" t="n">
        <v>34</v>
      </c>
      <c r="M33" t="inlineStr">
        <is>
          <t>CSR-BIZ-20260724-V1</t>
        </is>
      </c>
    </row>
    <row r="34">
      <c r="A34" t="inlineStr">
        <is>
          <t>123020</t>
        </is>
      </c>
      <c r="B34" t="inlineStr">
        <is>
          <t>赣州深联</t>
        </is>
      </c>
      <c r="C34" t="inlineStr">
        <is>
          <t>无CCL规则</t>
        </is>
      </c>
      <c r="L34" t="n">
        <v>35</v>
      </c>
      <c r="M34" t="inlineStr">
        <is>
          <t>CSR-BIZ-20260724-V1</t>
        </is>
      </c>
    </row>
    <row r="35">
      <c r="A35" t="inlineStr">
        <is>
          <t>123039</t>
        </is>
      </c>
      <c r="B35" t="inlineStr">
        <is>
          <t>赣奔力达</t>
        </is>
      </c>
      <c r="C35" t="inlineStr">
        <is>
          <t>无CCL规则</t>
        </is>
      </c>
      <c r="L35" t="n">
        <v>36</v>
      </c>
      <c r="M35" t="inlineStr">
        <is>
          <t>CSR-BIZ-20260724-V1</t>
        </is>
      </c>
    </row>
    <row r="36">
      <c r="A36" t="inlineStr">
        <is>
          <t>103898</t>
        </is>
      </c>
      <c r="B36" t="inlineStr">
        <is>
          <t>广东喜珍</t>
        </is>
      </c>
      <c r="C36" t="inlineStr">
        <is>
          <t>启用</t>
        </is>
      </c>
      <c r="F36" t="inlineStr">
        <is>
          <t>R/R=1.5/1.5=F/F</t>
        </is>
      </c>
      <c r="J36" t="inlineStr">
        <is>
          <t>当备注中有X0A0/X0B0/car/汽车板/458/439字样时=AC,当备注中有MINILED字样时=AM,当胶系=NY3150HF时=A1，当胶系=NY2140L时=A2</t>
        </is>
      </c>
      <c r="L36" t="n">
        <v>37</v>
      </c>
      <c r="M36" t="inlineStr">
        <is>
          <t>CSR-BIZ-20260724-V1</t>
        </is>
      </c>
    </row>
    <row r="37">
      <c r="A37" t="inlineStr">
        <is>
          <t>257103</t>
        </is>
      </c>
      <c r="B37" t="inlineStr">
        <is>
          <t>森德科技</t>
        </is>
      </c>
      <c r="C37" t="inlineStr">
        <is>
          <t>启用</t>
        </is>
      </c>
      <c r="F37" t="inlineStr">
        <is>
          <t>R/R=1.5/1.5=F/F</t>
        </is>
      </c>
      <c r="J37" t="inlineStr">
        <is>
          <t>当备注中有X0A0/X0B0/car/汽车板/458/439字样时=AC,当备注中有MINILED字样时=AM,当胶系=NY3150HF时=A1，当胶系=NY2140L时=A2</t>
        </is>
      </c>
      <c r="L37" t="n">
        <v>38</v>
      </c>
      <c r="M37" t="inlineStr">
        <is>
          <t>CSR-BIZ-20260724-V1</t>
        </is>
      </c>
    </row>
    <row r="38">
      <c r="A38" t="inlineStr">
        <is>
          <t>104370</t>
        </is>
      </c>
      <c r="B38" t="inlineStr">
        <is>
          <t>南通深南</t>
        </is>
      </c>
      <c r="C38" t="inlineStr">
        <is>
          <t>启用</t>
        </is>
      </c>
      <c r="D38" t="inlineStr">
        <is>
          <t>无</t>
        </is>
      </c>
      <c r="E38" t="inlineStr">
        <is>
          <t>客户规格前面芯厚后面总厚</t>
        </is>
      </c>
      <c r="G38" t="inlineStr">
        <is>
          <t>36*48=37*49；40*48=41*49；42*48=43*49；28*48=28.5*49；36*42=37*43；36.5*42.5=37*43；27*48=27*49；24*48=24.5*49；40*42=41*43</t>
        </is>
      </c>
      <c r="H38" t="inlineStr">
        <is>
          <t>无</t>
        </is>
      </c>
      <c r="I38" t="inlineStr">
        <is>
          <t>S=RTF R2=RTF2 R3=RTF3 HV=HVLP1 HV2=HLP2 HV3=HVLP3 HV4=HVLP4</t>
        </is>
      </c>
      <c r="J38" t="inlineStr">
        <is>
          <t>（AE)=AC</t>
        </is>
      </c>
      <c r="K38" t="inlineStr">
        <is>
          <t>客户规格前面芯厚后面总厚</t>
        </is>
      </c>
      <c r="L38" t="n">
        <v>39</v>
      </c>
      <c r="M38" t="inlineStr">
        <is>
          <t>CSR-BIZ-20260724-V1</t>
        </is>
      </c>
    </row>
    <row r="39">
      <c r="A39" t="inlineStr">
        <is>
          <t>103235</t>
        </is>
      </c>
      <c r="B39" t="inlineStr">
        <is>
          <t>汕头超声</t>
        </is>
      </c>
      <c r="C39" t="inlineStr">
        <is>
          <t>无CCL规则</t>
        </is>
      </c>
      <c r="L39" t="n">
        <v>40</v>
      </c>
      <c r="M39" t="inlineStr">
        <is>
          <t>CSR-BIZ-20260724-V1</t>
        </is>
      </c>
    </row>
    <row r="40">
      <c r="A40" t="inlineStr">
        <is>
          <t>103673</t>
        </is>
      </c>
      <c r="B40" t="inlineStr">
        <is>
          <t>深南电路</t>
        </is>
      </c>
      <c r="C40" t="inlineStr">
        <is>
          <t>启用</t>
        </is>
      </c>
      <c r="D40" t="inlineStr">
        <is>
          <t>无</t>
        </is>
      </c>
      <c r="E40" t="inlineStr">
        <is>
          <t>客户规格前面芯厚后面总厚</t>
        </is>
      </c>
      <c r="G40" t="inlineStr">
        <is>
          <t>36*48=37*49；40*48=41*49；42*48=43*49；28*48=28.5*49；36*42=37*43；36.5*42.5=37*43；27*48=27*49；24*48=24.5*49；40*42=41*43</t>
        </is>
      </c>
      <c r="H40" t="inlineStr">
        <is>
          <t>无</t>
        </is>
      </c>
      <c r="I40" t="inlineStr">
        <is>
          <t>S=RTF R2=RTF2 R3=RTF3 HV=HVLP1 HV2=HLP2 HV3=HVLP3 HV4=HVLP4</t>
        </is>
      </c>
      <c r="J40" t="inlineStr">
        <is>
          <t>（AE)=AC</t>
        </is>
      </c>
      <c r="K40" t="inlineStr">
        <is>
          <t>客户规格前面芯厚后面总厚</t>
        </is>
      </c>
      <c r="L40" t="n">
        <v>41</v>
      </c>
      <c r="M40" t="inlineStr">
        <is>
          <t>CSR-BIZ-20260724-V1</t>
        </is>
      </c>
    </row>
    <row r="41">
      <c r="A41" t="inlineStr">
        <is>
          <t>104299</t>
        </is>
      </c>
      <c r="B41" t="inlineStr">
        <is>
          <t>无锡深南</t>
        </is>
      </c>
      <c r="C41" t="inlineStr">
        <is>
          <t>启用</t>
        </is>
      </c>
      <c r="D41" t="inlineStr">
        <is>
          <t>无</t>
        </is>
      </c>
      <c r="E41" t="inlineStr">
        <is>
          <t>客户规格前面芯厚后面总厚</t>
        </is>
      </c>
      <c r="G41" t="inlineStr">
        <is>
          <t>36*48=37*49；40*48=41*49；42*48=43*49；28*48=28.5*49；36*42=37*43；36.5*42.5=37*43；27*48=27*49；24*48=24.5*49；40*42=41*43</t>
        </is>
      </c>
      <c r="H41" t="inlineStr">
        <is>
          <t>无</t>
        </is>
      </c>
      <c r="I41" t="inlineStr">
        <is>
          <t>S=RTF R2=RTF2 R3=RTF3 HV=HVLP1 HV2=HLP2 HV3=HVLP3 HV4=HVLP4</t>
        </is>
      </c>
      <c r="J41" t="inlineStr">
        <is>
          <t>（AE)=AC</t>
        </is>
      </c>
      <c r="K41" t="inlineStr">
        <is>
          <t>客户规格前面芯厚后面总厚</t>
        </is>
      </c>
      <c r="L41" t="n">
        <v>42</v>
      </c>
      <c r="M41" t="inlineStr">
        <is>
          <t>CSR-BIZ-20260724-V1</t>
        </is>
      </c>
    </row>
    <row r="42">
      <c r="A42" t="inlineStr">
        <is>
          <t>123114</t>
        </is>
      </c>
      <c r="B42" t="inlineStr">
        <is>
          <t>赣州景旺</t>
        </is>
      </c>
      <c r="C42" t="inlineStr">
        <is>
          <t>启用</t>
        </is>
      </c>
      <c r="D42" t="inlineStr">
        <is>
          <t>NY3150HC=RV/3H</t>
        </is>
      </c>
      <c r="G42" t="inlineStr">
        <is>
          <t>NY2150 0.13mm 1/1需要下J0J0F0尾缀</t>
        </is>
      </c>
      <c r="I42" t="inlineStr">
        <is>
          <t>HVLP=HVLP1</t>
        </is>
      </c>
      <c r="J42" t="inlineStr">
        <is>
          <t>当订单备注有电源板和能源板时=AP，当胶系=NY3150HC = 3H时=AL，当胶系=NY3150HC = RV时=A1；当胶系=NY-A1或胶系=NY-A2时=AC</t>
        </is>
      </c>
      <c r="L42" t="n">
        <v>43</v>
      </c>
      <c r="M42" t="inlineStr">
        <is>
          <t>CSR-BIZ-20260724-V1</t>
        </is>
      </c>
    </row>
    <row r="43">
      <c r="A43" t="inlineStr">
        <is>
          <t>123018</t>
        </is>
      </c>
      <c r="B43" t="inlineStr">
        <is>
          <t>江西景旺</t>
        </is>
      </c>
      <c r="C43" t="inlineStr">
        <is>
          <t>启用</t>
        </is>
      </c>
      <c r="D43" t="inlineStr">
        <is>
          <t>NY3150HC=RV/3H</t>
        </is>
      </c>
      <c r="I43" t="inlineStr">
        <is>
          <t>HVLP=HVLP1</t>
        </is>
      </c>
      <c r="J43" t="inlineStr">
        <is>
          <t>当订单备注有电源板和能源板时=AP，当胶系=NY3150HC = 3H时=AL，当胶系=NY3150HC = RV时=A1；当胶系=NY-A1或胶系=NY-A2时=AC</t>
        </is>
      </c>
      <c r="L43" t="n">
        <v>44</v>
      </c>
      <c r="M43" t="inlineStr">
        <is>
          <t>CSR-BIZ-20260724-V1</t>
        </is>
      </c>
    </row>
    <row r="44">
      <c r="A44" t="inlineStr">
        <is>
          <t>103375</t>
        </is>
      </c>
      <c r="B44" t="inlineStr">
        <is>
          <t>龙川景旺</t>
        </is>
      </c>
      <c r="C44" t="inlineStr">
        <is>
          <t>启用</t>
        </is>
      </c>
      <c r="D44" t="inlineStr">
        <is>
          <t>NY3150HC=RV/3H</t>
        </is>
      </c>
      <c r="I44" t="inlineStr">
        <is>
          <t>HVLP=HVLP1</t>
        </is>
      </c>
      <c r="J44" t="inlineStr">
        <is>
          <t>当订单备注有电源板和能源板时=AP，当胶系=NY3150HC = 3H时=AL，当胶系=NY3150HC = RV时=A1；当胶系=NY-A1或胶系=NY-A2时=AC</t>
        </is>
      </c>
      <c r="L44" t="n">
        <v>45</v>
      </c>
      <c r="M44" t="inlineStr">
        <is>
          <t>CSR-BIZ-20260724-V1</t>
        </is>
      </c>
    </row>
    <row r="45">
      <c r="A45" t="inlineStr">
        <is>
          <t>103040</t>
        </is>
      </c>
      <c r="B45" t="inlineStr">
        <is>
          <t>深圳景旺</t>
        </is>
      </c>
      <c r="C45" t="inlineStr">
        <is>
          <t>启用</t>
        </is>
      </c>
      <c r="D45" t="inlineStr">
        <is>
          <t>NY3150HC=RV/3H</t>
        </is>
      </c>
      <c r="I45" t="inlineStr">
        <is>
          <t>HVLP=HVLP1</t>
        </is>
      </c>
      <c r="J45" t="inlineStr">
        <is>
          <t>当订单备注有电源板和能源板时=AP，当胶系=NY3150HC = 3H时=AL，当胶系=NY3150HC = RV时=A1；当胶系=NY-A1或胶系=NY-A2时=AC，当胶系=2150H时=AP</t>
        </is>
      </c>
      <c r="L45" t="n">
        <v>46</v>
      </c>
      <c r="M45" t="inlineStr">
        <is>
          <t>CSR-BIZ-20260724-V1</t>
        </is>
      </c>
    </row>
    <row r="46">
      <c r="A46" t="inlineStr">
        <is>
          <t>123007</t>
        </is>
      </c>
      <c r="B46" t="inlineStr">
        <is>
          <t>吉安满坤</t>
        </is>
      </c>
      <c r="C46" t="inlineStr">
        <is>
          <t>无CCL规则</t>
        </is>
      </c>
      <c r="L46" t="n">
        <v>47</v>
      </c>
      <c r="M46" t="inlineStr">
        <is>
          <t>CSR-BIZ-20260724-V1</t>
        </is>
      </c>
    </row>
    <row r="47">
      <c r="A47" t="inlineStr">
        <is>
          <t>123002</t>
        </is>
      </c>
      <c r="B47" t="inlineStr">
        <is>
          <t>信福昌发</t>
        </is>
      </c>
      <c r="C47" t="inlineStr">
        <is>
          <t>启用</t>
        </is>
      </c>
      <c r="E47" t="inlineStr">
        <is>
          <t>订单若不备注芯厚，默认是总厚且基板厚度&lt;0.8需要进行芯总厚转换</t>
        </is>
      </c>
      <c r="F47" t="inlineStr">
        <is>
          <t>H/H =J/J(15um出货)；1/1=f/f(30um出货)</t>
        </is>
      </c>
      <c r="G47" t="inlineStr">
        <is>
          <t>1888=74.3；2091=82.3；2192=86.3；
1880=74；2082=82；2184=86；940=37；1041=41；1092=43 
948=37.3；1049=41.3；1100=43.3</t>
        </is>
      </c>
      <c r="J47" t="inlineStr">
        <is>
          <t>NY2140&amp;0.8mm以上&amp;1oz以下=F1</t>
        </is>
      </c>
      <c r="L47" t="n">
        <v>48</v>
      </c>
      <c r="M47" t="inlineStr">
        <is>
          <t>CSR-BIZ-20260724-V1</t>
        </is>
      </c>
    </row>
    <row r="48">
      <c r="A48" t="inlineStr">
        <is>
          <t>103683</t>
        </is>
      </c>
      <c r="B48" t="inlineStr">
        <is>
          <t>鹤山中富</t>
        </is>
      </c>
      <c r="C48" t="inlineStr">
        <is>
          <t>启用</t>
        </is>
      </c>
      <c r="D48" t="inlineStr">
        <is>
          <t>当胶系=NY2150H时=2W</t>
        </is>
      </c>
      <c r="J48" t="inlineStr">
        <is>
          <t>当订单中客户规格没有Q时=AP</t>
        </is>
      </c>
      <c r="L48" t="n">
        <v>49</v>
      </c>
      <c r="M48" t="inlineStr">
        <is>
          <t>CSR-BIZ-20260724-V1</t>
        </is>
      </c>
    </row>
    <row r="49">
      <c r="A49" t="inlineStr">
        <is>
          <t>103067</t>
        </is>
      </c>
      <c r="B49" t="inlineStr">
        <is>
          <t>深圳中富</t>
        </is>
      </c>
      <c r="C49" t="inlineStr">
        <is>
          <t>启用</t>
        </is>
      </c>
      <c r="D49" t="inlineStr">
        <is>
          <t>当胶系=NY2150H时=2W</t>
        </is>
      </c>
      <c r="J49" t="inlineStr">
        <is>
          <t>当订单中客户规格没有Q时=AP</t>
        </is>
      </c>
      <c r="L49" t="n">
        <v>50</v>
      </c>
      <c r="M49" t="inlineStr">
        <is>
          <t>CSR-BIZ-20260724-V1</t>
        </is>
      </c>
    </row>
    <row r="50">
      <c r="A50" t="inlineStr">
        <is>
          <t>123041</t>
        </is>
      </c>
      <c r="B50" t="inlineStr">
        <is>
          <t>江西荣晖</t>
        </is>
      </c>
      <c r="C50" t="inlineStr">
        <is>
          <t>无CCL规则</t>
        </is>
      </c>
      <c r="L50" t="n">
        <v>51</v>
      </c>
      <c r="M50" t="inlineStr">
        <is>
          <t>CSR-BIZ-20260724-V1</t>
        </is>
      </c>
    </row>
    <row r="51">
      <c r="A51" t="inlineStr">
        <is>
          <t>204104</t>
        </is>
      </c>
      <c r="B51" t="inlineStr">
        <is>
          <t>波兰WM</t>
        </is>
      </c>
      <c r="C51" t="inlineStr">
        <is>
          <t>无CCL规则</t>
        </is>
      </c>
      <c r="L51" t="n">
        <v>52</v>
      </c>
      <c r="M51" t="inlineStr">
        <is>
          <t>CSR-BIZ-20260724-V1</t>
        </is>
      </c>
    </row>
    <row r="52">
      <c r="A52" t="inlineStr">
        <is>
          <t>204029</t>
        </is>
      </c>
      <c r="B52" t="inlineStr">
        <is>
          <t>德国HJ</t>
        </is>
      </c>
      <c r="C52" t="inlineStr">
        <is>
          <t>无CCL规则</t>
        </is>
      </c>
      <c r="L52" t="n">
        <v>53</v>
      </c>
      <c r="M52" t="inlineStr">
        <is>
          <t>CSR-BIZ-20260724-V1</t>
        </is>
      </c>
    </row>
    <row r="53">
      <c r="A53" t="inlineStr">
        <is>
          <t>103603</t>
        </is>
      </c>
      <c r="B53" t="inlineStr">
        <is>
          <t>广州名幸</t>
        </is>
      </c>
      <c r="C53" t="inlineStr">
        <is>
          <t>无CCL规则</t>
        </is>
      </c>
      <c r="L53" t="n">
        <v>54</v>
      </c>
      <c r="M53" t="inlineStr">
        <is>
          <t>CSR-BIZ-20260724-V1</t>
        </is>
      </c>
    </row>
    <row r="54">
      <c r="A54" t="inlineStr">
        <is>
          <t>207213</t>
        </is>
      </c>
      <c r="B54" t="inlineStr">
        <is>
          <t>韩国AP</t>
        </is>
      </c>
      <c r="C54" t="inlineStr">
        <is>
          <t>无CCL规则</t>
        </is>
      </c>
      <c r="L54" t="n">
        <v>55</v>
      </c>
      <c r="M54" t="inlineStr">
        <is>
          <t>CSR-BIZ-20260724-V1</t>
        </is>
      </c>
    </row>
    <row r="55">
      <c r="A55" t="inlineStr">
        <is>
          <t>207063</t>
        </is>
      </c>
      <c r="B55" t="inlineStr">
        <is>
          <t>韩国CR</t>
        </is>
      </c>
      <c r="C55" t="inlineStr">
        <is>
          <t>无CCL规则</t>
        </is>
      </c>
      <c r="L55" t="n">
        <v>56</v>
      </c>
      <c r="M55" t="inlineStr">
        <is>
          <t>CSR-BIZ-20260724-V1</t>
        </is>
      </c>
    </row>
    <row r="56">
      <c r="A56" t="inlineStr">
        <is>
          <t>207211</t>
        </is>
      </c>
      <c r="B56" t="inlineStr">
        <is>
          <t>韩国DA</t>
        </is>
      </c>
      <c r="C56" t="inlineStr">
        <is>
          <t>无CCL规则</t>
        </is>
      </c>
      <c r="L56" t="n">
        <v>57</v>
      </c>
      <c r="M56" t="inlineStr">
        <is>
          <t>CSR-BIZ-20260724-V1</t>
        </is>
      </c>
    </row>
    <row r="57">
      <c r="A57" t="inlineStr">
        <is>
          <t>257076</t>
        </is>
      </c>
      <c r="B57" t="inlineStr">
        <is>
          <t>韩国HW</t>
        </is>
      </c>
      <c r="C57" t="inlineStr">
        <is>
          <t>无CCL规则</t>
        </is>
      </c>
      <c r="L57" t="n">
        <v>58</v>
      </c>
      <c r="M57" t="inlineStr">
        <is>
          <t>CSR-BIZ-20260724-V1</t>
        </is>
      </c>
    </row>
    <row r="58">
      <c r="A58" t="inlineStr">
        <is>
          <t>207222</t>
        </is>
      </c>
      <c r="B58" t="inlineStr">
        <is>
          <t>韩国大德</t>
        </is>
      </c>
      <c r="C58" t="inlineStr">
        <is>
          <t>无CCL规则</t>
        </is>
      </c>
      <c r="L58" t="n">
        <v>59</v>
      </c>
      <c r="M58" t="inlineStr">
        <is>
          <t>CSR-BIZ-20260724-V1</t>
        </is>
      </c>
    </row>
    <row r="59">
      <c r="A59" t="inlineStr">
        <is>
          <t>201005</t>
        </is>
      </c>
      <c r="B59" t="inlineStr">
        <is>
          <t>加宏CA</t>
        </is>
      </c>
      <c r="C59" t="inlineStr">
        <is>
          <t>无CCL规则</t>
        </is>
      </c>
      <c r="L59" t="n">
        <v>60</v>
      </c>
      <c r="M59" t="inlineStr">
        <is>
          <t>CSR-BIZ-20260724-V1</t>
        </is>
      </c>
    </row>
    <row r="60">
      <c r="A60" t="inlineStr">
        <is>
          <t>205016</t>
        </is>
      </c>
      <c r="B60" t="inlineStr">
        <is>
          <t>加拿大S</t>
        </is>
      </c>
      <c r="C60" t="inlineStr">
        <is>
          <t>无CCL规则</t>
        </is>
      </c>
      <c r="L60" t="n">
        <v>61</v>
      </c>
      <c r="M60" t="inlineStr">
        <is>
          <t>CSR-BIZ-20260724-V1</t>
        </is>
      </c>
    </row>
    <row r="61">
      <c r="A61" t="inlineStr">
        <is>
          <t>203008</t>
        </is>
      </c>
      <c r="B61" t="inlineStr">
        <is>
          <t>南非TR</t>
        </is>
      </c>
      <c r="C61" t="inlineStr">
        <is>
          <t>无CCL规则</t>
        </is>
      </c>
      <c r="L61" t="n">
        <v>62</v>
      </c>
      <c r="M61" t="inlineStr">
        <is>
          <t>CSR-BIZ-20260724-V1</t>
        </is>
      </c>
    </row>
    <row r="62">
      <c r="A62" t="inlineStr">
        <is>
          <t>207119</t>
        </is>
      </c>
      <c r="B62" t="inlineStr">
        <is>
          <t>斯尼亚Z</t>
        </is>
      </c>
      <c r="C62" t="inlineStr">
        <is>
          <t>无CCL规则</t>
        </is>
      </c>
      <c r="L62" t="n">
        <v>63</v>
      </c>
      <c r="M62" t="inlineStr">
        <is>
          <t>CSR-BIZ-20260724-V1</t>
        </is>
      </c>
    </row>
    <row r="63">
      <c r="A63" t="inlineStr">
        <is>
          <t>204044</t>
        </is>
      </c>
      <c r="B63" t="inlineStr">
        <is>
          <t>西班牙G</t>
        </is>
      </c>
      <c r="C63" t="inlineStr">
        <is>
          <t>无CCL规则</t>
        </is>
      </c>
      <c r="L63" t="n">
        <v>64</v>
      </c>
      <c r="M63" t="inlineStr">
        <is>
          <t>CSR-BIZ-20260724-V1</t>
        </is>
      </c>
    </row>
    <row r="64">
      <c r="A64" t="inlineStr">
        <is>
          <t>207172</t>
        </is>
      </c>
      <c r="B64" t="inlineStr">
        <is>
          <t>新加坡U</t>
        </is>
      </c>
      <c r="C64" t="inlineStr">
        <is>
          <t>无CCL规则</t>
        </is>
      </c>
      <c r="L64" t="n">
        <v>65</v>
      </c>
      <c r="M64" t="inlineStr">
        <is>
          <t>CSR-BIZ-20260724-V1</t>
        </is>
      </c>
    </row>
    <row r="65">
      <c r="A65" t="inlineStr">
        <is>
          <t>207225</t>
        </is>
      </c>
      <c r="B65" t="inlineStr">
        <is>
          <t>印度AG</t>
        </is>
      </c>
      <c r="C65" t="inlineStr">
        <is>
          <t>无CCL规则</t>
        </is>
      </c>
      <c r="L65" t="n">
        <v>66</v>
      </c>
      <c r="M65" t="inlineStr">
        <is>
          <t>CSR-BIZ-20260724-V1</t>
        </is>
      </c>
    </row>
    <row r="66">
      <c r="A66" t="inlineStr">
        <is>
          <t>207180</t>
        </is>
      </c>
      <c r="B66" t="inlineStr">
        <is>
          <t>印度AK</t>
        </is>
      </c>
      <c r="C66" t="inlineStr">
        <is>
          <t>无CCL规则</t>
        </is>
      </c>
      <c r="L66" t="n">
        <v>67</v>
      </c>
      <c r="M66" t="inlineStr">
        <is>
          <t>CSR-BIZ-20260724-V1</t>
        </is>
      </c>
    </row>
    <row r="67">
      <c r="A67" t="inlineStr">
        <is>
          <t>207017</t>
        </is>
      </c>
      <c r="B67" t="inlineStr">
        <is>
          <t>印度AN</t>
        </is>
      </c>
      <c r="C67" t="inlineStr">
        <is>
          <t>无CCL规则</t>
        </is>
      </c>
      <c r="L67" t="n">
        <v>68</v>
      </c>
      <c r="M67" t="inlineStr">
        <is>
          <t>CSR-BIZ-20260724-V1</t>
        </is>
      </c>
    </row>
    <row r="68">
      <c r="A68" t="inlineStr">
        <is>
          <t>207285</t>
        </is>
      </c>
      <c r="B68" t="inlineStr">
        <is>
          <t>印度AR</t>
        </is>
      </c>
      <c r="C68" t="inlineStr">
        <is>
          <t>无CCL规则</t>
        </is>
      </c>
      <c r="L68" t="n">
        <v>69</v>
      </c>
      <c r="M68" t="inlineStr">
        <is>
          <t>CSR-BIZ-20260724-V1</t>
        </is>
      </c>
    </row>
    <row r="69">
      <c r="A69" t="inlineStr">
        <is>
          <t>201017</t>
        </is>
      </c>
      <c r="B69" t="inlineStr">
        <is>
          <t>印度AT</t>
        </is>
      </c>
      <c r="C69" t="inlineStr">
        <is>
          <t>无CCL规则</t>
        </is>
      </c>
      <c r="L69" t="n">
        <v>70</v>
      </c>
      <c r="M69" t="inlineStr">
        <is>
          <t>CSR-BIZ-20260724-V1</t>
        </is>
      </c>
    </row>
    <row r="70">
      <c r="A70" t="inlineStr">
        <is>
          <t>207051</t>
        </is>
      </c>
      <c r="B70" t="inlineStr">
        <is>
          <t>印度BL</t>
        </is>
      </c>
      <c r="C70" t="inlineStr">
        <is>
          <t>无CCL规则</t>
        </is>
      </c>
      <c r="L70" t="n">
        <v>71</v>
      </c>
      <c r="M70" t="inlineStr">
        <is>
          <t>CSR-BIZ-20260724-V1</t>
        </is>
      </c>
    </row>
    <row r="71">
      <c r="A71" t="inlineStr">
        <is>
          <t>207016</t>
        </is>
      </c>
      <c r="B71" t="inlineStr">
        <is>
          <t>印度BP</t>
        </is>
      </c>
      <c r="C71" t="inlineStr">
        <is>
          <t>无CCL规则</t>
        </is>
      </c>
      <c r="L71" t="n">
        <v>72</v>
      </c>
      <c r="M71" t="inlineStr">
        <is>
          <t>CSR-BIZ-20260724-V1</t>
        </is>
      </c>
    </row>
    <row r="72">
      <c r="A72" t="inlineStr">
        <is>
          <t>207052</t>
        </is>
      </c>
      <c r="B72" t="inlineStr">
        <is>
          <t>印度CO</t>
        </is>
      </c>
      <c r="C72" t="inlineStr">
        <is>
          <t>无CCL规则</t>
        </is>
      </c>
      <c r="L72" t="n">
        <v>73</v>
      </c>
      <c r="M72" t="inlineStr">
        <is>
          <t>CSR-BIZ-20260724-V1</t>
        </is>
      </c>
    </row>
    <row r="73">
      <c r="A73" t="inlineStr">
        <is>
          <t>207035</t>
        </is>
      </c>
      <c r="B73" t="inlineStr">
        <is>
          <t>印度CS</t>
        </is>
      </c>
      <c r="C73" t="inlineStr">
        <is>
          <t>无CCL规则</t>
        </is>
      </c>
      <c r="L73" t="n">
        <v>74</v>
      </c>
      <c r="M73" t="inlineStr">
        <is>
          <t>CSR-BIZ-20260724-V1</t>
        </is>
      </c>
    </row>
    <row r="74">
      <c r="A74" t="inlineStr">
        <is>
          <t>207185</t>
        </is>
      </c>
      <c r="B74" t="inlineStr">
        <is>
          <t>印度DK</t>
        </is>
      </c>
      <c r="C74" t="inlineStr">
        <is>
          <t>无CCL规则</t>
        </is>
      </c>
      <c r="L74" t="n">
        <v>75</v>
      </c>
      <c r="M74" t="inlineStr">
        <is>
          <t>CSR-BIZ-20260724-V1</t>
        </is>
      </c>
    </row>
    <row r="75">
      <c r="A75" t="inlineStr">
        <is>
          <t>257027</t>
        </is>
      </c>
      <c r="B75" t="inlineStr">
        <is>
          <t>印度EP</t>
        </is>
      </c>
      <c r="C75" t="inlineStr">
        <is>
          <t>无CCL规则</t>
        </is>
      </c>
      <c r="L75" t="n">
        <v>76</v>
      </c>
      <c r="M75" t="inlineStr">
        <is>
          <t>CSR-BIZ-20260724-V1</t>
        </is>
      </c>
    </row>
    <row r="76">
      <c r="A76" t="inlineStr">
        <is>
          <t>205013</t>
        </is>
      </c>
      <c r="B76" t="inlineStr">
        <is>
          <t>印度FC</t>
        </is>
      </c>
      <c r="C76" t="inlineStr">
        <is>
          <t>无CCL规则</t>
        </is>
      </c>
      <c r="L76" t="n">
        <v>77</v>
      </c>
      <c r="M76" t="inlineStr">
        <is>
          <t>CSR-BIZ-20260724-V1</t>
        </is>
      </c>
    </row>
    <row r="77">
      <c r="A77" t="inlineStr">
        <is>
          <t>207256</t>
        </is>
      </c>
      <c r="B77" t="inlineStr">
        <is>
          <t>印度FH</t>
        </is>
      </c>
      <c r="C77" t="inlineStr">
        <is>
          <t>无CCL规则</t>
        </is>
      </c>
      <c r="L77" t="n">
        <v>78</v>
      </c>
      <c r="M77" t="inlineStr">
        <is>
          <t>CSR-BIZ-20260724-V1</t>
        </is>
      </c>
    </row>
    <row r="78">
      <c r="A78" t="inlineStr">
        <is>
          <t>207257</t>
        </is>
      </c>
      <c r="B78" t="inlineStr">
        <is>
          <t>印度IN</t>
        </is>
      </c>
      <c r="C78" t="inlineStr">
        <is>
          <t>无CCL规则</t>
        </is>
      </c>
      <c r="L78" t="n">
        <v>79</v>
      </c>
      <c r="M78" t="inlineStr">
        <is>
          <t>CSR-BIZ-20260724-V1</t>
        </is>
      </c>
    </row>
    <row r="79">
      <c r="A79" t="inlineStr">
        <is>
          <t>257056</t>
        </is>
      </c>
      <c r="B79" t="inlineStr">
        <is>
          <t>印度ITI</t>
        </is>
      </c>
      <c r="C79" t="inlineStr">
        <is>
          <t>无CCL规则</t>
        </is>
      </c>
      <c r="L79" t="n">
        <v>80</v>
      </c>
      <c r="M79" t="inlineStr">
        <is>
          <t>CSR-BIZ-20260724-V1</t>
        </is>
      </c>
    </row>
    <row r="80">
      <c r="A80" t="inlineStr">
        <is>
          <t>207055</t>
        </is>
      </c>
      <c r="B80" t="inlineStr">
        <is>
          <t>印度Me</t>
        </is>
      </c>
      <c r="C80" t="inlineStr">
        <is>
          <t>无CCL规则</t>
        </is>
      </c>
      <c r="L80" t="n">
        <v>81</v>
      </c>
      <c r="M80" t="inlineStr">
        <is>
          <t>CSR-BIZ-20260724-V1</t>
        </is>
      </c>
    </row>
    <row r="81">
      <c r="A81" t="inlineStr">
        <is>
          <t>207287</t>
        </is>
      </c>
      <c r="B81" t="inlineStr">
        <is>
          <t>印度MS</t>
        </is>
      </c>
      <c r="C81" t="inlineStr">
        <is>
          <t>无CCL规则</t>
        </is>
      </c>
      <c r="L81" t="n">
        <v>82</v>
      </c>
      <c r="M81" t="inlineStr">
        <is>
          <t>CSR-BIZ-20260724-V1</t>
        </is>
      </c>
    </row>
    <row r="82">
      <c r="A82" t="inlineStr">
        <is>
          <t>207120</t>
        </is>
      </c>
      <c r="B82" t="inlineStr">
        <is>
          <t>印度NS</t>
        </is>
      </c>
      <c r="C82" t="inlineStr">
        <is>
          <t>无CCL规则</t>
        </is>
      </c>
      <c r="L82" t="n">
        <v>83</v>
      </c>
      <c r="M82" t="inlineStr">
        <is>
          <t>CSR-BIZ-20260724-V1</t>
        </is>
      </c>
    </row>
    <row r="83">
      <c r="A83" t="inlineStr">
        <is>
          <t>207283</t>
        </is>
      </c>
      <c r="B83" t="inlineStr">
        <is>
          <t>印度NT</t>
        </is>
      </c>
      <c r="C83" t="inlineStr">
        <is>
          <t>无CCL规则</t>
        </is>
      </c>
      <c r="L83" t="n">
        <v>84</v>
      </c>
      <c r="M83" t="inlineStr">
        <is>
          <t>CSR-BIZ-20260724-V1</t>
        </is>
      </c>
    </row>
    <row r="84">
      <c r="A84" t="inlineStr">
        <is>
          <t>207186</t>
        </is>
      </c>
      <c r="B84" t="inlineStr">
        <is>
          <t>印度RA</t>
        </is>
      </c>
      <c r="C84" t="inlineStr">
        <is>
          <t>无CCL规则</t>
        </is>
      </c>
      <c r="L84" t="n">
        <v>85</v>
      </c>
      <c r="M84" t="inlineStr">
        <is>
          <t>CSR-BIZ-20260724-V1</t>
        </is>
      </c>
    </row>
    <row r="85">
      <c r="A85" t="inlineStr">
        <is>
          <t>257004</t>
        </is>
      </c>
      <c r="B85" t="inlineStr">
        <is>
          <t>印度RU</t>
        </is>
      </c>
      <c r="C85" t="inlineStr">
        <is>
          <t>无CCL规则</t>
        </is>
      </c>
      <c r="L85" t="n">
        <v>86</v>
      </c>
      <c r="M85" t="inlineStr">
        <is>
          <t>CSR-BIZ-20260724-V1</t>
        </is>
      </c>
    </row>
    <row r="86">
      <c r="A86" t="inlineStr">
        <is>
          <t>257045</t>
        </is>
      </c>
      <c r="B86" t="inlineStr">
        <is>
          <t>印度SE</t>
        </is>
      </c>
      <c r="C86" t="inlineStr">
        <is>
          <t>无CCL规则</t>
        </is>
      </c>
      <c r="L86" t="n">
        <v>87</v>
      </c>
      <c r="M86" t="inlineStr">
        <is>
          <t>CSR-BIZ-20260724-V1</t>
        </is>
      </c>
    </row>
    <row r="87">
      <c r="A87" t="inlineStr">
        <is>
          <t>207214</t>
        </is>
      </c>
      <c r="B87" t="inlineStr">
        <is>
          <t>印度SI</t>
        </is>
      </c>
      <c r="C87" t="inlineStr">
        <is>
          <t>无CCL规则</t>
        </is>
      </c>
      <c r="L87" t="n">
        <v>88</v>
      </c>
      <c r="M87" t="inlineStr">
        <is>
          <t>CSR-BIZ-20260724-V1</t>
        </is>
      </c>
    </row>
    <row r="88">
      <c r="A88" t="inlineStr">
        <is>
          <t>203010</t>
        </is>
      </c>
      <c r="B88" t="inlineStr">
        <is>
          <t>印度SS</t>
        </is>
      </c>
      <c r="C88" t="inlineStr">
        <is>
          <t>无CCL规则</t>
        </is>
      </c>
      <c r="L88" t="n">
        <v>89</v>
      </c>
      <c r="M88" t="inlineStr">
        <is>
          <t>CSR-BIZ-20260724-V1</t>
        </is>
      </c>
    </row>
    <row r="89">
      <c r="A89" t="inlineStr">
        <is>
          <t>257054</t>
        </is>
      </c>
      <c r="B89" t="inlineStr">
        <is>
          <t>越Neo</t>
        </is>
      </c>
      <c r="C89" t="inlineStr">
        <is>
          <t>无CCL规则</t>
        </is>
      </c>
      <c r="L89" t="n">
        <v>90</v>
      </c>
      <c r="M89" t="inlineStr">
        <is>
          <t>CSR-BIZ-20260724-V1</t>
        </is>
      </c>
    </row>
    <row r="90">
      <c r="A90" t="inlineStr">
        <is>
          <t>257093</t>
        </is>
      </c>
      <c r="B90" t="inlineStr">
        <is>
          <t>越南HW</t>
        </is>
      </c>
      <c r="C90" t="inlineStr">
        <is>
          <t>无CCL规则</t>
        </is>
      </c>
      <c r="L90" t="n">
        <v>91</v>
      </c>
      <c r="M90" t="inlineStr">
        <is>
          <t>CSR-BIZ-20260724-V1</t>
        </is>
      </c>
    </row>
    <row r="91">
      <c r="A91" t="inlineStr">
        <is>
          <t>257066</t>
        </is>
      </c>
      <c r="B91" t="inlineStr">
        <is>
          <t>韩Bluetop</t>
        </is>
      </c>
      <c r="C91" t="inlineStr">
        <is>
          <t>无CCL规则</t>
        </is>
      </c>
      <c r="L91" t="n">
        <v>92</v>
      </c>
      <c r="M91" t="inlineStr">
        <is>
          <t>CSR-BIZ-20260724-V1</t>
        </is>
      </c>
    </row>
    <row r="92">
      <c r="A92" t="inlineStr">
        <is>
          <t>257064</t>
        </is>
      </c>
      <c r="B92" t="inlineStr">
        <is>
          <t>韩PCL</t>
        </is>
      </c>
      <c r="C92" t="inlineStr">
        <is>
          <t>无CCL规则</t>
        </is>
      </c>
      <c r="L92" t="n">
        <v>93</v>
      </c>
      <c r="M92" t="inlineStr">
        <is>
          <t>CSR-BIZ-20260724-V1</t>
        </is>
      </c>
    </row>
    <row r="93">
      <c r="A93" t="inlineStr">
        <is>
          <t>257089</t>
        </is>
      </c>
      <c r="B93" t="inlineStr">
        <is>
          <t>突尼斯FUBA</t>
        </is>
      </c>
      <c r="C93" t="inlineStr">
        <is>
          <t>无CCL规则</t>
        </is>
      </c>
      <c r="L93" t="n">
        <v>94</v>
      </c>
      <c r="M93" t="inlineStr">
        <is>
          <t>CSR-BIZ-20260724-V1</t>
        </is>
      </c>
    </row>
    <row r="94">
      <c r="A94" t="inlineStr">
        <is>
          <t>104447</t>
        </is>
      </c>
      <c r="B94" t="inlineStr">
        <is>
          <t>苏安捷利</t>
        </is>
      </c>
      <c r="C94" t="inlineStr">
        <is>
          <t>无CCL规则</t>
        </is>
      </c>
      <c r="L94" t="n">
        <v>95</v>
      </c>
      <c r="M94" t="inlineStr">
        <is>
          <t>CSR-BIZ-20260724-V1</t>
        </is>
      </c>
    </row>
    <row r="95">
      <c r="A95" t="inlineStr">
        <is>
          <t>102010</t>
        </is>
      </c>
      <c r="B95" t="inlineStr">
        <is>
          <t>北京兴斐</t>
        </is>
      </c>
      <c r="C95" t="inlineStr">
        <is>
          <t>无CCL规则</t>
        </is>
      </c>
      <c r="L95" t="n">
        <v>96</v>
      </c>
      <c r="M95" t="inlineStr">
        <is>
          <t>CSR-BIZ-20260724-V1</t>
        </is>
      </c>
    </row>
    <row r="96">
      <c r="A96" t="inlineStr">
        <is>
          <t>101135</t>
        </is>
      </c>
      <c r="B96" t="inlineStr">
        <is>
          <t>美维科技</t>
        </is>
      </c>
      <c r="C96" t="inlineStr">
        <is>
          <t>无CCL规则</t>
        </is>
      </c>
      <c r="L96" t="n">
        <v>97</v>
      </c>
      <c r="M96" t="inlineStr">
        <is>
          <t>CSR-BIZ-20260724-V1</t>
        </is>
      </c>
    </row>
    <row r="97">
      <c r="A97" t="inlineStr">
        <is>
          <t>104441</t>
        </is>
      </c>
      <c r="B97" t="inlineStr">
        <is>
          <t>南京芯爱</t>
        </is>
      </c>
      <c r="C97" t="inlineStr">
        <is>
          <t>无CCL规则</t>
        </is>
      </c>
      <c r="L97" t="n">
        <v>98</v>
      </c>
      <c r="M97" t="inlineStr">
        <is>
          <t>CSR-BIZ-20260724-V1</t>
        </is>
      </c>
    </row>
    <row r="98">
      <c r="A98" t="inlineStr">
        <is>
          <t>102010</t>
        </is>
      </c>
      <c r="B98" t="inlineStr">
        <is>
          <t>京揖斐电</t>
        </is>
      </c>
      <c r="C98" t="inlineStr">
        <is>
          <t>无CCL规则</t>
        </is>
      </c>
      <c r="L98" t="n">
        <v>99</v>
      </c>
      <c r="M98" t="inlineStr">
        <is>
          <t>CSR-BIZ-20260724-V1</t>
        </is>
      </c>
    </row>
    <row r="99">
      <c r="A99" t="inlineStr">
        <is>
          <t>123043</t>
        </is>
      </c>
      <c r="B99" t="inlineStr">
        <is>
          <t>吉安生益</t>
        </is>
      </c>
      <c r="C99" t="inlineStr">
        <is>
          <t>启用</t>
        </is>
      </c>
      <c r="I99" t="inlineStr">
        <is>
          <t>HS1-M2-VSP=HVLP1,HS2-M2-VSP=HVLP2</t>
        </is>
      </c>
      <c r="J99" t="inlineStr">
        <is>
          <t>当客户规格描述有“AT板”字样时=AC</t>
        </is>
      </c>
      <c r="L99" t="n">
        <v>100</v>
      </c>
      <c r="M99" t="inlineStr">
        <is>
          <t>CSR-BIZ-20260724-V1</t>
        </is>
      </c>
    </row>
    <row r="100">
      <c r="A100" t="inlineStr">
        <is>
          <t>103738</t>
        </is>
      </c>
      <c r="B100" t="inlineStr">
        <is>
          <t>生益电子</t>
        </is>
      </c>
      <c r="C100" t="inlineStr">
        <is>
          <t>启用</t>
        </is>
      </c>
      <c r="D100" t="inlineStr">
        <is>
          <t>NY2150=AS</t>
        </is>
      </c>
      <c r="I100" t="inlineStr">
        <is>
          <t>HS1-M2-VSP=HVLP1,HS2-M2-VSP=HVLP2</t>
        </is>
      </c>
      <c r="J100" t="inlineStr">
        <is>
          <t>当客户规格描述有“AT板”字样时=AC</t>
        </is>
      </c>
      <c r="L100" t="n">
        <v>101</v>
      </c>
      <c r="M100" t="inlineStr">
        <is>
          <t>CSR-BIZ-20260724-V1</t>
        </is>
      </c>
    </row>
    <row r="101">
      <c r="A101" t="inlineStr">
        <is>
          <t>103312</t>
        </is>
      </c>
      <c r="B101" t="inlineStr">
        <is>
          <t>深万基隆</t>
        </is>
      </c>
      <c r="C101" t="inlineStr">
        <is>
          <t>启用</t>
        </is>
      </c>
      <c r="E101" t="inlineStr">
        <is>
          <t>订单若不备注芯厚，默认是总厚且基板厚度&lt;0.8需要进行芯总厚转换</t>
        </is>
      </c>
      <c r="F101" t="inlineStr">
        <is>
          <t>H/H =J/J(15um出货)</t>
        </is>
      </c>
      <c r="L101" t="n">
        <v>102</v>
      </c>
      <c r="M101" t="inlineStr">
        <is>
          <t>CSR-BIZ-20260724-V1</t>
        </is>
      </c>
    </row>
    <row r="102">
      <c r="A102" t="inlineStr">
        <is>
          <t>103317</t>
        </is>
      </c>
      <c r="B102" t="inlineStr">
        <is>
          <t>惠威尔高</t>
        </is>
      </c>
      <c r="C102" t="inlineStr">
        <is>
          <t>无CCL规则</t>
        </is>
      </c>
      <c r="L102" t="n">
        <v>103</v>
      </c>
      <c r="M102" t="inlineStr">
        <is>
          <t>CSR-BIZ-20260724-V1</t>
        </is>
      </c>
    </row>
    <row r="103">
      <c r="A103" t="inlineStr">
        <is>
          <t>123036</t>
        </is>
      </c>
      <c r="B103" t="inlineStr">
        <is>
          <t>江威尔高</t>
        </is>
      </c>
      <c r="C103" t="inlineStr">
        <is>
          <t>无CCL规则</t>
        </is>
      </c>
      <c r="L103" t="n">
        <v>104</v>
      </c>
      <c r="M103" t="inlineStr">
        <is>
          <t>CSR-BIZ-20260724-V1</t>
        </is>
      </c>
    </row>
    <row r="104">
      <c r="A104" t="inlineStr">
        <is>
          <t>123037</t>
        </is>
      </c>
      <c r="B104" t="inlineStr">
        <is>
          <t>江西弘高</t>
        </is>
      </c>
      <c r="C104" t="inlineStr">
        <is>
          <t>启用</t>
        </is>
      </c>
      <c r="D104" t="inlineStr">
        <is>
          <t>当胶系=NY3150HF时，全部按HDI AD料号</t>
        </is>
      </c>
      <c r="J104" t="inlineStr">
        <is>
          <t>当胶系=NY3150HF时=AD</t>
        </is>
      </c>
      <c r="L104" t="n">
        <v>105</v>
      </c>
      <c r="M104" t="inlineStr">
        <is>
          <t>CSR-BIZ-20260724-V1</t>
        </is>
      </c>
    </row>
    <row r="105">
      <c r="A105" t="inlineStr">
        <is>
          <t>193037</t>
        </is>
      </c>
      <c r="B105" t="inlineStr">
        <is>
          <t>合通建业</t>
        </is>
      </c>
      <c r="C105" t="inlineStr">
        <is>
          <t>无CCL规则</t>
        </is>
      </c>
      <c r="L105" t="n">
        <v>106</v>
      </c>
      <c r="M105" t="inlineStr">
        <is>
          <t>CSR-BIZ-20260724-V1</t>
        </is>
      </c>
    </row>
    <row r="106">
      <c r="A106" t="inlineStr">
        <is>
          <t>123014</t>
        </is>
      </c>
      <c r="B106" t="inlineStr">
        <is>
          <t>江西联益</t>
        </is>
      </c>
      <c r="C106" t="inlineStr">
        <is>
          <t>启用</t>
        </is>
      </c>
      <c r="D106" t="inlineStr">
        <is>
          <t>当胶系=NY2150时，全部按汽车板料号；当胶系=NY2170时，全部按汽车板料号；当胶系=NY2140且厚度＜0.8mm时，全部按汽车板料号</t>
        </is>
      </c>
      <c r="J106" t="inlineStr">
        <is>
          <t>当胶系=NY2150或NY2170时=AC；当胶系=NY2140且厚度＜0.8mm时=AC</t>
        </is>
      </c>
      <c r="L106" t="n">
        <v>107</v>
      </c>
      <c r="M106" t="inlineStr">
        <is>
          <t>CSR-BIZ-20260724-V1</t>
        </is>
      </c>
    </row>
    <row r="107">
      <c r="A107" t="inlineStr">
        <is>
          <t>103868</t>
        </is>
      </c>
      <c r="B107" t="inlineStr">
        <is>
          <t>崇达HDI厂</t>
        </is>
      </c>
      <c r="C107" t="inlineStr">
        <is>
          <t>启用</t>
        </is>
      </c>
      <c r="D107" t="inlineStr">
        <is>
          <t>当胶系=NY3150HF时，全部按AH HDI料号；当胶系=NY3150HC时，全部按汽车板料号，当胶系=NY-A1时，全部按汽车板料号</t>
        </is>
      </c>
      <c r="J107" t="inlineStr">
        <is>
          <t>当胶系=NY3150HF时=AD，当胶系=NHY3150HC或NY-A1时=AC</t>
        </is>
      </c>
      <c r="L107" t="n">
        <v>108</v>
      </c>
      <c r="M107" t="inlineStr">
        <is>
          <t>CSR-BIZ-20260724-V1</t>
        </is>
      </c>
    </row>
    <row r="108">
      <c r="A108" t="inlineStr">
        <is>
          <t>103769</t>
        </is>
      </c>
      <c r="B108" t="inlineStr">
        <is>
          <t>崇达一厂</t>
        </is>
      </c>
      <c r="C108" t="inlineStr">
        <is>
          <t>启用</t>
        </is>
      </c>
      <c r="D108" t="inlineStr">
        <is>
          <t>当胶系=NY3150HF时，全部按AH HDI料号；当胶系=NY3150HC时，全部按汽车板料号，当胶系=NY-A1时，全部按汽车板料号</t>
        </is>
      </c>
      <c r="J108" t="inlineStr">
        <is>
          <t>当胶系=NY3150HF时=AD，当胶系=NHY3150HC或NY-A1时=AC</t>
        </is>
      </c>
      <c r="L108" t="n">
        <v>109</v>
      </c>
      <c r="M108" t="inlineStr">
        <is>
          <t>CSR-BIZ-20260724-V1</t>
        </is>
      </c>
    </row>
    <row r="109">
      <c r="A109" t="inlineStr">
        <is>
          <t>103770</t>
        </is>
      </c>
      <c r="B109" t="inlineStr">
        <is>
          <t>深圳崇达</t>
        </is>
      </c>
      <c r="C109" t="inlineStr">
        <is>
          <t>启用</t>
        </is>
      </c>
      <c r="D109" t="inlineStr">
        <is>
          <t>当胶系=NY3150HF时，全部按AH HDI料号；当胶系=NY3150HC时，全部按汽车板料号，当胶系=NY-A1时，全部按汽车板料号</t>
        </is>
      </c>
      <c r="J109" t="inlineStr">
        <is>
          <t>当胶系=NY3150HF时=AD，当胶系=NHY3150HC或NY-A1时=AC</t>
        </is>
      </c>
      <c r="L109" t="n">
        <v>110</v>
      </c>
      <c r="M109" t="inlineStr">
        <is>
          <t>CSR-BIZ-20260724-V1</t>
        </is>
      </c>
    </row>
    <row r="110">
      <c r="A110" t="inlineStr">
        <is>
          <t>103894</t>
        </is>
      </c>
      <c r="B110" t="inlineStr">
        <is>
          <t>珠海崇达</t>
        </is>
      </c>
      <c r="C110" t="inlineStr">
        <is>
          <t>启用</t>
        </is>
      </c>
      <c r="D110" t="inlineStr">
        <is>
          <t>当胶系=NY3150HF时，全部按AH HDI料号；当胶系=NY3150HC时，全部按汽车板料号，当胶系=NY-A1时，全部按汽车板料号</t>
        </is>
      </c>
      <c r="J110" t="inlineStr">
        <is>
          <t>当胶系=NY3150HF时=AD，当胶系=NHY3150HC或NY-A1时=AC</t>
        </is>
      </c>
      <c r="L110" t="n">
        <v>111</v>
      </c>
      <c r="M110" t="inlineStr">
        <is>
          <t>CSR-BIZ-20260724-V1</t>
        </is>
      </c>
    </row>
    <row r="111">
      <c r="A111" t="inlineStr">
        <is>
          <t>107008</t>
        </is>
      </c>
      <c r="B111" t="inlineStr">
        <is>
          <t>金州崇达</t>
        </is>
      </c>
      <c r="C111" t="inlineStr">
        <is>
          <t>启用</t>
        </is>
      </c>
      <c r="D111" t="inlineStr">
        <is>
          <t>当胶系=NY3150HF时，全部按AH HDI料号；当胶系=NY-A1时，全部按汽车板料号</t>
        </is>
      </c>
      <c r="J111" t="inlineStr">
        <is>
          <t>当胶系=NY3150HF时=AD，当胶系=NY-A1时=AC</t>
        </is>
      </c>
      <c r="L111" t="n">
        <v>112</v>
      </c>
      <c r="M111" t="inlineStr">
        <is>
          <t>CSR-BIZ-20260724-V1</t>
        </is>
      </c>
    </row>
    <row r="112">
      <c r="A112" t="inlineStr">
        <is>
          <t>103901</t>
        </is>
      </c>
      <c r="B112" t="inlineStr">
        <is>
          <t>广东依顿</t>
        </is>
      </c>
      <c r="C112" t="inlineStr">
        <is>
          <t>启用</t>
        </is>
      </c>
      <c r="J112" t="inlineStr">
        <is>
          <t>如果订单备注是汽车板则=AC;NY2150H 56mil 1/1和H/H 8张布 汽车板要求安排AY等级；NY2150H 1.5oz（含）以上铜箔厚度 HW订单需按AP电源板，1.5oz（不含）以下按普通A1等级安排</t>
        </is>
      </c>
      <c r="L112" t="n">
        <v>113</v>
      </c>
      <c r="M112" t="inlineStr">
        <is>
          <t>CSR-BIZ-20260724-V1</t>
        </is>
      </c>
    </row>
    <row r="113">
      <c r="A113" t="inlineStr">
        <is>
          <t>103981</t>
        </is>
      </c>
      <c r="B113" t="inlineStr">
        <is>
          <t>崇达高层</t>
        </is>
      </c>
      <c r="C113" t="inlineStr">
        <is>
          <t>启用</t>
        </is>
      </c>
      <c r="D113" t="inlineStr">
        <is>
          <t>当胶系=NY3150HF时，全部按AH HDI料号；当胶系=NY3150HC时，全部按汽车板料号，当胶系=NY-A1时，全部按汽车板料号</t>
        </is>
      </c>
      <c r="J113" t="inlineStr">
        <is>
          <t>当胶系=NY3150HF时=AD，当胶系=NHY3150HC或NY-A1时=AC</t>
        </is>
      </c>
      <c r="L113" t="n">
        <v>114</v>
      </c>
      <c r="M113" t="inlineStr">
        <is>
          <t>CSR-BIZ-20260724-V1</t>
        </is>
      </c>
    </row>
    <row r="114">
      <c r="A114" t="inlineStr">
        <is>
          <t>133038</t>
        </is>
      </c>
      <c r="B114" t="inlineStr">
        <is>
          <t>安徽万奔</t>
        </is>
      </c>
      <c r="C114" t="inlineStr">
        <is>
          <t>启用</t>
        </is>
      </c>
      <c r="G114" t="inlineStr">
        <is>
          <t>全部默认下加大0.3尺寸</t>
        </is>
      </c>
      <c r="L114" t="n">
        <v>115</v>
      </c>
      <c r="M114" t="inlineStr">
        <is>
          <t>CSR-BIZ-20260724-V1</t>
        </is>
      </c>
    </row>
    <row r="115">
      <c r="A115" t="inlineStr">
        <is>
          <t>123015</t>
        </is>
      </c>
      <c r="B115" t="inlineStr">
        <is>
          <t>赣州超跃</t>
        </is>
      </c>
      <c r="C115" t="inlineStr">
        <is>
          <t>启用</t>
        </is>
      </c>
      <c r="J115" t="inlineStr">
        <is>
          <t>NY2140&amp;板厚0.8(含)以上&amp;1oz铜箔以下下F1料号</t>
        </is>
      </c>
      <c r="L115" t="n">
        <v>116</v>
      </c>
      <c r="M115" t="inlineStr">
        <is>
          <t>CSR-BIZ-20260724-V1</t>
        </is>
      </c>
    </row>
    <row r="116">
      <c r="A116" t="inlineStr">
        <is>
          <t>123024</t>
        </is>
      </c>
      <c r="B116" t="inlineStr">
        <is>
          <t>赣州金顺</t>
        </is>
      </c>
      <c r="C116" t="inlineStr">
        <is>
          <t>启用</t>
        </is>
      </c>
      <c r="J116" t="inlineStr">
        <is>
          <t>NY2140&amp;板厚0.8(含)以上&amp;1oz铜箔以下下F1料号</t>
        </is>
      </c>
      <c r="L116" t="n">
        <v>117</v>
      </c>
      <c r="M116" t="inlineStr">
        <is>
          <t>CSR-BIZ-20260724-V1</t>
        </is>
      </c>
    </row>
    <row r="117">
      <c r="A117" t="inlineStr">
        <is>
          <t>123003</t>
        </is>
      </c>
      <c r="B117" t="inlineStr">
        <is>
          <t>赣州逸豪</t>
        </is>
      </c>
      <c r="C117" t="inlineStr">
        <is>
          <t>启用</t>
        </is>
      </c>
      <c r="J117" t="inlineStr">
        <is>
          <t>NY2140&amp;板厚0.8(含)以上&amp;1oz铜箔以下下F1料号</t>
        </is>
      </c>
      <c r="L117" t="n">
        <v>118</v>
      </c>
      <c r="M117" t="inlineStr">
        <is>
          <t>CSR-BIZ-20260724-V1</t>
        </is>
      </c>
    </row>
    <row r="118">
      <c r="A118" t="inlineStr">
        <is>
          <t>110024</t>
        </is>
      </c>
      <c r="B118" t="inlineStr">
        <is>
          <t>淄博芯材</t>
        </is>
      </c>
      <c r="C118" t="inlineStr">
        <is>
          <t>无CCL规则</t>
        </is>
      </c>
      <c r="L118" t="n">
        <v>119</v>
      </c>
      <c r="M118" t="inlineStr">
        <is>
          <t>CSR-BIZ-20260724-V1</t>
        </is>
      </c>
    </row>
    <row r="119">
      <c r="A119" t="inlineStr">
        <is>
          <t>103536</t>
        </is>
      </c>
      <c r="B119" t="inlineStr">
        <is>
          <t>博敏电子</t>
        </is>
      </c>
      <c r="C119" t="inlineStr">
        <is>
          <t>启用</t>
        </is>
      </c>
      <c r="J119" t="inlineStr">
        <is>
          <t>NY3150HF=AH AD</t>
        </is>
      </c>
      <c r="L119" t="n">
        <v>120</v>
      </c>
      <c r="M119" t="inlineStr">
        <is>
          <t>CSR-BIZ-20260724-V1</t>
        </is>
      </c>
    </row>
    <row r="120">
      <c r="A120" t="inlineStr">
        <is>
          <t>104253</t>
        </is>
      </c>
      <c r="B120" t="inlineStr">
        <is>
          <t>江苏博敏</t>
        </is>
      </c>
      <c r="C120" t="inlineStr">
        <is>
          <t>启用</t>
        </is>
      </c>
      <c r="J120" t="inlineStr">
        <is>
          <t>NY3150HF=AH AD</t>
        </is>
      </c>
      <c r="L120" t="n">
        <v>121</v>
      </c>
      <c r="M120" t="inlineStr">
        <is>
          <t>CSR-BIZ-20260724-V1</t>
        </is>
      </c>
    </row>
    <row r="121">
      <c r="A121" t="inlineStr">
        <is>
          <t>257038</t>
        </is>
      </c>
      <c r="B121" t="inlineStr">
        <is>
          <t>泰APE</t>
        </is>
      </c>
      <c r="C121" t="inlineStr">
        <is>
          <t>无CCL规则</t>
        </is>
      </c>
      <c r="L121" t="n">
        <v>122</v>
      </c>
      <c r="M121" t="inlineStr">
        <is>
          <t>CSR-BIZ-20260724-V1</t>
        </is>
      </c>
    </row>
    <row r="122">
      <c r="A122" t="inlineStr">
        <is>
          <t>104343</t>
        </is>
      </c>
      <c r="B122" t="inlineStr">
        <is>
          <t>常熟金像</t>
        </is>
      </c>
      <c r="C122" t="inlineStr">
        <is>
          <t>无CCL规则</t>
        </is>
      </c>
      <c r="L122" t="n">
        <v>123</v>
      </c>
      <c r="M122" t="inlineStr">
        <is>
          <t>CSR-BIZ-20260724-V1</t>
        </is>
      </c>
    </row>
    <row r="123">
      <c r="A123" t="inlineStr">
        <is>
          <t>103722</t>
        </is>
      </c>
      <c r="B123" t="inlineStr">
        <is>
          <t>东莞泰山</t>
        </is>
      </c>
      <c r="C123" t="inlineStr">
        <is>
          <t>无CCL规则</t>
        </is>
      </c>
      <c r="L123" t="n">
        <v>124</v>
      </c>
      <c r="M123" t="inlineStr">
        <is>
          <t>CSR-BIZ-20260724-V1</t>
        </is>
      </c>
    </row>
    <row r="124">
      <c r="A124" t="inlineStr">
        <is>
          <t>103628</t>
        </is>
      </c>
      <c r="B124" t="inlineStr">
        <is>
          <t>鹤山安栢</t>
        </is>
      </c>
      <c r="C124" t="inlineStr">
        <is>
          <t>无CCL规则</t>
        </is>
      </c>
      <c r="L124" t="n">
        <v>125</v>
      </c>
      <c r="M124" t="inlineStr">
        <is>
          <t>CSR-BIZ-20260724-V1</t>
        </is>
      </c>
    </row>
    <row r="125">
      <c r="A125" t="inlineStr">
        <is>
          <t>103792</t>
        </is>
      </c>
      <c r="B125" t="inlineStr">
        <is>
          <t>广东世运</t>
        </is>
      </c>
      <c r="C125" t="inlineStr">
        <is>
          <t>启用</t>
        </is>
      </c>
      <c r="G125" t="inlineStr">
        <is>
          <t>725.4*1244.6=28.56*49  691.6*1244.6=27.23*49</t>
        </is>
      </c>
      <c r="J125" t="inlineStr">
        <is>
          <t>NY3150HF 全部下AL品号；客户订单备注栏如：2DPOA74309E 第5码：A普通汽车板，S是安全类的，都需下汽车板AC</t>
        </is>
      </c>
      <c r="L125" t="n">
        <v>126</v>
      </c>
      <c r="M125" t="inlineStr">
        <is>
          <t>CSR-BIZ-20260724-V1</t>
        </is>
      </c>
    </row>
    <row r="126">
      <c r="A126" t="inlineStr">
        <is>
          <t>103809</t>
        </is>
      </c>
      <c r="B126" t="inlineStr">
        <is>
          <t>鹤山世安</t>
        </is>
      </c>
      <c r="C126" t="inlineStr">
        <is>
          <t>启用</t>
        </is>
      </c>
      <c r="G126" t="inlineStr">
        <is>
          <t>725.4*1244.6=28.56*49  691.6*1244.6=27.23*49</t>
        </is>
      </c>
      <c r="J126" t="inlineStr">
        <is>
          <t>NY3150HF 全部下AL品号；客户订单备注栏如：2DPOA74309E 第5码：A普通汽车板，S是安全类的，都需下汽车板AC</t>
        </is>
      </c>
      <c r="L126" t="n">
        <v>127</v>
      </c>
      <c r="M126" t="inlineStr">
        <is>
          <t>CSR-BIZ-20260724-V1</t>
        </is>
      </c>
    </row>
    <row r="127">
      <c r="A127" t="inlineStr">
        <is>
          <t>103874</t>
        </is>
      </c>
      <c r="B127" t="inlineStr">
        <is>
          <t>珠海德丽</t>
        </is>
      </c>
      <c r="C127" t="inlineStr">
        <is>
          <t>启用</t>
        </is>
      </c>
      <c r="K127" t="inlineStr">
        <is>
          <t>默认不含铜</t>
        </is>
      </c>
      <c r="L127" t="n">
        <v>128</v>
      </c>
      <c r="M127" t="inlineStr">
        <is>
          <t>CSR-BIZ-20260724-V1</t>
        </is>
      </c>
    </row>
    <row r="128">
      <c r="A128" t="inlineStr">
        <is>
          <t>103875</t>
        </is>
      </c>
      <c r="B128" t="inlineStr">
        <is>
          <t>珠海超毅</t>
        </is>
      </c>
      <c r="C128" t="inlineStr">
        <is>
          <t>启用</t>
        </is>
      </c>
      <c r="K128" t="inlineStr">
        <is>
          <t>默认不含铜</t>
        </is>
      </c>
      <c r="L128" t="n">
        <v>129</v>
      </c>
      <c r="M128" t="inlineStr">
        <is>
          <t>CSR-BIZ-20260724-V1</t>
        </is>
      </c>
    </row>
    <row r="129">
      <c r="B129" t="inlineStr">
        <is>
          <t>深圳邦基</t>
        </is>
      </c>
      <c r="C129" t="inlineStr">
        <is>
          <t>无CCL规则</t>
        </is>
      </c>
      <c r="L129" t="n">
        <v>130</v>
      </c>
      <c r="M129" t="inlineStr">
        <is>
          <t>CSR-BIZ-20260724-V1</t>
        </is>
      </c>
    </row>
    <row r="130">
      <c r="A130" t="inlineStr">
        <is>
          <t>104158</t>
        </is>
      </c>
      <c r="B130" t="inlineStr">
        <is>
          <t>江苏瀚宇</t>
        </is>
      </c>
      <c r="C130" t="inlineStr">
        <is>
          <t>启用</t>
        </is>
      </c>
      <c r="E130" t="inlineStr">
        <is>
          <t>003=3mil=0.079</t>
        </is>
      </c>
      <c r="J130" t="inlineStr">
        <is>
          <t>客户物料编码最后一位是Q时=AC</t>
        </is>
      </c>
      <c r="K130" t="inlineStr">
        <is>
          <t>31mil含以上总厚</t>
        </is>
      </c>
      <c r="L130" t="n">
        <v>131</v>
      </c>
      <c r="M130" t="inlineStr">
        <is>
          <t>CSR-BIZ-20260724-V1</t>
        </is>
      </c>
    </row>
    <row r="131">
      <c r="A131" t="inlineStr">
        <is>
          <t>104283</t>
        </is>
      </c>
      <c r="B131" t="inlineStr">
        <is>
          <t>苏州吴通</t>
        </is>
      </c>
      <c r="C131" t="inlineStr">
        <is>
          <t>启用</t>
        </is>
      </c>
      <c r="E131" t="inlineStr">
        <is>
          <t>&lt;1.7 维护公差</t>
        </is>
      </c>
      <c r="J131" t="inlineStr">
        <is>
          <t>NY-A2=AC</t>
        </is>
      </c>
      <c r="K131" t="inlineStr">
        <is>
          <t>0.8含以上总厚 0.8以下芯厚</t>
        </is>
      </c>
      <c r="L131" t="n">
        <v>132</v>
      </c>
      <c r="M131" t="inlineStr">
        <is>
          <t>CSR-BIZ-20260724-V1</t>
        </is>
      </c>
    </row>
    <row r="132">
      <c r="A132" t="inlineStr">
        <is>
          <t>104373</t>
        </is>
      </c>
      <c r="B132" t="inlineStr">
        <is>
          <t>江苏广谦</t>
        </is>
      </c>
      <c r="C132" t="inlineStr">
        <is>
          <t>启用</t>
        </is>
      </c>
      <c r="K132" t="inlineStr">
        <is>
          <t>0.8含以上总厚 0.8以下芯厚</t>
        </is>
      </c>
      <c r="L132" t="n">
        <v>133</v>
      </c>
      <c r="M132" t="inlineStr">
        <is>
          <t>CSR-BIZ-20260724-V1</t>
        </is>
      </c>
    </row>
    <row r="133">
      <c r="A133" t="inlineStr">
        <is>
          <t>133025</t>
        </is>
      </c>
      <c r="B133" t="inlineStr">
        <is>
          <t>广德三生</t>
        </is>
      </c>
      <c r="C133" t="inlineStr">
        <is>
          <t>启用</t>
        </is>
      </c>
      <c r="K133" t="inlineStr">
        <is>
          <t>0.8含以上总厚 0.8以下芯厚</t>
        </is>
      </c>
      <c r="L133" t="n">
        <v>134</v>
      </c>
      <c r="M133" t="inlineStr">
        <is>
          <t>CSR-BIZ-20260724-V1</t>
        </is>
      </c>
    </row>
    <row r="134">
      <c r="A134" t="inlineStr">
        <is>
          <t>133019</t>
        </is>
      </c>
      <c r="B134" t="inlineStr">
        <is>
          <t>铜陵安博</t>
        </is>
      </c>
      <c r="C134" t="inlineStr">
        <is>
          <t>无CCL规则</t>
        </is>
      </c>
      <c r="L134" t="n">
        <v>135</v>
      </c>
      <c r="M134" t="inlineStr">
        <is>
          <t>CSR-BIZ-20260724-V1</t>
        </is>
      </c>
    </row>
    <row r="135">
      <c r="A135" t="inlineStr">
        <is>
          <t>104329</t>
        </is>
      </c>
      <c r="B135" t="inlineStr">
        <is>
          <t>宜兴硅谷</t>
        </is>
      </c>
      <c r="C135" t="inlineStr">
        <is>
          <t>启用</t>
        </is>
      </c>
      <c r="K135" t="inlineStr">
        <is>
          <t>T/C芯厚 D/S总厚</t>
        </is>
      </c>
      <c r="L135" t="n">
        <v>136</v>
      </c>
      <c r="M135" t="inlineStr">
        <is>
          <t>CSR-BIZ-20260724-V1</t>
        </is>
      </c>
    </row>
    <row r="136">
      <c r="A136" t="inlineStr">
        <is>
          <t>129005</t>
        </is>
      </c>
      <c r="B136" t="inlineStr">
        <is>
          <t>重庆方正</t>
        </is>
      </c>
      <c r="C136" t="inlineStr">
        <is>
          <t>启用</t>
        </is>
      </c>
      <c r="I136" t="inlineStr">
        <is>
          <t>HS2-M2-VSP=HVLP2 ,HS1-M2-VSP=HVLP1</t>
        </is>
      </c>
      <c r="L136" t="n">
        <v>137</v>
      </c>
      <c r="M136" t="inlineStr">
        <is>
          <t>CSR-BIZ-20260724-V1</t>
        </is>
      </c>
    </row>
    <row r="137">
      <c r="A137" t="inlineStr">
        <is>
          <t>193006</t>
        </is>
      </c>
      <c r="B137" t="inlineStr">
        <is>
          <t>珠海驰方</t>
        </is>
      </c>
      <c r="C137" t="inlineStr">
        <is>
          <t>启用</t>
        </is>
      </c>
      <c r="I137" t="inlineStr">
        <is>
          <t>HS2-M2-VSP=HVLP2 ,HS1-M2-VSP=HVLP1</t>
        </is>
      </c>
      <c r="L137" t="n">
        <v>138</v>
      </c>
      <c r="M137" t="inlineStr">
        <is>
          <t>CSR-BIZ-20260724-V1</t>
        </is>
      </c>
    </row>
    <row r="138">
      <c r="A138" t="inlineStr">
        <is>
          <t>103938</t>
        </is>
      </c>
      <c r="B138" t="inlineStr">
        <is>
          <t>方正F3</t>
        </is>
      </c>
      <c r="C138" t="inlineStr">
        <is>
          <t>启用</t>
        </is>
      </c>
      <c r="I138" t="inlineStr">
        <is>
          <t>HS2-M2-VSP=HVLP2 ,HS1-M2-VSP=HVLP1</t>
        </is>
      </c>
      <c r="L138" t="n">
        <v>139</v>
      </c>
      <c r="M138" t="inlineStr">
        <is>
          <t>CSR-BIZ-20260724-V1</t>
        </is>
      </c>
    </row>
    <row r="139">
      <c r="A139" t="inlineStr">
        <is>
          <t>103864</t>
        </is>
      </c>
      <c r="B139" t="inlineStr">
        <is>
          <t>广州添利</t>
        </is>
      </c>
      <c r="C139" t="inlineStr">
        <is>
          <t>无CCL规则</t>
        </is>
      </c>
      <c r="L139" t="n">
        <v>140</v>
      </c>
      <c r="M139" t="inlineStr">
        <is>
          <t>CSR-BIZ-20260724-V1</t>
        </is>
      </c>
    </row>
    <row r="140">
      <c r="A140" t="inlineStr">
        <is>
          <t>123010</t>
        </is>
      </c>
      <c r="B140" t="inlineStr">
        <is>
          <t>江西红森</t>
        </is>
      </c>
      <c r="C140" t="inlineStr">
        <is>
          <t>无CCL规则</t>
        </is>
      </c>
      <c r="L140" t="n">
        <v>141</v>
      </c>
      <c r="M140" t="inlineStr">
        <is>
          <t>CSR-BIZ-20260724-V1</t>
        </is>
      </c>
    </row>
    <row r="141">
      <c r="A141" t="inlineStr">
        <is>
          <t>257112</t>
        </is>
      </c>
      <c r="B141" t="inlineStr">
        <is>
          <t>泰国方正</t>
        </is>
      </c>
      <c r="C141" t="inlineStr">
        <is>
          <t>无CCL规则</t>
        </is>
      </c>
      <c r="L141" t="n">
        <v>142</v>
      </c>
      <c r="M141" t="inlineStr">
        <is>
          <t>CSR-BIZ-20260724-V1</t>
        </is>
      </c>
    </row>
    <row r="142">
      <c r="A142" t="inlineStr">
        <is>
          <t>123010</t>
        </is>
      </c>
      <c r="B142" t="inlineStr">
        <is>
          <t>江西红板</t>
        </is>
      </c>
      <c r="C142" t="inlineStr">
        <is>
          <t>无CCL规则</t>
        </is>
      </c>
      <c r="L142" t="n">
        <v>143</v>
      </c>
      <c r="M142" t="inlineStr">
        <is>
          <t>CSR-BIZ-20260724-V1</t>
        </is>
      </c>
    </row>
    <row r="143">
      <c r="A143" t="inlineStr">
        <is>
          <t>106008</t>
        </is>
      </c>
      <c r="B143" t="inlineStr">
        <is>
          <t>川英创力</t>
        </is>
      </c>
      <c r="C143" t="inlineStr">
        <is>
          <t>启用</t>
        </is>
      </c>
      <c r="D143" t="inlineStr">
        <is>
          <t>订单上没有写胶系时=NY2140，TG140=NY2140,TG150=NY2150,TG170=NY2170</t>
        </is>
      </c>
      <c r="F143" t="inlineStr">
        <is>
          <t>客户W/W=厂内F/F</t>
        </is>
      </c>
      <c r="L143" t="n">
        <v>144</v>
      </c>
      <c r="M143" t="inlineStr">
        <is>
          <t>CSR-BIZ-20260724-V1</t>
        </is>
      </c>
    </row>
    <row r="144">
      <c r="A144" t="inlineStr">
        <is>
          <t>104376</t>
        </is>
      </c>
      <c r="B144" t="inlineStr">
        <is>
          <t>沪士电子</t>
        </is>
      </c>
      <c r="C144" t="inlineStr">
        <is>
          <t>启用</t>
        </is>
      </c>
      <c r="I144" t="inlineStr">
        <is>
          <t>PVLP=HVLP2，FVLP=HVLP3，HVLP=HVLP1</t>
        </is>
      </c>
      <c r="L144" t="n">
        <v>145</v>
      </c>
      <c r="M144" t="inlineStr">
        <is>
          <t>CSR-BIZ-20260724-V1</t>
        </is>
      </c>
    </row>
    <row r="145">
      <c r="A145" t="inlineStr">
        <is>
          <t>122018</t>
        </is>
      </c>
      <c r="B145" t="inlineStr">
        <is>
          <t>黄石沪士</t>
        </is>
      </c>
      <c r="C145" t="inlineStr">
        <is>
          <t>启用</t>
        </is>
      </c>
      <c r="I145" t="inlineStr">
        <is>
          <t>PVLP=HVLP2，FVLP=HVLP3，HVLP=HVLP1</t>
        </is>
      </c>
      <c r="L145" t="n">
        <v>146</v>
      </c>
      <c r="M145" t="inlineStr">
        <is>
          <t>CSR-BIZ-20260724-V1</t>
        </is>
      </c>
    </row>
    <row r="146">
      <c r="A146" t="inlineStr">
        <is>
          <t>104353</t>
        </is>
      </c>
      <c r="B146" t="inlineStr">
        <is>
          <t>江苏贺鸿</t>
        </is>
      </c>
      <c r="C146" t="inlineStr">
        <is>
          <t>无CCL规则</t>
        </is>
      </c>
      <c r="L146" t="n">
        <v>147</v>
      </c>
      <c r="M146" t="inlineStr">
        <is>
          <t>CSR-BIZ-20260724-V1</t>
        </is>
      </c>
    </row>
    <row r="147">
      <c r="A147" t="inlineStr">
        <is>
          <t>109067</t>
        </is>
      </c>
      <c r="B147" t="inlineStr">
        <is>
          <t>衢州顺络</t>
        </is>
      </c>
      <c r="C147" t="inlineStr">
        <is>
          <t>无CCL规则</t>
        </is>
      </c>
      <c r="L147" t="n">
        <v>148</v>
      </c>
      <c r="M147" t="inlineStr">
        <is>
          <t>CSR-BIZ-20260724-V1</t>
        </is>
      </c>
    </row>
    <row r="148">
      <c r="A148" t="inlineStr">
        <is>
          <t>106017</t>
        </is>
      </c>
      <c r="B148" t="inlineStr">
        <is>
          <t>遂宁志超</t>
        </is>
      </c>
      <c r="C148" t="inlineStr">
        <is>
          <t>无CCL规则</t>
        </is>
      </c>
      <c r="L148" t="n">
        <v>149</v>
      </c>
      <c r="M148" t="inlineStr">
        <is>
          <t>CSR-BIZ-20260724-V1</t>
        </is>
      </c>
    </row>
    <row r="149">
      <c r="A149" t="inlineStr">
        <is>
          <t>111001</t>
        </is>
      </c>
      <c r="B149" t="inlineStr">
        <is>
          <t>天津普林</t>
        </is>
      </c>
      <c r="C149" t="inlineStr">
        <is>
          <t>启用</t>
        </is>
      </c>
      <c r="J149" t="inlineStr">
        <is>
          <t>客户订单上有“汽车板”字样=AC</t>
        </is>
      </c>
      <c r="L149" t="n">
        <v>150</v>
      </c>
      <c r="M149" t="inlineStr">
        <is>
          <t>CSR-BIZ-20260724-V1</t>
        </is>
      </c>
    </row>
    <row r="150">
      <c r="A150" t="inlineStr">
        <is>
          <t>104369</t>
        </is>
      </c>
      <c r="B150" t="inlineStr">
        <is>
          <t>无锡统盟</t>
        </is>
      </c>
      <c r="C150" t="inlineStr">
        <is>
          <t>无CCL规则</t>
        </is>
      </c>
      <c r="L150" t="n">
        <v>151</v>
      </c>
      <c r="M150" t="inlineStr">
        <is>
          <t>CSR-BIZ-20260724-V1</t>
        </is>
      </c>
    </row>
    <row r="151">
      <c r="A151" t="inlineStr">
        <is>
          <t>109084</t>
        </is>
      </c>
      <c r="B151" t="inlineStr">
        <is>
          <t>浙江君浩</t>
        </is>
      </c>
      <c r="C151" t="inlineStr">
        <is>
          <t>无CCL规则</t>
        </is>
      </c>
      <c r="L151" t="n">
        <v>152</v>
      </c>
      <c r="M151" t="inlineStr">
        <is>
          <t>CSR-BIZ-20260724-V1</t>
        </is>
      </c>
    </row>
    <row r="152">
      <c r="A152" t="inlineStr">
        <is>
          <t>109003</t>
        </is>
      </c>
      <c r="B152" t="inlineStr">
        <is>
          <t>浙江上豪</t>
        </is>
      </c>
      <c r="C152" t="inlineStr">
        <is>
          <t>无CCL规则</t>
        </is>
      </c>
      <c r="L152" t="n">
        <v>153</v>
      </c>
      <c r="M152" t="inlineStr">
        <is>
          <t>CSR-BIZ-20260724-V1</t>
        </is>
      </c>
    </row>
    <row r="153">
      <c r="A153" t="inlineStr">
        <is>
          <t>104339</t>
        </is>
      </c>
      <c r="B153" t="inlineStr">
        <is>
          <t>统盟二厂</t>
        </is>
      </c>
      <c r="C153" t="inlineStr">
        <is>
          <t>无CCL规则</t>
        </is>
      </c>
      <c r="L153" t="n">
        <v>154</v>
      </c>
      <c r="M153" t="inlineStr">
        <is>
          <t>CSR-BIZ-20260724-V1</t>
        </is>
      </c>
    </row>
    <row r="154">
      <c r="A154" t="inlineStr">
        <is>
          <t>104418</t>
        </is>
      </c>
      <c r="B154" t="inlineStr">
        <is>
          <t>统盟三厂</t>
        </is>
      </c>
      <c r="C154" t="inlineStr">
        <is>
          <t>无CCL规则</t>
        </is>
      </c>
      <c r="L154" t="n">
        <v>155</v>
      </c>
      <c r="M154" t="inlineStr">
        <is>
          <t>CSR-BIZ-20260724-V1</t>
        </is>
      </c>
    </row>
    <row r="155">
      <c r="A155" t="inlineStr">
        <is>
          <t>106011</t>
        </is>
      </c>
      <c r="B155" t="inlineStr">
        <is>
          <t>川华兴宇</t>
        </is>
      </c>
      <c r="C155" t="inlineStr">
        <is>
          <t>启用</t>
        </is>
      </c>
      <c r="J155" t="inlineStr">
        <is>
          <t>NY3150HC/NY3170HC=AC；NY2140=A1;NY2140L=A5;NY2150/NY2170 0.9mm（含）以上=A1；NY2150/NY2170 0.9mm（含）以下=AC</t>
        </is>
      </c>
      <c r="L155" t="n">
        <v>156</v>
      </c>
      <c r="M155" t="inlineStr">
        <is>
          <t>CSR-BIZ-20260724-V1</t>
        </is>
      </c>
    </row>
    <row r="156">
      <c r="A156" t="inlineStr">
        <is>
          <t>103711</t>
        </is>
      </c>
      <c r="B156" t="inlineStr">
        <is>
          <t>东莞若美</t>
        </is>
      </c>
      <c r="C156" t="inlineStr">
        <is>
          <t>无CCL规则</t>
        </is>
      </c>
      <c r="L156" t="n">
        <v>157</v>
      </c>
      <c r="M156" t="inlineStr">
        <is>
          <t>CSR-BIZ-20260724-V1</t>
        </is>
      </c>
    </row>
    <row r="157">
      <c r="A157" t="inlineStr">
        <is>
          <t>103931</t>
        </is>
      </c>
      <c r="B157" t="inlineStr">
        <is>
          <t>东晶维鑫</t>
        </is>
      </c>
      <c r="C157" t="inlineStr">
        <is>
          <t>无CCL规则</t>
        </is>
      </c>
      <c r="L157" t="n">
        <v>158</v>
      </c>
      <c r="M157" t="inlineStr">
        <is>
          <t>CSR-BIZ-20260724-V1</t>
        </is>
      </c>
    </row>
    <row r="158">
      <c r="A158" t="inlineStr">
        <is>
          <t>122019</t>
        </is>
      </c>
      <c r="B158" t="inlineStr">
        <is>
          <t>湖北金禄</t>
        </is>
      </c>
      <c r="C158" t="inlineStr">
        <is>
          <t>启用</t>
        </is>
      </c>
      <c r="J158" t="inlineStr">
        <is>
          <t>当胶系=NY3150HF、NY3176HF、NY3170HF，都下AD HDI板，当备注宁德、ND字样=AC</t>
        </is>
      </c>
      <c r="L158" t="n">
        <v>159</v>
      </c>
      <c r="M158" t="inlineStr">
        <is>
          <t>CSR-BIZ-20260724-V1</t>
        </is>
      </c>
    </row>
    <row r="159">
      <c r="A159" t="inlineStr">
        <is>
          <t>104359</t>
        </is>
      </c>
      <c r="B159" t="inlineStr">
        <is>
          <t>淮安特创</t>
        </is>
      </c>
      <c r="C159" t="inlineStr">
        <is>
          <t>启用</t>
        </is>
      </c>
      <c r="D159" t="inlineStr">
        <is>
          <t>NY3150HF=3B</t>
        </is>
      </c>
      <c r="G159" t="inlineStr">
        <is>
          <t>37*49=37.3*49.3，41*49=41.3*49.3，43*49=43.3*49.3，74*49=74.3*49.3，82*49=82.3*49.3，86*49=86.3*49.3</t>
        </is>
      </c>
      <c r="J159" t="inlineStr">
        <is>
          <t>当NY3150HF=3B时=AT;当备注中有汽车专用字样时=AC；当胶系=NY3150HF,厚度=0.5，铜箔=1/1时=AC</t>
        </is>
      </c>
      <c r="L159" t="n">
        <v>160</v>
      </c>
      <c r="M159" t="inlineStr">
        <is>
          <t>CSR-BIZ-20260724-V1</t>
        </is>
      </c>
    </row>
    <row r="160">
      <c r="A160" t="inlineStr">
        <is>
          <t>103613</t>
        </is>
      </c>
      <c r="B160" t="inlineStr">
        <is>
          <t>惠州特创</t>
        </is>
      </c>
      <c r="C160" t="inlineStr">
        <is>
          <t>启用</t>
        </is>
      </c>
      <c r="G160" t="inlineStr">
        <is>
          <t>37*49=37.3*49.3，41*49=41.3*49.3，43*49=43.3*49.3，74*49=74.3*49.3，82*49=82.3*49.3，86*49=86.3*49.3</t>
        </is>
      </c>
      <c r="L160" t="n">
        <v>161</v>
      </c>
      <c r="M160" t="inlineStr">
        <is>
          <t>CSR-BIZ-20260724-V1</t>
        </is>
      </c>
    </row>
    <row r="161">
      <c r="A161" t="inlineStr">
        <is>
          <t>123075</t>
        </is>
      </c>
      <c r="B161" t="inlineStr">
        <is>
          <t>江联锦成</t>
        </is>
      </c>
      <c r="C161" t="inlineStr">
        <is>
          <t>无CCL规则</t>
        </is>
      </c>
      <c r="L161" t="n">
        <v>162</v>
      </c>
      <c r="M161" t="inlineStr">
        <is>
          <t>CSR-BIZ-20260724-V1</t>
        </is>
      </c>
    </row>
    <row r="162">
      <c r="A162" t="inlineStr">
        <is>
          <t>103729</t>
        </is>
      </c>
      <c r="B162" t="inlineStr">
        <is>
          <t>清远金禄</t>
        </is>
      </c>
      <c r="C162" t="inlineStr">
        <is>
          <t>启用</t>
        </is>
      </c>
      <c r="J162" t="inlineStr">
        <is>
          <t>当胶系=NY3150HF、NY3176HF、NY3170HF时=AD</t>
        </is>
      </c>
      <c r="L162" t="n">
        <v>163</v>
      </c>
      <c r="M162" t="inlineStr">
        <is>
          <t>CSR-BIZ-20260724-V1</t>
        </is>
      </c>
    </row>
    <row r="163">
      <c r="A163" t="inlineStr">
        <is>
          <t>103032</t>
        </is>
      </c>
      <c r="B163" t="inlineStr">
        <is>
          <t>深圳富盛</t>
        </is>
      </c>
      <c r="C163" t="inlineStr">
        <is>
          <t>无CCL规则</t>
        </is>
      </c>
      <c r="L163" t="n">
        <v>164</v>
      </c>
      <c r="M163" t="inlineStr">
        <is>
          <t>CSR-BIZ-20260724-V1</t>
        </is>
      </c>
    </row>
    <row r="164">
      <c r="A164" t="inlineStr">
        <is>
          <t>103932</t>
        </is>
      </c>
      <c r="B164" t="inlineStr">
        <is>
          <t>深圳申凯</t>
        </is>
      </c>
      <c r="C164" t="inlineStr">
        <is>
          <t>无CCL规则</t>
        </is>
      </c>
      <c r="L164" t="n">
        <v>165</v>
      </c>
      <c r="M164" t="inlineStr">
        <is>
          <t>CSR-BIZ-20260724-V1</t>
        </is>
      </c>
    </row>
    <row r="165">
      <c r="A165" t="inlineStr">
        <is>
          <t>103507</t>
        </is>
      </c>
      <c r="B165" t="inlineStr">
        <is>
          <t>众信天成</t>
        </is>
      </c>
      <c r="C165" t="inlineStr">
        <is>
          <t>无CCL规则</t>
        </is>
      </c>
      <c r="L165" t="n">
        <v>166</v>
      </c>
      <c r="M165" t="inlineStr">
        <is>
          <t>CSR-BIZ-20260724-V1</t>
        </is>
      </c>
    </row>
    <row r="166">
      <c r="A166" t="inlineStr">
        <is>
          <t>103477</t>
        </is>
      </c>
      <c r="B166" t="inlineStr">
        <is>
          <t>深路通达</t>
        </is>
      </c>
      <c r="C166" t="inlineStr">
        <is>
          <t>无CCL规则</t>
        </is>
      </c>
      <c r="L166" t="n">
        <v>167</v>
      </c>
      <c r="M166" t="inlineStr">
        <is>
          <t>CSR-BIZ-20260724-V1</t>
        </is>
      </c>
    </row>
    <row r="167">
      <c r="A167" t="inlineStr">
        <is>
          <t>123032</t>
        </is>
      </c>
      <c r="B167" t="inlineStr">
        <is>
          <t>信丰汇和</t>
        </is>
      </c>
      <c r="C167" t="inlineStr">
        <is>
          <t>启用</t>
        </is>
      </c>
      <c r="G167" t="inlineStr">
        <is>
          <t>37*41=37.3*49.3，41*49=41.3*49.3，43*49=43.3*49.3，82*49=82.3*49.3，86*49=86.3*49.3</t>
        </is>
      </c>
      <c r="L167" t="n">
        <v>168</v>
      </c>
      <c r="M167" t="inlineStr">
        <is>
          <t>CSR-BIZ-20260724-V1</t>
        </is>
      </c>
    </row>
    <row r="168">
      <c r="A168" t="inlineStr">
        <is>
          <t>123004</t>
        </is>
      </c>
      <c r="B168" t="inlineStr">
        <is>
          <t>信丰共赢</t>
        </is>
      </c>
      <c r="C168" t="inlineStr">
        <is>
          <t>启用</t>
        </is>
      </c>
      <c r="J168" t="inlineStr">
        <is>
          <t>NY2140&amp;板厚0.8(含)以上&amp;1oz铜箔以下=F1料号</t>
        </is>
      </c>
      <c r="L168" t="n">
        <v>169</v>
      </c>
      <c r="M168" t="inlineStr">
        <is>
          <t>CSR-BIZ-20260724-V1</t>
        </is>
      </c>
    </row>
    <row r="169">
      <c r="A169" t="inlineStr">
        <is>
          <t>123021</t>
        </is>
      </c>
      <c r="B169" t="inlineStr">
        <is>
          <t>信迅捷兴</t>
        </is>
      </c>
      <c r="C169" t="inlineStr">
        <is>
          <t>启用</t>
        </is>
      </c>
      <c r="J169" t="inlineStr">
        <is>
          <t>NY2140&amp;板厚0.8(含)以上&amp;1oz铜箔以下=F1料号</t>
        </is>
      </c>
      <c r="L169" t="n">
        <v>170</v>
      </c>
      <c r="M169" t="inlineStr">
        <is>
          <t>CSR-BIZ-20260724-V1</t>
        </is>
      </c>
    </row>
    <row r="170">
      <c r="A170" t="inlineStr">
        <is>
          <t>103006</t>
        </is>
      </c>
      <c r="B170" t="inlineStr">
        <is>
          <t>中宝悦嘉</t>
        </is>
      </c>
      <c r="C170" t="inlineStr">
        <is>
          <t>启用</t>
        </is>
      </c>
      <c r="F170" t="inlineStr">
        <is>
          <t>1-/1-=K/K；H-/H-=J/J</t>
        </is>
      </c>
      <c r="J170" t="inlineStr">
        <is>
          <t>NY2140&amp;板厚0.8(含)以上&amp;1oz铜箔以下下F1料号； NY1600=A2</t>
        </is>
      </c>
      <c r="L170" t="n">
        <v>171</v>
      </c>
      <c r="M170" t="inlineStr">
        <is>
          <t>CSR-BIZ-20260724-V1</t>
        </is>
      </c>
    </row>
    <row r="171">
      <c r="A171" t="inlineStr">
        <is>
          <t>123040</t>
        </is>
      </c>
      <c r="B171" t="inlineStr">
        <is>
          <t>技研新阳</t>
        </is>
      </c>
      <c r="C171" t="inlineStr">
        <is>
          <t>无CCL规则</t>
        </is>
      </c>
      <c r="L171" t="n">
        <v>172</v>
      </c>
      <c r="M171" t="inlineStr">
        <is>
          <t>CSR-BIZ-20260724-V1</t>
        </is>
      </c>
    </row>
    <row r="172">
      <c r="A172" t="inlineStr">
        <is>
          <t>103936</t>
        </is>
      </c>
      <c r="B172" t="inlineStr">
        <is>
          <t>珠海益天</t>
        </is>
      </c>
      <c r="C172" t="inlineStr">
        <is>
          <t>无CCL规则</t>
        </is>
      </c>
      <c r="L172" t="n">
        <v>173</v>
      </c>
      <c r="M172" t="inlineStr">
        <is>
          <t>CSR-BIZ-20260724-V1</t>
        </is>
      </c>
    </row>
    <row r="173">
      <c r="A173" t="inlineStr">
        <is>
          <t>123008</t>
        </is>
      </c>
      <c r="B173" t="inlineStr">
        <is>
          <t>九江明阳</t>
        </is>
      </c>
      <c r="C173" t="inlineStr">
        <is>
          <t>启用</t>
        </is>
      </c>
      <c r="F173" t="inlineStr">
        <is>
          <t>W/W=F/F</t>
        </is>
      </c>
      <c r="J173" t="inlineStr">
        <is>
          <t>NY2140&amp;板厚0.8(含)以上&amp;1oz铜箔以下下F1料号</t>
        </is>
      </c>
      <c r="L173" t="n">
        <v>174</v>
      </c>
      <c r="M173" t="inlineStr">
        <is>
          <t>CSR-BIZ-20260724-V1</t>
        </is>
      </c>
    </row>
    <row r="174">
      <c r="A174" t="inlineStr">
        <is>
          <t>103045</t>
        </is>
      </c>
      <c r="B174" t="inlineStr">
        <is>
          <t>深圳明阳</t>
        </is>
      </c>
      <c r="C174" t="inlineStr">
        <is>
          <t>启用</t>
        </is>
      </c>
      <c r="F174" t="inlineStr">
        <is>
          <t>W/W=F/F</t>
        </is>
      </c>
      <c r="J174" t="inlineStr">
        <is>
          <t>NY2140&amp;板厚0.8(含)以上&amp;1oz铜箔以下下F1料号</t>
        </is>
      </c>
      <c r="L174" t="n">
        <v>175</v>
      </c>
      <c r="M174" t="inlineStr">
        <is>
          <t>CSR-BIZ-20260724-V1</t>
        </is>
      </c>
    </row>
    <row r="175">
      <c r="A175" t="inlineStr">
        <is>
          <t>123040</t>
        </is>
      </c>
      <c r="B175" t="inlineStr">
        <is>
          <t>技研新阳</t>
        </is>
      </c>
      <c r="C175" t="inlineStr">
        <is>
          <t>无CCL规则</t>
        </is>
      </c>
      <c r="L175" t="n">
        <v>176</v>
      </c>
      <c r="M175" t="inlineStr">
        <is>
          <t>CSR-BIZ-20260724-V1</t>
        </is>
      </c>
    </row>
    <row r="176">
      <c r="A176" t="inlineStr">
        <is>
          <t>123066</t>
        </is>
      </c>
      <c r="B176" t="inlineStr">
        <is>
          <t>江西伟林</t>
        </is>
      </c>
      <c r="C176" t="inlineStr">
        <is>
          <t>无CCL规则</t>
        </is>
      </c>
      <c r="L176" t="n">
        <v>177</v>
      </c>
      <c r="M176" t="inlineStr">
        <is>
          <t>CSR-BIZ-20260724-V1</t>
        </is>
      </c>
    </row>
    <row r="177">
      <c r="A177" t="inlineStr">
        <is>
          <t>103936</t>
        </is>
      </c>
      <c r="B177" t="inlineStr">
        <is>
          <t>珠海益天</t>
        </is>
      </c>
      <c r="C177" t="inlineStr">
        <is>
          <t>无CCL规则</t>
        </is>
      </c>
      <c r="L177" t="n">
        <v>178</v>
      </c>
      <c r="M177" t="inlineStr">
        <is>
          <t>CSR-BIZ-20260724-V1</t>
        </is>
      </c>
    </row>
    <row r="178">
      <c r="A178" t="inlineStr">
        <is>
          <t>105011</t>
        </is>
      </c>
      <c r="B178" t="inlineStr">
        <is>
          <t>湖南鹰飞</t>
        </is>
      </c>
      <c r="C178" t="inlineStr">
        <is>
          <t>启用</t>
        </is>
      </c>
      <c r="D178" t="inlineStr">
        <is>
          <t>普通板=2A,无卤素板=AH</t>
        </is>
      </c>
      <c r="L178" t="n">
        <v>179</v>
      </c>
      <c r="M178" t="inlineStr">
        <is>
          <t>CSR-BIZ-20260724-V1</t>
        </is>
      </c>
    </row>
    <row r="179">
      <c r="A179" t="inlineStr">
        <is>
          <t>105017</t>
        </is>
      </c>
      <c r="B179" t="inlineStr">
        <is>
          <t>益宝悦嘉</t>
        </is>
      </c>
      <c r="C179" t="inlineStr">
        <is>
          <t>启用</t>
        </is>
      </c>
      <c r="F179" t="inlineStr">
        <is>
          <t>1-/1-=K/K H-/H-=J/J</t>
        </is>
      </c>
      <c r="J179" t="inlineStr">
        <is>
          <t>NY2140&amp;板厚0.8(含)以上&amp;1oz铜箔以下下F1料号； NY1600=A2</t>
        </is>
      </c>
      <c r="L179" t="n">
        <v>180</v>
      </c>
      <c r="M179" t="inlineStr">
        <is>
          <t>CSR-BIZ-20260724-V1</t>
        </is>
      </c>
    </row>
    <row r="180">
      <c r="A180" t="inlineStr">
        <is>
          <t>103996</t>
        </is>
      </c>
      <c r="B180" t="inlineStr">
        <is>
          <t>深三德盈</t>
        </is>
      </c>
      <c r="C180" t="inlineStr">
        <is>
          <t>启用</t>
        </is>
      </c>
      <c r="E180" t="inlineStr">
        <is>
          <t>客户订单默认含铜，不含铜会备注</t>
        </is>
      </c>
      <c r="J180" t="inlineStr">
        <is>
          <t>NY2140&amp;板厚0.8(含)以上&amp;1oz铜箔以下下F1料号</t>
        </is>
      </c>
      <c r="L180" t="n">
        <v>181</v>
      </c>
      <c r="M180" t="inlineStr">
        <is>
          <t>CSR-BIZ-20260724-V1</t>
        </is>
      </c>
    </row>
    <row r="181">
      <c r="A181" t="inlineStr">
        <is>
          <t>103407</t>
        </is>
      </c>
      <c r="B181" t="inlineStr">
        <is>
          <t>深圳恩达</t>
        </is>
      </c>
      <c r="C181" t="inlineStr">
        <is>
          <t>无CCL规则</t>
        </is>
      </c>
      <c r="L181" t="n">
        <v>182</v>
      </c>
      <c r="M181" t="inlineStr">
        <is>
          <t>CSR-BIZ-20260724-V1</t>
        </is>
      </c>
    </row>
    <row r="182">
      <c r="A182" t="inlineStr">
        <is>
          <t>127003</t>
        </is>
      </c>
      <c r="B182" t="inlineStr">
        <is>
          <t>桂林诗宇</t>
        </is>
      </c>
      <c r="C182" t="inlineStr">
        <is>
          <t>启用</t>
        </is>
      </c>
      <c r="J182" t="inlineStr">
        <is>
          <t>AD</t>
        </is>
      </c>
      <c r="L182" t="n">
        <v>183</v>
      </c>
      <c r="M182" t="inlineStr">
        <is>
          <t>CSR-BIZ-20260724-V1</t>
        </is>
      </c>
    </row>
    <row r="183">
      <c r="A183" t="inlineStr">
        <is>
          <t>103295、
103692、
123063、
123054、
103385、
123108</t>
        </is>
      </c>
      <c r="B183" t="inlineStr">
        <is>
          <t>科翔集团</t>
        </is>
      </c>
      <c r="C183" t="inlineStr">
        <is>
          <t>启用</t>
        </is>
      </c>
      <c r="D183" t="inlineStr">
        <is>
          <t>NY3150HF-AH</t>
        </is>
      </c>
      <c r="J183" t="inlineStr">
        <is>
          <t>NY3150HF=AD;NY-A1=AC;NY-A2=AC</t>
        </is>
      </c>
      <c r="L183" t="n">
        <v>184</v>
      </c>
      <c r="M183" t="inlineStr">
        <is>
          <t>CSR-BIZ-20260724-V1</t>
        </is>
      </c>
    </row>
    <row r="184">
      <c r="A184" t="inlineStr">
        <is>
          <t>103990、
103984、
123016、
123103</t>
        </is>
      </c>
      <c r="B184" t="inlineStr">
        <is>
          <t>广华升鑫、深华升鑫</t>
        </is>
      </c>
      <c r="C184" t="inlineStr">
        <is>
          <t>启用</t>
        </is>
      </c>
      <c r="D184" t="inlineStr">
        <is>
          <t>NY-A2=AL</t>
        </is>
      </c>
      <c r="E184" t="inlineStr">
        <is>
          <t>客户订单默认含铜，不含铜会备注</t>
        </is>
      </c>
      <c r="F184" t="inlineStr">
        <is>
          <t>客户订单备注</t>
        </is>
      </c>
      <c r="J184" t="inlineStr">
        <is>
          <t>当胶系=NY-A2时=AC</t>
        </is>
      </c>
      <c r="L184" t="n">
        <v>185</v>
      </c>
      <c r="M184" t="inlineStr">
        <is>
          <t>CSR-BIZ-20260724-V1</t>
        </is>
      </c>
    </row>
    <row r="185">
      <c r="A185" t="inlineStr">
        <is>
          <t>123022</t>
        </is>
      </c>
      <c r="B185" t="inlineStr">
        <is>
          <t>江中信华</t>
        </is>
      </c>
      <c r="C185" t="inlineStr">
        <is>
          <t>无CCL规则</t>
        </is>
      </c>
      <c r="L185" t="n">
        <v>186</v>
      </c>
      <c r="M185" t="inlineStr">
        <is>
          <t>CSR-BIZ-20260724-V1</t>
        </is>
      </c>
    </row>
    <row r="186">
      <c r="A186" t="inlineStr">
        <is>
          <t>104326</t>
        </is>
      </c>
      <c r="B186" t="inlineStr">
        <is>
          <t>江苏协和</t>
        </is>
      </c>
      <c r="C186" t="inlineStr">
        <is>
          <t>无CCL规则</t>
        </is>
      </c>
      <c r="L186" t="n">
        <v>187</v>
      </c>
      <c r="M186" t="inlineStr">
        <is>
          <t>CSR-BIZ-20260724-V1</t>
        </is>
      </c>
    </row>
    <row r="187">
      <c r="A187" t="inlineStr">
        <is>
          <t>103959</t>
        </is>
      </c>
      <c r="B187" t="inlineStr">
        <is>
          <t>东莞华港</t>
        </is>
      </c>
      <c r="C187" t="inlineStr">
        <is>
          <t>无CCL规则</t>
        </is>
      </c>
      <c r="L187" t="n">
        <v>188</v>
      </c>
      <c r="M187" t="inlineStr">
        <is>
          <t>CSR-BIZ-20260724-V1</t>
        </is>
      </c>
    </row>
    <row r="188">
      <c r="A188" t="inlineStr">
        <is>
          <t>122013</t>
        </is>
      </c>
      <c r="B188" t="inlineStr">
        <is>
          <t>湖北健鼎</t>
        </is>
      </c>
      <c r="C188" t="inlineStr">
        <is>
          <t>启用</t>
        </is>
      </c>
      <c r="E188" t="inlineStr">
        <is>
          <t>详情见健鼎下单特殊要求表</t>
        </is>
      </c>
      <c r="I188" t="inlineStr">
        <is>
          <t>当胶系=NY3170M且下单有双面字样时=RTF，当胶系=NY3170M且下单无该字样时=HTE</t>
        </is>
      </c>
      <c r="J188" t="inlineStr">
        <is>
          <t>当规格中带有TFT字样时=AT</t>
        </is>
      </c>
      <c r="L188" t="n">
        <v>189</v>
      </c>
      <c r="M188" t="inlineStr">
        <is>
          <t>CSR-BIZ-20260724-V1</t>
        </is>
      </c>
    </row>
    <row r="189">
      <c r="A189" t="inlineStr">
        <is>
          <t>104106</t>
        </is>
      </c>
      <c r="B189" t="inlineStr">
        <is>
          <t>昆山华晨</t>
        </is>
      </c>
      <c r="C189" t="inlineStr">
        <is>
          <t>无CCL规则</t>
        </is>
      </c>
      <c r="L189" t="n">
        <v>190</v>
      </c>
      <c r="M189" t="inlineStr">
        <is>
          <t>CSR-BIZ-20260724-V1</t>
        </is>
      </c>
    </row>
    <row r="190">
      <c r="A190" t="inlineStr">
        <is>
          <t>104312</t>
        </is>
      </c>
      <c r="B190" t="inlineStr">
        <is>
          <t>无锡健鼎</t>
        </is>
      </c>
      <c r="C190" t="inlineStr">
        <is>
          <t>启用</t>
        </is>
      </c>
      <c r="I190" t="inlineStr">
        <is>
          <t>当胶系=NY3170M且下单有双面字样时=RTF，当胶系=NY3170M且下单无该字样时=HTE</t>
        </is>
      </c>
      <c r="J190" t="inlineStr">
        <is>
          <t>当规格中带有TFT字样时=AT</t>
        </is>
      </c>
      <c r="L190" t="n">
        <v>191</v>
      </c>
      <c r="M190" t="inlineStr">
        <is>
          <t>CSR-BIZ-20260724-V1</t>
        </is>
      </c>
    </row>
    <row r="191">
      <c r="A191" t="inlineStr">
        <is>
          <t>104417</t>
        </is>
      </c>
      <c r="B191" t="inlineStr">
        <is>
          <t>江苏洲旭</t>
        </is>
      </c>
      <c r="C191" t="inlineStr">
        <is>
          <t>无CCL规则</t>
        </is>
      </c>
      <c r="L191" t="n">
        <v>192</v>
      </c>
      <c r="M191" t="inlineStr">
        <is>
          <t>CSR-BIZ-20260724-V1</t>
        </is>
      </c>
    </row>
    <row r="192">
      <c r="A192" t="inlineStr">
        <is>
          <t>10440</t>
        </is>
      </c>
      <c r="B192" t="inlineStr">
        <is>
          <t>淮宏恒胜</t>
        </is>
      </c>
      <c r="C192" t="inlineStr">
        <is>
          <t>无CCL规则</t>
        </is>
      </c>
      <c r="L192" t="n">
        <v>193</v>
      </c>
      <c r="M192" t="inlineStr">
        <is>
          <t>CSR-BIZ-20260724-V1</t>
        </is>
      </c>
    </row>
    <row r="193">
      <c r="A193" t="inlineStr">
        <is>
          <t>103908</t>
        </is>
      </c>
      <c r="B193" t="inlineStr">
        <is>
          <t>广合二厂</t>
        </is>
      </c>
      <c r="C193" t="inlineStr">
        <is>
          <t>无CCL规则</t>
        </is>
      </c>
      <c r="L193" t="n">
        <v>194</v>
      </c>
      <c r="M193" t="inlineStr">
        <is>
          <t>CSR-BIZ-20260724-V1</t>
        </is>
      </c>
    </row>
    <row r="194">
      <c r="A194" t="inlineStr">
        <is>
          <t>103878</t>
        </is>
      </c>
      <c r="B194" t="inlineStr">
        <is>
          <t>广合一厂</t>
        </is>
      </c>
      <c r="C194" t="inlineStr">
        <is>
          <t>无CCL规则</t>
        </is>
      </c>
      <c r="L194" t="n">
        <v>195</v>
      </c>
      <c r="M194" t="inlineStr">
        <is>
          <t>CSR-BIZ-20260724-V1</t>
        </is>
      </c>
    </row>
    <row r="195">
      <c r="A195" t="inlineStr">
        <is>
          <t>122021</t>
        </is>
      </c>
      <c r="B195" t="inlineStr">
        <is>
          <t>黄石广合</t>
        </is>
      </c>
      <c r="C195" t="inlineStr">
        <is>
          <t>启用</t>
        </is>
      </c>
      <c r="J195" t="inlineStr">
        <is>
          <t>当胶系=NY2150且厚度=43mil且结构=6*7628时=AT,当胶系=NY2150且厚度=47mil、51mil、59mil、67mil、75mil时=AT,当胶系=NY3150HF时，全部按AB等级NB专用料号</t>
        </is>
      </c>
      <c r="L195" t="n">
        <v>196</v>
      </c>
      <c r="M195" t="inlineStr">
        <is>
          <t>CSR-BIZ-20260724-V1</t>
        </is>
      </c>
    </row>
    <row r="196">
      <c r="A196" t="inlineStr">
        <is>
          <t>103787</t>
        </is>
      </c>
      <c r="B196" t="inlineStr">
        <is>
          <t>兴森快捷</t>
        </is>
      </c>
      <c r="C196" t="inlineStr">
        <is>
          <t>启用</t>
        </is>
      </c>
      <c r="E196" t="inlineStr">
        <is>
          <t>T/C  是芯厚   D/C是总厚</t>
        </is>
      </c>
      <c r="K196" t="inlineStr">
        <is>
          <t>T/C  是芯厚   D/C是总厚</t>
        </is>
      </c>
      <c r="L196" t="n">
        <v>197</v>
      </c>
      <c r="M196" t="inlineStr">
        <is>
          <t>CSR-BIZ-20260724-V1</t>
        </is>
      </c>
    </row>
    <row r="197">
      <c r="A197" t="inlineStr">
        <is>
          <t>103861</t>
        </is>
      </c>
      <c r="B197" t="inlineStr">
        <is>
          <t>广州兴森</t>
        </is>
      </c>
      <c r="C197" t="inlineStr">
        <is>
          <t>无CCL规则</t>
        </is>
      </c>
      <c r="L197" t="n">
        <v>198</v>
      </c>
      <c r="M197" t="inlineStr">
        <is>
          <t>CSR-BIZ-20260724-V1</t>
        </is>
      </c>
    </row>
    <row r="198">
      <c r="A198" t="inlineStr">
        <is>
          <t>103840</t>
        </is>
      </c>
      <c r="B198" t="inlineStr">
        <is>
          <t>四会富仕</t>
        </is>
      </c>
      <c r="C198" t="inlineStr">
        <is>
          <t>无CCL规则</t>
        </is>
      </c>
      <c r="L198" t="n">
        <v>199</v>
      </c>
      <c r="M198" t="inlineStr">
        <is>
          <t>CSR-BIZ-20260724-V1</t>
        </is>
      </c>
    </row>
    <row r="199">
      <c r="A199" t="inlineStr">
        <is>
          <t>123057</t>
        </is>
      </c>
      <c r="B199" t="inlineStr">
        <is>
          <t>江西旭昇</t>
        </is>
      </c>
      <c r="C199" t="inlineStr">
        <is>
          <t>启用</t>
        </is>
      </c>
      <c r="D199" t="inlineStr">
        <is>
          <t>NY3150HF=AH</t>
        </is>
      </c>
      <c r="L199" t="n">
        <v>200</v>
      </c>
      <c r="M199" t="inlineStr">
        <is>
          <t>CSR-BIZ-20260724-V1</t>
        </is>
      </c>
    </row>
    <row r="200">
      <c r="A200" t="inlineStr">
        <is>
          <t>103106</t>
        </is>
      </c>
      <c r="B200" t="inlineStr">
        <is>
          <t>惠阳胜华</t>
        </is>
      </c>
      <c r="C200" t="inlineStr">
        <is>
          <t>无CCL规则</t>
        </is>
      </c>
      <c r="L200" t="n">
        <v>201</v>
      </c>
      <c r="M200" t="inlineStr">
        <is>
          <t>CSR-BIZ-20260724-V1</t>
        </is>
      </c>
    </row>
    <row r="201">
      <c r="A201" t="inlineStr">
        <is>
          <t>103557</t>
        </is>
      </c>
      <c r="B201" t="inlineStr">
        <is>
          <t>惠州胜宏</t>
        </is>
      </c>
      <c r="C201" t="inlineStr">
        <is>
          <t>无CCL规则</t>
        </is>
      </c>
      <c r="L201" t="n">
        <v>202</v>
      </c>
      <c r="M201" t="inlineStr">
        <is>
          <t>CSR-BIZ-20260724-V1</t>
        </is>
      </c>
    </row>
    <row r="202">
      <c r="A202" t="inlineStr">
        <is>
          <t>103786</t>
        </is>
      </c>
      <c r="B202" t="inlineStr">
        <is>
          <t>惠州泰和</t>
        </is>
      </c>
      <c r="C202" t="inlineStr">
        <is>
          <t>启用</t>
        </is>
      </c>
      <c r="J202" t="inlineStr">
        <is>
          <t>NY3150HF&amp;1.2（含）含铜以下=AT</t>
        </is>
      </c>
      <c r="L202" t="n">
        <v>203</v>
      </c>
      <c r="M202" t="inlineStr">
        <is>
          <t>CSR-BIZ-20260724-V1</t>
        </is>
      </c>
    </row>
    <row r="203">
      <c r="A203" t="inlineStr">
        <is>
          <t>103968</t>
        </is>
      </c>
      <c r="B203" t="inlineStr">
        <is>
          <t>珠海泰和</t>
        </is>
      </c>
      <c r="C203" t="inlineStr">
        <is>
          <t>无CCL规则</t>
        </is>
      </c>
      <c r="L203" t="n">
        <v>204</v>
      </c>
      <c r="M203" t="inlineStr">
        <is>
          <t>CSR-BIZ-20260724-V1</t>
        </is>
      </c>
    </row>
    <row r="204">
      <c r="A204" t="inlineStr">
        <is>
          <t>101061</t>
        </is>
      </c>
      <c r="B204" t="inlineStr">
        <is>
          <t>上海伟奋</t>
        </is>
      </c>
      <c r="C204" t="inlineStr">
        <is>
          <t>无CCL规则</t>
        </is>
      </c>
      <c r="L204" t="n">
        <v>205</v>
      </c>
      <c r="M204" t="inlineStr">
        <is>
          <t>CSR-BIZ-20260724-V1</t>
        </is>
      </c>
    </row>
    <row r="205">
      <c r="A205" t="inlineStr">
        <is>
          <t>103576</t>
        </is>
      </c>
      <c r="B205" t="inlineStr">
        <is>
          <t>珠海乐健</t>
        </is>
      </c>
      <c r="C205" t="inlineStr">
        <is>
          <t>启用</t>
        </is>
      </c>
      <c r="D205" t="inlineStr">
        <is>
          <t>型号NY2150 板厚1.1mm 全部下非汽车板；型号NY2150 板厚 1.5/1.45mm 铜厚 H/H 1/1 2/2 全部下非汽车板，此外PP和基板都下汽车板！</t>
        </is>
      </c>
      <c r="L205" t="n">
        <v>206</v>
      </c>
      <c r="M205" t="inlineStr">
        <is>
          <t>CSR-BIZ-20260724-V1</t>
        </is>
      </c>
    </row>
    <row r="206">
      <c r="A206" t="inlineStr">
        <is>
          <t>123123</t>
        </is>
      </c>
      <c r="B206" t="inlineStr">
        <is>
          <t>赣州乐健</t>
        </is>
      </c>
      <c r="C206" t="inlineStr">
        <is>
          <t>启用</t>
        </is>
      </c>
      <c r="D206" t="inlineStr">
        <is>
          <t>型号NY2150 板厚1.1mm 全部下非汽车板；型号NY2150 板厚 1.5/1.45mm 铜厚 H/H 1/1 2/2 全部下非汽车板，此外PP和基板都下汽车板！</t>
        </is>
      </c>
      <c r="L206" t="n">
        <v>207</v>
      </c>
      <c r="M206" t="inlineStr">
        <is>
          <t>CSR-BIZ-20260724-V1</t>
        </is>
      </c>
    </row>
    <row r="207">
      <c r="A207" t="inlineStr">
        <is>
          <t>104458</t>
        </is>
      </c>
      <c r="B207" t="inlineStr">
        <is>
          <t>南通康源</t>
        </is>
      </c>
      <c r="C207" t="inlineStr">
        <is>
          <t>无CCL规则</t>
        </is>
      </c>
      <c r="L207" t="n">
        <v>208</v>
      </c>
      <c r="M207" t="inlineStr">
        <is>
          <t>CSR-BIZ-20260724-V1</t>
        </is>
      </c>
    </row>
    <row r="208">
      <c r="A208" t="inlineStr">
        <is>
          <t>104326</t>
        </is>
      </c>
      <c r="B208" t="inlineStr">
        <is>
          <t>江苏协和</t>
        </is>
      </c>
      <c r="C208" t="inlineStr">
        <is>
          <t>无CCL规则</t>
        </is>
      </c>
      <c r="L208" t="n">
        <v>209</v>
      </c>
      <c r="M208" t="inlineStr">
        <is>
          <t>CSR-BIZ-20260724-V1</t>
        </is>
      </c>
    </row>
    <row r="209">
      <c r="A209" t="inlineStr">
        <is>
          <t>104196</t>
        </is>
      </c>
      <c r="B209" t="inlineStr">
        <is>
          <t>昆山华兴</t>
        </is>
      </c>
      <c r="C209" t="inlineStr">
        <is>
          <t>启用</t>
        </is>
      </c>
      <c r="J209" t="inlineStr">
        <is>
          <t>NY2140=F1</t>
        </is>
      </c>
      <c r="L209" t="n">
        <v>210</v>
      </c>
      <c r="M209" t="inlineStr">
        <is>
          <t>CSR-BIZ-20260724-V1</t>
        </is>
      </c>
    </row>
    <row r="210">
      <c r="A210" t="inlineStr">
        <is>
          <t>157001</t>
        </is>
      </c>
      <c r="B210" t="inlineStr">
        <is>
          <t>泰国景旺</t>
        </is>
      </c>
      <c r="C210" t="inlineStr">
        <is>
          <t>启用</t>
        </is>
      </c>
      <c r="D210" t="inlineStr">
        <is>
          <t>NY3150HC=RV/3H；NY2150H全部下AP电源板，NY-A1,NY-A2下AC汽车板</t>
        </is>
      </c>
      <c r="I210" t="inlineStr">
        <is>
          <t>HVLP=HVLP1</t>
        </is>
      </c>
      <c r="J210" t="inlineStr">
        <is>
          <t>当订单备注有电源板和能源板时=AP，当胶系=NY3150HC = 3H时=AL，当胶系=NY3150HC = RV时=A1,当胶系=NY2150H时=AP，当胶系=NY-A1或NY-A2时=AC</t>
        </is>
      </c>
      <c r="L210" t="n">
        <v>211</v>
      </c>
      <c r="M210" t="inlineStr">
        <is>
          <t>CSR-BIZ-20260724-V1</t>
        </is>
      </c>
    </row>
    <row r="211">
      <c r="A211" t="inlineStr">
        <is>
          <t>103059</t>
        </is>
      </c>
      <c r="B211" t="inlineStr">
        <is>
          <t>深同创鑫</t>
        </is>
      </c>
      <c r="C211" t="inlineStr">
        <is>
          <t>启用</t>
        </is>
      </c>
      <c r="E211" t="inlineStr">
        <is>
          <t>客户订单默认含铜，不含铜会备注</t>
        </is>
      </c>
      <c r="F211" t="inlineStr">
        <is>
          <t>客户订单备注</t>
        </is>
      </c>
      <c r="L211" t="n">
        <v>212</v>
      </c>
      <c r="M211" t="inlineStr">
        <is>
          <t>CSR-BIZ-20260724-V1</t>
        </is>
      </c>
    </row>
    <row r="212">
      <c r="A212" t="inlineStr">
        <is>
          <t>103844</t>
        </is>
      </c>
      <c r="B212" t="inlineStr">
        <is>
          <t>万安裕维</t>
        </is>
      </c>
      <c r="C212" t="inlineStr">
        <is>
          <t>启用</t>
        </is>
      </c>
      <c r="D212" t="inlineStr">
        <is>
          <t>客户没标注TG或者TG130=2140；TG150=2B；TG150和无卤素=3B；TG150&amp;无卤素&amp;CTI600=3H；TG135&amp;CTI600=1L</t>
        </is>
      </c>
      <c r="L212" t="n">
        <v>213</v>
      </c>
      <c r="M212" t="inlineStr">
        <is>
          <t>CSR-BIZ-20260724-V1</t>
        </is>
      </c>
    </row>
    <row r="213">
      <c r="A213" t="inlineStr">
        <is>
          <t>103757</t>
        </is>
      </c>
      <c r="B213" t="inlineStr">
        <is>
          <t>汕头宏俐</t>
        </is>
      </c>
      <c r="C213" t="inlineStr">
        <is>
          <t>启用</t>
        </is>
      </c>
      <c r="J213" t="inlineStr">
        <is>
          <t>所有胶系都下AC</t>
        </is>
      </c>
      <c r="L213" t="n">
        <v>214</v>
      </c>
      <c r="M213" t="inlineStr">
        <is>
          <t>CSR-BIZ-20260724-V1</t>
        </is>
      </c>
    </row>
    <row r="214">
      <c r="A214" t="inlineStr">
        <is>
          <t>103353</t>
        </is>
      </c>
      <c r="B214" t="inlineStr">
        <is>
          <t>清远富盈</t>
        </is>
      </c>
      <c r="C214" t="inlineStr">
        <is>
          <t>启用</t>
        </is>
      </c>
      <c r="D214" t="inlineStr">
        <is>
          <t>NY2170&amp;5/5=2E</t>
        </is>
      </c>
      <c r="L214" t="n">
        <v>215</v>
      </c>
      <c r="M214" t="inlineStr">
        <is>
          <t>CSR-BIZ-20260724-V1</t>
        </is>
      </c>
    </row>
    <row r="215">
      <c r="A215" t="inlineStr">
        <is>
          <t>123111</t>
        </is>
      </c>
      <c r="B215" t="inlineStr">
        <is>
          <t>九江华秋、江门华秋</t>
        </is>
      </c>
      <c r="C215" t="inlineStr">
        <is>
          <t>无CCL规则</t>
        </is>
      </c>
      <c r="L215" t="n">
        <v>216</v>
      </c>
      <c r="M215" t="inlineStr">
        <is>
          <t>CSR-BIZ-20260724-V1</t>
        </is>
      </c>
    </row>
    <row r="216">
      <c r="A216" t="inlineStr">
        <is>
          <t>103910</t>
        </is>
      </c>
      <c r="B216" t="inlineStr">
        <is>
          <t>珠海中京</t>
        </is>
      </c>
      <c r="C216" t="inlineStr">
        <is>
          <t>无CCL规则</t>
        </is>
      </c>
      <c r="L216" t="n">
        <v>217</v>
      </c>
      <c r="M216" t="inlineStr">
        <is>
          <t>CSR-BIZ-20260724-V1</t>
        </is>
      </c>
    </row>
    <row r="217">
      <c r="A217" t="inlineStr">
        <is>
          <t>103020</t>
        </is>
      </c>
      <c r="B217" t="inlineStr">
        <is>
          <t>惠州中京</t>
        </is>
      </c>
      <c r="C217" t="inlineStr">
        <is>
          <t>无CCL规则</t>
        </is>
      </c>
      <c r="L217" t="n">
        <v>218</v>
      </c>
      <c r="M217" t="inlineStr">
        <is>
          <t>CSR-BIZ-20260724-V1</t>
        </is>
      </c>
    </row>
    <row r="218">
      <c r="A218" t="inlineStr">
        <is>
          <t>103901</t>
        </is>
      </c>
      <c r="B218" t="inlineStr">
        <is>
          <t>广州伊顿</t>
        </is>
      </c>
      <c r="C218" t="inlineStr">
        <is>
          <t>无CCL规则</t>
        </is>
      </c>
      <c r="L218" t="n">
        <v>219</v>
      </c>
      <c r="M218" t="inlineStr">
        <is>
          <t>CSR-BIZ-20260724-V1</t>
        </is>
      </c>
    </row>
    <row r="219">
      <c r="A219" t="inlineStr">
        <is>
          <t>203012</t>
        </is>
      </c>
      <c r="B219" t="inlineStr">
        <is>
          <t>深圳安比</t>
        </is>
      </c>
      <c r="C219" t="inlineStr">
        <is>
          <t>启用</t>
        </is>
      </c>
      <c r="E219" t="inlineStr">
        <is>
          <t>备注会标注是否含铜，含铜是总厚且&lt;0.8时需要总厚转芯厚</t>
        </is>
      </c>
      <c r="L219" t="n">
        <v>220</v>
      </c>
      <c r="M219" t="inlineStr">
        <is>
          <t>CSR-BIZ-20260724-V1</t>
        </is>
      </c>
    </row>
    <row r="220">
      <c r="A220" t="inlineStr">
        <is>
          <t>103295</t>
        </is>
      </c>
      <c r="B220" t="inlineStr">
        <is>
          <t>惠州智恩</t>
        </is>
      </c>
      <c r="C220" t="inlineStr">
        <is>
          <t>启用</t>
        </is>
      </c>
      <c r="J220" t="inlineStr">
        <is>
          <t>NY-A2下汽车板</t>
        </is>
      </c>
      <c r="L220" t="n">
        <v>221</v>
      </c>
      <c r="M220" t="inlineStr">
        <is>
          <t>CSR-BIZ-20260724-V1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南亚营销转码Agent项目</dc:creator>
  <dc:title>客户特殊需求业务维护模板（客户维度）</dc:title>
  <dc:description>基于CSR-BIZ-20260724-V1，客户数219；包含隐藏基线快照。</dc:description>
  <dc:subject>CCL营销转码Agent客户特殊需求业务维护与版本差异识别</dc:subject>
  <dcterms:created xsi:type="dcterms:W3CDTF">2026-07-24T06:21:50Z</dcterms:created>
  <dcterms:modified xsi:type="dcterms:W3CDTF">2026-07-24T06:22:42Z</dcterms:modified>
</cp:coreProperties>
</file>