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CCL" sheetId="1" r:id="rId1"/>
    <sheet name="PP" sheetId="2" r:id="rId2"/>
  </sheets>
  <definedNames>
    <definedName name="_xlnm._FilterDatabase" localSheetId="0" hidden="1">CCL!$A$2:$M$667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<sst xmlns="http://schemas.openxmlformats.org/spreadsheetml/2006/main" count="4676" uniqueCount="305">
  <si>
    <t>型号</t>
  </si>
  <si>
    <t>厚度</t>
  </si>
  <si>
    <t>铜厚</t>
  </si>
  <si>
    <t>总芯厚</t>
  </si>
  <si>
    <t>铜箔</t>
  </si>
  <si>
    <t>叠构</t>
  </si>
  <si>
    <t>新价格</t>
  </si>
  <si>
    <t>Product</t>
  </si>
  <si>
    <t>mm</t>
  </si>
  <si>
    <t>Cu</t>
  </si>
  <si>
    <r>
      <rPr>
        <sz val="11"/>
        <color theme="1"/>
        <rFont val="宋体"/>
        <charset val="134"/>
      </rPr>
      <t>含铜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不含铜</t>
    </r>
  </si>
  <si>
    <t>Stacking</t>
  </si>
  <si>
    <t>SQ.FT</t>
  </si>
  <si>
    <t>37"X49"</t>
  </si>
  <si>
    <t>41"X49"</t>
  </si>
  <si>
    <t>43"X49"</t>
  </si>
  <si>
    <t>37*43</t>
  </si>
  <si>
    <t>41*43</t>
  </si>
  <si>
    <t>备注</t>
  </si>
  <si>
    <t>NY1600</t>
  </si>
  <si>
    <t>1.5</t>
  </si>
  <si>
    <t>H/H</t>
  </si>
  <si>
    <t>含铜</t>
  </si>
  <si>
    <t>HTE</t>
  </si>
  <si>
    <t>8*7628</t>
  </si>
  <si>
    <t>NY2140</t>
  </si>
  <si>
    <t>0.25</t>
  </si>
  <si>
    <t>J/J</t>
  </si>
  <si>
    <t>不含铜</t>
  </si>
  <si>
    <t>2*2116</t>
  </si>
  <si>
    <t>T/T</t>
  </si>
  <si>
    <t>0.6</t>
  </si>
  <si>
    <t>3*7628</t>
  </si>
  <si>
    <t>0.67</t>
  </si>
  <si>
    <t>2*1506+2*7628</t>
  </si>
  <si>
    <t>0.71</t>
  </si>
  <si>
    <t>4*7628</t>
  </si>
  <si>
    <t>0.9</t>
  </si>
  <si>
    <t>4*7628+1*2116</t>
  </si>
  <si>
    <t>1.0</t>
  </si>
  <si>
    <t>5*7628</t>
  </si>
  <si>
    <t>1/1</t>
  </si>
  <si>
    <t>1.1</t>
  </si>
  <si>
    <t>6*7628</t>
  </si>
  <si>
    <t>NY2150</t>
  </si>
  <si>
    <t>0.06</t>
  </si>
  <si>
    <t>1*106</t>
  </si>
  <si>
    <t>RTF</t>
  </si>
  <si>
    <t>0.075</t>
  </si>
  <si>
    <t>1*1086</t>
  </si>
  <si>
    <t>0.076</t>
  </si>
  <si>
    <t>1*1080</t>
  </si>
  <si>
    <t>0.1</t>
  </si>
  <si>
    <t>1*2116</t>
  </si>
  <si>
    <t>H/1</t>
  </si>
  <si>
    <t>2/2</t>
  </si>
  <si>
    <t>2*106</t>
  </si>
  <si>
    <t>0.11</t>
  </si>
  <si>
    <t>0.13</t>
  </si>
  <si>
    <t>2*1080</t>
  </si>
  <si>
    <t>0.15</t>
  </si>
  <si>
    <t>1*1506</t>
  </si>
  <si>
    <t>0.18</t>
  </si>
  <si>
    <t>1*7628</t>
  </si>
  <si>
    <t>0.2</t>
  </si>
  <si>
    <t>0.3</t>
  </si>
  <si>
    <t>2*1506</t>
  </si>
  <si>
    <t>0.36</t>
  </si>
  <si>
    <t>2*7628</t>
  </si>
  <si>
    <t>0.38</t>
  </si>
  <si>
    <t>0.4</t>
  </si>
  <si>
    <t>F/F</t>
  </si>
  <si>
    <t>0.45</t>
  </si>
  <si>
    <t>2*7628+1*1080</t>
  </si>
  <si>
    <t>0.46</t>
  </si>
  <si>
    <t>0.47</t>
  </si>
  <si>
    <t>2*7628+1*2116</t>
  </si>
  <si>
    <t>0.5</t>
  </si>
  <si>
    <t>0.55</t>
  </si>
  <si>
    <t>0.56</t>
  </si>
  <si>
    <t>0.61</t>
  </si>
  <si>
    <t>0.63</t>
  </si>
  <si>
    <t>2*2116+2*7628</t>
  </si>
  <si>
    <t>0.66</t>
  </si>
  <si>
    <t>0.7</t>
  </si>
  <si>
    <t>0.8</t>
  </si>
  <si>
    <t>0.85</t>
  </si>
  <si>
    <t>0.95</t>
  </si>
  <si>
    <t>1.2</t>
  </si>
  <si>
    <t>1.25</t>
  </si>
  <si>
    <t>7*7628</t>
  </si>
  <si>
    <t>1.3</t>
  </si>
  <si>
    <t>1.4</t>
  </si>
  <si>
    <t>1.6</t>
  </si>
  <si>
    <t>1.7</t>
  </si>
  <si>
    <t>9*7628</t>
  </si>
  <si>
    <t>1.8</t>
  </si>
  <si>
    <t>1.9</t>
  </si>
  <si>
    <t>10*7628</t>
  </si>
  <si>
    <t>2.0</t>
  </si>
  <si>
    <t>2.1</t>
  </si>
  <si>
    <t>11*7628</t>
  </si>
  <si>
    <t>2.3</t>
  </si>
  <si>
    <t>12*7628</t>
  </si>
  <si>
    <t>2.4</t>
  </si>
  <si>
    <t>13*7628</t>
  </si>
  <si>
    <t>2.5</t>
  </si>
  <si>
    <t>2.7</t>
  </si>
  <si>
    <t>15*7628</t>
  </si>
  <si>
    <t>2.9</t>
  </si>
  <si>
    <t>16*7628</t>
  </si>
  <si>
    <t>3.0</t>
  </si>
  <si>
    <t>3.1</t>
  </si>
  <si>
    <t>17*7628</t>
  </si>
  <si>
    <t>NY2170</t>
  </si>
  <si>
    <t>0.064</t>
  </si>
  <si>
    <t>1*1078</t>
  </si>
  <si>
    <r>
      <rPr>
        <sz val="12"/>
        <color theme="1"/>
        <rFont val="Arial"/>
        <charset val="134"/>
      </rPr>
      <t xml:space="preserve">NY2170 </t>
    </r>
    <r>
      <rPr>
        <sz val="12"/>
        <color theme="1"/>
        <rFont val="宋体"/>
        <charset val="134"/>
      </rPr>
      <t>汽车板</t>
    </r>
  </si>
  <si>
    <t>0.09</t>
  </si>
  <si>
    <t>1*3313</t>
  </si>
  <si>
    <t>0.17</t>
  </si>
  <si>
    <t>1/2</t>
  </si>
  <si>
    <t>3/3</t>
  </si>
  <si>
    <t>0.35</t>
  </si>
  <si>
    <t>4*2116</t>
  </si>
  <si>
    <t>0.51</t>
  </si>
  <si>
    <t>0.53</t>
  </si>
  <si>
    <t>2.2</t>
  </si>
  <si>
    <t>2.6</t>
  </si>
  <si>
    <t>14*7628</t>
  </si>
  <si>
    <t>NY2150H</t>
  </si>
  <si>
    <t>2*2313</t>
  </si>
  <si>
    <t>0.457</t>
  </si>
  <si>
    <t>1.65</t>
  </si>
  <si>
    <t>NY2170H</t>
  </si>
  <si>
    <t>4/4</t>
  </si>
  <si>
    <t>NY-A1</t>
  </si>
  <si>
    <t>6*2116</t>
  </si>
  <si>
    <t>NY3150HC</t>
  </si>
  <si>
    <t>NY3150HF</t>
  </si>
  <si>
    <t>0.05</t>
  </si>
  <si>
    <t>0.08</t>
  </si>
  <si>
    <t>2*1037</t>
  </si>
  <si>
    <t>5*2116</t>
  </si>
  <si>
    <t>0.79</t>
  </si>
  <si>
    <r>
      <rPr>
        <sz val="11"/>
        <color theme="1"/>
        <rFont val="宋体"/>
        <charset val="134"/>
      </rPr>
      <t>公差</t>
    </r>
    <r>
      <rPr>
        <sz val="11"/>
        <color theme="1"/>
        <rFont val="Arial"/>
        <charset val="134"/>
      </rPr>
      <t>±0.05MM</t>
    </r>
  </si>
  <si>
    <t>NY-A3HF</t>
  </si>
  <si>
    <t>0.305</t>
  </si>
  <si>
    <t>0.508</t>
  </si>
  <si>
    <t>0.711</t>
  </si>
  <si>
    <t>NY3176HF</t>
  </si>
  <si>
    <t>0.051</t>
  </si>
  <si>
    <t>0.203</t>
  </si>
  <si>
    <t>0.406</t>
  </si>
  <si>
    <t>NY3170HF</t>
  </si>
  <si>
    <t>1*0106</t>
  </si>
  <si>
    <t>0.102</t>
  </si>
  <si>
    <t>0.152</t>
  </si>
  <si>
    <t>NY3170M</t>
  </si>
  <si>
    <t>1*1067</t>
  </si>
  <si>
    <t>0.053</t>
  </si>
  <si>
    <t>1*1037</t>
  </si>
  <si>
    <t>2*1067</t>
  </si>
  <si>
    <t>1*2113</t>
  </si>
  <si>
    <t>0.127</t>
  </si>
  <si>
    <t>0.254</t>
  </si>
  <si>
    <t>3*2116</t>
  </si>
  <si>
    <t>0.356</t>
  </si>
  <si>
    <t>0.381</t>
  </si>
  <si>
    <t>0.533</t>
  </si>
  <si>
    <t>0.889</t>
  </si>
  <si>
    <t>8*2116</t>
  </si>
  <si>
    <t>0.991</t>
  </si>
  <si>
    <t>1.255</t>
  </si>
  <si>
    <t>NY3170M2</t>
  </si>
  <si>
    <t>RTF2</t>
  </si>
  <si>
    <t>RTF3</t>
  </si>
  <si>
    <t>2*1078</t>
  </si>
  <si>
    <t>2*3313</t>
  </si>
  <si>
    <t>NY3170LK</t>
  </si>
  <si>
    <t>NY6180</t>
  </si>
  <si>
    <t>0.114</t>
  </si>
  <si>
    <t>0.762</t>
  </si>
  <si>
    <t>NY6180L</t>
  </si>
  <si>
    <t>1.22</t>
  </si>
  <si>
    <t>11*2116</t>
  </si>
  <si>
    <t>NY6200</t>
  </si>
  <si>
    <t>3*3313</t>
  </si>
  <si>
    <t>0.512</t>
  </si>
  <si>
    <t>13*2116</t>
  </si>
  <si>
    <t>NY6300(C)</t>
  </si>
  <si>
    <t>HVLP1</t>
  </si>
  <si>
    <t>0.089</t>
  </si>
  <si>
    <t>HVLP1/RTF</t>
  </si>
  <si>
    <t>NY6300</t>
  </si>
  <si>
    <t>2*1035</t>
  </si>
  <si>
    <t>0.178</t>
  </si>
  <si>
    <t>NY6300S</t>
  </si>
  <si>
    <t>1*1035</t>
  </si>
  <si>
    <t>RTF2/RTF</t>
  </si>
  <si>
    <t>RTF3/RTF</t>
  </si>
  <si>
    <t>RTF4</t>
  </si>
  <si>
    <t>2*0106</t>
  </si>
  <si>
    <t>H/2</t>
  </si>
  <si>
    <t>4*3313</t>
  </si>
  <si>
    <t>0.635</t>
  </si>
  <si>
    <t>0.76</t>
  </si>
  <si>
    <t>7*2116</t>
  </si>
  <si>
    <t>0.925</t>
  </si>
  <si>
    <t>NY6300SN</t>
  </si>
  <si>
    <t>HVLP2</t>
  </si>
  <si>
    <t>HVLP2/RTF</t>
  </si>
  <si>
    <t>NY6666</t>
  </si>
  <si>
    <t>NY6666N</t>
  </si>
  <si>
    <t>NY-P1</t>
  </si>
  <si>
    <t>NY8888N</t>
  </si>
  <si>
    <t>HVLP3</t>
  </si>
  <si>
    <t>NY8320 NS</t>
  </si>
  <si>
    <t>说明：</t>
  </si>
  <si>
    <t>1、以上含13%增值税报价，除有特殊备注公差的其余均为标准公差</t>
  </si>
  <si>
    <t>2、报价单中没有的规格重新报价，报价有效期至新报价止</t>
  </si>
  <si>
    <t>产品类别</t>
  </si>
  <si>
    <t>产品型号</t>
  </si>
  <si>
    <r>
      <rPr>
        <sz val="11"/>
        <rFont val="宋体"/>
        <charset val="136"/>
      </rPr>
      <t>树脂含量</t>
    </r>
    <r>
      <rPr>
        <sz val="11"/>
        <rFont val="Arial"/>
        <charset val="134"/>
      </rPr>
      <t>(%)</t>
    </r>
  </si>
  <si>
    <t>卷装长度</t>
  </si>
  <si>
    <r>
      <rPr>
        <sz val="11"/>
        <rFont val="宋体"/>
        <charset val="136"/>
      </rPr>
      <t>49.5宽幅新单价</t>
    </r>
    <r>
      <rPr>
        <sz val="11"/>
        <rFont val="Arial"/>
        <charset val="136"/>
      </rPr>
      <t xml:space="preserve"> </t>
    </r>
    <r>
      <rPr>
        <sz val="11"/>
        <rFont val="宋体"/>
        <charset val="136"/>
      </rPr>
      <t>（</t>
    </r>
    <r>
      <rPr>
        <sz val="11"/>
        <rFont val="Arial"/>
        <charset val="136"/>
      </rPr>
      <t>RMB</t>
    </r>
    <r>
      <rPr>
        <sz val="11"/>
        <rFont val="宋体"/>
        <charset val="136"/>
      </rPr>
      <t>）</t>
    </r>
  </si>
  <si>
    <t>Products</t>
  </si>
  <si>
    <t>Glass type</t>
  </si>
  <si>
    <t>Resin Content</t>
  </si>
  <si>
    <t>Length (m)</t>
  </si>
  <si>
    <t>Per SF</t>
  </si>
  <si>
    <t>Per M</t>
  </si>
  <si>
    <t>Per Roll</t>
  </si>
  <si>
    <t>NY2140P</t>
  </si>
  <si>
    <t>48.00%</t>
  </si>
  <si>
    <t>NY2150P</t>
  </si>
  <si>
    <t>43.00%</t>
  </si>
  <si>
    <t>44.00%</t>
  </si>
  <si>
    <t>45.00%</t>
  </si>
  <si>
    <t>46.00%</t>
  </si>
  <si>
    <t>47.00%</t>
  </si>
  <si>
    <t>49.00%</t>
  </si>
  <si>
    <t>50.00%</t>
  </si>
  <si>
    <t>52.00%</t>
  </si>
  <si>
    <t>57.00%</t>
  </si>
  <si>
    <t>59.00%</t>
  </si>
  <si>
    <t>60.00%</t>
  </si>
  <si>
    <t>61.00%</t>
  </si>
  <si>
    <t>53.00%</t>
  </si>
  <si>
    <t>54.00%</t>
  </si>
  <si>
    <t>55.00%</t>
  </si>
  <si>
    <t>56.00%</t>
  </si>
  <si>
    <t>58.00%</t>
  </si>
  <si>
    <t>62.00%</t>
  </si>
  <si>
    <t>63.00%</t>
  </si>
  <si>
    <t>64.00%</t>
  </si>
  <si>
    <t>65.00%</t>
  </si>
  <si>
    <t>66.00%</t>
  </si>
  <si>
    <t>67.00%</t>
  </si>
  <si>
    <t>68.00%</t>
  </si>
  <si>
    <t>69.00%</t>
  </si>
  <si>
    <t>70.00%</t>
  </si>
  <si>
    <t>71.00%</t>
  </si>
  <si>
    <t>72.00%</t>
  </si>
  <si>
    <t>73.00%</t>
  </si>
  <si>
    <t>74.00%</t>
  </si>
  <si>
    <t>75.00%</t>
  </si>
  <si>
    <t>76.00%</t>
  </si>
  <si>
    <t>77.00%</t>
  </si>
  <si>
    <t>78.00%</t>
  </si>
  <si>
    <t>NY2170P</t>
  </si>
  <si>
    <t>（低流胶PP）</t>
  </si>
  <si>
    <t>51.00%</t>
  </si>
  <si>
    <t>NY2150HP</t>
  </si>
  <si>
    <t>1080</t>
  </si>
  <si>
    <t>300</t>
  </si>
  <si>
    <t>2116</t>
  </si>
  <si>
    <t>250</t>
  </si>
  <si>
    <t>7628</t>
  </si>
  <si>
    <t>150</t>
  </si>
  <si>
    <t>NY2170HP</t>
  </si>
  <si>
    <t>NY-A1P</t>
  </si>
  <si>
    <t>NY3150HCP</t>
  </si>
  <si>
    <t>NY3150HFP</t>
  </si>
  <si>
    <t>NY-A3HFP</t>
  </si>
  <si>
    <t>NY3176HFP</t>
  </si>
  <si>
    <t>NY3170HFP</t>
  </si>
  <si>
    <t>NY3170MP</t>
  </si>
  <si>
    <t>NY3170M2P</t>
  </si>
  <si>
    <t>NY3170LKP</t>
  </si>
  <si>
    <t>NY6180P</t>
  </si>
  <si>
    <t>79.00%</t>
  </si>
  <si>
    <t>81.00%</t>
  </si>
  <si>
    <t>NY6180LP</t>
  </si>
  <si>
    <t>NY6200P</t>
  </si>
  <si>
    <t>NY6300(C)P</t>
  </si>
  <si>
    <t>NY6300P</t>
  </si>
  <si>
    <t>NY6300SP</t>
  </si>
  <si>
    <t>NY6300SNP</t>
  </si>
  <si>
    <t>NY6666P</t>
  </si>
  <si>
    <t>NY6666NP</t>
  </si>
  <si>
    <t>NY-P1P</t>
  </si>
  <si>
    <t>NY8888NP</t>
  </si>
  <si>
    <t>NY8320P NS</t>
  </si>
  <si>
    <t>1、以上含13%增值税报价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</si>
</sst>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_ "/>
    <numFmt numFmtId="179" formatCode="0.000_ "/>
    <numFmt numFmtId="180" formatCode="0.00000_ "/>
  </numFmts>
  <fonts count="33">
    <font>
      <sz val="11"/>
      <color theme="1"/>
      <name val="宋体"/>
      <charset val="134"/>
      <scheme val="minor"/>
    </font>
    <font>
      <sz val="11"/>
      <name val="宋体"/>
      <charset val="136"/>
    </font>
    <font>
      <sz val="11"/>
      <name val="Arial"/>
      <charset val="134"/>
    </font>
    <font>
      <sz val="10"/>
      <name val="黑体"/>
      <charset val="134"/>
    </font>
    <font>
      <sz val="10"/>
      <color rgb="FF000000"/>
      <name val="黑体"/>
      <charset val="134"/>
    </font>
    <font>
      <sz val="11"/>
      <color theme="1"/>
      <name val="Arial"/>
      <charset val="134"/>
    </font>
    <font>
      <sz val="11"/>
      <name val="微软雅黑"/>
      <charset val="134"/>
    </font>
    <font>
      <sz val="12"/>
      <color theme="1"/>
      <name val="Arial Unicode MS"/>
      <charset val="134"/>
    </font>
    <font>
      <sz val="11"/>
      <color theme="1"/>
      <name val="Arial Unicode MS"/>
      <charset val="134"/>
    </font>
    <font>
      <sz val="12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11"/>
      <name val="Arial"/>
      <charset val="136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>
      <protection locked="0"/>
    </xf>
  </cellStyleXfs>
  <cellXfs count="4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1" xfId="49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0" borderId="1" xfId="49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 shrinkToFit="1"/>
    </xf>
    <xf numFmtId="49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178" fontId="5" fillId="0" borderId="1" xfId="49" applyNumberFormat="1" applyFont="1" applyFill="1" applyBorder="1" applyAlignment="1" applyProtection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179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7" fillId="0" borderId="1" xfId="49" applyFont="1" applyFill="1" applyBorder="1" applyAlignment="1" applyProtection="1">
      <alignment horizontal="center" vertical="center"/>
    </xf>
    <xf numFmtId="179" fontId="7" fillId="0" borderId="1" xfId="49" applyNumberFormat="1" applyFont="1" applyFill="1" applyBorder="1" applyAlignment="1" applyProtection="1">
      <alignment horizontal="center" vertical="center"/>
    </xf>
    <xf numFmtId="49" fontId="8" fillId="0" borderId="1" xfId="49" applyNumberFormat="1" applyFont="1" applyFill="1" applyBorder="1" applyAlignment="1" applyProtection="1">
      <alignment horizontal="center" vertical="center"/>
    </xf>
    <xf numFmtId="176" fontId="8" fillId="0" borderId="1" xfId="49" applyNumberFormat="1" applyFont="1" applyFill="1" applyBorder="1" applyAlignment="1" applyProtection="1">
      <alignment horizontal="center" vertical="center"/>
    </xf>
    <xf numFmtId="177" fontId="8" fillId="0" borderId="1" xfId="49" applyNumberFormat="1" applyFont="1" applyFill="1" applyBorder="1" applyAlignment="1" applyProtection="1">
      <alignment horizontal="center" vertical="center"/>
    </xf>
    <xf numFmtId="0" fontId="9" fillId="0" borderId="1" xfId="49" applyFont="1" applyFill="1" applyBorder="1" applyAlignment="1" applyProtection="1">
      <alignment horizontal="center" vertical="center"/>
    </xf>
    <xf numFmtId="179" fontId="9" fillId="0" borderId="1" xfId="49" applyNumberFormat="1" applyFont="1" applyFill="1" applyBorder="1" applyAlignment="1" applyProtection="1">
      <alignment horizontal="center" vertical="center"/>
    </xf>
    <xf numFmtId="49" fontId="5" fillId="0" borderId="1" xfId="49" applyNumberFormat="1" applyFont="1" applyFill="1" applyBorder="1" applyAlignment="1" applyProtection="1">
      <alignment horizontal="center" vertical="center"/>
    </xf>
    <xf numFmtId="49" fontId="10" fillId="0" borderId="1" xfId="49" applyNumberFormat="1" applyFont="1" applyFill="1" applyBorder="1" applyAlignment="1" applyProtection="1">
      <alignment horizontal="center" vertical="center"/>
    </xf>
    <xf numFmtId="176" fontId="5" fillId="0" borderId="1" xfId="49" applyNumberFormat="1" applyFont="1" applyFill="1" applyBorder="1" applyAlignment="1" applyProtection="1">
      <alignment horizontal="center" vertical="center"/>
    </xf>
    <xf numFmtId="177" fontId="5" fillId="0" borderId="1" xfId="49" applyNumberFormat="1" applyFont="1" applyFill="1" applyBorder="1" applyAlignment="1" applyProtection="1">
      <alignment horizontal="center" vertical="center"/>
    </xf>
    <xf numFmtId="49" fontId="9" fillId="0" borderId="1" xfId="49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5" fillId="0" borderId="1" xfId="49" applyNumberFormat="1" applyFont="1" applyFill="1" applyBorder="1" applyAlignment="1" applyProtection="1">
      <alignment horizontal="center" vertical="center" wrapText="1"/>
    </xf>
    <xf numFmtId="177" fontId="5" fillId="0" borderId="1" xfId="49" applyNumberFormat="1" applyFont="1" applyFill="1" applyBorder="1" applyAlignment="1" applyProtection="1">
      <alignment horizontal="center" vertical="center" wrapText="1"/>
    </xf>
    <xf numFmtId="49" fontId="10" fillId="4" borderId="1" xfId="49" applyNumberFormat="1" applyFont="1" applyFill="1" applyBorder="1" applyAlignment="1" applyProtection="1">
      <alignment horizontal="center" vertical="center"/>
    </xf>
    <xf numFmtId="180" fontId="8" fillId="0" borderId="1" xfId="49" applyNumberFormat="1" applyFont="1" applyFill="1" applyBorder="1" applyAlignment="1" applyProtection="1">
      <alignment horizontal="center" vertical="center"/>
    </xf>
    <xf numFmtId="180" fontId="10" fillId="0" borderId="1" xfId="49" applyNumberFormat="1" applyFont="1" applyFill="1" applyBorder="1" applyAlignment="1" applyProtection="1">
      <alignment horizontal="center" vertical="center"/>
    </xf>
    <xf numFmtId="177" fontId="0" fillId="3" borderId="2" xfId="0" applyNumberFormat="1" applyFill="1" applyBorder="1" applyAlignment="1">
      <alignment vertical="center"/>
    </xf>
    <xf numFmtId="180" fontId="5" fillId="0" borderId="1" xfId="49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vertical="center"/>
    </xf>
    <xf numFmtId="180" fontId="10" fillId="0" borderId="1" xfId="49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80" fontId="6" fillId="0" borderId="0" xfId="0" applyNumberFormat="1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</cellStyles>
  <dxfs count="19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1"/>
  <sheetViews>
    <sheetView tabSelected="1" workbookViewId="0">
      <selection activeCell="G11" sqref="G11"/>
    </sheetView>
  </sheetViews>
  <sheetFormatPr defaultColWidth="8.88888888888889" defaultRowHeight="14.4"/>
  <cols>
    <col min="1" max="1" width="13.6851851851852" style="1" customWidth="1"/>
    <col min="2" max="2" width="7.22222222222222" style="19" customWidth="1"/>
    <col min="3" max="3" width="5.66666666666667" style="1" customWidth="1"/>
    <col min="4" max="4" width="12" style="1" customWidth="1"/>
    <col min="5" max="5" width="12.7777777777778" style="1" customWidth="1"/>
    <col min="6" max="6" width="14.8055555555556" style="1" customWidth="1"/>
    <col min="7" max="7" width="9.44444444444444" style="2" customWidth="1"/>
    <col min="8" max="10" width="8.66666666666667" style="20" customWidth="1"/>
    <col min="11" max="12" width="8.33333333333333" style="20" customWidth="1"/>
    <col min="13" max="13" width="10.7777777777778" style="21" customWidth="1"/>
  </cols>
  <sheetData>
    <row r="1" ht="15.6" spans="1:13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6"/>
      <c r="I1" s="26"/>
      <c r="J1" s="26"/>
      <c r="K1" s="26"/>
      <c r="L1" s="26"/>
      <c r="M1" s="38"/>
    </row>
    <row r="2" ht="15" spans="1:13">
      <c r="A2" s="27" t="s">
        <v>7</v>
      </c>
      <c r="B2" s="28" t="s">
        <v>8</v>
      </c>
      <c r="C2" s="29" t="s">
        <v>9</v>
      </c>
      <c r="D2" s="30" t="s">
        <v>10</v>
      </c>
      <c r="E2" s="29" t="s">
        <v>9</v>
      </c>
      <c r="F2" s="29" t="s">
        <v>11</v>
      </c>
      <c r="G2" s="31" t="s">
        <v>12</v>
      </c>
      <c r="H2" s="32" t="s">
        <v>13</v>
      </c>
      <c r="I2" s="32" t="s">
        <v>14</v>
      </c>
      <c r="J2" s="32" t="s">
        <v>15</v>
      </c>
      <c r="K2" s="32" t="s">
        <v>16</v>
      </c>
      <c r="L2" s="32" t="s">
        <v>17</v>
      </c>
      <c r="M2" s="39" t="s">
        <v>18</v>
      </c>
    </row>
    <row r="3" ht="15" spans="1:13">
      <c r="A3" s="27" t="s">
        <v>19</v>
      </c>
      <c r="B3" s="33" t="s">
        <v>20</v>
      </c>
      <c r="C3" s="29" t="s">
        <v>21</v>
      </c>
      <c r="D3" s="30" t="s">
        <v>22</v>
      </c>
      <c r="E3" s="29" t="s">
        <v>23</v>
      </c>
      <c r="F3" s="34" t="s">
        <v>24</v>
      </c>
      <c r="G3" s="35">
        <f t="shared" ref="G3:G66" si="0">I3/13.33</f>
        <v>16.8019504876219</v>
      </c>
      <c r="H3" s="36">
        <f t="shared" ref="H3:H66" si="1">I3*0.9</f>
        <v>201.573</v>
      </c>
      <c r="I3" s="40">
        <v>223.97</v>
      </c>
      <c r="J3" s="36">
        <f t="shared" ref="J3:J66" si="2">I3*1.05</f>
        <v>235.1685</v>
      </c>
      <c r="K3" s="36">
        <f t="shared" ref="K3:K66" si="3">H3*0.94</f>
        <v>189.47862</v>
      </c>
      <c r="L3" s="36">
        <f t="shared" ref="L3:L66" si="4">I3*0.94</f>
        <v>210.5318</v>
      </c>
      <c r="M3" s="41"/>
    </row>
    <row r="4" ht="15" spans="1:13">
      <c r="A4" s="27" t="s">
        <v>25</v>
      </c>
      <c r="B4" s="33" t="s">
        <v>26</v>
      </c>
      <c r="C4" s="29" t="s">
        <v>27</v>
      </c>
      <c r="D4" s="30" t="s">
        <v>28</v>
      </c>
      <c r="E4" s="29" t="s">
        <v>23</v>
      </c>
      <c r="F4" s="34" t="s">
        <v>29</v>
      </c>
      <c r="G4" s="35">
        <f t="shared" si="0"/>
        <v>7.34058514628657</v>
      </c>
      <c r="H4" s="36">
        <f t="shared" si="1"/>
        <v>88.065</v>
      </c>
      <c r="I4" s="40">
        <v>97.85</v>
      </c>
      <c r="J4" s="36">
        <f t="shared" si="2"/>
        <v>102.7425</v>
      </c>
      <c r="K4" s="36">
        <f t="shared" si="3"/>
        <v>82.7811</v>
      </c>
      <c r="L4" s="36">
        <f t="shared" si="4"/>
        <v>91.979</v>
      </c>
      <c r="M4" s="41"/>
    </row>
    <row r="5" ht="15" spans="1:13">
      <c r="A5" s="27" t="s">
        <v>25</v>
      </c>
      <c r="B5" s="33" t="s">
        <v>26</v>
      </c>
      <c r="C5" s="29" t="s">
        <v>30</v>
      </c>
      <c r="D5" s="30" t="s">
        <v>28</v>
      </c>
      <c r="E5" s="29" t="s">
        <v>23</v>
      </c>
      <c r="F5" s="34" t="s">
        <v>29</v>
      </c>
      <c r="G5" s="35">
        <f t="shared" si="0"/>
        <v>7.43660915228807</v>
      </c>
      <c r="H5" s="36">
        <f t="shared" si="1"/>
        <v>89.217</v>
      </c>
      <c r="I5" s="40">
        <v>99.13</v>
      </c>
      <c r="J5" s="36">
        <f t="shared" si="2"/>
        <v>104.0865</v>
      </c>
      <c r="K5" s="36">
        <f t="shared" si="3"/>
        <v>83.86398</v>
      </c>
      <c r="L5" s="36">
        <f t="shared" si="4"/>
        <v>93.1822</v>
      </c>
      <c r="M5" s="41"/>
    </row>
    <row r="6" ht="15" spans="1:13">
      <c r="A6" s="27" t="s">
        <v>25</v>
      </c>
      <c r="B6" s="33" t="s">
        <v>31</v>
      </c>
      <c r="C6" s="29" t="s">
        <v>27</v>
      </c>
      <c r="D6" s="30" t="s">
        <v>28</v>
      </c>
      <c r="E6" s="29" t="s">
        <v>23</v>
      </c>
      <c r="F6" s="34" t="s">
        <v>32</v>
      </c>
      <c r="G6" s="35">
        <f t="shared" si="0"/>
        <v>8.75768942235559</v>
      </c>
      <c r="H6" s="36">
        <f t="shared" si="1"/>
        <v>105.066</v>
      </c>
      <c r="I6" s="40">
        <v>116.74</v>
      </c>
      <c r="J6" s="36">
        <f t="shared" si="2"/>
        <v>122.577</v>
      </c>
      <c r="K6" s="36">
        <f t="shared" si="3"/>
        <v>98.76204</v>
      </c>
      <c r="L6" s="36">
        <f t="shared" si="4"/>
        <v>109.7356</v>
      </c>
      <c r="M6" s="41"/>
    </row>
    <row r="7" ht="15" spans="1:13">
      <c r="A7" s="27" t="s">
        <v>25</v>
      </c>
      <c r="B7" s="33" t="s">
        <v>31</v>
      </c>
      <c r="C7" s="29" t="s">
        <v>21</v>
      </c>
      <c r="D7" s="30" t="s">
        <v>28</v>
      </c>
      <c r="E7" s="29" t="s">
        <v>23</v>
      </c>
      <c r="F7" s="34" t="s">
        <v>32</v>
      </c>
      <c r="G7" s="35">
        <f t="shared" si="0"/>
        <v>9.53638409602401</v>
      </c>
      <c r="H7" s="36">
        <f t="shared" si="1"/>
        <v>114.408</v>
      </c>
      <c r="I7" s="40">
        <v>127.12</v>
      </c>
      <c r="J7" s="36">
        <f t="shared" si="2"/>
        <v>133.476</v>
      </c>
      <c r="K7" s="36">
        <f t="shared" si="3"/>
        <v>107.54352</v>
      </c>
      <c r="L7" s="36">
        <f t="shared" si="4"/>
        <v>119.4928</v>
      </c>
      <c r="M7" s="41"/>
    </row>
    <row r="8" ht="15" spans="1:13">
      <c r="A8" s="27" t="s">
        <v>25</v>
      </c>
      <c r="B8" s="33" t="s">
        <v>33</v>
      </c>
      <c r="C8" s="29" t="s">
        <v>21</v>
      </c>
      <c r="D8" s="30" t="s">
        <v>28</v>
      </c>
      <c r="E8" s="29" t="s">
        <v>23</v>
      </c>
      <c r="F8" s="34" t="s">
        <v>34</v>
      </c>
      <c r="G8" s="35">
        <f t="shared" si="0"/>
        <v>11.4433608402101</v>
      </c>
      <c r="H8" s="36">
        <f t="shared" si="1"/>
        <v>137.286</v>
      </c>
      <c r="I8" s="40">
        <v>152.54</v>
      </c>
      <c r="J8" s="36">
        <f t="shared" si="2"/>
        <v>160.167</v>
      </c>
      <c r="K8" s="36">
        <f t="shared" si="3"/>
        <v>129.04884</v>
      </c>
      <c r="L8" s="36">
        <f t="shared" si="4"/>
        <v>143.3876</v>
      </c>
      <c r="M8" s="41"/>
    </row>
    <row r="9" ht="15" spans="1:13">
      <c r="A9" s="27" t="s">
        <v>25</v>
      </c>
      <c r="B9" s="33" t="s">
        <v>35</v>
      </c>
      <c r="C9" s="29" t="s">
        <v>27</v>
      </c>
      <c r="D9" s="37" t="s">
        <v>22</v>
      </c>
      <c r="E9" s="29" t="s">
        <v>23</v>
      </c>
      <c r="F9" s="34" t="s">
        <v>36</v>
      </c>
      <c r="G9" s="35">
        <f t="shared" si="0"/>
        <v>10.0480120030007</v>
      </c>
      <c r="H9" s="36">
        <f t="shared" si="1"/>
        <v>120.546</v>
      </c>
      <c r="I9" s="40">
        <v>133.94</v>
      </c>
      <c r="J9" s="36">
        <f t="shared" si="2"/>
        <v>140.637</v>
      </c>
      <c r="K9" s="36">
        <f t="shared" si="3"/>
        <v>113.31324</v>
      </c>
      <c r="L9" s="36">
        <f t="shared" si="4"/>
        <v>125.9036</v>
      </c>
      <c r="M9" s="41"/>
    </row>
    <row r="10" ht="15" spans="1:13">
      <c r="A10" s="27" t="s">
        <v>25</v>
      </c>
      <c r="B10" s="33" t="s">
        <v>37</v>
      </c>
      <c r="C10" s="29" t="s">
        <v>27</v>
      </c>
      <c r="D10" s="30" t="s">
        <v>22</v>
      </c>
      <c r="E10" s="29" t="s">
        <v>23</v>
      </c>
      <c r="F10" s="34" t="s">
        <v>38</v>
      </c>
      <c r="G10" s="35">
        <f t="shared" si="0"/>
        <v>11.6736684171043</v>
      </c>
      <c r="H10" s="36">
        <f t="shared" si="1"/>
        <v>140.049</v>
      </c>
      <c r="I10" s="40">
        <v>155.61</v>
      </c>
      <c r="J10" s="36">
        <f t="shared" si="2"/>
        <v>163.3905</v>
      </c>
      <c r="K10" s="36">
        <f t="shared" si="3"/>
        <v>131.64606</v>
      </c>
      <c r="L10" s="36">
        <f t="shared" si="4"/>
        <v>146.2734</v>
      </c>
      <c r="M10" s="41"/>
    </row>
    <row r="11" ht="15" spans="1:13">
      <c r="A11" s="27" t="s">
        <v>25</v>
      </c>
      <c r="B11" s="33" t="s">
        <v>37</v>
      </c>
      <c r="C11" s="29" t="s">
        <v>21</v>
      </c>
      <c r="D11" s="30" t="s">
        <v>22</v>
      </c>
      <c r="E11" s="29" t="s">
        <v>23</v>
      </c>
      <c r="F11" s="34" t="s">
        <v>38</v>
      </c>
      <c r="G11" s="35">
        <f t="shared" si="0"/>
        <v>12.0712678169542</v>
      </c>
      <c r="H11" s="36">
        <f t="shared" si="1"/>
        <v>144.819</v>
      </c>
      <c r="I11" s="40">
        <v>160.91</v>
      </c>
      <c r="J11" s="36">
        <f t="shared" si="2"/>
        <v>168.9555</v>
      </c>
      <c r="K11" s="36">
        <f t="shared" si="3"/>
        <v>136.12986</v>
      </c>
      <c r="L11" s="36">
        <f t="shared" si="4"/>
        <v>151.2554</v>
      </c>
      <c r="M11" s="41"/>
    </row>
    <row r="12" ht="15" spans="1:13">
      <c r="A12" s="27" t="s">
        <v>25</v>
      </c>
      <c r="B12" s="33" t="s">
        <v>39</v>
      </c>
      <c r="C12" s="29" t="s">
        <v>21</v>
      </c>
      <c r="D12" s="30" t="s">
        <v>22</v>
      </c>
      <c r="E12" s="29" t="s">
        <v>23</v>
      </c>
      <c r="F12" s="34" t="s">
        <v>40</v>
      </c>
      <c r="G12" s="35">
        <f t="shared" si="0"/>
        <v>12.4681170292573</v>
      </c>
      <c r="H12" s="36">
        <f t="shared" si="1"/>
        <v>149.58</v>
      </c>
      <c r="I12" s="40">
        <v>166.2</v>
      </c>
      <c r="J12" s="36">
        <f t="shared" si="2"/>
        <v>174.51</v>
      </c>
      <c r="K12" s="36">
        <f t="shared" si="3"/>
        <v>140.6052</v>
      </c>
      <c r="L12" s="36">
        <f t="shared" si="4"/>
        <v>156.228</v>
      </c>
      <c r="M12" s="41"/>
    </row>
    <row r="13" ht="15" spans="1:13">
      <c r="A13" s="27" t="s">
        <v>25</v>
      </c>
      <c r="B13" s="33" t="s">
        <v>39</v>
      </c>
      <c r="C13" s="29" t="s">
        <v>41</v>
      </c>
      <c r="D13" s="30" t="s">
        <v>22</v>
      </c>
      <c r="E13" s="29" t="s">
        <v>23</v>
      </c>
      <c r="F13" s="34" t="s">
        <v>40</v>
      </c>
      <c r="G13" s="35">
        <f t="shared" si="0"/>
        <v>15.9032258064516</v>
      </c>
      <c r="H13" s="36">
        <f t="shared" si="1"/>
        <v>190.791</v>
      </c>
      <c r="I13" s="40">
        <v>211.99</v>
      </c>
      <c r="J13" s="36">
        <f t="shared" si="2"/>
        <v>222.5895</v>
      </c>
      <c r="K13" s="36">
        <f t="shared" si="3"/>
        <v>179.34354</v>
      </c>
      <c r="L13" s="36">
        <f t="shared" si="4"/>
        <v>199.2706</v>
      </c>
      <c r="M13" s="41"/>
    </row>
    <row r="14" ht="15" spans="1:13">
      <c r="A14" s="27" t="s">
        <v>25</v>
      </c>
      <c r="B14" s="33" t="s">
        <v>42</v>
      </c>
      <c r="C14" s="29" t="s">
        <v>27</v>
      </c>
      <c r="D14" s="30" t="s">
        <v>22</v>
      </c>
      <c r="E14" s="29" t="s">
        <v>23</v>
      </c>
      <c r="F14" s="34" t="s">
        <v>43</v>
      </c>
      <c r="G14" s="35">
        <f t="shared" si="0"/>
        <v>11.9504876219055</v>
      </c>
      <c r="H14" s="36">
        <f t="shared" si="1"/>
        <v>143.37</v>
      </c>
      <c r="I14" s="40">
        <v>159.3</v>
      </c>
      <c r="J14" s="36">
        <f t="shared" si="2"/>
        <v>167.265</v>
      </c>
      <c r="K14" s="36">
        <f t="shared" si="3"/>
        <v>134.7678</v>
      </c>
      <c r="L14" s="36">
        <f t="shared" si="4"/>
        <v>149.742</v>
      </c>
      <c r="M14" s="41"/>
    </row>
    <row r="15" ht="15" spans="1:13">
      <c r="A15" s="27" t="s">
        <v>25</v>
      </c>
      <c r="B15" s="33" t="s">
        <v>20</v>
      </c>
      <c r="C15" s="29" t="s">
        <v>27</v>
      </c>
      <c r="D15" s="30" t="s">
        <v>22</v>
      </c>
      <c r="E15" s="29" t="s">
        <v>23</v>
      </c>
      <c r="F15" s="34" t="s">
        <v>24</v>
      </c>
      <c r="G15" s="35">
        <f t="shared" si="0"/>
        <v>15.1575393848462</v>
      </c>
      <c r="H15" s="36">
        <f t="shared" si="1"/>
        <v>181.845</v>
      </c>
      <c r="I15" s="40">
        <v>202.05</v>
      </c>
      <c r="J15" s="36">
        <f t="shared" si="2"/>
        <v>212.1525</v>
      </c>
      <c r="K15" s="36">
        <f t="shared" si="3"/>
        <v>170.9343</v>
      </c>
      <c r="L15" s="36">
        <f t="shared" si="4"/>
        <v>189.927</v>
      </c>
      <c r="M15" s="41"/>
    </row>
    <row r="16" ht="15" spans="1:13">
      <c r="A16" s="27" t="s">
        <v>25</v>
      </c>
      <c r="B16" s="33" t="s">
        <v>20</v>
      </c>
      <c r="C16" s="29" t="s">
        <v>21</v>
      </c>
      <c r="D16" s="30" t="s">
        <v>22</v>
      </c>
      <c r="E16" s="29" t="s">
        <v>23</v>
      </c>
      <c r="F16" s="34" t="s">
        <v>24</v>
      </c>
      <c r="G16" s="35">
        <f t="shared" si="0"/>
        <v>16.013503375844</v>
      </c>
      <c r="H16" s="36">
        <f t="shared" si="1"/>
        <v>192.114</v>
      </c>
      <c r="I16" s="40">
        <v>213.46</v>
      </c>
      <c r="J16" s="36">
        <f t="shared" si="2"/>
        <v>224.133</v>
      </c>
      <c r="K16" s="36">
        <f t="shared" si="3"/>
        <v>180.58716</v>
      </c>
      <c r="L16" s="36">
        <f t="shared" si="4"/>
        <v>200.6524</v>
      </c>
      <c r="M16" s="41"/>
    </row>
    <row r="17" ht="15" spans="1:13">
      <c r="A17" s="27" t="s">
        <v>25</v>
      </c>
      <c r="B17" s="33" t="s">
        <v>20</v>
      </c>
      <c r="C17" s="29" t="s">
        <v>41</v>
      </c>
      <c r="D17" s="30" t="s">
        <v>22</v>
      </c>
      <c r="E17" s="29" t="s">
        <v>23</v>
      </c>
      <c r="F17" s="34" t="s">
        <v>24</v>
      </c>
      <c r="G17" s="35">
        <f t="shared" si="0"/>
        <v>20.2430607651913</v>
      </c>
      <c r="H17" s="36">
        <f t="shared" si="1"/>
        <v>242.856</v>
      </c>
      <c r="I17" s="40">
        <v>269.84</v>
      </c>
      <c r="J17" s="36">
        <f t="shared" si="2"/>
        <v>283.332</v>
      </c>
      <c r="K17" s="36">
        <f t="shared" si="3"/>
        <v>228.28464</v>
      </c>
      <c r="L17" s="36">
        <f t="shared" si="4"/>
        <v>253.6496</v>
      </c>
      <c r="M17" s="41"/>
    </row>
    <row r="18" ht="15" spans="1:13">
      <c r="A18" s="27" t="s">
        <v>44</v>
      </c>
      <c r="B18" s="33" t="s">
        <v>45</v>
      </c>
      <c r="C18" s="29" t="s">
        <v>41</v>
      </c>
      <c r="D18" s="30" t="s">
        <v>28</v>
      </c>
      <c r="E18" s="29" t="s">
        <v>23</v>
      </c>
      <c r="F18" s="34" t="s">
        <v>46</v>
      </c>
      <c r="G18" s="35">
        <f t="shared" si="0"/>
        <v>11.1222805701425</v>
      </c>
      <c r="H18" s="36">
        <f t="shared" si="1"/>
        <v>133.434</v>
      </c>
      <c r="I18" s="40">
        <v>148.26</v>
      </c>
      <c r="J18" s="36">
        <f t="shared" si="2"/>
        <v>155.673</v>
      </c>
      <c r="K18" s="36">
        <f t="shared" si="3"/>
        <v>125.42796</v>
      </c>
      <c r="L18" s="36">
        <f t="shared" si="4"/>
        <v>139.3644</v>
      </c>
      <c r="M18" s="41"/>
    </row>
    <row r="19" ht="15" spans="1:13">
      <c r="A19" s="27" t="s">
        <v>44</v>
      </c>
      <c r="B19" s="33" t="s">
        <v>45</v>
      </c>
      <c r="C19" s="29" t="s">
        <v>41</v>
      </c>
      <c r="D19" s="30" t="s">
        <v>28</v>
      </c>
      <c r="E19" s="29" t="s">
        <v>47</v>
      </c>
      <c r="F19" s="34" t="s">
        <v>46</v>
      </c>
      <c r="G19" s="35">
        <f t="shared" si="0"/>
        <v>11.0172543135784</v>
      </c>
      <c r="H19" s="36">
        <f t="shared" si="1"/>
        <v>132.174</v>
      </c>
      <c r="I19" s="40">
        <v>146.86</v>
      </c>
      <c r="J19" s="36">
        <f t="shared" si="2"/>
        <v>154.203</v>
      </c>
      <c r="K19" s="36">
        <f t="shared" si="3"/>
        <v>124.24356</v>
      </c>
      <c r="L19" s="36">
        <f t="shared" si="4"/>
        <v>138.0484</v>
      </c>
      <c r="M19" s="41"/>
    </row>
    <row r="20" ht="15" spans="1:13">
      <c r="A20" s="27" t="s">
        <v>44</v>
      </c>
      <c r="B20" s="33" t="s">
        <v>48</v>
      </c>
      <c r="C20" s="29" t="s">
        <v>21</v>
      </c>
      <c r="D20" s="30" t="s">
        <v>28</v>
      </c>
      <c r="E20" s="29" t="s">
        <v>23</v>
      </c>
      <c r="F20" s="34" t="s">
        <v>49</v>
      </c>
      <c r="G20" s="35">
        <f t="shared" si="0"/>
        <v>7.03825956489122</v>
      </c>
      <c r="H20" s="36">
        <f t="shared" si="1"/>
        <v>84.438</v>
      </c>
      <c r="I20" s="40">
        <v>93.82</v>
      </c>
      <c r="J20" s="36">
        <f t="shared" si="2"/>
        <v>98.511</v>
      </c>
      <c r="K20" s="36">
        <f t="shared" si="3"/>
        <v>79.37172</v>
      </c>
      <c r="L20" s="36">
        <f t="shared" si="4"/>
        <v>88.1908</v>
      </c>
      <c r="M20" s="41"/>
    </row>
    <row r="21" ht="15" spans="1:13">
      <c r="A21" s="27" t="s">
        <v>44</v>
      </c>
      <c r="B21" s="33" t="s">
        <v>48</v>
      </c>
      <c r="C21" s="29" t="s">
        <v>41</v>
      </c>
      <c r="D21" s="30" t="s">
        <v>28</v>
      </c>
      <c r="E21" s="29" t="s">
        <v>23</v>
      </c>
      <c r="F21" s="34" t="s">
        <v>49</v>
      </c>
      <c r="G21" s="35">
        <f t="shared" si="0"/>
        <v>11.0142535633908</v>
      </c>
      <c r="H21" s="36">
        <f t="shared" si="1"/>
        <v>132.138</v>
      </c>
      <c r="I21" s="40">
        <v>146.82</v>
      </c>
      <c r="J21" s="36">
        <f t="shared" si="2"/>
        <v>154.161</v>
      </c>
      <c r="K21" s="36">
        <f t="shared" si="3"/>
        <v>124.20972</v>
      </c>
      <c r="L21" s="36">
        <f t="shared" si="4"/>
        <v>138.0108</v>
      </c>
      <c r="M21" s="41"/>
    </row>
    <row r="22" ht="15" spans="1:13">
      <c r="A22" s="27" t="s">
        <v>44</v>
      </c>
      <c r="B22" s="33" t="s">
        <v>50</v>
      </c>
      <c r="C22" s="29" t="s">
        <v>41</v>
      </c>
      <c r="D22" s="30" t="s">
        <v>28</v>
      </c>
      <c r="E22" s="29" t="s">
        <v>23</v>
      </c>
      <c r="F22" s="34" t="s">
        <v>51</v>
      </c>
      <c r="G22" s="35">
        <f t="shared" si="0"/>
        <v>11.0142535633908</v>
      </c>
      <c r="H22" s="36">
        <f t="shared" si="1"/>
        <v>132.138</v>
      </c>
      <c r="I22" s="40">
        <v>146.82</v>
      </c>
      <c r="J22" s="36">
        <f t="shared" si="2"/>
        <v>154.161</v>
      </c>
      <c r="K22" s="36">
        <f t="shared" si="3"/>
        <v>124.20972</v>
      </c>
      <c r="L22" s="36">
        <f t="shared" si="4"/>
        <v>138.0108</v>
      </c>
      <c r="M22" s="41"/>
    </row>
    <row r="23" ht="15" spans="1:13">
      <c r="A23" s="27" t="s">
        <v>44</v>
      </c>
      <c r="B23" s="33" t="s">
        <v>52</v>
      </c>
      <c r="C23" s="29" t="s">
        <v>21</v>
      </c>
      <c r="D23" s="30" t="s">
        <v>28</v>
      </c>
      <c r="E23" s="29" t="s">
        <v>23</v>
      </c>
      <c r="F23" s="34" t="s">
        <v>53</v>
      </c>
      <c r="G23" s="35">
        <f t="shared" si="0"/>
        <v>6.99699924981245</v>
      </c>
      <c r="H23" s="36">
        <f t="shared" si="1"/>
        <v>83.943</v>
      </c>
      <c r="I23" s="40">
        <v>93.27</v>
      </c>
      <c r="J23" s="36">
        <f t="shared" si="2"/>
        <v>97.9335</v>
      </c>
      <c r="K23" s="36">
        <f t="shared" si="3"/>
        <v>78.90642</v>
      </c>
      <c r="L23" s="36">
        <f t="shared" si="4"/>
        <v>87.6738</v>
      </c>
      <c r="M23" s="41"/>
    </row>
    <row r="24" ht="15" spans="1:13">
      <c r="A24" s="27" t="s">
        <v>44</v>
      </c>
      <c r="B24" s="33" t="s">
        <v>52</v>
      </c>
      <c r="C24" s="29" t="s">
        <v>54</v>
      </c>
      <c r="D24" s="30" t="s">
        <v>28</v>
      </c>
      <c r="E24" s="29" t="s">
        <v>23</v>
      </c>
      <c r="F24" s="34" t="s">
        <v>53</v>
      </c>
      <c r="G24" s="35">
        <f t="shared" si="0"/>
        <v>9.27831957989497</v>
      </c>
      <c r="H24" s="36">
        <f t="shared" si="1"/>
        <v>111.312</v>
      </c>
      <c r="I24" s="40">
        <v>123.68</v>
      </c>
      <c r="J24" s="36">
        <f t="shared" si="2"/>
        <v>129.864</v>
      </c>
      <c r="K24" s="36">
        <f t="shared" si="3"/>
        <v>104.63328</v>
      </c>
      <c r="L24" s="36">
        <f t="shared" si="4"/>
        <v>116.2592</v>
      </c>
      <c r="M24" s="41"/>
    </row>
    <row r="25" ht="15" spans="1:13">
      <c r="A25" s="27" t="s">
        <v>44</v>
      </c>
      <c r="B25" s="33" t="s">
        <v>52</v>
      </c>
      <c r="C25" s="29" t="s">
        <v>41</v>
      </c>
      <c r="D25" s="30" t="s">
        <v>28</v>
      </c>
      <c r="E25" s="29" t="s">
        <v>23</v>
      </c>
      <c r="F25" s="34" t="s">
        <v>53</v>
      </c>
      <c r="G25" s="35">
        <f t="shared" si="0"/>
        <v>10.9819954988747</v>
      </c>
      <c r="H25" s="36">
        <f t="shared" si="1"/>
        <v>131.751</v>
      </c>
      <c r="I25" s="40">
        <v>146.39</v>
      </c>
      <c r="J25" s="36">
        <f t="shared" si="2"/>
        <v>153.7095</v>
      </c>
      <c r="K25" s="36">
        <f t="shared" si="3"/>
        <v>123.84594</v>
      </c>
      <c r="L25" s="36">
        <f t="shared" si="4"/>
        <v>137.6066</v>
      </c>
      <c r="M25" s="41"/>
    </row>
    <row r="26" ht="15" spans="1:13">
      <c r="A26" s="27" t="s">
        <v>44</v>
      </c>
      <c r="B26" s="33" t="s">
        <v>52</v>
      </c>
      <c r="C26" s="29" t="s">
        <v>55</v>
      </c>
      <c r="D26" s="30" t="s">
        <v>28</v>
      </c>
      <c r="E26" s="29" t="s">
        <v>23</v>
      </c>
      <c r="F26" s="34" t="s">
        <v>56</v>
      </c>
      <c r="G26" s="35">
        <f t="shared" si="0"/>
        <v>23.4388597149287</v>
      </c>
      <c r="H26" s="36">
        <f t="shared" si="1"/>
        <v>281.196</v>
      </c>
      <c r="I26" s="40">
        <v>312.44</v>
      </c>
      <c r="J26" s="36">
        <f t="shared" si="2"/>
        <v>328.062</v>
      </c>
      <c r="K26" s="36">
        <f t="shared" si="3"/>
        <v>264.32424</v>
      </c>
      <c r="L26" s="36">
        <f t="shared" si="4"/>
        <v>293.6936</v>
      </c>
      <c r="M26" s="41"/>
    </row>
    <row r="27" ht="15" spans="1:13">
      <c r="A27" s="27" t="s">
        <v>44</v>
      </c>
      <c r="B27" s="33" t="s">
        <v>57</v>
      </c>
      <c r="C27" s="29" t="s">
        <v>21</v>
      </c>
      <c r="D27" s="30" t="s">
        <v>28</v>
      </c>
      <c r="E27" s="29" t="s">
        <v>23</v>
      </c>
      <c r="F27" s="34" t="s">
        <v>53</v>
      </c>
      <c r="G27" s="35">
        <f t="shared" si="0"/>
        <v>6.99399849962491</v>
      </c>
      <c r="H27" s="36">
        <f t="shared" si="1"/>
        <v>83.907</v>
      </c>
      <c r="I27" s="40">
        <v>93.23</v>
      </c>
      <c r="J27" s="36">
        <f t="shared" si="2"/>
        <v>97.8915</v>
      </c>
      <c r="K27" s="36">
        <f t="shared" si="3"/>
        <v>78.87258</v>
      </c>
      <c r="L27" s="36">
        <f t="shared" si="4"/>
        <v>87.6362</v>
      </c>
      <c r="M27" s="41"/>
    </row>
    <row r="28" ht="15" spans="1:13">
      <c r="A28" s="27" t="s">
        <v>44</v>
      </c>
      <c r="B28" s="33" t="s">
        <v>57</v>
      </c>
      <c r="C28" s="29" t="s">
        <v>41</v>
      </c>
      <c r="D28" s="30" t="s">
        <v>28</v>
      </c>
      <c r="E28" s="29" t="s">
        <v>23</v>
      </c>
      <c r="F28" s="34" t="s">
        <v>53</v>
      </c>
      <c r="G28" s="35">
        <f t="shared" si="0"/>
        <v>10.9519879969993</v>
      </c>
      <c r="H28" s="36">
        <f t="shared" si="1"/>
        <v>131.391</v>
      </c>
      <c r="I28" s="40">
        <v>145.99</v>
      </c>
      <c r="J28" s="36">
        <f t="shared" si="2"/>
        <v>153.2895</v>
      </c>
      <c r="K28" s="36">
        <f t="shared" si="3"/>
        <v>123.50754</v>
      </c>
      <c r="L28" s="36">
        <f t="shared" si="4"/>
        <v>137.2306</v>
      </c>
      <c r="M28" s="41"/>
    </row>
    <row r="29" ht="15" spans="1:13">
      <c r="A29" s="27" t="s">
        <v>44</v>
      </c>
      <c r="B29" s="33" t="s">
        <v>58</v>
      </c>
      <c r="C29" s="29" t="s">
        <v>21</v>
      </c>
      <c r="D29" s="30" t="s">
        <v>28</v>
      </c>
      <c r="E29" s="29" t="s">
        <v>23</v>
      </c>
      <c r="F29" s="34" t="s">
        <v>53</v>
      </c>
      <c r="G29" s="35">
        <f t="shared" si="0"/>
        <v>7.08177044261065</v>
      </c>
      <c r="H29" s="36">
        <f t="shared" si="1"/>
        <v>84.96</v>
      </c>
      <c r="I29" s="40">
        <v>94.4</v>
      </c>
      <c r="J29" s="36">
        <f t="shared" si="2"/>
        <v>99.12</v>
      </c>
      <c r="K29" s="36">
        <f t="shared" si="3"/>
        <v>79.8624</v>
      </c>
      <c r="L29" s="36">
        <f t="shared" si="4"/>
        <v>88.736</v>
      </c>
      <c r="M29" s="41"/>
    </row>
    <row r="30" ht="15" spans="1:13">
      <c r="A30" s="27" t="s">
        <v>44</v>
      </c>
      <c r="B30" s="33" t="s">
        <v>58</v>
      </c>
      <c r="C30" s="29" t="s">
        <v>21</v>
      </c>
      <c r="D30" s="30" t="s">
        <v>28</v>
      </c>
      <c r="E30" s="29" t="s">
        <v>23</v>
      </c>
      <c r="F30" s="34" t="s">
        <v>59</v>
      </c>
      <c r="G30" s="35">
        <f t="shared" si="0"/>
        <v>8.28657164291073</v>
      </c>
      <c r="H30" s="36">
        <f t="shared" si="1"/>
        <v>99.414</v>
      </c>
      <c r="I30" s="40">
        <v>110.46</v>
      </c>
      <c r="J30" s="36">
        <f t="shared" si="2"/>
        <v>115.983</v>
      </c>
      <c r="K30" s="36">
        <f t="shared" si="3"/>
        <v>93.44916</v>
      </c>
      <c r="L30" s="36">
        <f t="shared" si="4"/>
        <v>103.8324</v>
      </c>
      <c r="M30" s="41"/>
    </row>
    <row r="31" ht="15" spans="1:13">
      <c r="A31" s="27" t="s">
        <v>44</v>
      </c>
      <c r="B31" s="33" t="s">
        <v>58</v>
      </c>
      <c r="C31" s="29" t="s">
        <v>41</v>
      </c>
      <c r="D31" s="30" t="s">
        <v>28</v>
      </c>
      <c r="E31" s="29" t="s">
        <v>23</v>
      </c>
      <c r="F31" s="34" t="s">
        <v>53</v>
      </c>
      <c r="G31" s="35">
        <f t="shared" si="0"/>
        <v>11.3240810202551</v>
      </c>
      <c r="H31" s="36">
        <f t="shared" si="1"/>
        <v>135.855</v>
      </c>
      <c r="I31" s="40">
        <v>150.95</v>
      </c>
      <c r="J31" s="36">
        <f t="shared" si="2"/>
        <v>158.4975</v>
      </c>
      <c r="K31" s="36">
        <f t="shared" si="3"/>
        <v>127.7037</v>
      </c>
      <c r="L31" s="36">
        <f t="shared" si="4"/>
        <v>141.893</v>
      </c>
      <c r="M31" s="41"/>
    </row>
    <row r="32" ht="15" spans="1:13">
      <c r="A32" s="27" t="s">
        <v>44</v>
      </c>
      <c r="B32" s="33" t="s">
        <v>58</v>
      </c>
      <c r="C32" s="29" t="s">
        <v>55</v>
      </c>
      <c r="D32" s="30" t="s">
        <v>28</v>
      </c>
      <c r="E32" s="29" t="s">
        <v>23</v>
      </c>
      <c r="F32" s="34" t="s">
        <v>56</v>
      </c>
      <c r="G32" s="35">
        <f t="shared" si="0"/>
        <v>22.562640660165</v>
      </c>
      <c r="H32" s="36">
        <f t="shared" si="1"/>
        <v>270.684</v>
      </c>
      <c r="I32" s="40">
        <v>300.76</v>
      </c>
      <c r="J32" s="36">
        <f t="shared" si="2"/>
        <v>315.798</v>
      </c>
      <c r="K32" s="36">
        <f t="shared" si="3"/>
        <v>254.44296</v>
      </c>
      <c r="L32" s="36">
        <f t="shared" si="4"/>
        <v>282.7144</v>
      </c>
      <c r="M32" s="41"/>
    </row>
    <row r="33" ht="15" spans="1:13">
      <c r="A33" s="27" t="s">
        <v>44</v>
      </c>
      <c r="B33" s="33" t="s">
        <v>60</v>
      </c>
      <c r="C33" s="29" t="s">
        <v>21</v>
      </c>
      <c r="D33" s="30" t="s">
        <v>28</v>
      </c>
      <c r="E33" s="29" t="s">
        <v>23</v>
      </c>
      <c r="F33" s="34" t="s">
        <v>61</v>
      </c>
      <c r="G33" s="35">
        <f t="shared" si="0"/>
        <v>7.10952738184546</v>
      </c>
      <c r="H33" s="36">
        <f t="shared" si="1"/>
        <v>85.293</v>
      </c>
      <c r="I33" s="40">
        <v>94.77</v>
      </c>
      <c r="J33" s="36">
        <f t="shared" si="2"/>
        <v>99.5085</v>
      </c>
      <c r="K33" s="36">
        <f t="shared" si="3"/>
        <v>80.17542</v>
      </c>
      <c r="L33" s="36">
        <f t="shared" si="4"/>
        <v>89.0838</v>
      </c>
      <c r="M33" s="41"/>
    </row>
    <row r="34" ht="15" spans="1:13">
      <c r="A34" s="27" t="s">
        <v>44</v>
      </c>
      <c r="B34" s="33" t="s">
        <v>60</v>
      </c>
      <c r="C34" s="29" t="s">
        <v>41</v>
      </c>
      <c r="D34" s="30" t="s">
        <v>28</v>
      </c>
      <c r="E34" s="29" t="s">
        <v>23</v>
      </c>
      <c r="F34" s="34" t="s">
        <v>61</v>
      </c>
      <c r="G34" s="35">
        <f t="shared" si="0"/>
        <v>11.324831207802</v>
      </c>
      <c r="H34" s="36">
        <f t="shared" si="1"/>
        <v>135.864</v>
      </c>
      <c r="I34" s="40">
        <v>150.96</v>
      </c>
      <c r="J34" s="36">
        <f t="shared" si="2"/>
        <v>158.508</v>
      </c>
      <c r="K34" s="36">
        <f t="shared" si="3"/>
        <v>127.71216</v>
      </c>
      <c r="L34" s="36">
        <f t="shared" si="4"/>
        <v>141.9024</v>
      </c>
      <c r="M34" s="41"/>
    </row>
    <row r="35" ht="15" spans="1:13">
      <c r="A35" s="27" t="s">
        <v>44</v>
      </c>
      <c r="B35" s="33" t="s">
        <v>60</v>
      </c>
      <c r="C35" s="29" t="s">
        <v>41</v>
      </c>
      <c r="D35" s="30" t="s">
        <v>28</v>
      </c>
      <c r="E35" s="29" t="s">
        <v>23</v>
      </c>
      <c r="F35" s="34" t="s">
        <v>59</v>
      </c>
      <c r="G35" s="35">
        <f t="shared" si="0"/>
        <v>12.1867966991748</v>
      </c>
      <c r="H35" s="36">
        <f t="shared" si="1"/>
        <v>146.205</v>
      </c>
      <c r="I35" s="40">
        <v>162.45</v>
      </c>
      <c r="J35" s="36">
        <f t="shared" si="2"/>
        <v>170.5725</v>
      </c>
      <c r="K35" s="36">
        <f t="shared" si="3"/>
        <v>137.4327</v>
      </c>
      <c r="L35" s="36">
        <f t="shared" si="4"/>
        <v>152.703</v>
      </c>
      <c r="M35" s="41"/>
    </row>
    <row r="36" ht="15" spans="1:13">
      <c r="A36" s="27" t="s">
        <v>44</v>
      </c>
      <c r="B36" s="33" t="s">
        <v>62</v>
      </c>
      <c r="C36" s="29" t="s">
        <v>21</v>
      </c>
      <c r="D36" s="30" t="s">
        <v>28</v>
      </c>
      <c r="E36" s="29" t="s">
        <v>23</v>
      </c>
      <c r="F36" s="34" t="s">
        <v>63</v>
      </c>
      <c r="G36" s="35">
        <f t="shared" si="0"/>
        <v>7.16204051012753</v>
      </c>
      <c r="H36" s="36">
        <f t="shared" si="1"/>
        <v>85.923</v>
      </c>
      <c r="I36" s="40">
        <v>95.47</v>
      </c>
      <c r="J36" s="36">
        <f t="shared" si="2"/>
        <v>100.2435</v>
      </c>
      <c r="K36" s="36">
        <f t="shared" si="3"/>
        <v>80.76762</v>
      </c>
      <c r="L36" s="36">
        <f t="shared" si="4"/>
        <v>89.7418</v>
      </c>
      <c r="M36" s="41"/>
    </row>
    <row r="37" ht="15" spans="1:13">
      <c r="A37" s="27" t="s">
        <v>44</v>
      </c>
      <c r="B37" s="33" t="s">
        <v>62</v>
      </c>
      <c r="C37" s="29" t="s">
        <v>41</v>
      </c>
      <c r="D37" s="30" t="s">
        <v>28</v>
      </c>
      <c r="E37" s="29" t="s">
        <v>23</v>
      </c>
      <c r="F37" s="34" t="s">
        <v>63</v>
      </c>
      <c r="G37" s="35">
        <f t="shared" si="0"/>
        <v>10.913728432108</v>
      </c>
      <c r="H37" s="36">
        <f t="shared" si="1"/>
        <v>130.932</v>
      </c>
      <c r="I37" s="40">
        <v>145.48</v>
      </c>
      <c r="J37" s="36">
        <f t="shared" si="2"/>
        <v>152.754</v>
      </c>
      <c r="K37" s="36">
        <f t="shared" si="3"/>
        <v>123.07608</v>
      </c>
      <c r="L37" s="36">
        <f t="shared" si="4"/>
        <v>136.7512</v>
      </c>
      <c r="M37" s="41"/>
    </row>
    <row r="38" ht="15" spans="1:13">
      <c r="A38" s="27" t="s">
        <v>44</v>
      </c>
      <c r="B38" s="33" t="s">
        <v>64</v>
      </c>
      <c r="C38" s="29" t="s">
        <v>21</v>
      </c>
      <c r="D38" s="30" t="s">
        <v>28</v>
      </c>
      <c r="E38" s="29" t="s">
        <v>23</v>
      </c>
      <c r="F38" s="34" t="s">
        <v>63</v>
      </c>
      <c r="G38" s="35">
        <f t="shared" si="0"/>
        <v>7.231807951988</v>
      </c>
      <c r="H38" s="36">
        <f t="shared" si="1"/>
        <v>86.76</v>
      </c>
      <c r="I38" s="40">
        <v>96.4</v>
      </c>
      <c r="J38" s="36">
        <f t="shared" si="2"/>
        <v>101.22</v>
      </c>
      <c r="K38" s="36">
        <f t="shared" si="3"/>
        <v>81.5544</v>
      </c>
      <c r="L38" s="36">
        <f t="shared" si="4"/>
        <v>90.616</v>
      </c>
      <c r="M38" s="41"/>
    </row>
    <row r="39" ht="15" spans="1:13">
      <c r="A39" s="27" t="s">
        <v>44</v>
      </c>
      <c r="B39" s="33" t="s">
        <v>64</v>
      </c>
      <c r="C39" s="29" t="s">
        <v>41</v>
      </c>
      <c r="D39" s="30" t="s">
        <v>28</v>
      </c>
      <c r="E39" s="29" t="s">
        <v>23</v>
      </c>
      <c r="F39" s="34" t="s">
        <v>63</v>
      </c>
      <c r="G39" s="35">
        <f t="shared" si="0"/>
        <v>10.9549887471868</v>
      </c>
      <c r="H39" s="36">
        <f t="shared" si="1"/>
        <v>131.427</v>
      </c>
      <c r="I39" s="40">
        <v>146.03</v>
      </c>
      <c r="J39" s="36">
        <f t="shared" si="2"/>
        <v>153.3315</v>
      </c>
      <c r="K39" s="36">
        <f t="shared" si="3"/>
        <v>123.54138</v>
      </c>
      <c r="L39" s="36">
        <f t="shared" si="4"/>
        <v>137.2682</v>
      </c>
      <c r="M39" s="41"/>
    </row>
    <row r="40" ht="15" spans="1:13">
      <c r="A40" s="27" t="s">
        <v>44</v>
      </c>
      <c r="B40" s="33" t="s">
        <v>26</v>
      </c>
      <c r="C40" s="29" t="s">
        <v>21</v>
      </c>
      <c r="D40" s="30" t="s">
        <v>28</v>
      </c>
      <c r="E40" s="29" t="s">
        <v>23</v>
      </c>
      <c r="F40" s="34" t="s">
        <v>29</v>
      </c>
      <c r="G40" s="35">
        <f t="shared" si="0"/>
        <v>8.88897224306077</v>
      </c>
      <c r="H40" s="36">
        <f t="shared" si="1"/>
        <v>106.641</v>
      </c>
      <c r="I40" s="40">
        <v>118.49</v>
      </c>
      <c r="J40" s="36">
        <f t="shared" si="2"/>
        <v>124.4145</v>
      </c>
      <c r="K40" s="36">
        <f t="shared" si="3"/>
        <v>100.24254</v>
      </c>
      <c r="L40" s="36">
        <f t="shared" si="4"/>
        <v>111.3806</v>
      </c>
      <c r="M40" s="41"/>
    </row>
    <row r="41" ht="15" spans="1:13">
      <c r="A41" s="27" t="s">
        <v>44</v>
      </c>
      <c r="B41" s="33" t="s">
        <v>26</v>
      </c>
      <c r="C41" s="29" t="s">
        <v>54</v>
      </c>
      <c r="D41" s="30" t="s">
        <v>28</v>
      </c>
      <c r="E41" s="29" t="s">
        <v>23</v>
      </c>
      <c r="F41" s="34" t="s">
        <v>29</v>
      </c>
      <c r="G41" s="35">
        <f t="shared" si="0"/>
        <v>10.5506376594149</v>
      </c>
      <c r="H41" s="36">
        <f t="shared" si="1"/>
        <v>126.576</v>
      </c>
      <c r="I41" s="40">
        <v>140.64</v>
      </c>
      <c r="J41" s="36">
        <f t="shared" si="2"/>
        <v>147.672</v>
      </c>
      <c r="K41" s="36">
        <f t="shared" si="3"/>
        <v>118.98144</v>
      </c>
      <c r="L41" s="36">
        <f t="shared" si="4"/>
        <v>132.2016</v>
      </c>
      <c r="M41" s="41"/>
    </row>
    <row r="42" ht="15" spans="1:13">
      <c r="A42" s="27" t="s">
        <v>44</v>
      </c>
      <c r="B42" s="33" t="s">
        <v>26</v>
      </c>
      <c r="C42" s="29" t="s">
        <v>41</v>
      </c>
      <c r="D42" s="30" t="s">
        <v>28</v>
      </c>
      <c r="E42" s="29" t="s">
        <v>23</v>
      </c>
      <c r="F42" s="34" t="s">
        <v>29</v>
      </c>
      <c r="G42" s="35">
        <f t="shared" si="0"/>
        <v>12.6856714178545</v>
      </c>
      <c r="H42" s="36">
        <f t="shared" si="1"/>
        <v>152.19</v>
      </c>
      <c r="I42" s="40">
        <v>169.1</v>
      </c>
      <c r="J42" s="36">
        <f t="shared" si="2"/>
        <v>177.555</v>
      </c>
      <c r="K42" s="36">
        <f t="shared" si="3"/>
        <v>143.0586</v>
      </c>
      <c r="L42" s="36">
        <f t="shared" si="4"/>
        <v>158.954</v>
      </c>
      <c r="M42" s="41"/>
    </row>
    <row r="43" ht="15" spans="1:13">
      <c r="A43" s="27" t="s">
        <v>44</v>
      </c>
      <c r="B43" s="33" t="s">
        <v>65</v>
      </c>
      <c r="C43" s="29" t="s">
        <v>21</v>
      </c>
      <c r="D43" s="30" t="s">
        <v>28</v>
      </c>
      <c r="E43" s="29" t="s">
        <v>23</v>
      </c>
      <c r="F43" s="34" t="s">
        <v>66</v>
      </c>
      <c r="G43" s="35">
        <f t="shared" si="0"/>
        <v>8.85071267816954</v>
      </c>
      <c r="H43" s="36">
        <f t="shared" si="1"/>
        <v>106.182</v>
      </c>
      <c r="I43" s="40">
        <v>117.98</v>
      </c>
      <c r="J43" s="36">
        <f t="shared" si="2"/>
        <v>123.879</v>
      </c>
      <c r="K43" s="36">
        <f t="shared" si="3"/>
        <v>99.81108</v>
      </c>
      <c r="L43" s="36">
        <f t="shared" si="4"/>
        <v>110.9012</v>
      </c>
      <c r="M43" s="41"/>
    </row>
    <row r="44" ht="15" spans="1:13">
      <c r="A44" s="27" t="s">
        <v>44</v>
      </c>
      <c r="B44" s="33" t="s">
        <v>65</v>
      </c>
      <c r="C44" s="29" t="s">
        <v>41</v>
      </c>
      <c r="D44" s="30" t="s">
        <v>28</v>
      </c>
      <c r="E44" s="29" t="s">
        <v>23</v>
      </c>
      <c r="F44" s="34" t="s">
        <v>66</v>
      </c>
      <c r="G44" s="35">
        <f t="shared" si="0"/>
        <v>12.9107276819205</v>
      </c>
      <c r="H44" s="36">
        <f t="shared" si="1"/>
        <v>154.89</v>
      </c>
      <c r="I44" s="40">
        <v>172.1</v>
      </c>
      <c r="J44" s="36">
        <f t="shared" si="2"/>
        <v>180.705</v>
      </c>
      <c r="K44" s="36">
        <f t="shared" si="3"/>
        <v>145.5966</v>
      </c>
      <c r="L44" s="36">
        <f t="shared" si="4"/>
        <v>161.774</v>
      </c>
      <c r="M44" s="41"/>
    </row>
    <row r="45" ht="15" spans="1:13">
      <c r="A45" s="27" t="s">
        <v>44</v>
      </c>
      <c r="B45" s="33" t="s">
        <v>65</v>
      </c>
      <c r="C45" s="29" t="s">
        <v>55</v>
      </c>
      <c r="D45" s="30" t="s">
        <v>28</v>
      </c>
      <c r="E45" s="29" t="s">
        <v>23</v>
      </c>
      <c r="F45" s="34" t="s">
        <v>66</v>
      </c>
      <c r="G45" s="35">
        <f t="shared" si="0"/>
        <v>21.8709677419355</v>
      </c>
      <c r="H45" s="36">
        <f t="shared" si="1"/>
        <v>262.386</v>
      </c>
      <c r="I45" s="40">
        <v>291.54</v>
      </c>
      <c r="J45" s="36">
        <f t="shared" si="2"/>
        <v>306.117</v>
      </c>
      <c r="K45" s="36">
        <f t="shared" si="3"/>
        <v>246.64284</v>
      </c>
      <c r="L45" s="36">
        <f t="shared" si="4"/>
        <v>274.0476</v>
      </c>
      <c r="M45" s="41"/>
    </row>
    <row r="46" ht="15" spans="1:13">
      <c r="A46" s="27" t="s">
        <v>44</v>
      </c>
      <c r="B46" s="33" t="s">
        <v>67</v>
      </c>
      <c r="C46" s="29" t="s">
        <v>21</v>
      </c>
      <c r="D46" s="30" t="s">
        <v>28</v>
      </c>
      <c r="E46" s="29" t="s">
        <v>23</v>
      </c>
      <c r="F46" s="34" t="s">
        <v>68</v>
      </c>
      <c r="G46" s="35">
        <f t="shared" si="0"/>
        <v>8.5138784696174</v>
      </c>
      <c r="H46" s="36">
        <f t="shared" si="1"/>
        <v>102.141</v>
      </c>
      <c r="I46" s="40">
        <v>113.49</v>
      </c>
      <c r="J46" s="36">
        <f t="shared" si="2"/>
        <v>119.1645</v>
      </c>
      <c r="K46" s="36">
        <f t="shared" si="3"/>
        <v>96.01254</v>
      </c>
      <c r="L46" s="36">
        <f t="shared" si="4"/>
        <v>106.6806</v>
      </c>
      <c r="M46" s="41"/>
    </row>
    <row r="47" ht="15" spans="1:13">
      <c r="A47" s="27" t="s">
        <v>44</v>
      </c>
      <c r="B47" s="33" t="s">
        <v>67</v>
      </c>
      <c r="C47" s="29" t="s">
        <v>41</v>
      </c>
      <c r="D47" s="30" t="s">
        <v>28</v>
      </c>
      <c r="E47" s="29" t="s">
        <v>23</v>
      </c>
      <c r="F47" s="34" t="s">
        <v>68</v>
      </c>
      <c r="G47" s="35">
        <f t="shared" si="0"/>
        <v>12.4876219054764</v>
      </c>
      <c r="H47" s="36">
        <f t="shared" si="1"/>
        <v>149.814</v>
      </c>
      <c r="I47" s="40">
        <v>166.46</v>
      </c>
      <c r="J47" s="36">
        <f t="shared" si="2"/>
        <v>174.783</v>
      </c>
      <c r="K47" s="36">
        <f t="shared" si="3"/>
        <v>140.82516</v>
      </c>
      <c r="L47" s="36">
        <f t="shared" si="4"/>
        <v>156.4724</v>
      </c>
      <c r="M47" s="41"/>
    </row>
    <row r="48" ht="15" spans="1:13">
      <c r="A48" s="27" t="s">
        <v>44</v>
      </c>
      <c r="B48" s="33" t="s">
        <v>69</v>
      </c>
      <c r="C48" s="29" t="s">
        <v>21</v>
      </c>
      <c r="D48" s="30" t="s">
        <v>28</v>
      </c>
      <c r="E48" s="29" t="s">
        <v>23</v>
      </c>
      <c r="F48" s="34" t="s">
        <v>68</v>
      </c>
      <c r="G48" s="35">
        <f t="shared" si="0"/>
        <v>8.20105026256564</v>
      </c>
      <c r="H48" s="36">
        <f t="shared" si="1"/>
        <v>98.388</v>
      </c>
      <c r="I48" s="40">
        <v>109.32</v>
      </c>
      <c r="J48" s="36">
        <f t="shared" si="2"/>
        <v>114.786</v>
      </c>
      <c r="K48" s="36">
        <f t="shared" si="3"/>
        <v>92.48472</v>
      </c>
      <c r="L48" s="36">
        <f t="shared" si="4"/>
        <v>102.7608</v>
      </c>
      <c r="M48" s="41"/>
    </row>
    <row r="49" ht="15" spans="1:13">
      <c r="A49" s="27" t="s">
        <v>44</v>
      </c>
      <c r="B49" s="33" t="s">
        <v>69</v>
      </c>
      <c r="C49" s="29" t="s">
        <v>41</v>
      </c>
      <c r="D49" s="30" t="s">
        <v>28</v>
      </c>
      <c r="E49" s="29" t="s">
        <v>23</v>
      </c>
      <c r="F49" s="34" t="s">
        <v>68</v>
      </c>
      <c r="G49" s="35">
        <f t="shared" si="0"/>
        <v>12.138784696174</v>
      </c>
      <c r="H49" s="36">
        <f t="shared" si="1"/>
        <v>145.629</v>
      </c>
      <c r="I49" s="40">
        <v>161.81</v>
      </c>
      <c r="J49" s="36">
        <f t="shared" si="2"/>
        <v>169.9005</v>
      </c>
      <c r="K49" s="36">
        <f t="shared" si="3"/>
        <v>136.89126</v>
      </c>
      <c r="L49" s="36">
        <f t="shared" si="4"/>
        <v>152.1014</v>
      </c>
      <c r="M49" s="41"/>
    </row>
    <row r="50" ht="15" spans="1:13">
      <c r="A50" s="27" t="s">
        <v>44</v>
      </c>
      <c r="B50" s="33" t="s">
        <v>70</v>
      </c>
      <c r="C50" s="29" t="s">
        <v>21</v>
      </c>
      <c r="D50" s="30" t="s">
        <v>28</v>
      </c>
      <c r="E50" s="29" t="s">
        <v>23</v>
      </c>
      <c r="F50" s="34" t="s">
        <v>68</v>
      </c>
      <c r="G50" s="35">
        <f t="shared" si="0"/>
        <v>8.71267816954239</v>
      </c>
      <c r="H50" s="36">
        <f t="shared" si="1"/>
        <v>104.526</v>
      </c>
      <c r="I50" s="40">
        <v>116.14</v>
      </c>
      <c r="J50" s="36">
        <f t="shared" si="2"/>
        <v>121.947</v>
      </c>
      <c r="K50" s="36">
        <f t="shared" si="3"/>
        <v>98.25444</v>
      </c>
      <c r="L50" s="36">
        <f t="shared" si="4"/>
        <v>109.1716</v>
      </c>
      <c r="M50" s="41"/>
    </row>
    <row r="51" ht="15" spans="1:13">
      <c r="A51" s="27" t="s">
        <v>44</v>
      </c>
      <c r="B51" s="33" t="s">
        <v>70</v>
      </c>
      <c r="C51" s="29" t="s">
        <v>41</v>
      </c>
      <c r="D51" s="30" t="s">
        <v>28</v>
      </c>
      <c r="E51" s="29" t="s">
        <v>23</v>
      </c>
      <c r="F51" s="34" t="s">
        <v>68</v>
      </c>
      <c r="G51" s="35">
        <f t="shared" si="0"/>
        <v>12.2820705176294</v>
      </c>
      <c r="H51" s="36">
        <f t="shared" si="1"/>
        <v>147.348</v>
      </c>
      <c r="I51" s="40">
        <v>163.72</v>
      </c>
      <c r="J51" s="36">
        <f t="shared" si="2"/>
        <v>171.906</v>
      </c>
      <c r="K51" s="36">
        <f t="shared" si="3"/>
        <v>138.50712</v>
      </c>
      <c r="L51" s="36">
        <f t="shared" si="4"/>
        <v>153.8968</v>
      </c>
      <c r="M51" s="41"/>
    </row>
    <row r="52" ht="15" spans="1:13">
      <c r="A52" s="27" t="s">
        <v>44</v>
      </c>
      <c r="B52" s="33" t="s">
        <v>70</v>
      </c>
      <c r="C52" s="29" t="s">
        <v>71</v>
      </c>
      <c r="D52" s="30" t="s">
        <v>28</v>
      </c>
      <c r="E52" s="29" t="s">
        <v>23</v>
      </c>
      <c r="F52" s="34" t="s">
        <v>68</v>
      </c>
      <c r="G52" s="35">
        <f t="shared" si="0"/>
        <v>17.3525881470368</v>
      </c>
      <c r="H52" s="36">
        <f t="shared" si="1"/>
        <v>208.179</v>
      </c>
      <c r="I52" s="40">
        <v>231.31</v>
      </c>
      <c r="J52" s="36">
        <f t="shared" si="2"/>
        <v>242.8755</v>
      </c>
      <c r="K52" s="36">
        <f t="shared" si="3"/>
        <v>195.68826</v>
      </c>
      <c r="L52" s="36">
        <f t="shared" si="4"/>
        <v>217.4314</v>
      </c>
      <c r="M52" s="41"/>
    </row>
    <row r="53" ht="15" spans="1:13">
      <c r="A53" s="27" t="s">
        <v>44</v>
      </c>
      <c r="B53" s="33" t="s">
        <v>72</v>
      </c>
      <c r="C53" s="29" t="s">
        <v>21</v>
      </c>
      <c r="D53" s="30" t="s">
        <v>28</v>
      </c>
      <c r="E53" s="29" t="s">
        <v>23</v>
      </c>
      <c r="F53" s="34" t="s">
        <v>73</v>
      </c>
      <c r="G53" s="35">
        <f t="shared" si="0"/>
        <v>9.6099024756189</v>
      </c>
      <c r="H53" s="36">
        <f t="shared" si="1"/>
        <v>115.29</v>
      </c>
      <c r="I53" s="40">
        <v>128.1</v>
      </c>
      <c r="J53" s="36">
        <f t="shared" si="2"/>
        <v>134.505</v>
      </c>
      <c r="K53" s="36">
        <f t="shared" si="3"/>
        <v>108.3726</v>
      </c>
      <c r="L53" s="36">
        <f t="shared" si="4"/>
        <v>120.414</v>
      </c>
      <c r="M53" s="41"/>
    </row>
    <row r="54" ht="15" spans="1:13">
      <c r="A54" s="27" t="s">
        <v>44</v>
      </c>
      <c r="B54" s="33" t="s">
        <v>72</v>
      </c>
      <c r="C54" s="29" t="s">
        <v>41</v>
      </c>
      <c r="D54" s="30" t="s">
        <v>28</v>
      </c>
      <c r="E54" s="29" t="s">
        <v>23</v>
      </c>
      <c r="F54" s="34" t="s">
        <v>73</v>
      </c>
      <c r="G54" s="35">
        <f t="shared" si="0"/>
        <v>13.5768942235559</v>
      </c>
      <c r="H54" s="36">
        <f t="shared" si="1"/>
        <v>162.882</v>
      </c>
      <c r="I54" s="40">
        <v>180.98</v>
      </c>
      <c r="J54" s="36">
        <f t="shared" si="2"/>
        <v>190.029</v>
      </c>
      <c r="K54" s="36">
        <f t="shared" si="3"/>
        <v>153.10908</v>
      </c>
      <c r="L54" s="36">
        <f t="shared" si="4"/>
        <v>170.1212</v>
      </c>
      <c r="M54" s="41"/>
    </row>
    <row r="55" ht="15" spans="1:13">
      <c r="A55" s="27" t="s">
        <v>44</v>
      </c>
      <c r="B55" s="33" t="s">
        <v>74</v>
      </c>
      <c r="C55" s="29" t="s">
        <v>21</v>
      </c>
      <c r="D55" s="30" t="s">
        <v>28</v>
      </c>
      <c r="E55" s="29" t="s">
        <v>23</v>
      </c>
      <c r="F55" s="34" t="s">
        <v>73</v>
      </c>
      <c r="G55" s="35">
        <f t="shared" si="0"/>
        <v>9.64366091522881</v>
      </c>
      <c r="H55" s="36">
        <f t="shared" si="1"/>
        <v>115.695</v>
      </c>
      <c r="I55" s="40">
        <v>128.55</v>
      </c>
      <c r="J55" s="36">
        <f t="shared" si="2"/>
        <v>134.9775</v>
      </c>
      <c r="K55" s="36">
        <f t="shared" si="3"/>
        <v>108.7533</v>
      </c>
      <c r="L55" s="36">
        <f t="shared" si="4"/>
        <v>120.837</v>
      </c>
      <c r="M55" s="41"/>
    </row>
    <row r="56" ht="15" spans="1:13">
      <c r="A56" s="27" t="s">
        <v>44</v>
      </c>
      <c r="B56" s="33" t="s">
        <v>74</v>
      </c>
      <c r="C56" s="29" t="s">
        <v>41</v>
      </c>
      <c r="D56" s="30" t="s">
        <v>28</v>
      </c>
      <c r="E56" s="29" t="s">
        <v>23</v>
      </c>
      <c r="F56" s="34" t="s">
        <v>73</v>
      </c>
      <c r="G56" s="35">
        <f t="shared" si="0"/>
        <v>13.7906976744186</v>
      </c>
      <c r="H56" s="36">
        <f t="shared" si="1"/>
        <v>165.447</v>
      </c>
      <c r="I56" s="40">
        <v>183.83</v>
      </c>
      <c r="J56" s="36">
        <f t="shared" si="2"/>
        <v>193.0215</v>
      </c>
      <c r="K56" s="36">
        <f t="shared" si="3"/>
        <v>155.52018</v>
      </c>
      <c r="L56" s="36">
        <f t="shared" si="4"/>
        <v>172.8002</v>
      </c>
      <c r="M56" s="41"/>
    </row>
    <row r="57" ht="15" spans="1:13">
      <c r="A57" s="27" t="s">
        <v>44</v>
      </c>
      <c r="B57" s="33" t="s">
        <v>75</v>
      </c>
      <c r="C57" s="29" t="s">
        <v>21</v>
      </c>
      <c r="D57" s="30" t="s">
        <v>28</v>
      </c>
      <c r="E57" s="29" t="s">
        <v>23</v>
      </c>
      <c r="F57" s="34" t="s">
        <v>76</v>
      </c>
      <c r="G57" s="35">
        <f t="shared" si="0"/>
        <v>9.57464366091523</v>
      </c>
      <c r="H57" s="36">
        <f t="shared" si="1"/>
        <v>114.867</v>
      </c>
      <c r="I57" s="40">
        <v>127.63</v>
      </c>
      <c r="J57" s="36">
        <f t="shared" si="2"/>
        <v>134.0115</v>
      </c>
      <c r="K57" s="36">
        <f t="shared" si="3"/>
        <v>107.97498</v>
      </c>
      <c r="L57" s="36">
        <f t="shared" si="4"/>
        <v>119.9722</v>
      </c>
      <c r="M57" s="41"/>
    </row>
    <row r="58" ht="15" spans="1:13">
      <c r="A58" s="27" t="s">
        <v>44</v>
      </c>
      <c r="B58" s="33" t="s">
        <v>75</v>
      </c>
      <c r="C58" s="29" t="s">
        <v>41</v>
      </c>
      <c r="D58" s="30" t="s">
        <v>28</v>
      </c>
      <c r="E58" s="29" t="s">
        <v>23</v>
      </c>
      <c r="F58" s="34" t="s">
        <v>76</v>
      </c>
      <c r="G58" s="35">
        <f t="shared" si="0"/>
        <v>13.4688672168042</v>
      </c>
      <c r="H58" s="36">
        <f t="shared" si="1"/>
        <v>161.586</v>
      </c>
      <c r="I58" s="40">
        <v>179.54</v>
      </c>
      <c r="J58" s="36">
        <f t="shared" si="2"/>
        <v>188.517</v>
      </c>
      <c r="K58" s="36">
        <f t="shared" si="3"/>
        <v>151.89084</v>
      </c>
      <c r="L58" s="36">
        <f t="shared" si="4"/>
        <v>168.7676</v>
      </c>
      <c r="M58" s="41"/>
    </row>
    <row r="59" ht="15" spans="1:13">
      <c r="A59" s="27" t="s">
        <v>44</v>
      </c>
      <c r="B59" s="33" t="s">
        <v>77</v>
      </c>
      <c r="C59" s="29" t="s">
        <v>27</v>
      </c>
      <c r="D59" s="30" t="s">
        <v>28</v>
      </c>
      <c r="E59" s="29" t="s">
        <v>23</v>
      </c>
      <c r="F59" s="34" t="s">
        <v>76</v>
      </c>
      <c r="G59" s="35">
        <f t="shared" si="0"/>
        <v>9.04726181545386</v>
      </c>
      <c r="H59" s="36">
        <f t="shared" si="1"/>
        <v>108.54</v>
      </c>
      <c r="I59" s="40">
        <v>120.6</v>
      </c>
      <c r="J59" s="36">
        <f t="shared" si="2"/>
        <v>126.63</v>
      </c>
      <c r="K59" s="36">
        <f t="shared" si="3"/>
        <v>102.0276</v>
      </c>
      <c r="L59" s="36">
        <f t="shared" si="4"/>
        <v>113.364</v>
      </c>
      <c r="M59" s="41"/>
    </row>
    <row r="60" ht="15" spans="1:13">
      <c r="A60" s="27" t="s">
        <v>44</v>
      </c>
      <c r="B60" s="33" t="s">
        <v>77</v>
      </c>
      <c r="C60" s="29" t="s">
        <v>21</v>
      </c>
      <c r="D60" s="30" t="s">
        <v>28</v>
      </c>
      <c r="E60" s="29" t="s">
        <v>23</v>
      </c>
      <c r="F60" s="34" t="s">
        <v>76</v>
      </c>
      <c r="G60" s="35">
        <f t="shared" si="0"/>
        <v>9.84921230307577</v>
      </c>
      <c r="H60" s="36">
        <f t="shared" si="1"/>
        <v>118.161</v>
      </c>
      <c r="I60" s="40">
        <v>131.29</v>
      </c>
      <c r="J60" s="36">
        <f t="shared" si="2"/>
        <v>137.8545</v>
      </c>
      <c r="K60" s="36">
        <f t="shared" si="3"/>
        <v>111.07134</v>
      </c>
      <c r="L60" s="36">
        <f t="shared" si="4"/>
        <v>123.4126</v>
      </c>
      <c r="M60" s="41"/>
    </row>
    <row r="61" ht="15" spans="1:13">
      <c r="A61" s="27" t="s">
        <v>44</v>
      </c>
      <c r="B61" s="33" t="s">
        <v>77</v>
      </c>
      <c r="C61" s="29" t="s">
        <v>41</v>
      </c>
      <c r="D61" s="30" t="s">
        <v>28</v>
      </c>
      <c r="E61" s="29" t="s">
        <v>23</v>
      </c>
      <c r="F61" s="34" t="s">
        <v>76</v>
      </c>
      <c r="G61" s="35">
        <f t="shared" si="0"/>
        <v>13.9474868717179</v>
      </c>
      <c r="H61" s="36">
        <f t="shared" si="1"/>
        <v>167.328</v>
      </c>
      <c r="I61" s="40">
        <v>185.92</v>
      </c>
      <c r="J61" s="36">
        <f t="shared" si="2"/>
        <v>195.216</v>
      </c>
      <c r="K61" s="36">
        <f t="shared" si="3"/>
        <v>157.28832</v>
      </c>
      <c r="L61" s="36">
        <f t="shared" si="4"/>
        <v>174.7648</v>
      </c>
      <c r="M61" s="41"/>
    </row>
    <row r="62" ht="15" spans="1:13">
      <c r="A62" s="27" t="s">
        <v>44</v>
      </c>
      <c r="B62" s="33" t="s">
        <v>77</v>
      </c>
      <c r="C62" s="29" t="s">
        <v>55</v>
      </c>
      <c r="D62" s="30" t="s">
        <v>28</v>
      </c>
      <c r="E62" s="29" t="s">
        <v>23</v>
      </c>
      <c r="F62" s="34" t="s">
        <v>76</v>
      </c>
      <c r="G62" s="35">
        <f t="shared" si="0"/>
        <v>23.1980495123781</v>
      </c>
      <c r="H62" s="36">
        <f t="shared" si="1"/>
        <v>278.307</v>
      </c>
      <c r="I62" s="40">
        <v>309.23</v>
      </c>
      <c r="J62" s="36">
        <f t="shared" si="2"/>
        <v>324.6915</v>
      </c>
      <c r="K62" s="36">
        <f t="shared" si="3"/>
        <v>261.60858</v>
      </c>
      <c r="L62" s="36">
        <f t="shared" si="4"/>
        <v>290.6762</v>
      </c>
      <c r="M62" s="41"/>
    </row>
    <row r="63" ht="15" spans="1:13">
      <c r="A63" s="27" t="s">
        <v>44</v>
      </c>
      <c r="B63" s="33" t="s">
        <v>78</v>
      </c>
      <c r="C63" s="29" t="s">
        <v>27</v>
      </c>
      <c r="D63" s="30" t="s">
        <v>28</v>
      </c>
      <c r="E63" s="29" t="s">
        <v>23</v>
      </c>
      <c r="F63" s="34" t="s">
        <v>32</v>
      </c>
      <c r="G63" s="35">
        <f t="shared" si="0"/>
        <v>8.7344336084021</v>
      </c>
      <c r="H63" s="36">
        <f t="shared" si="1"/>
        <v>104.787</v>
      </c>
      <c r="I63" s="40">
        <v>116.43</v>
      </c>
      <c r="J63" s="36">
        <f t="shared" si="2"/>
        <v>122.2515</v>
      </c>
      <c r="K63" s="36">
        <f t="shared" si="3"/>
        <v>98.49978</v>
      </c>
      <c r="L63" s="36">
        <f t="shared" si="4"/>
        <v>109.4442</v>
      </c>
      <c r="M63" s="41"/>
    </row>
    <row r="64" ht="15" spans="1:13">
      <c r="A64" s="27" t="s">
        <v>44</v>
      </c>
      <c r="B64" s="33" t="s">
        <v>79</v>
      </c>
      <c r="C64" s="29" t="s">
        <v>21</v>
      </c>
      <c r="D64" s="30" t="s">
        <v>28</v>
      </c>
      <c r="E64" s="29" t="s">
        <v>23</v>
      </c>
      <c r="F64" s="34" t="s">
        <v>32</v>
      </c>
      <c r="G64" s="35">
        <f t="shared" si="0"/>
        <v>9.52588147036759</v>
      </c>
      <c r="H64" s="36">
        <f t="shared" si="1"/>
        <v>114.282</v>
      </c>
      <c r="I64" s="40">
        <v>126.98</v>
      </c>
      <c r="J64" s="36">
        <f t="shared" si="2"/>
        <v>133.329</v>
      </c>
      <c r="K64" s="36">
        <f t="shared" si="3"/>
        <v>107.42508</v>
      </c>
      <c r="L64" s="36">
        <f t="shared" si="4"/>
        <v>119.3612</v>
      </c>
      <c r="M64" s="41"/>
    </row>
    <row r="65" ht="15" spans="1:13">
      <c r="A65" s="27" t="s">
        <v>44</v>
      </c>
      <c r="B65" s="33" t="s">
        <v>79</v>
      </c>
      <c r="C65" s="29" t="s">
        <v>41</v>
      </c>
      <c r="D65" s="30" t="s">
        <v>28</v>
      </c>
      <c r="E65" s="29" t="s">
        <v>23</v>
      </c>
      <c r="F65" s="34" t="s">
        <v>32</v>
      </c>
      <c r="G65" s="35">
        <f t="shared" si="0"/>
        <v>13.4313578394599</v>
      </c>
      <c r="H65" s="36">
        <f t="shared" si="1"/>
        <v>161.136</v>
      </c>
      <c r="I65" s="40">
        <v>179.04</v>
      </c>
      <c r="J65" s="36">
        <f t="shared" si="2"/>
        <v>187.992</v>
      </c>
      <c r="K65" s="36">
        <f t="shared" si="3"/>
        <v>151.46784</v>
      </c>
      <c r="L65" s="36">
        <f t="shared" si="4"/>
        <v>168.2976</v>
      </c>
      <c r="M65" s="41"/>
    </row>
    <row r="66" ht="15" spans="1:13">
      <c r="A66" s="27" t="s">
        <v>44</v>
      </c>
      <c r="B66" s="33" t="s">
        <v>31</v>
      </c>
      <c r="C66" s="29" t="s">
        <v>21</v>
      </c>
      <c r="D66" s="30" t="s">
        <v>28</v>
      </c>
      <c r="E66" s="29" t="s">
        <v>23</v>
      </c>
      <c r="F66" s="34" t="s">
        <v>32</v>
      </c>
      <c r="G66" s="35">
        <f t="shared" si="0"/>
        <v>9.5708927231808</v>
      </c>
      <c r="H66" s="36">
        <f t="shared" si="1"/>
        <v>114.822</v>
      </c>
      <c r="I66" s="40">
        <v>127.58</v>
      </c>
      <c r="J66" s="36">
        <f t="shared" si="2"/>
        <v>133.959</v>
      </c>
      <c r="K66" s="36">
        <f t="shared" si="3"/>
        <v>107.93268</v>
      </c>
      <c r="L66" s="36">
        <f t="shared" si="4"/>
        <v>119.9252</v>
      </c>
      <c r="M66" s="41"/>
    </row>
    <row r="67" ht="15" spans="1:13">
      <c r="A67" s="27" t="s">
        <v>44</v>
      </c>
      <c r="B67" s="33" t="s">
        <v>31</v>
      </c>
      <c r="C67" s="29" t="s">
        <v>41</v>
      </c>
      <c r="D67" s="30" t="s">
        <v>28</v>
      </c>
      <c r="E67" s="29" t="s">
        <v>23</v>
      </c>
      <c r="F67" s="34" t="s">
        <v>32</v>
      </c>
      <c r="G67" s="35">
        <f t="shared" ref="G67:G130" si="5">I67/13.33</f>
        <v>13.9384846211553</v>
      </c>
      <c r="H67" s="36">
        <f t="shared" ref="H67:H130" si="6">I67*0.9</f>
        <v>167.22</v>
      </c>
      <c r="I67" s="40">
        <v>185.8</v>
      </c>
      <c r="J67" s="36">
        <f t="shared" ref="J67:J130" si="7">I67*1.05</f>
        <v>195.09</v>
      </c>
      <c r="K67" s="36">
        <f t="shared" ref="K67:K130" si="8">H67*0.94</f>
        <v>157.1868</v>
      </c>
      <c r="L67" s="36">
        <f t="shared" ref="L67:L130" si="9">I67*0.94</f>
        <v>174.652</v>
      </c>
      <c r="M67" s="41"/>
    </row>
    <row r="68" ht="15" spans="1:13">
      <c r="A68" s="27" t="s">
        <v>44</v>
      </c>
      <c r="B68" s="33" t="s">
        <v>31</v>
      </c>
      <c r="C68" s="29" t="s">
        <v>71</v>
      </c>
      <c r="D68" s="30" t="s">
        <v>28</v>
      </c>
      <c r="E68" s="29" t="s">
        <v>23</v>
      </c>
      <c r="F68" s="34" t="s">
        <v>32</v>
      </c>
      <c r="G68" s="35">
        <f t="shared" si="5"/>
        <v>18.8432108027007</v>
      </c>
      <c r="H68" s="36">
        <f t="shared" si="6"/>
        <v>226.062</v>
      </c>
      <c r="I68" s="40">
        <v>251.18</v>
      </c>
      <c r="J68" s="36">
        <f t="shared" si="7"/>
        <v>263.739</v>
      </c>
      <c r="K68" s="36">
        <f t="shared" si="8"/>
        <v>212.49828</v>
      </c>
      <c r="L68" s="36">
        <f t="shared" si="9"/>
        <v>236.1092</v>
      </c>
      <c r="M68" s="41"/>
    </row>
    <row r="69" ht="15" spans="1:13">
      <c r="A69" s="27" t="s">
        <v>44</v>
      </c>
      <c r="B69" s="33" t="s">
        <v>31</v>
      </c>
      <c r="C69" s="29" t="s">
        <v>55</v>
      </c>
      <c r="D69" s="30" t="s">
        <v>28</v>
      </c>
      <c r="E69" s="29" t="s">
        <v>23</v>
      </c>
      <c r="F69" s="34" t="s">
        <v>32</v>
      </c>
      <c r="G69" s="35">
        <f t="shared" si="5"/>
        <v>22.9159789947487</v>
      </c>
      <c r="H69" s="36">
        <f t="shared" si="6"/>
        <v>274.923</v>
      </c>
      <c r="I69" s="40">
        <v>305.47</v>
      </c>
      <c r="J69" s="36">
        <f t="shared" si="7"/>
        <v>320.7435</v>
      </c>
      <c r="K69" s="36">
        <f t="shared" si="8"/>
        <v>258.42762</v>
      </c>
      <c r="L69" s="36">
        <f t="shared" si="9"/>
        <v>287.1418</v>
      </c>
      <c r="M69" s="41"/>
    </row>
    <row r="70" ht="15" spans="1:13">
      <c r="A70" s="27" t="s">
        <v>44</v>
      </c>
      <c r="B70" s="33" t="s">
        <v>80</v>
      </c>
      <c r="C70" s="29" t="s">
        <v>27</v>
      </c>
      <c r="D70" s="30" t="s">
        <v>28</v>
      </c>
      <c r="E70" s="29" t="s">
        <v>23</v>
      </c>
      <c r="F70" s="34" t="s">
        <v>32</v>
      </c>
      <c r="G70" s="35">
        <f t="shared" si="5"/>
        <v>8.93398349587397</v>
      </c>
      <c r="H70" s="36">
        <f t="shared" si="6"/>
        <v>107.181</v>
      </c>
      <c r="I70" s="40">
        <v>119.09</v>
      </c>
      <c r="J70" s="36">
        <f t="shared" si="7"/>
        <v>125.0445</v>
      </c>
      <c r="K70" s="36">
        <f t="shared" si="8"/>
        <v>100.75014</v>
      </c>
      <c r="L70" s="36">
        <f t="shared" si="9"/>
        <v>111.9446</v>
      </c>
      <c r="M70" s="41"/>
    </row>
    <row r="71" ht="15" spans="1:13">
      <c r="A71" s="27" t="s">
        <v>44</v>
      </c>
      <c r="B71" s="33" t="s">
        <v>80</v>
      </c>
      <c r="C71" s="29" t="s">
        <v>21</v>
      </c>
      <c r="D71" s="30" t="s">
        <v>28</v>
      </c>
      <c r="E71" s="29" t="s">
        <v>23</v>
      </c>
      <c r="F71" s="34" t="s">
        <v>32</v>
      </c>
      <c r="G71" s="35">
        <f t="shared" si="5"/>
        <v>9.69692423105776</v>
      </c>
      <c r="H71" s="36">
        <f t="shared" si="6"/>
        <v>116.334</v>
      </c>
      <c r="I71" s="40">
        <v>129.26</v>
      </c>
      <c r="J71" s="36">
        <f t="shared" si="7"/>
        <v>135.723</v>
      </c>
      <c r="K71" s="36">
        <f t="shared" si="8"/>
        <v>109.35396</v>
      </c>
      <c r="L71" s="36">
        <f t="shared" si="9"/>
        <v>121.5044</v>
      </c>
      <c r="M71" s="41"/>
    </row>
    <row r="72" ht="15" spans="1:13">
      <c r="A72" s="27" t="s">
        <v>44</v>
      </c>
      <c r="B72" s="33" t="s">
        <v>80</v>
      </c>
      <c r="C72" s="29" t="s">
        <v>41</v>
      </c>
      <c r="D72" s="30" t="s">
        <v>28</v>
      </c>
      <c r="E72" s="29" t="s">
        <v>23</v>
      </c>
      <c r="F72" s="34" t="s">
        <v>32</v>
      </c>
      <c r="G72" s="35">
        <f t="shared" si="5"/>
        <v>13.9527381845461</v>
      </c>
      <c r="H72" s="36">
        <f t="shared" si="6"/>
        <v>167.391</v>
      </c>
      <c r="I72" s="40">
        <v>185.99</v>
      </c>
      <c r="J72" s="36">
        <f t="shared" si="7"/>
        <v>195.2895</v>
      </c>
      <c r="K72" s="36">
        <f t="shared" si="8"/>
        <v>157.34754</v>
      </c>
      <c r="L72" s="36">
        <f t="shared" si="9"/>
        <v>174.8306</v>
      </c>
      <c r="M72" s="41"/>
    </row>
    <row r="73" ht="15" spans="1:13">
      <c r="A73" s="27" t="s">
        <v>44</v>
      </c>
      <c r="B73" s="33" t="s">
        <v>81</v>
      </c>
      <c r="C73" s="29" t="s">
        <v>41</v>
      </c>
      <c r="D73" s="30" t="s">
        <v>28</v>
      </c>
      <c r="E73" s="29" t="s">
        <v>23</v>
      </c>
      <c r="F73" s="34" t="s">
        <v>82</v>
      </c>
      <c r="G73" s="35">
        <f t="shared" si="5"/>
        <v>14.2550637659415</v>
      </c>
      <c r="H73" s="36">
        <f t="shared" si="6"/>
        <v>171.018</v>
      </c>
      <c r="I73" s="40">
        <v>190.02</v>
      </c>
      <c r="J73" s="36">
        <f t="shared" si="7"/>
        <v>199.521</v>
      </c>
      <c r="K73" s="36">
        <f t="shared" si="8"/>
        <v>160.75692</v>
      </c>
      <c r="L73" s="36">
        <f t="shared" si="9"/>
        <v>178.6188</v>
      </c>
      <c r="M73" s="41"/>
    </row>
    <row r="74" ht="15" spans="1:13">
      <c r="A74" s="27" t="s">
        <v>44</v>
      </c>
      <c r="B74" s="33" t="s">
        <v>83</v>
      </c>
      <c r="C74" s="29" t="s">
        <v>27</v>
      </c>
      <c r="D74" s="30" t="s">
        <v>28</v>
      </c>
      <c r="E74" s="29" t="s">
        <v>23</v>
      </c>
      <c r="F74" s="34" t="s">
        <v>34</v>
      </c>
      <c r="G74" s="35">
        <f t="shared" si="5"/>
        <v>10.3728432108027</v>
      </c>
      <c r="H74" s="36">
        <f t="shared" si="6"/>
        <v>124.443</v>
      </c>
      <c r="I74" s="40">
        <v>138.27</v>
      </c>
      <c r="J74" s="36">
        <f t="shared" si="7"/>
        <v>145.1835</v>
      </c>
      <c r="K74" s="36">
        <f t="shared" si="8"/>
        <v>116.97642</v>
      </c>
      <c r="L74" s="36">
        <f t="shared" si="9"/>
        <v>129.9738</v>
      </c>
      <c r="M74" s="41"/>
    </row>
    <row r="75" ht="15" spans="1:13">
      <c r="A75" s="27" t="s">
        <v>44</v>
      </c>
      <c r="B75" s="33" t="s">
        <v>83</v>
      </c>
      <c r="C75" s="29" t="s">
        <v>21</v>
      </c>
      <c r="D75" s="30" t="s">
        <v>28</v>
      </c>
      <c r="E75" s="29" t="s">
        <v>23</v>
      </c>
      <c r="F75" s="34" t="s">
        <v>34</v>
      </c>
      <c r="G75" s="35">
        <f t="shared" si="5"/>
        <v>11.5461365341335</v>
      </c>
      <c r="H75" s="36">
        <f t="shared" si="6"/>
        <v>138.519</v>
      </c>
      <c r="I75" s="40">
        <v>153.91</v>
      </c>
      <c r="J75" s="36">
        <f t="shared" si="7"/>
        <v>161.6055</v>
      </c>
      <c r="K75" s="36">
        <f t="shared" si="8"/>
        <v>130.20786</v>
      </c>
      <c r="L75" s="36">
        <f t="shared" si="9"/>
        <v>144.6754</v>
      </c>
      <c r="M75" s="41"/>
    </row>
    <row r="76" ht="15" spans="1:13">
      <c r="A76" s="27" t="s">
        <v>44</v>
      </c>
      <c r="B76" s="33" t="s">
        <v>83</v>
      </c>
      <c r="C76" s="29" t="s">
        <v>41</v>
      </c>
      <c r="D76" s="30" t="s">
        <v>28</v>
      </c>
      <c r="E76" s="29" t="s">
        <v>23</v>
      </c>
      <c r="F76" s="34" t="s">
        <v>34</v>
      </c>
      <c r="G76" s="35">
        <f t="shared" si="5"/>
        <v>15.6834208552138</v>
      </c>
      <c r="H76" s="36">
        <f t="shared" si="6"/>
        <v>188.154</v>
      </c>
      <c r="I76" s="40">
        <v>209.06</v>
      </c>
      <c r="J76" s="36">
        <f t="shared" si="7"/>
        <v>219.513</v>
      </c>
      <c r="K76" s="36">
        <f t="shared" si="8"/>
        <v>176.86476</v>
      </c>
      <c r="L76" s="36">
        <f t="shared" si="9"/>
        <v>196.5164</v>
      </c>
      <c r="M76" s="41"/>
    </row>
    <row r="77" ht="15" spans="1:13">
      <c r="A77" s="27" t="s">
        <v>44</v>
      </c>
      <c r="B77" s="33" t="s">
        <v>83</v>
      </c>
      <c r="C77" s="29" t="s">
        <v>21</v>
      </c>
      <c r="D77" s="30" t="s">
        <v>28</v>
      </c>
      <c r="E77" s="29" t="s">
        <v>23</v>
      </c>
      <c r="F77" s="34" t="s">
        <v>82</v>
      </c>
      <c r="G77" s="35">
        <f t="shared" si="5"/>
        <v>11.3353338334584</v>
      </c>
      <c r="H77" s="36">
        <f t="shared" si="6"/>
        <v>135.99</v>
      </c>
      <c r="I77" s="40">
        <v>151.1</v>
      </c>
      <c r="J77" s="36">
        <f t="shared" si="7"/>
        <v>158.655</v>
      </c>
      <c r="K77" s="36">
        <f t="shared" si="8"/>
        <v>127.8306</v>
      </c>
      <c r="L77" s="36">
        <f t="shared" si="9"/>
        <v>142.034</v>
      </c>
      <c r="M77" s="41"/>
    </row>
    <row r="78" ht="15" spans="1:13">
      <c r="A78" s="27" t="s">
        <v>44</v>
      </c>
      <c r="B78" s="33" t="s">
        <v>83</v>
      </c>
      <c r="C78" s="29" t="s">
        <v>41</v>
      </c>
      <c r="D78" s="30" t="s">
        <v>28</v>
      </c>
      <c r="E78" s="29" t="s">
        <v>23</v>
      </c>
      <c r="F78" s="34" t="s">
        <v>82</v>
      </c>
      <c r="G78" s="35">
        <f t="shared" si="5"/>
        <v>15.6834208552138</v>
      </c>
      <c r="H78" s="36">
        <f t="shared" si="6"/>
        <v>188.154</v>
      </c>
      <c r="I78" s="40">
        <v>209.06</v>
      </c>
      <c r="J78" s="36">
        <f t="shared" si="7"/>
        <v>219.513</v>
      </c>
      <c r="K78" s="36">
        <f t="shared" si="8"/>
        <v>176.86476</v>
      </c>
      <c r="L78" s="36">
        <f t="shared" si="9"/>
        <v>196.5164</v>
      </c>
      <c r="M78" s="41"/>
    </row>
    <row r="79" ht="15" spans="1:13">
      <c r="A79" s="27" t="s">
        <v>44</v>
      </c>
      <c r="B79" s="33" t="s">
        <v>33</v>
      </c>
      <c r="C79" s="29" t="s">
        <v>27</v>
      </c>
      <c r="D79" s="30" t="s">
        <v>28</v>
      </c>
      <c r="E79" s="29" t="s">
        <v>23</v>
      </c>
      <c r="F79" s="34" t="s">
        <v>34</v>
      </c>
      <c r="G79" s="35">
        <f t="shared" si="5"/>
        <v>10.430607651913</v>
      </c>
      <c r="H79" s="36">
        <f t="shared" si="6"/>
        <v>125.136</v>
      </c>
      <c r="I79" s="40">
        <v>139.04</v>
      </c>
      <c r="J79" s="36">
        <f t="shared" si="7"/>
        <v>145.992</v>
      </c>
      <c r="K79" s="36">
        <f t="shared" si="8"/>
        <v>117.62784</v>
      </c>
      <c r="L79" s="36">
        <f t="shared" si="9"/>
        <v>130.6976</v>
      </c>
      <c r="M79" s="41"/>
    </row>
    <row r="80" ht="15" spans="1:13">
      <c r="A80" s="27" t="s">
        <v>44</v>
      </c>
      <c r="B80" s="33" t="s">
        <v>33</v>
      </c>
      <c r="C80" s="29" t="s">
        <v>21</v>
      </c>
      <c r="D80" s="30" t="s">
        <v>28</v>
      </c>
      <c r="E80" s="29" t="s">
        <v>23</v>
      </c>
      <c r="F80" s="34" t="s">
        <v>34</v>
      </c>
      <c r="G80" s="35">
        <f t="shared" si="5"/>
        <v>11.5468867216804</v>
      </c>
      <c r="H80" s="36">
        <f t="shared" si="6"/>
        <v>138.528</v>
      </c>
      <c r="I80" s="40">
        <v>153.92</v>
      </c>
      <c r="J80" s="36">
        <f t="shared" si="7"/>
        <v>161.616</v>
      </c>
      <c r="K80" s="36">
        <f t="shared" si="8"/>
        <v>130.21632</v>
      </c>
      <c r="L80" s="36">
        <f t="shared" si="9"/>
        <v>144.6848</v>
      </c>
      <c r="M80" s="41"/>
    </row>
    <row r="81" ht="15" spans="1:13">
      <c r="A81" s="27" t="s">
        <v>44</v>
      </c>
      <c r="B81" s="33" t="s">
        <v>33</v>
      </c>
      <c r="C81" s="29" t="s">
        <v>41</v>
      </c>
      <c r="D81" s="30" t="s">
        <v>28</v>
      </c>
      <c r="E81" s="29" t="s">
        <v>23</v>
      </c>
      <c r="F81" s="34" t="s">
        <v>34</v>
      </c>
      <c r="G81" s="35">
        <f t="shared" si="5"/>
        <v>15.5371342835709</v>
      </c>
      <c r="H81" s="36">
        <f t="shared" si="6"/>
        <v>186.399</v>
      </c>
      <c r="I81" s="40">
        <v>207.11</v>
      </c>
      <c r="J81" s="36">
        <f t="shared" si="7"/>
        <v>217.4655</v>
      </c>
      <c r="K81" s="36">
        <f t="shared" si="8"/>
        <v>175.21506</v>
      </c>
      <c r="L81" s="36">
        <f t="shared" si="9"/>
        <v>194.6834</v>
      </c>
      <c r="M81" s="41"/>
    </row>
    <row r="82" ht="15" spans="1:13">
      <c r="A82" s="27" t="s">
        <v>44</v>
      </c>
      <c r="B82" s="33" t="s">
        <v>84</v>
      </c>
      <c r="C82" s="29" t="s">
        <v>21</v>
      </c>
      <c r="D82" s="30" t="s">
        <v>28</v>
      </c>
      <c r="E82" s="29" t="s">
        <v>23</v>
      </c>
      <c r="F82" s="34" t="s">
        <v>36</v>
      </c>
      <c r="G82" s="35">
        <f t="shared" si="5"/>
        <v>10.7036759189797</v>
      </c>
      <c r="H82" s="36">
        <f t="shared" si="6"/>
        <v>128.412</v>
      </c>
      <c r="I82" s="40">
        <v>142.68</v>
      </c>
      <c r="J82" s="36">
        <f t="shared" si="7"/>
        <v>149.814</v>
      </c>
      <c r="K82" s="36">
        <f t="shared" si="8"/>
        <v>120.70728</v>
      </c>
      <c r="L82" s="36">
        <f t="shared" si="9"/>
        <v>134.1192</v>
      </c>
      <c r="M82" s="41"/>
    </row>
    <row r="83" ht="15" spans="1:13">
      <c r="A83" s="27" t="s">
        <v>44</v>
      </c>
      <c r="B83" s="33" t="s">
        <v>84</v>
      </c>
      <c r="C83" s="29" t="s">
        <v>41</v>
      </c>
      <c r="D83" s="30" t="s">
        <v>28</v>
      </c>
      <c r="E83" s="29" t="s">
        <v>23</v>
      </c>
      <c r="F83" s="34" t="s">
        <v>36</v>
      </c>
      <c r="G83" s="35">
        <f t="shared" si="5"/>
        <v>14.4246061515379</v>
      </c>
      <c r="H83" s="36">
        <f t="shared" si="6"/>
        <v>173.052</v>
      </c>
      <c r="I83" s="40">
        <v>192.28</v>
      </c>
      <c r="J83" s="36">
        <f t="shared" si="7"/>
        <v>201.894</v>
      </c>
      <c r="K83" s="36">
        <f t="shared" si="8"/>
        <v>162.66888</v>
      </c>
      <c r="L83" s="36">
        <f t="shared" si="9"/>
        <v>180.7432</v>
      </c>
      <c r="M83" s="41"/>
    </row>
    <row r="84" ht="15" spans="1:13">
      <c r="A84" s="27" t="s">
        <v>44</v>
      </c>
      <c r="B84" s="33" t="s">
        <v>35</v>
      </c>
      <c r="C84" s="29" t="s">
        <v>21</v>
      </c>
      <c r="D84" s="30" t="s">
        <v>28</v>
      </c>
      <c r="E84" s="29" t="s">
        <v>23</v>
      </c>
      <c r="F84" s="34" t="s">
        <v>36</v>
      </c>
      <c r="G84" s="35">
        <f t="shared" si="5"/>
        <v>11.0082520630158</v>
      </c>
      <c r="H84" s="36">
        <f t="shared" si="6"/>
        <v>132.066</v>
      </c>
      <c r="I84" s="40">
        <v>146.74</v>
      </c>
      <c r="J84" s="36">
        <f t="shared" si="7"/>
        <v>154.077</v>
      </c>
      <c r="K84" s="36">
        <f t="shared" si="8"/>
        <v>124.14204</v>
      </c>
      <c r="L84" s="36">
        <f t="shared" si="9"/>
        <v>137.9356</v>
      </c>
      <c r="M84" s="41"/>
    </row>
    <row r="85" ht="15" spans="1:13">
      <c r="A85" s="27" t="s">
        <v>44</v>
      </c>
      <c r="B85" s="33" t="s">
        <v>85</v>
      </c>
      <c r="C85" s="29" t="s">
        <v>21</v>
      </c>
      <c r="D85" s="30" t="s">
        <v>22</v>
      </c>
      <c r="E85" s="29" t="s">
        <v>23</v>
      </c>
      <c r="F85" s="34" t="s">
        <v>36</v>
      </c>
      <c r="G85" s="35">
        <f t="shared" si="5"/>
        <v>11.1207801950488</v>
      </c>
      <c r="H85" s="36">
        <f t="shared" si="6"/>
        <v>133.416</v>
      </c>
      <c r="I85" s="40">
        <v>148.24</v>
      </c>
      <c r="J85" s="36">
        <f t="shared" si="7"/>
        <v>155.652</v>
      </c>
      <c r="K85" s="36">
        <f t="shared" si="8"/>
        <v>125.41104</v>
      </c>
      <c r="L85" s="36">
        <f t="shared" si="9"/>
        <v>139.3456</v>
      </c>
      <c r="M85" s="41"/>
    </row>
    <row r="86" ht="15" spans="1:13">
      <c r="A86" s="27" t="s">
        <v>44</v>
      </c>
      <c r="B86" s="33" t="s">
        <v>85</v>
      </c>
      <c r="C86" s="29" t="s">
        <v>41</v>
      </c>
      <c r="D86" s="30" t="s">
        <v>22</v>
      </c>
      <c r="E86" s="29" t="s">
        <v>23</v>
      </c>
      <c r="F86" s="34" t="s">
        <v>36</v>
      </c>
      <c r="G86" s="35">
        <f t="shared" si="5"/>
        <v>14.8177044261065</v>
      </c>
      <c r="H86" s="36">
        <f t="shared" si="6"/>
        <v>177.768</v>
      </c>
      <c r="I86" s="40">
        <v>197.52</v>
      </c>
      <c r="J86" s="36">
        <f t="shared" si="7"/>
        <v>207.396</v>
      </c>
      <c r="K86" s="36">
        <f t="shared" si="8"/>
        <v>167.10192</v>
      </c>
      <c r="L86" s="36">
        <f t="shared" si="9"/>
        <v>185.6688</v>
      </c>
      <c r="M86" s="41"/>
    </row>
    <row r="87" ht="15" spans="1:13">
      <c r="A87" s="27" t="s">
        <v>44</v>
      </c>
      <c r="B87" s="33" t="s">
        <v>85</v>
      </c>
      <c r="C87" s="29" t="s">
        <v>55</v>
      </c>
      <c r="D87" s="30" t="s">
        <v>22</v>
      </c>
      <c r="E87" s="29" t="s">
        <v>23</v>
      </c>
      <c r="F87" s="34" t="s">
        <v>36</v>
      </c>
      <c r="G87" s="35">
        <f t="shared" si="5"/>
        <v>24.1110277569392</v>
      </c>
      <c r="H87" s="36">
        <f t="shared" si="6"/>
        <v>289.26</v>
      </c>
      <c r="I87" s="40">
        <v>321.4</v>
      </c>
      <c r="J87" s="36">
        <f t="shared" si="7"/>
        <v>337.47</v>
      </c>
      <c r="K87" s="36">
        <f t="shared" si="8"/>
        <v>271.9044</v>
      </c>
      <c r="L87" s="36">
        <f t="shared" si="9"/>
        <v>302.116</v>
      </c>
      <c r="M87" s="41"/>
    </row>
    <row r="88" ht="15" spans="1:13">
      <c r="A88" s="27" t="s">
        <v>44</v>
      </c>
      <c r="B88" s="33" t="s">
        <v>85</v>
      </c>
      <c r="C88" s="29" t="s">
        <v>55</v>
      </c>
      <c r="D88" s="30" t="s">
        <v>22</v>
      </c>
      <c r="E88" s="29" t="s">
        <v>23</v>
      </c>
      <c r="F88" s="34" t="s">
        <v>34</v>
      </c>
      <c r="G88" s="35">
        <f t="shared" si="5"/>
        <v>25.4426106526632</v>
      </c>
      <c r="H88" s="36">
        <f t="shared" si="6"/>
        <v>305.235</v>
      </c>
      <c r="I88" s="40">
        <v>339.15</v>
      </c>
      <c r="J88" s="36">
        <f t="shared" si="7"/>
        <v>356.1075</v>
      </c>
      <c r="K88" s="36">
        <f t="shared" si="8"/>
        <v>286.9209</v>
      </c>
      <c r="L88" s="36">
        <f t="shared" si="9"/>
        <v>318.801</v>
      </c>
      <c r="M88" s="41"/>
    </row>
    <row r="89" ht="15" spans="1:13">
      <c r="A89" s="27" t="s">
        <v>44</v>
      </c>
      <c r="B89" s="33" t="s">
        <v>86</v>
      </c>
      <c r="C89" s="29" t="s">
        <v>21</v>
      </c>
      <c r="D89" s="30" t="s">
        <v>22</v>
      </c>
      <c r="E89" s="29" t="s">
        <v>23</v>
      </c>
      <c r="F89" s="34" t="s">
        <v>38</v>
      </c>
      <c r="G89" s="35">
        <f t="shared" si="5"/>
        <v>12.1200300075019</v>
      </c>
      <c r="H89" s="36">
        <f t="shared" si="6"/>
        <v>145.404</v>
      </c>
      <c r="I89" s="40">
        <v>161.56</v>
      </c>
      <c r="J89" s="36">
        <f t="shared" si="7"/>
        <v>169.638</v>
      </c>
      <c r="K89" s="36">
        <f t="shared" si="8"/>
        <v>136.67976</v>
      </c>
      <c r="L89" s="36">
        <f t="shared" si="9"/>
        <v>151.8664</v>
      </c>
      <c r="M89" s="41"/>
    </row>
    <row r="90" ht="15" spans="1:13">
      <c r="A90" s="27" t="s">
        <v>44</v>
      </c>
      <c r="B90" s="33" t="s">
        <v>86</v>
      </c>
      <c r="C90" s="29" t="s">
        <v>41</v>
      </c>
      <c r="D90" s="30" t="s">
        <v>22</v>
      </c>
      <c r="E90" s="29" t="s">
        <v>23</v>
      </c>
      <c r="F90" s="34" t="s">
        <v>36</v>
      </c>
      <c r="G90" s="35">
        <f t="shared" si="5"/>
        <v>15.1770442610653</v>
      </c>
      <c r="H90" s="36">
        <f t="shared" si="6"/>
        <v>182.079</v>
      </c>
      <c r="I90" s="40">
        <v>202.31</v>
      </c>
      <c r="J90" s="36">
        <f t="shared" si="7"/>
        <v>212.4255</v>
      </c>
      <c r="K90" s="36">
        <f t="shared" si="8"/>
        <v>171.15426</v>
      </c>
      <c r="L90" s="36">
        <f t="shared" si="9"/>
        <v>190.1714</v>
      </c>
      <c r="M90" s="41"/>
    </row>
    <row r="91" ht="15" spans="1:13">
      <c r="A91" s="27" t="s">
        <v>44</v>
      </c>
      <c r="B91" s="33" t="s">
        <v>37</v>
      </c>
      <c r="C91" s="29" t="s">
        <v>27</v>
      </c>
      <c r="D91" s="30" t="s">
        <v>22</v>
      </c>
      <c r="E91" s="29" t="s">
        <v>23</v>
      </c>
      <c r="F91" s="34" t="s">
        <v>38</v>
      </c>
      <c r="G91" s="35">
        <f t="shared" si="5"/>
        <v>10.9092273068267</v>
      </c>
      <c r="H91" s="36">
        <f t="shared" si="6"/>
        <v>130.878</v>
      </c>
      <c r="I91" s="40">
        <v>145.42</v>
      </c>
      <c r="J91" s="36">
        <f t="shared" si="7"/>
        <v>152.691</v>
      </c>
      <c r="K91" s="36">
        <f t="shared" si="8"/>
        <v>123.02532</v>
      </c>
      <c r="L91" s="36">
        <f t="shared" si="9"/>
        <v>136.6948</v>
      </c>
      <c r="M91" s="41"/>
    </row>
    <row r="92" ht="15" spans="1:13">
      <c r="A92" s="27" t="s">
        <v>44</v>
      </c>
      <c r="B92" s="33" t="s">
        <v>37</v>
      </c>
      <c r="C92" s="29" t="s">
        <v>21</v>
      </c>
      <c r="D92" s="30" t="s">
        <v>22</v>
      </c>
      <c r="E92" s="29" t="s">
        <v>23</v>
      </c>
      <c r="F92" s="34" t="s">
        <v>38</v>
      </c>
      <c r="G92" s="35">
        <f t="shared" si="5"/>
        <v>11.9617404351088</v>
      </c>
      <c r="H92" s="36">
        <f t="shared" si="6"/>
        <v>143.505</v>
      </c>
      <c r="I92" s="40">
        <v>159.45</v>
      </c>
      <c r="J92" s="36">
        <f t="shared" si="7"/>
        <v>167.4225</v>
      </c>
      <c r="K92" s="36">
        <f t="shared" si="8"/>
        <v>134.8947</v>
      </c>
      <c r="L92" s="36">
        <f t="shared" si="9"/>
        <v>149.883</v>
      </c>
      <c r="M92" s="41"/>
    </row>
    <row r="93" ht="15" spans="1:13">
      <c r="A93" s="27" t="s">
        <v>44</v>
      </c>
      <c r="B93" s="33" t="s">
        <v>37</v>
      </c>
      <c r="C93" s="29" t="s">
        <v>41</v>
      </c>
      <c r="D93" s="30" t="s">
        <v>22</v>
      </c>
      <c r="E93" s="29" t="s">
        <v>23</v>
      </c>
      <c r="F93" s="34" t="s">
        <v>38</v>
      </c>
      <c r="G93" s="35">
        <f t="shared" si="5"/>
        <v>16.0637659414854</v>
      </c>
      <c r="H93" s="36">
        <f t="shared" si="6"/>
        <v>192.717</v>
      </c>
      <c r="I93" s="40">
        <v>214.13</v>
      </c>
      <c r="J93" s="36">
        <f t="shared" si="7"/>
        <v>224.8365</v>
      </c>
      <c r="K93" s="36">
        <f t="shared" si="8"/>
        <v>181.15398</v>
      </c>
      <c r="L93" s="36">
        <f t="shared" si="9"/>
        <v>201.2822</v>
      </c>
      <c r="M93" s="41"/>
    </row>
    <row r="94" ht="15" spans="1:13">
      <c r="A94" s="27" t="s">
        <v>44</v>
      </c>
      <c r="B94" s="33" t="s">
        <v>87</v>
      </c>
      <c r="C94" s="29" t="s">
        <v>41</v>
      </c>
      <c r="D94" s="30" t="s">
        <v>22</v>
      </c>
      <c r="E94" s="29" t="s">
        <v>23</v>
      </c>
      <c r="F94" s="34" t="s">
        <v>40</v>
      </c>
      <c r="G94" s="35">
        <f t="shared" si="5"/>
        <v>16.0960240060015</v>
      </c>
      <c r="H94" s="36">
        <f t="shared" si="6"/>
        <v>193.104</v>
      </c>
      <c r="I94" s="40">
        <v>214.56</v>
      </c>
      <c r="J94" s="36">
        <f t="shared" si="7"/>
        <v>225.288</v>
      </c>
      <c r="K94" s="36">
        <f t="shared" si="8"/>
        <v>181.51776</v>
      </c>
      <c r="L94" s="36">
        <f t="shared" si="9"/>
        <v>201.6864</v>
      </c>
      <c r="M94" s="41"/>
    </row>
    <row r="95" ht="15" spans="1:13">
      <c r="A95" s="27" t="s">
        <v>44</v>
      </c>
      <c r="B95" s="33" t="s">
        <v>39</v>
      </c>
      <c r="C95" s="29" t="s">
        <v>21</v>
      </c>
      <c r="D95" s="30" t="s">
        <v>22</v>
      </c>
      <c r="E95" s="29" t="s">
        <v>23</v>
      </c>
      <c r="F95" s="34" t="s">
        <v>40</v>
      </c>
      <c r="G95" s="35">
        <f t="shared" si="5"/>
        <v>12.1432858214554</v>
      </c>
      <c r="H95" s="36">
        <f t="shared" si="6"/>
        <v>145.683</v>
      </c>
      <c r="I95" s="40">
        <v>161.87</v>
      </c>
      <c r="J95" s="36">
        <f t="shared" si="7"/>
        <v>169.9635</v>
      </c>
      <c r="K95" s="36">
        <f t="shared" si="8"/>
        <v>136.94202</v>
      </c>
      <c r="L95" s="36">
        <f t="shared" si="9"/>
        <v>152.1578</v>
      </c>
      <c r="M95" s="41"/>
    </row>
    <row r="96" ht="15" spans="1:13">
      <c r="A96" s="27" t="s">
        <v>44</v>
      </c>
      <c r="B96" s="33" t="s">
        <v>39</v>
      </c>
      <c r="C96" s="29" t="s">
        <v>41</v>
      </c>
      <c r="D96" s="30" t="s">
        <v>22</v>
      </c>
      <c r="E96" s="29" t="s">
        <v>23</v>
      </c>
      <c r="F96" s="34" t="s">
        <v>40</v>
      </c>
      <c r="G96" s="35">
        <f t="shared" si="5"/>
        <v>16.5341335333833</v>
      </c>
      <c r="H96" s="36">
        <f t="shared" si="6"/>
        <v>198.36</v>
      </c>
      <c r="I96" s="40">
        <v>220.4</v>
      </c>
      <c r="J96" s="36">
        <f t="shared" si="7"/>
        <v>231.42</v>
      </c>
      <c r="K96" s="36">
        <f t="shared" si="8"/>
        <v>186.4584</v>
      </c>
      <c r="L96" s="36">
        <f t="shared" si="9"/>
        <v>207.176</v>
      </c>
      <c r="M96" s="41"/>
    </row>
    <row r="97" ht="15" spans="1:13">
      <c r="A97" s="27" t="s">
        <v>44</v>
      </c>
      <c r="B97" s="33" t="s">
        <v>39</v>
      </c>
      <c r="C97" s="29" t="s">
        <v>55</v>
      </c>
      <c r="D97" s="30" t="s">
        <v>22</v>
      </c>
      <c r="E97" s="29" t="s">
        <v>23</v>
      </c>
      <c r="F97" s="34" t="s">
        <v>40</v>
      </c>
      <c r="G97" s="35">
        <f t="shared" si="5"/>
        <v>25.9849962490623</v>
      </c>
      <c r="H97" s="36">
        <f t="shared" si="6"/>
        <v>311.742</v>
      </c>
      <c r="I97" s="40">
        <v>346.38</v>
      </c>
      <c r="J97" s="36">
        <f t="shared" si="7"/>
        <v>363.699</v>
      </c>
      <c r="K97" s="36">
        <f t="shared" si="8"/>
        <v>293.03748</v>
      </c>
      <c r="L97" s="36">
        <f t="shared" si="9"/>
        <v>325.5972</v>
      </c>
      <c r="M97" s="41"/>
    </row>
    <row r="98" ht="15" spans="1:13">
      <c r="A98" s="27" t="s">
        <v>44</v>
      </c>
      <c r="B98" s="33" t="s">
        <v>42</v>
      </c>
      <c r="C98" s="29" t="s">
        <v>27</v>
      </c>
      <c r="D98" s="30" t="s">
        <v>22</v>
      </c>
      <c r="E98" s="29" t="s">
        <v>23</v>
      </c>
      <c r="F98" s="34" t="s">
        <v>43</v>
      </c>
      <c r="G98" s="35">
        <f t="shared" si="5"/>
        <v>12.7329332333083</v>
      </c>
      <c r="H98" s="36">
        <f t="shared" si="6"/>
        <v>152.757</v>
      </c>
      <c r="I98" s="40">
        <v>169.73</v>
      </c>
      <c r="J98" s="36">
        <f t="shared" si="7"/>
        <v>178.2165</v>
      </c>
      <c r="K98" s="36">
        <f t="shared" si="8"/>
        <v>143.59158</v>
      </c>
      <c r="L98" s="36">
        <f t="shared" si="9"/>
        <v>159.5462</v>
      </c>
      <c r="M98" s="41"/>
    </row>
    <row r="99" ht="15" spans="1:13">
      <c r="A99" s="27" t="s">
        <v>44</v>
      </c>
      <c r="B99" s="33" t="s">
        <v>42</v>
      </c>
      <c r="C99" s="29" t="s">
        <v>21</v>
      </c>
      <c r="D99" s="30" t="s">
        <v>22</v>
      </c>
      <c r="E99" s="29" t="s">
        <v>23</v>
      </c>
      <c r="F99" s="34" t="s">
        <v>43</v>
      </c>
      <c r="G99" s="35">
        <f t="shared" si="5"/>
        <v>13.384096024006</v>
      </c>
      <c r="H99" s="36">
        <f t="shared" si="6"/>
        <v>160.569</v>
      </c>
      <c r="I99" s="40">
        <v>178.41</v>
      </c>
      <c r="J99" s="36">
        <f t="shared" si="7"/>
        <v>187.3305</v>
      </c>
      <c r="K99" s="36">
        <f t="shared" si="8"/>
        <v>150.93486</v>
      </c>
      <c r="L99" s="36">
        <f t="shared" si="9"/>
        <v>167.7054</v>
      </c>
      <c r="M99" s="41"/>
    </row>
    <row r="100" ht="15" spans="1:13">
      <c r="A100" s="27" t="s">
        <v>44</v>
      </c>
      <c r="B100" s="33" t="s">
        <v>42</v>
      </c>
      <c r="C100" s="29" t="s">
        <v>41</v>
      </c>
      <c r="D100" s="30" t="s">
        <v>22</v>
      </c>
      <c r="E100" s="29" t="s">
        <v>23</v>
      </c>
      <c r="F100" s="34" t="s">
        <v>43</v>
      </c>
      <c r="G100" s="35">
        <f t="shared" si="5"/>
        <v>17.3105776444111</v>
      </c>
      <c r="H100" s="36">
        <f t="shared" si="6"/>
        <v>207.675</v>
      </c>
      <c r="I100" s="40">
        <v>230.75</v>
      </c>
      <c r="J100" s="36">
        <f t="shared" si="7"/>
        <v>242.2875</v>
      </c>
      <c r="K100" s="36">
        <f t="shared" si="8"/>
        <v>195.2145</v>
      </c>
      <c r="L100" s="36">
        <f t="shared" si="9"/>
        <v>216.905</v>
      </c>
      <c r="M100" s="41"/>
    </row>
    <row r="101" ht="15" spans="1:13">
      <c r="A101" s="27" t="s">
        <v>44</v>
      </c>
      <c r="B101" s="33" t="s">
        <v>88</v>
      </c>
      <c r="C101" s="29" t="s">
        <v>21</v>
      </c>
      <c r="D101" s="30" t="s">
        <v>22</v>
      </c>
      <c r="E101" s="29" t="s">
        <v>23</v>
      </c>
      <c r="F101" s="34" t="s">
        <v>43</v>
      </c>
      <c r="G101" s="35">
        <f t="shared" si="5"/>
        <v>13.9407351837959</v>
      </c>
      <c r="H101" s="36">
        <f t="shared" si="6"/>
        <v>167.247</v>
      </c>
      <c r="I101" s="40">
        <v>185.83</v>
      </c>
      <c r="J101" s="36">
        <f t="shared" si="7"/>
        <v>195.1215</v>
      </c>
      <c r="K101" s="36">
        <f t="shared" si="8"/>
        <v>157.21218</v>
      </c>
      <c r="L101" s="36">
        <f t="shared" si="9"/>
        <v>174.6802</v>
      </c>
      <c r="M101" s="41"/>
    </row>
    <row r="102" ht="15" spans="1:13">
      <c r="A102" s="27" t="s">
        <v>44</v>
      </c>
      <c r="B102" s="33" t="s">
        <v>88</v>
      </c>
      <c r="C102" s="29" t="s">
        <v>41</v>
      </c>
      <c r="D102" s="30" t="s">
        <v>22</v>
      </c>
      <c r="E102" s="29" t="s">
        <v>23</v>
      </c>
      <c r="F102" s="34" t="s">
        <v>43</v>
      </c>
      <c r="G102" s="35">
        <f t="shared" si="5"/>
        <v>17.589647411853</v>
      </c>
      <c r="H102" s="36">
        <f t="shared" si="6"/>
        <v>211.023</v>
      </c>
      <c r="I102" s="40">
        <v>234.47</v>
      </c>
      <c r="J102" s="36">
        <f t="shared" si="7"/>
        <v>246.1935</v>
      </c>
      <c r="K102" s="36">
        <f t="shared" si="8"/>
        <v>198.36162</v>
      </c>
      <c r="L102" s="36">
        <f t="shared" si="9"/>
        <v>220.4018</v>
      </c>
      <c r="M102" s="41"/>
    </row>
    <row r="103" ht="15" spans="1:13">
      <c r="A103" s="27" t="s">
        <v>44</v>
      </c>
      <c r="B103" s="33" t="s">
        <v>89</v>
      </c>
      <c r="C103" s="29" t="s">
        <v>21</v>
      </c>
      <c r="D103" s="30" t="s">
        <v>22</v>
      </c>
      <c r="E103" s="29" t="s">
        <v>23</v>
      </c>
      <c r="F103" s="34" t="s">
        <v>90</v>
      </c>
      <c r="G103" s="35">
        <f t="shared" si="5"/>
        <v>14.3338334583646</v>
      </c>
      <c r="H103" s="36">
        <f t="shared" si="6"/>
        <v>171.963</v>
      </c>
      <c r="I103" s="40">
        <v>191.07</v>
      </c>
      <c r="J103" s="36">
        <f t="shared" si="7"/>
        <v>200.6235</v>
      </c>
      <c r="K103" s="36">
        <f t="shared" si="8"/>
        <v>161.64522</v>
      </c>
      <c r="L103" s="36">
        <f t="shared" si="9"/>
        <v>179.6058</v>
      </c>
      <c r="M103" s="41"/>
    </row>
    <row r="104" ht="15" spans="1:13">
      <c r="A104" s="27" t="s">
        <v>44</v>
      </c>
      <c r="B104" s="33" t="s">
        <v>89</v>
      </c>
      <c r="C104" s="29" t="s">
        <v>41</v>
      </c>
      <c r="D104" s="30" t="s">
        <v>22</v>
      </c>
      <c r="E104" s="29" t="s">
        <v>23</v>
      </c>
      <c r="F104" s="34" t="s">
        <v>43</v>
      </c>
      <c r="G104" s="35">
        <f t="shared" si="5"/>
        <v>17.9474868717179</v>
      </c>
      <c r="H104" s="36">
        <f t="shared" si="6"/>
        <v>215.316</v>
      </c>
      <c r="I104" s="40">
        <v>239.24</v>
      </c>
      <c r="J104" s="36">
        <f t="shared" si="7"/>
        <v>251.202</v>
      </c>
      <c r="K104" s="36">
        <f t="shared" si="8"/>
        <v>202.39704</v>
      </c>
      <c r="L104" s="36">
        <f t="shared" si="9"/>
        <v>224.8856</v>
      </c>
      <c r="M104" s="41"/>
    </row>
    <row r="105" ht="15" spans="1:13">
      <c r="A105" s="27" t="s">
        <v>44</v>
      </c>
      <c r="B105" s="33" t="s">
        <v>91</v>
      </c>
      <c r="C105" s="29" t="s">
        <v>27</v>
      </c>
      <c r="D105" s="30" t="s">
        <v>22</v>
      </c>
      <c r="E105" s="29" t="s">
        <v>23</v>
      </c>
      <c r="F105" s="34" t="s">
        <v>90</v>
      </c>
      <c r="G105" s="35">
        <f t="shared" si="5"/>
        <v>13.9587396849212</v>
      </c>
      <c r="H105" s="36">
        <f t="shared" si="6"/>
        <v>167.463</v>
      </c>
      <c r="I105" s="40">
        <v>186.07</v>
      </c>
      <c r="J105" s="36">
        <f t="shared" si="7"/>
        <v>195.3735</v>
      </c>
      <c r="K105" s="36">
        <f t="shared" si="8"/>
        <v>157.41522</v>
      </c>
      <c r="L105" s="36">
        <f t="shared" si="9"/>
        <v>174.9058</v>
      </c>
      <c r="M105" s="41"/>
    </row>
    <row r="106" ht="15" spans="1:13">
      <c r="A106" s="27" t="s">
        <v>44</v>
      </c>
      <c r="B106" s="33" t="s">
        <v>91</v>
      </c>
      <c r="C106" s="29" t="s">
        <v>21</v>
      </c>
      <c r="D106" s="30" t="s">
        <v>22</v>
      </c>
      <c r="E106" s="29" t="s">
        <v>23</v>
      </c>
      <c r="F106" s="34" t="s">
        <v>90</v>
      </c>
      <c r="G106" s="35">
        <f t="shared" si="5"/>
        <v>14.8529632408102</v>
      </c>
      <c r="H106" s="36">
        <f t="shared" si="6"/>
        <v>178.191</v>
      </c>
      <c r="I106" s="40">
        <v>197.99</v>
      </c>
      <c r="J106" s="36">
        <f t="shared" si="7"/>
        <v>207.8895</v>
      </c>
      <c r="K106" s="36">
        <f t="shared" si="8"/>
        <v>167.49954</v>
      </c>
      <c r="L106" s="36">
        <f t="shared" si="9"/>
        <v>186.1106</v>
      </c>
      <c r="M106" s="41"/>
    </row>
    <row r="107" ht="15" spans="1:13">
      <c r="A107" s="27" t="s">
        <v>44</v>
      </c>
      <c r="B107" s="33" t="s">
        <v>91</v>
      </c>
      <c r="C107" s="29" t="s">
        <v>41</v>
      </c>
      <c r="D107" s="30" t="s">
        <v>22</v>
      </c>
      <c r="E107" s="29" t="s">
        <v>23</v>
      </c>
      <c r="F107" s="34" t="s">
        <v>90</v>
      </c>
      <c r="G107" s="35">
        <f t="shared" si="5"/>
        <v>18.8387096774194</v>
      </c>
      <c r="H107" s="36">
        <f t="shared" si="6"/>
        <v>226.008</v>
      </c>
      <c r="I107" s="40">
        <v>251.12</v>
      </c>
      <c r="J107" s="36">
        <f t="shared" si="7"/>
        <v>263.676</v>
      </c>
      <c r="K107" s="36">
        <f t="shared" si="8"/>
        <v>212.44752</v>
      </c>
      <c r="L107" s="36">
        <f t="shared" si="9"/>
        <v>236.0528</v>
      </c>
      <c r="M107" s="41"/>
    </row>
    <row r="108" ht="15" spans="1:13">
      <c r="A108" s="27" t="s">
        <v>44</v>
      </c>
      <c r="B108" s="33" t="s">
        <v>92</v>
      </c>
      <c r="C108" s="29" t="s">
        <v>27</v>
      </c>
      <c r="D108" s="30" t="s">
        <v>22</v>
      </c>
      <c r="E108" s="29" t="s">
        <v>23</v>
      </c>
      <c r="F108" s="34" t="s">
        <v>90</v>
      </c>
      <c r="G108" s="35">
        <f t="shared" si="5"/>
        <v>13.966991747937</v>
      </c>
      <c r="H108" s="36">
        <f t="shared" si="6"/>
        <v>167.562</v>
      </c>
      <c r="I108" s="40">
        <v>186.18</v>
      </c>
      <c r="J108" s="36">
        <f t="shared" si="7"/>
        <v>195.489</v>
      </c>
      <c r="K108" s="36">
        <f t="shared" si="8"/>
        <v>157.50828</v>
      </c>
      <c r="L108" s="36">
        <f t="shared" si="9"/>
        <v>175.0092</v>
      </c>
      <c r="M108" s="41"/>
    </row>
    <row r="109" ht="15" spans="1:13">
      <c r="A109" s="27" t="s">
        <v>44</v>
      </c>
      <c r="B109" s="33" t="s">
        <v>92</v>
      </c>
      <c r="C109" s="29" t="s">
        <v>27</v>
      </c>
      <c r="D109" s="37" t="s">
        <v>28</v>
      </c>
      <c r="E109" s="29" t="s">
        <v>23</v>
      </c>
      <c r="F109" s="34" t="s">
        <v>90</v>
      </c>
      <c r="G109" s="35">
        <f t="shared" si="5"/>
        <v>13.966991747937</v>
      </c>
      <c r="H109" s="36">
        <f t="shared" si="6"/>
        <v>167.562</v>
      </c>
      <c r="I109" s="40">
        <v>186.18</v>
      </c>
      <c r="J109" s="36">
        <f t="shared" si="7"/>
        <v>195.489</v>
      </c>
      <c r="K109" s="36">
        <f t="shared" si="8"/>
        <v>157.50828</v>
      </c>
      <c r="L109" s="36">
        <f t="shared" si="9"/>
        <v>175.0092</v>
      </c>
      <c r="M109" s="41"/>
    </row>
    <row r="110" ht="15" spans="1:13">
      <c r="A110" s="27" t="s">
        <v>44</v>
      </c>
      <c r="B110" s="33" t="s">
        <v>92</v>
      </c>
      <c r="C110" s="29" t="s">
        <v>21</v>
      </c>
      <c r="D110" s="30" t="s">
        <v>22</v>
      </c>
      <c r="E110" s="29" t="s">
        <v>23</v>
      </c>
      <c r="F110" s="34" t="s">
        <v>90</v>
      </c>
      <c r="G110" s="35">
        <f t="shared" si="5"/>
        <v>14.9369842460615</v>
      </c>
      <c r="H110" s="36">
        <f t="shared" si="6"/>
        <v>179.199</v>
      </c>
      <c r="I110" s="40">
        <v>199.11</v>
      </c>
      <c r="J110" s="36">
        <f t="shared" si="7"/>
        <v>209.0655</v>
      </c>
      <c r="K110" s="36">
        <f t="shared" si="8"/>
        <v>168.44706</v>
      </c>
      <c r="L110" s="36">
        <f t="shared" si="9"/>
        <v>187.1634</v>
      </c>
      <c r="M110" s="41"/>
    </row>
    <row r="111" ht="15" spans="1:13">
      <c r="A111" s="27" t="s">
        <v>44</v>
      </c>
      <c r="B111" s="33" t="s">
        <v>92</v>
      </c>
      <c r="C111" s="29" t="s">
        <v>41</v>
      </c>
      <c r="D111" s="30" t="s">
        <v>22</v>
      </c>
      <c r="E111" s="29" t="s">
        <v>23</v>
      </c>
      <c r="F111" s="34" t="s">
        <v>90</v>
      </c>
      <c r="G111" s="35">
        <f t="shared" si="5"/>
        <v>18.9812453113278</v>
      </c>
      <c r="H111" s="36">
        <f t="shared" si="6"/>
        <v>227.718</v>
      </c>
      <c r="I111" s="40">
        <v>253.02</v>
      </c>
      <c r="J111" s="36">
        <f t="shared" si="7"/>
        <v>265.671</v>
      </c>
      <c r="K111" s="36">
        <f t="shared" si="8"/>
        <v>214.05492</v>
      </c>
      <c r="L111" s="36">
        <f t="shared" si="9"/>
        <v>237.8388</v>
      </c>
      <c r="M111" s="41"/>
    </row>
    <row r="112" ht="15" spans="1:13">
      <c r="A112" s="27" t="s">
        <v>44</v>
      </c>
      <c r="B112" s="33" t="s">
        <v>20</v>
      </c>
      <c r="C112" s="29" t="s">
        <v>27</v>
      </c>
      <c r="D112" s="30" t="s">
        <v>22</v>
      </c>
      <c r="E112" s="29" t="s">
        <v>23</v>
      </c>
      <c r="F112" s="34" t="s">
        <v>24</v>
      </c>
      <c r="G112" s="35">
        <f t="shared" si="5"/>
        <v>14.9984996249062</v>
      </c>
      <c r="H112" s="36">
        <f t="shared" si="6"/>
        <v>179.937</v>
      </c>
      <c r="I112" s="40">
        <v>199.93</v>
      </c>
      <c r="J112" s="36">
        <f t="shared" si="7"/>
        <v>209.9265</v>
      </c>
      <c r="K112" s="36">
        <f t="shared" si="8"/>
        <v>169.14078</v>
      </c>
      <c r="L112" s="36">
        <f t="shared" si="9"/>
        <v>187.9342</v>
      </c>
      <c r="M112" s="41"/>
    </row>
    <row r="113" ht="15" spans="1:13">
      <c r="A113" s="27" t="s">
        <v>44</v>
      </c>
      <c r="B113" s="33" t="s">
        <v>20</v>
      </c>
      <c r="C113" s="29" t="s">
        <v>30</v>
      </c>
      <c r="D113" s="30" t="s">
        <v>22</v>
      </c>
      <c r="E113" s="29" t="s">
        <v>23</v>
      </c>
      <c r="F113" s="34" t="s">
        <v>24</v>
      </c>
      <c r="G113" s="35">
        <f t="shared" si="5"/>
        <v>15.0292573143286</v>
      </c>
      <c r="H113" s="36">
        <f t="shared" si="6"/>
        <v>180.306</v>
      </c>
      <c r="I113" s="40">
        <v>200.34</v>
      </c>
      <c r="J113" s="36">
        <f t="shared" si="7"/>
        <v>210.357</v>
      </c>
      <c r="K113" s="36">
        <f t="shared" si="8"/>
        <v>169.48764</v>
      </c>
      <c r="L113" s="36">
        <f t="shared" si="9"/>
        <v>188.3196</v>
      </c>
      <c r="M113" s="41"/>
    </row>
    <row r="114" ht="15" spans="1:13">
      <c r="A114" s="27" t="s">
        <v>44</v>
      </c>
      <c r="B114" s="33" t="s">
        <v>20</v>
      </c>
      <c r="C114" s="29" t="s">
        <v>21</v>
      </c>
      <c r="D114" s="30" t="s">
        <v>22</v>
      </c>
      <c r="E114" s="29" t="s">
        <v>23</v>
      </c>
      <c r="F114" s="34" t="s">
        <v>24</v>
      </c>
      <c r="G114" s="35">
        <f t="shared" si="5"/>
        <v>16.0675168792198</v>
      </c>
      <c r="H114" s="36">
        <f t="shared" si="6"/>
        <v>192.762</v>
      </c>
      <c r="I114" s="40">
        <v>214.18</v>
      </c>
      <c r="J114" s="36">
        <f t="shared" si="7"/>
        <v>224.889</v>
      </c>
      <c r="K114" s="36">
        <f t="shared" si="8"/>
        <v>181.19628</v>
      </c>
      <c r="L114" s="36">
        <f t="shared" si="9"/>
        <v>201.3292</v>
      </c>
      <c r="M114" s="41"/>
    </row>
    <row r="115" ht="15" spans="1:13">
      <c r="A115" s="27" t="s">
        <v>44</v>
      </c>
      <c r="B115" s="33" t="s">
        <v>20</v>
      </c>
      <c r="C115" s="29" t="s">
        <v>41</v>
      </c>
      <c r="D115" s="30" t="s">
        <v>22</v>
      </c>
      <c r="E115" s="29" t="s">
        <v>23</v>
      </c>
      <c r="F115" s="34" t="s">
        <v>24</v>
      </c>
      <c r="G115" s="35">
        <f t="shared" si="5"/>
        <v>19.9332333083271</v>
      </c>
      <c r="H115" s="36">
        <f t="shared" si="6"/>
        <v>239.139</v>
      </c>
      <c r="I115" s="40">
        <v>265.71</v>
      </c>
      <c r="J115" s="36">
        <f t="shared" si="7"/>
        <v>278.9955</v>
      </c>
      <c r="K115" s="36">
        <f t="shared" si="8"/>
        <v>224.79066</v>
      </c>
      <c r="L115" s="36">
        <f t="shared" si="9"/>
        <v>249.7674</v>
      </c>
      <c r="M115" s="41"/>
    </row>
    <row r="116" ht="15" spans="1:13">
      <c r="A116" s="27" t="s">
        <v>44</v>
      </c>
      <c r="B116" s="33" t="s">
        <v>20</v>
      </c>
      <c r="C116" s="29" t="s">
        <v>71</v>
      </c>
      <c r="D116" s="30" t="s">
        <v>22</v>
      </c>
      <c r="E116" s="29" t="s">
        <v>23</v>
      </c>
      <c r="F116" s="34" t="s">
        <v>90</v>
      </c>
      <c r="G116" s="35">
        <f t="shared" si="5"/>
        <v>25.258064516129</v>
      </c>
      <c r="H116" s="36">
        <f t="shared" si="6"/>
        <v>303.021</v>
      </c>
      <c r="I116" s="40">
        <v>336.69</v>
      </c>
      <c r="J116" s="36">
        <f t="shared" si="7"/>
        <v>353.5245</v>
      </c>
      <c r="K116" s="36">
        <f t="shared" si="8"/>
        <v>284.83974</v>
      </c>
      <c r="L116" s="36">
        <f t="shared" si="9"/>
        <v>316.4886</v>
      </c>
      <c r="M116" s="41"/>
    </row>
    <row r="117" ht="15" spans="1:13">
      <c r="A117" s="27" t="s">
        <v>44</v>
      </c>
      <c r="B117" s="33" t="s">
        <v>20</v>
      </c>
      <c r="C117" s="29" t="s">
        <v>71</v>
      </c>
      <c r="D117" s="30" t="s">
        <v>22</v>
      </c>
      <c r="E117" s="29" t="s">
        <v>23</v>
      </c>
      <c r="F117" s="34" t="s">
        <v>24</v>
      </c>
      <c r="G117" s="35">
        <f t="shared" si="5"/>
        <v>26.0382595648912</v>
      </c>
      <c r="H117" s="36">
        <f t="shared" si="6"/>
        <v>312.381</v>
      </c>
      <c r="I117" s="40">
        <v>347.09</v>
      </c>
      <c r="J117" s="36">
        <f t="shared" si="7"/>
        <v>364.4445</v>
      </c>
      <c r="K117" s="36">
        <f t="shared" si="8"/>
        <v>293.63814</v>
      </c>
      <c r="L117" s="36">
        <f t="shared" si="9"/>
        <v>326.2646</v>
      </c>
      <c r="M117" s="41"/>
    </row>
    <row r="118" ht="15" spans="1:13">
      <c r="A118" s="27" t="s">
        <v>44</v>
      </c>
      <c r="B118" s="33" t="s">
        <v>93</v>
      </c>
      <c r="C118" s="29" t="s">
        <v>41</v>
      </c>
      <c r="D118" s="30" t="s">
        <v>22</v>
      </c>
      <c r="E118" s="29" t="s">
        <v>23</v>
      </c>
      <c r="F118" s="34" t="s">
        <v>24</v>
      </c>
      <c r="G118" s="35">
        <f t="shared" si="5"/>
        <v>20.417104276069</v>
      </c>
      <c r="H118" s="36">
        <f t="shared" si="6"/>
        <v>244.944</v>
      </c>
      <c r="I118" s="40">
        <v>272.16</v>
      </c>
      <c r="J118" s="36">
        <f t="shared" si="7"/>
        <v>285.768</v>
      </c>
      <c r="K118" s="36">
        <f t="shared" si="8"/>
        <v>230.24736</v>
      </c>
      <c r="L118" s="36">
        <f t="shared" si="9"/>
        <v>255.8304</v>
      </c>
      <c r="M118" s="41"/>
    </row>
    <row r="119" ht="15" spans="1:13">
      <c r="A119" s="27" t="s">
        <v>44</v>
      </c>
      <c r="B119" s="33" t="s">
        <v>94</v>
      </c>
      <c r="C119" s="29" t="s">
        <v>21</v>
      </c>
      <c r="D119" s="30" t="s">
        <v>22</v>
      </c>
      <c r="E119" s="29" t="s">
        <v>23</v>
      </c>
      <c r="F119" s="34" t="s">
        <v>95</v>
      </c>
      <c r="G119" s="35">
        <f t="shared" si="5"/>
        <v>17.4891222805701</v>
      </c>
      <c r="H119" s="36">
        <f t="shared" si="6"/>
        <v>209.817</v>
      </c>
      <c r="I119" s="40">
        <v>233.13</v>
      </c>
      <c r="J119" s="36">
        <f t="shared" si="7"/>
        <v>244.7865</v>
      </c>
      <c r="K119" s="36">
        <f t="shared" si="8"/>
        <v>197.22798</v>
      </c>
      <c r="L119" s="36">
        <f t="shared" si="9"/>
        <v>219.1422</v>
      </c>
      <c r="M119" s="41"/>
    </row>
    <row r="120" ht="15" spans="1:13">
      <c r="A120" s="27" t="s">
        <v>44</v>
      </c>
      <c r="B120" s="33" t="s">
        <v>94</v>
      </c>
      <c r="C120" s="29" t="s">
        <v>41</v>
      </c>
      <c r="D120" s="30" t="s">
        <v>22</v>
      </c>
      <c r="E120" s="29" t="s">
        <v>23</v>
      </c>
      <c r="F120" s="34" t="s">
        <v>95</v>
      </c>
      <c r="G120" s="35">
        <f t="shared" si="5"/>
        <v>22.0277569392348</v>
      </c>
      <c r="H120" s="36">
        <f t="shared" si="6"/>
        <v>264.267</v>
      </c>
      <c r="I120" s="40">
        <v>293.63</v>
      </c>
      <c r="J120" s="36">
        <f t="shared" si="7"/>
        <v>308.3115</v>
      </c>
      <c r="K120" s="36">
        <f t="shared" si="8"/>
        <v>248.41098</v>
      </c>
      <c r="L120" s="36">
        <f t="shared" si="9"/>
        <v>276.0122</v>
      </c>
      <c r="M120" s="41"/>
    </row>
    <row r="121" ht="15" spans="1:13">
      <c r="A121" s="27" t="s">
        <v>44</v>
      </c>
      <c r="B121" s="33" t="s">
        <v>96</v>
      </c>
      <c r="C121" s="29" t="s">
        <v>41</v>
      </c>
      <c r="D121" s="30" t="s">
        <v>22</v>
      </c>
      <c r="E121" s="29" t="s">
        <v>23</v>
      </c>
      <c r="F121" s="34" t="s">
        <v>95</v>
      </c>
      <c r="G121" s="35">
        <f t="shared" si="5"/>
        <v>22.2423105776444</v>
      </c>
      <c r="H121" s="36">
        <f t="shared" si="6"/>
        <v>266.841</v>
      </c>
      <c r="I121" s="40">
        <v>296.49</v>
      </c>
      <c r="J121" s="36">
        <f t="shared" si="7"/>
        <v>311.3145</v>
      </c>
      <c r="K121" s="36">
        <f t="shared" si="8"/>
        <v>250.83054</v>
      </c>
      <c r="L121" s="36">
        <f t="shared" si="9"/>
        <v>278.7006</v>
      </c>
      <c r="M121" s="41"/>
    </row>
    <row r="122" ht="15" spans="1:13">
      <c r="A122" s="27" t="s">
        <v>44</v>
      </c>
      <c r="B122" s="33" t="s">
        <v>97</v>
      </c>
      <c r="C122" s="29" t="s">
        <v>21</v>
      </c>
      <c r="D122" s="30" t="s">
        <v>22</v>
      </c>
      <c r="E122" s="29" t="s">
        <v>23</v>
      </c>
      <c r="F122" s="34" t="s">
        <v>98</v>
      </c>
      <c r="G122" s="35">
        <f t="shared" si="5"/>
        <v>18.9414853713428</v>
      </c>
      <c r="H122" s="36">
        <f t="shared" si="6"/>
        <v>227.241</v>
      </c>
      <c r="I122" s="40">
        <v>252.49</v>
      </c>
      <c r="J122" s="36">
        <f t="shared" si="7"/>
        <v>265.1145</v>
      </c>
      <c r="K122" s="36">
        <f t="shared" si="8"/>
        <v>213.60654</v>
      </c>
      <c r="L122" s="36">
        <f t="shared" si="9"/>
        <v>237.3406</v>
      </c>
      <c r="M122" s="41"/>
    </row>
    <row r="123" ht="15" spans="1:13">
      <c r="A123" s="27" t="s">
        <v>44</v>
      </c>
      <c r="B123" s="33" t="s">
        <v>97</v>
      </c>
      <c r="C123" s="29" t="s">
        <v>41</v>
      </c>
      <c r="D123" s="30" t="s">
        <v>22</v>
      </c>
      <c r="E123" s="29" t="s">
        <v>23</v>
      </c>
      <c r="F123" s="34" t="s">
        <v>98</v>
      </c>
      <c r="G123" s="35">
        <f t="shared" si="5"/>
        <v>23.2295573893473</v>
      </c>
      <c r="H123" s="36">
        <f t="shared" si="6"/>
        <v>278.685</v>
      </c>
      <c r="I123" s="40">
        <v>309.65</v>
      </c>
      <c r="J123" s="36">
        <f t="shared" si="7"/>
        <v>325.1325</v>
      </c>
      <c r="K123" s="36">
        <f t="shared" si="8"/>
        <v>261.9639</v>
      </c>
      <c r="L123" s="36">
        <f t="shared" si="9"/>
        <v>291.071</v>
      </c>
      <c r="M123" s="41"/>
    </row>
    <row r="124" ht="15" spans="1:13">
      <c r="A124" s="27" t="s">
        <v>44</v>
      </c>
      <c r="B124" s="33" t="s">
        <v>99</v>
      </c>
      <c r="C124" s="29" t="s">
        <v>55</v>
      </c>
      <c r="D124" s="30" t="s">
        <v>22</v>
      </c>
      <c r="E124" s="29" t="s">
        <v>23</v>
      </c>
      <c r="F124" s="34" t="s">
        <v>98</v>
      </c>
      <c r="G124" s="35">
        <f t="shared" si="5"/>
        <v>32.9032258064516</v>
      </c>
      <c r="H124" s="36">
        <f t="shared" si="6"/>
        <v>394.74</v>
      </c>
      <c r="I124" s="40">
        <v>438.6</v>
      </c>
      <c r="J124" s="36">
        <f t="shared" si="7"/>
        <v>460.53</v>
      </c>
      <c r="K124" s="36">
        <f t="shared" si="8"/>
        <v>371.0556</v>
      </c>
      <c r="L124" s="36">
        <f t="shared" si="9"/>
        <v>412.284</v>
      </c>
      <c r="M124" s="41"/>
    </row>
    <row r="125" ht="15" spans="1:13">
      <c r="A125" s="27" t="s">
        <v>44</v>
      </c>
      <c r="B125" s="33" t="s">
        <v>100</v>
      </c>
      <c r="C125" s="29" t="s">
        <v>21</v>
      </c>
      <c r="D125" s="30" t="s">
        <v>22</v>
      </c>
      <c r="E125" s="29" t="s">
        <v>23</v>
      </c>
      <c r="F125" s="34" t="s">
        <v>101</v>
      </c>
      <c r="G125" s="35">
        <f t="shared" si="5"/>
        <v>19.9504876219055</v>
      </c>
      <c r="H125" s="36">
        <f t="shared" si="6"/>
        <v>239.346</v>
      </c>
      <c r="I125" s="40">
        <v>265.94</v>
      </c>
      <c r="J125" s="36">
        <f t="shared" si="7"/>
        <v>279.237</v>
      </c>
      <c r="K125" s="36">
        <f t="shared" si="8"/>
        <v>224.98524</v>
      </c>
      <c r="L125" s="36">
        <f t="shared" si="9"/>
        <v>249.9836</v>
      </c>
      <c r="M125" s="41"/>
    </row>
    <row r="126" ht="15" spans="1:13">
      <c r="A126" s="27" t="s">
        <v>44</v>
      </c>
      <c r="B126" s="33" t="s">
        <v>102</v>
      </c>
      <c r="C126" s="29" t="s">
        <v>21</v>
      </c>
      <c r="D126" s="30" t="s">
        <v>22</v>
      </c>
      <c r="E126" s="29" t="s">
        <v>23</v>
      </c>
      <c r="F126" s="34" t="s">
        <v>103</v>
      </c>
      <c r="G126" s="35">
        <f t="shared" si="5"/>
        <v>22.3315828957239</v>
      </c>
      <c r="H126" s="36">
        <f t="shared" si="6"/>
        <v>267.912</v>
      </c>
      <c r="I126" s="40">
        <v>297.68</v>
      </c>
      <c r="J126" s="36">
        <f t="shared" si="7"/>
        <v>312.564</v>
      </c>
      <c r="K126" s="36">
        <f t="shared" si="8"/>
        <v>251.83728</v>
      </c>
      <c r="L126" s="36">
        <f t="shared" si="9"/>
        <v>279.8192</v>
      </c>
      <c r="M126" s="41"/>
    </row>
    <row r="127" ht="15" spans="1:13">
      <c r="A127" s="27" t="s">
        <v>44</v>
      </c>
      <c r="B127" s="33" t="s">
        <v>102</v>
      </c>
      <c r="C127" s="29" t="s">
        <v>41</v>
      </c>
      <c r="D127" s="30" t="s">
        <v>22</v>
      </c>
      <c r="E127" s="29" t="s">
        <v>23</v>
      </c>
      <c r="F127" s="34" t="s">
        <v>103</v>
      </c>
      <c r="G127" s="35">
        <f t="shared" si="5"/>
        <v>25.6781695423856</v>
      </c>
      <c r="H127" s="36">
        <f t="shared" si="6"/>
        <v>308.061</v>
      </c>
      <c r="I127" s="40">
        <v>342.29</v>
      </c>
      <c r="J127" s="36">
        <f t="shared" si="7"/>
        <v>359.4045</v>
      </c>
      <c r="K127" s="36">
        <f t="shared" si="8"/>
        <v>289.57734</v>
      </c>
      <c r="L127" s="36">
        <f t="shared" si="9"/>
        <v>321.7526</v>
      </c>
      <c r="M127" s="41"/>
    </row>
    <row r="128" ht="15" spans="1:13">
      <c r="A128" s="27" t="s">
        <v>44</v>
      </c>
      <c r="B128" s="33" t="s">
        <v>104</v>
      </c>
      <c r="C128" s="29" t="s">
        <v>21</v>
      </c>
      <c r="D128" s="30" t="s">
        <v>22</v>
      </c>
      <c r="E128" s="29" t="s">
        <v>23</v>
      </c>
      <c r="F128" s="34" t="s">
        <v>105</v>
      </c>
      <c r="G128" s="35">
        <f t="shared" si="5"/>
        <v>21.8559639909977</v>
      </c>
      <c r="H128" s="36">
        <f t="shared" si="6"/>
        <v>262.206</v>
      </c>
      <c r="I128" s="40">
        <v>291.34</v>
      </c>
      <c r="J128" s="36">
        <f t="shared" si="7"/>
        <v>305.907</v>
      </c>
      <c r="K128" s="36">
        <f t="shared" si="8"/>
        <v>246.47364</v>
      </c>
      <c r="L128" s="36">
        <f t="shared" si="9"/>
        <v>273.8596</v>
      </c>
      <c r="M128" s="41"/>
    </row>
    <row r="129" ht="15" spans="1:13">
      <c r="A129" s="27" t="s">
        <v>44</v>
      </c>
      <c r="B129" s="33" t="s">
        <v>106</v>
      </c>
      <c r="C129" s="29" t="s">
        <v>21</v>
      </c>
      <c r="D129" s="30" t="s">
        <v>22</v>
      </c>
      <c r="E129" s="29" t="s">
        <v>23</v>
      </c>
      <c r="F129" s="34" t="s">
        <v>105</v>
      </c>
      <c r="G129" s="35">
        <f t="shared" si="5"/>
        <v>22.4448612153038</v>
      </c>
      <c r="H129" s="36">
        <f t="shared" si="6"/>
        <v>269.271</v>
      </c>
      <c r="I129" s="40">
        <v>299.19</v>
      </c>
      <c r="J129" s="36">
        <f t="shared" si="7"/>
        <v>314.1495</v>
      </c>
      <c r="K129" s="36">
        <f t="shared" si="8"/>
        <v>253.11474</v>
      </c>
      <c r="L129" s="36">
        <f t="shared" si="9"/>
        <v>281.2386</v>
      </c>
      <c r="M129" s="41"/>
    </row>
    <row r="130" ht="15" spans="1:13">
      <c r="A130" s="27" t="s">
        <v>44</v>
      </c>
      <c r="B130" s="33" t="s">
        <v>107</v>
      </c>
      <c r="C130" s="29" t="s">
        <v>21</v>
      </c>
      <c r="D130" s="30" t="s">
        <v>22</v>
      </c>
      <c r="E130" s="29" t="s">
        <v>23</v>
      </c>
      <c r="F130" s="34" t="s">
        <v>108</v>
      </c>
      <c r="G130" s="35">
        <f t="shared" si="5"/>
        <v>24.5086271567892</v>
      </c>
      <c r="H130" s="36">
        <f t="shared" si="6"/>
        <v>294.03</v>
      </c>
      <c r="I130" s="40">
        <v>326.7</v>
      </c>
      <c r="J130" s="36">
        <f t="shared" si="7"/>
        <v>343.035</v>
      </c>
      <c r="K130" s="36">
        <f t="shared" si="8"/>
        <v>276.3882</v>
      </c>
      <c r="L130" s="36">
        <f t="shared" si="9"/>
        <v>307.098</v>
      </c>
      <c r="M130" s="41"/>
    </row>
    <row r="131" ht="15" spans="1:13">
      <c r="A131" s="27" t="s">
        <v>44</v>
      </c>
      <c r="B131" s="33" t="s">
        <v>109</v>
      </c>
      <c r="C131" s="29" t="s">
        <v>21</v>
      </c>
      <c r="D131" s="30" t="s">
        <v>22</v>
      </c>
      <c r="E131" s="29" t="s">
        <v>23</v>
      </c>
      <c r="F131" s="34" t="s">
        <v>110</v>
      </c>
      <c r="G131" s="35">
        <f t="shared" ref="G131:G194" si="10">I131/13.33</f>
        <v>26.933983495874</v>
      </c>
      <c r="H131" s="36">
        <f t="shared" ref="H131:H194" si="11">I131*0.9</f>
        <v>323.127</v>
      </c>
      <c r="I131" s="40">
        <v>359.03</v>
      </c>
      <c r="J131" s="36">
        <f t="shared" ref="J131:J194" si="12">I131*1.05</f>
        <v>376.9815</v>
      </c>
      <c r="K131" s="36">
        <f t="shared" ref="K131:K194" si="13">H131*0.94</f>
        <v>303.73938</v>
      </c>
      <c r="L131" s="36">
        <f t="shared" ref="L131:L194" si="14">I131*0.94</f>
        <v>337.4882</v>
      </c>
      <c r="M131" s="41"/>
    </row>
    <row r="132" ht="15" spans="1:13">
      <c r="A132" s="27" t="s">
        <v>44</v>
      </c>
      <c r="B132" s="33" t="s">
        <v>111</v>
      </c>
      <c r="C132" s="29" t="s">
        <v>21</v>
      </c>
      <c r="D132" s="30" t="s">
        <v>22</v>
      </c>
      <c r="E132" s="29" t="s">
        <v>23</v>
      </c>
      <c r="F132" s="34" t="s">
        <v>110</v>
      </c>
      <c r="G132" s="35">
        <f t="shared" si="10"/>
        <v>25.642160540135</v>
      </c>
      <c r="H132" s="36">
        <f t="shared" si="11"/>
        <v>307.629</v>
      </c>
      <c r="I132" s="40">
        <v>341.81</v>
      </c>
      <c r="J132" s="36">
        <f t="shared" si="12"/>
        <v>358.9005</v>
      </c>
      <c r="K132" s="36">
        <f t="shared" si="13"/>
        <v>289.17126</v>
      </c>
      <c r="L132" s="36">
        <f t="shared" si="14"/>
        <v>321.3014</v>
      </c>
      <c r="M132" s="41"/>
    </row>
    <row r="133" ht="15" spans="1:13">
      <c r="A133" s="27" t="s">
        <v>44</v>
      </c>
      <c r="B133" s="33" t="s">
        <v>112</v>
      </c>
      <c r="C133" s="29" t="s">
        <v>21</v>
      </c>
      <c r="D133" s="30" t="s">
        <v>22</v>
      </c>
      <c r="E133" s="29" t="s">
        <v>23</v>
      </c>
      <c r="F133" s="34" t="s">
        <v>113</v>
      </c>
      <c r="G133" s="35">
        <f t="shared" si="10"/>
        <v>28.039759939985</v>
      </c>
      <c r="H133" s="36">
        <f t="shared" si="11"/>
        <v>336.393</v>
      </c>
      <c r="I133" s="40">
        <v>373.77</v>
      </c>
      <c r="J133" s="36">
        <f t="shared" si="12"/>
        <v>392.4585</v>
      </c>
      <c r="K133" s="36">
        <f t="shared" si="13"/>
        <v>316.20942</v>
      </c>
      <c r="L133" s="36">
        <f t="shared" si="14"/>
        <v>351.3438</v>
      </c>
      <c r="M133" s="41"/>
    </row>
    <row r="134" ht="15" spans="1:13">
      <c r="A134" s="27" t="s">
        <v>114</v>
      </c>
      <c r="B134" s="33" t="s">
        <v>115</v>
      </c>
      <c r="C134" s="29" t="s">
        <v>21</v>
      </c>
      <c r="D134" s="30" t="s">
        <v>28</v>
      </c>
      <c r="E134" s="29" t="s">
        <v>23</v>
      </c>
      <c r="F134" s="34" t="s">
        <v>116</v>
      </c>
      <c r="G134" s="35">
        <f t="shared" si="10"/>
        <v>7.11627906976744</v>
      </c>
      <c r="H134" s="36">
        <f t="shared" si="11"/>
        <v>85.374</v>
      </c>
      <c r="I134" s="40">
        <v>94.86</v>
      </c>
      <c r="J134" s="36">
        <f t="shared" si="12"/>
        <v>99.603</v>
      </c>
      <c r="K134" s="36">
        <f t="shared" si="13"/>
        <v>80.25156</v>
      </c>
      <c r="L134" s="36">
        <f t="shared" si="14"/>
        <v>89.1684</v>
      </c>
      <c r="M134" s="41"/>
    </row>
    <row r="135" ht="15" spans="1:13">
      <c r="A135" s="27" t="s">
        <v>114</v>
      </c>
      <c r="B135" s="33" t="s">
        <v>48</v>
      </c>
      <c r="C135" s="29" t="s">
        <v>21</v>
      </c>
      <c r="D135" s="30" t="s">
        <v>28</v>
      </c>
      <c r="E135" s="29" t="s">
        <v>23</v>
      </c>
      <c r="F135" s="34" t="s">
        <v>51</v>
      </c>
      <c r="G135" s="35">
        <f t="shared" si="10"/>
        <v>7.25131282820705</v>
      </c>
      <c r="H135" s="36">
        <f t="shared" si="11"/>
        <v>86.994</v>
      </c>
      <c r="I135" s="40">
        <v>96.66</v>
      </c>
      <c r="J135" s="36">
        <f t="shared" si="12"/>
        <v>101.493</v>
      </c>
      <c r="K135" s="36">
        <f t="shared" si="13"/>
        <v>81.77436</v>
      </c>
      <c r="L135" s="36">
        <f t="shared" si="14"/>
        <v>90.8604</v>
      </c>
      <c r="M135" s="41"/>
    </row>
    <row r="136" ht="15" spans="1:13">
      <c r="A136" s="27" t="s">
        <v>114</v>
      </c>
      <c r="B136" s="33" t="s">
        <v>48</v>
      </c>
      <c r="C136" s="29" t="s">
        <v>41</v>
      </c>
      <c r="D136" s="30" t="s">
        <v>28</v>
      </c>
      <c r="E136" s="29" t="s">
        <v>23</v>
      </c>
      <c r="F136" s="34" t="s">
        <v>51</v>
      </c>
      <c r="G136" s="35">
        <f t="shared" si="10"/>
        <v>11.1537884471118</v>
      </c>
      <c r="H136" s="36">
        <f t="shared" si="11"/>
        <v>133.812</v>
      </c>
      <c r="I136" s="40">
        <v>148.68</v>
      </c>
      <c r="J136" s="36">
        <f t="shared" si="12"/>
        <v>156.114</v>
      </c>
      <c r="K136" s="36">
        <f t="shared" si="13"/>
        <v>125.78328</v>
      </c>
      <c r="L136" s="36">
        <f t="shared" si="14"/>
        <v>139.7592</v>
      </c>
      <c r="M136" s="41"/>
    </row>
    <row r="137" ht="15.6" spans="1:13">
      <c r="A137" s="27" t="s">
        <v>117</v>
      </c>
      <c r="B137" s="33" t="s">
        <v>118</v>
      </c>
      <c r="C137" s="29" t="s">
        <v>21</v>
      </c>
      <c r="D137" s="30" t="s">
        <v>28</v>
      </c>
      <c r="E137" s="29" t="s">
        <v>47</v>
      </c>
      <c r="F137" s="34" t="s">
        <v>119</v>
      </c>
      <c r="G137" s="35">
        <f t="shared" si="10"/>
        <v>7.57389347336834</v>
      </c>
      <c r="H137" s="36">
        <f t="shared" si="11"/>
        <v>90.864</v>
      </c>
      <c r="I137" s="40">
        <v>100.96</v>
      </c>
      <c r="J137" s="36">
        <f t="shared" si="12"/>
        <v>106.008</v>
      </c>
      <c r="K137" s="36">
        <f t="shared" si="13"/>
        <v>85.41216</v>
      </c>
      <c r="L137" s="36">
        <f t="shared" si="14"/>
        <v>94.9024</v>
      </c>
      <c r="M137" s="41"/>
    </row>
    <row r="138" ht="15" spans="1:13">
      <c r="A138" s="27" t="s">
        <v>114</v>
      </c>
      <c r="B138" s="33" t="s">
        <v>52</v>
      </c>
      <c r="C138" s="29" t="s">
        <v>21</v>
      </c>
      <c r="D138" s="30" t="s">
        <v>28</v>
      </c>
      <c r="E138" s="29" t="s">
        <v>23</v>
      </c>
      <c r="F138" s="34" t="s">
        <v>53</v>
      </c>
      <c r="G138" s="35">
        <f t="shared" si="10"/>
        <v>7.26106526631658</v>
      </c>
      <c r="H138" s="36">
        <f t="shared" si="11"/>
        <v>87.111</v>
      </c>
      <c r="I138" s="40">
        <v>96.79</v>
      </c>
      <c r="J138" s="36">
        <f t="shared" si="12"/>
        <v>101.6295</v>
      </c>
      <c r="K138" s="36">
        <f t="shared" si="13"/>
        <v>81.88434</v>
      </c>
      <c r="L138" s="36">
        <f t="shared" si="14"/>
        <v>90.9826</v>
      </c>
      <c r="M138" s="41"/>
    </row>
    <row r="139" ht="15" spans="1:13">
      <c r="A139" s="27" t="s">
        <v>114</v>
      </c>
      <c r="B139" s="33" t="s">
        <v>52</v>
      </c>
      <c r="C139" s="29" t="s">
        <v>54</v>
      </c>
      <c r="D139" s="30" t="s">
        <v>28</v>
      </c>
      <c r="E139" s="29" t="s">
        <v>23</v>
      </c>
      <c r="F139" s="34" t="s">
        <v>53</v>
      </c>
      <c r="G139" s="35">
        <f t="shared" si="10"/>
        <v>9.16129032258065</v>
      </c>
      <c r="H139" s="36">
        <f t="shared" si="11"/>
        <v>109.908</v>
      </c>
      <c r="I139" s="40">
        <v>122.12</v>
      </c>
      <c r="J139" s="36">
        <f t="shared" si="12"/>
        <v>128.226</v>
      </c>
      <c r="K139" s="36">
        <f t="shared" si="13"/>
        <v>103.31352</v>
      </c>
      <c r="L139" s="36">
        <f t="shared" si="14"/>
        <v>114.7928</v>
      </c>
      <c r="M139" s="41"/>
    </row>
    <row r="140" ht="15" spans="1:13">
      <c r="A140" s="27" t="s">
        <v>114</v>
      </c>
      <c r="B140" s="33" t="s">
        <v>52</v>
      </c>
      <c r="C140" s="29" t="s">
        <v>41</v>
      </c>
      <c r="D140" s="30" t="s">
        <v>28</v>
      </c>
      <c r="E140" s="29" t="s">
        <v>23</v>
      </c>
      <c r="F140" s="34" t="s">
        <v>53</v>
      </c>
      <c r="G140" s="35">
        <f t="shared" si="10"/>
        <v>10.9444861215304</v>
      </c>
      <c r="H140" s="36">
        <f t="shared" si="11"/>
        <v>131.301</v>
      </c>
      <c r="I140" s="40">
        <v>145.89</v>
      </c>
      <c r="J140" s="36">
        <f t="shared" si="12"/>
        <v>153.1845</v>
      </c>
      <c r="K140" s="36">
        <f t="shared" si="13"/>
        <v>123.42294</v>
      </c>
      <c r="L140" s="36">
        <f t="shared" si="14"/>
        <v>137.1366</v>
      </c>
      <c r="M140" s="41"/>
    </row>
    <row r="141" ht="15.6" spans="1:13">
      <c r="A141" s="27" t="s">
        <v>117</v>
      </c>
      <c r="B141" s="33" t="s">
        <v>52</v>
      </c>
      <c r="C141" s="29" t="s">
        <v>41</v>
      </c>
      <c r="D141" s="30" t="s">
        <v>28</v>
      </c>
      <c r="E141" s="29" t="s">
        <v>47</v>
      </c>
      <c r="F141" s="34" t="s">
        <v>53</v>
      </c>
      <c r="G141" s="35">
        <f t="shared" si="10"/>
        <v>11.8732183045761</v>
      </c>
      <c r="H141" s="36">
        <f t="shared" si="11"/>
        <v>142.443</v>
      </c>
      <c r="I141" s="40">
        <v>158.27</v>
      </c>
      <c r="J141" s="36">
        <f t="shared" si="12"/>
        <v>166.1835</v>
      </c>
      <c r="K141" s="36">
        <f t="shared" si="13"/>
        <v>133.89642</v>
      </c>
      <c r="L141" s="36">
        <f t="shared" si="14"/>
        <v>148.7738</v>
      </c>
      <c r="M141" s="41"/>
    </row>
    <row r="142" ht="15" spans="1:13">
      <c r="A142" s="27" t="s">
        <v>114</v>
      </c>
      <c r="B142" s="33" t="s">
        <v>52</v>
      </c>
      <c r="C142" s="29" t="s">
        <v>55</v>
      </c>
      <c r="D142" s="30" t="s">
        <v>28</v>
      </c>
      <c r="E142" s="29" t="s">
        <v>23</v>
      </c>
      <c r="F142" s="34" t="s">
        <v>53</v>
      </c>
      <c r="G142" s="35">
        <f t="shared" si="10"/>
        <v>20.4291072768192</v>
      </c>
      <c r="H142" s="36">
        <f t="shared" si="11"/>
        <v>245.088</v>
      </c>
      <c r="I142" s="40">
        <v>272.32</v>
      </c>
      <c r="J142" s="36">
        <f t="shared" si="12"/>
        <v>285.936</v>
      </c>
      <c r="K142" s="36">
        <f t="shared" si="13"/>
        <v>230.38272</v>
      </c>
      <c r="L142" s="36">
        <f t="shared" si="14"/>
        <v>255.9808</v>
      </c>
      <c r="M142" s="41"/>
    </row>
    <row r="143" ht="15" spans="1:13">
      <c r="A143" s="27" t="s">
        <v>114</v>
      </c>
      <c r="B143" s="33" t="s">
        <v>58</v>
      </c>
      <c r="C143" s="29" t="s">
        <v>21</v>
      </c>
      <c r="D143" s="30" t="s">
        <v>28</v>
      </c>
      <c r="E143" s="29" t="s">
        <v>23</v>
      </c>
      <c r="F143" s="34" t="s">
        <v>53</v>
      </c>
      <c r="G143" s="35">
        <f t="shared" si="10"/>
        <v>7.36984246061515</v>
      </c>
      <c r="H143" s="36">
        <f t="shared" si="11"/>
        <v>88.416</v>
      </c>
      <c r="I143" s="40">
        <v>98.24</v>
      </c>
      <c r="J143" s="36">
        <f t="shared" si="12"/>
        <v>103.152</v>
      </c>
      <c r="K143" s="36">
        <f t="shared" si="13"/>
        <v>83.11104</v>
      </c>
      <c r="L143" s="36">
        <f t="shared" si="14"/>
        <v>92.3456</v>
      </c>
      <c r="M143" s="41"/>
    </row>
    <row r="144" ht="15" spans="1:13">
      <c r="A144" s="27" t="s">
        <v>114</v>
      </c>
      <c r="B144" s="33" t="s">
        <v>58</v>
      </c>
      <c r="C144" s="29" t="s">
        <v>41</v>
      </c>
      <c r="D144" s="30" t="s">
        <v>28</v>
      </c>
      <c r="E144" s="29" t="s">
        <v>23</v>
      </c>
      <c r="F144" s="34" t="s">
        <v>53</v>
      </c>
      <c r="G144" s="35">
        <f t="shared" si="10"/>
        <v>11.278319579895</v>
      </c>
      <c r="H144" s="36">
        <f t="shared" si="11"/>
        <v>135.306</v>
      </c>
      <c r="I144" s="40">
        <v>150.34</v>
      </c>
      <c r="J144" s="36">
        <f t="shared" si="12"/>
        <v>157.857</v>
      </c>
      <c r="K144" s="36">
        <f t="shared" si="13"/>
        <v>127.18764</v>
      </c>
      <c r="L144" s="36">
        <f t="shared" si="14"/>
        <v>141.3196</v>
      </c>
      <c r="M144" s="41"/>
    </row>
    <row r="145" ht="15" spans="1:13">
      <c r="A145" s="27" t="s">
        <v>114</v>
      </c>
      <c r="B145" s="33" t="s">
        <v>58</v>
      </c>
      <c r="C145" s="29" t="s">
        <v>55</v>
      </c>
      <c r="D145" s="30" t="s">
        <v>28</v>
      </c>
      <c r="E145" s="29" t="s">
        <v>23</v>
      </c>
      <c r="F145" s="34" t="s">
        <v>53</v>
      </c>
      <c r="G145" s="35">
        <f t="shared" si="10"/>
        <v>20.4291072768192</v>
      </c>
      <c r="H145" s="36">
        <f t="shared" si="11"/>
        <v>245.088</v>
      </c>
      <c r="I145" s="40">
        <v>272.32</v>
      </c>
      <c r="J145" s="36">
        <f t="shared" si="12"/>
        <v>285.936</v>
      </c>
      <c r="K145" s="36">
        <f t="shared" si="13"/>
        <v>230.38272</v>
      </c>
      <c r="L145" s="36">
        <f t="shared" si="14"/>
        <v>255.9808</v>
      </c>
      <c r="M145" s="41"/>
    </row>
    <row r="146" ht="15" spans="1:13">
      <c r="A146" s="27" t="s">
        <v>114</v>
      </c>
      <c r="B146" s="33" t="s">
        <v>60</v>
      </c>
      <c r="C146" s="29" t="s">
        <v>21</v>
      </c>
      <c r="D146" s="30" t="s">
        <v>28</v>
      </c>
      <c r="E146" s="29" t="s">
        <v>23</v>
      </c>
      <c r="F146" s="34" t="s">
        <v>61</v>
      </c>
      <c r="G146" s="35">
        <f t="shared" si="10"/>
        <v>7.42760690172543</v>
      </c>
      <c r="H146" s="36">
        <f t="shared" si="11"/>
        <v>89.109</v>
      </c>
      <c r="I146" s="40">
        <v>99.01</v>
      </c>
      <c r="J146" s="36">
        <f t="shared" si="12"/>
        <v>103.9605</v>
      </c>
      <c r="K146" s="36">
        <f t="shared" si="13"/>
        <v>83.76246</v>
      </c>
      <c r="L146" s="36">
        <f t="shared" si="14"/>
        <v>93.0694</v>
      </c>
      <c r="M146" s="41"/>
    </row>
    <row r="147" ht="15" spans="1:13">
      <c r="A147" s="27" t="s">
        <v>114</v>
      </c>
      <c r="B147" s="33" t="s">
        <v>60</v>
      </c>
      <c r="C147" s="29" t="s">
        <v>41</v>
      </c>
      <c r="D147" s="30" t="s">
        <v>28</v>
      </c>
      <c r="E147" s="29" t="s">
        <v>23</v>
      </c>
      <c r="F147" s="34" t="s">
        <v>61</v>
      </c>
      <c r="G147" s="35">
        <f t="shared" si="10"/>
        <v>11.4396099024756</v>
      </c>
      <c r="H147" s="36">
        <f t="shared" si="11"/>
        <v>137.241</v>
      </c>
      <c r="I147" s="40">
        <v>152.49</v>
      </c>
      <c r="J147" s="36">
        <f t="shared" si="12"/>
        <v>160.1145</v>
      </c>
      <c r="K147" s="36">
        <f t="shared" si="13"/>
        <v>129.00654</v>
      </c>
      <c r="L147" s="36">
        <f t="shared" si="14"/>
        <v>143.3406</v>
      </c>
      <c r="M147" s="41"/>
    </row>
    <row r="148" ht="15" spans="1:13">
      <c r="A148" s="27" t="s">
        <v>114</v>
      </c>
      <c r="B148" s="33" t="s">
        <v>60</v>
      </c>
      <c r="C148" s="29" t="s">
        <v>41</v>
      </c>
      <c r="D148" s="30" t="s">
        <v>28</v>
      </c>
      <c r="E148" s="29" t="s">
        <v>23</v>
      </c>
      <c r="F148" s="34" t="s">
        <v>59</v>
      </c>
      <c r="G148" s="35">
        <f t="shared" si="10"/>
        <v>12.5821455363841</v>
      </c>
      <c r="H148" s="36">
        <f t="shared" si="11"/>
        <v>150.948</v>
      </c>
      <c r="I148" s="40">
        <v>167.72</v>
      </c>
      <c r="J148" s="36">
        <f t="shared" si="12"/>
        <v>176.106</v>
      </c>
      <c r="K148" s="36">
        <f t="shared" si="13"/>
        <v>141.89112</v>
      </c>
      <c r="L148" s="36">
        <f t="shared" si="14"/>
        <v>157.6568</v>
      </c>
      <c r="M148" s="41"/>
    </row>
    <row r="149" ht="15" spans="1:13">
      <c r="A149" s="27" t="s">
        <v>114</v>
      </c>
      <c r="B149" s="33" t="s">
        <v>60</v>
      </c>
      <c r="C149" s="29" t="s">
        <v>55</v>
      </c>
      <c r="D149" s="30" t="s">
        <v>28</v>
      </c>
      <c r="E149" s="29" t="s">
        <v>23</v>
      </c>
      <c r="F149" s="34" t="s">
        <v>61</v>
      </c>
      <c r="G149" s="35">
        <f t="shared" si="10"/>
        <v>20.2700675168792</v>
      </c>
      <c r="H149" s="36">
        <f t="shared" si="11"/>
        <v>243.18</v>
      </c>
      <c r="I149" s="40">
        <v>270.2</v>
      </c>
      <c r="J149" s="36">
        <f t="shared" si="12"/>
        <v>283.71</v>
      </c>
      <c r="K149" s="36">
        <f t="shared" si="13"/>
        <v>228.5892</v>
      </c>
      <c r="L149" s="36">
        <f t="shared" si="14"/>
        <v>253.988</v>
      </c>
      <c r="M149" s="41"/>
    </row>
    <row r="150" ht="15" spans="1:13">
      <c r="A150" s="27" t="s">
        <v>114</v>
      </c>
      <c r="B150" s="33" t="s">
        <v>120</v>
      </c>
      <c r="C150" s="29" t="s">
        <v>21</v>
      </c>
      <c r="D150" s="30" t="s">
        <v>28</v>
      </c>
      <c r="E150" s="29" t="s">
        <v>23</v>
      </c>
      <c r="F150" s="34" t="s">
        <v>61</v>
      </c>
      <c r="G150" s="35">
        <f t="shared" si="10"/>
        <v>7.42910727681921</v>
      </c>
      <c r="H150" s="36">
        <f t="shared" si="11"/>
        <v>89.127</v>
      </c>
      <c r="I150" s="40">
        <v>99.03</v>
      </c>
      <c r="J150" s="36">
        <f t="shared" si="12"/>
        <v>103.9815</v>
      </c>
      <c r="K150" s="36">
        <f t="shared" si="13"/>
        <v>83.77938</v>
      </c>
      <c r="L150" s="36">
        <f t="shared" si="14"/>
        <v>93.0882</v>
      </c>
      <c r="M150" s="41"/>
    </row>
    <row r="151" ht="15" spans="1:13">
      <c r="A151" s="27" t="s">
        <v>114</v>
      </c>
      <c r="B151" s="33" t="s">
        <v>120</v>
      </c>
      <c r="C151" s="29" t="s">
        <v>41</v>
      </c>
      <c r="D151" s="30" t="s">
        <v>28</v>
      </c>
      <c r="E151" s="29" t="s">
        <v>23</v>
      </c>
      <c r="F151" s="34" t="s">
        <v>61</v>
      </c>
      <c r="G151" s="35">
        <f t="shared" si="10"/>
        <v>11.3488372093023</v>
      </c>
      <c r="H151" s="36">
        <f t="shared" si="11"/>
        <v>136.152</v>
      </c>
      <c r="I151" s="40">
        <v>151.28</v>
      </c>
      <c r="J151" s="36">
        <f t="shared" si="12"/>
        <v>158.844</v>
      </c>
      <c r="K151" s="36">
        <f t="shared" si="13"/>
        <v>127.98288</v>
      </c>
      <c r="L151" s="36">
        <f t="shared" si="14"/>
        <v>142.2032</v>
      </c>
      <c r="M151" s="41"/>
    </row>
    <row r="152" ht="15" spans="1:13">
      <c r="A152" s="27" t="s">
        <v>114</v>
      </c>
      <c r="B152" s="33" t="s">
        <v>64</v>
      </c>
      <c r="C152" s="29" t="s">
        <v>21</v>
      </c>
      <c r="D152" s="30" t="s">
        <v>28</v>
      </c>
      <c r="E152" s="29" t="s">
        <v>23</v>
      </c>
      <c r="F152" s="34" t="s">
        <v>63</v>
      </c>
      <c r="G152" s="35">
        <f t="shared" si="10"/>
        <v>7.43810952738185</v>
      </c>
      <c r="H152" s="36">
        <f t="shared" si="11"/>
        <v>89.235</v>
      </c>
      <c r="I152" s="40">
        <v>99.15</v>
      </c>
      <c r="J152" s="36">
        <f t="shared" si="12"/>
        <v>104.1075</v>
      </c>
      <c r="K152" s="36">
        <f t="shared" si="13"/>
        <v>83.8809</v>
      </c>
      <c r="L152" s="36">
        <f t="shared" si="14"/>
        <v>93.201</v>
      </c>
      <c r="M152" s="41"/>
    </row>
    <row r="153" ht="15" spans="1:13">
      <c r="A153" s="27" t="s">
        <v>114</v>
      </c>
      <c r="B153" s="33" t="s">
        <v>64</v>
      </c>
      <c r="C153" s="29" t="s">
        <v>41</v>
      </c>
      <c r="D153" s="30" t="s">
        <v>28</v>
      </c>
      <c r="E153" s="29" t="s">
        <v>23</v>
      </c>
      <c r="F153" s="34" t="s">
        <v>63</v>
      </c>
      <c r="G153" s="35">
        <f t="shared" si="10"/>
        <v>11.1545386346587</v>
      </c>
      <c r="H153" s="36">
        <f t="shared" si="11"/>
        <v>133.821</v>
      </c>
      <c r="I153" s="40">
        <v>148.69</v>
      </c>
      <c r="J153" s="36">
        <f t="shared" si="12"/>
        <v>156.1245</v>
      </c>
      <c r="K153" s="36">
        <f t="shared" si="13"/>
        <v>125.79174</v>
      </c>
      <c r="L153" s="36">
        <f t="shared" si="14"/>
        <v>139.7686</v>
      </c>
      <c r="M153" s="41"/>
    </row>
    <row r="154" ht="15" spans="1:13">
      <c r="A154" s="27" t="s">
        <v>114</v>
      </c>
      <c r="B154" s="33" t="s">
        <v>64</v>
      </c>
      <c r="C154" s="29" t="s">
        <v>55</v>
      </c>
      <c r="D154" s="30" t="s">
        <v>28</v>
      </c>
      <c r="E154" s="29" t="s">
        <v>23</v>
      </c>
      <c r="F154" s="34" t="s">
        <v>63</v>
      </c>
      <c r="G154" s="35">
        <f t="shared" si="10"/>
        <v>20.6526631657914</v>
      </c>
      <c r="H154" s="36">
        <f t="shared" si="11"/>
        <v>247.77</v>
      </c>
      <c r="I154" s="40">
        <v>275.3</v>
      </c>
      <c r="J154" s="36">
        <f t="shared" si="12"/>
        <v>289.065</v>
      </c>
      <c r="K154" s="36">
        <f t="shared" si="13"/>
        <v>232.9038</v>
      </c>
      <c r="L154" s="36">
        <f t="shared" si="14"/>
        <v>258.782</v>
      </c>
      <c r="M154" s="41"/>
    </row>
    <row r="155" ht="15" spans="1:13">
      <c r="A155" s="27" t="s">
        <v>114</v>
      </c>
      <c r="B155" s="33" t="s">
        <v>26</v>
      </c>
      <c r="C155" s="29" t="s">
        <v>21</v>
      </c>
      <c r="D155" s="30" t="s">
        <v>28</v>
      </c>
      <c r="E155" s="29" t="s">
        <v>23</v>
      </c>
      <c r="F155" s="34" t="s">
        <v>29</v>
      </c>
      <c r="G155" s="35">
        <f t="shared" si="10"/>
        <v>8.89647411852963</v>
      </c>
      <c r="H155" s="36">
        <f t="shared" si="11"/>
        <v>106.731</v>
      </c>
      <c r="I155" s="40">
        <v>118.59</v>
      </c>
      <c r="J155" s="36">
        <f t="shared" si="12"/>
        <v>124.5195</v>
      </c>
      <c r="K155" s="36">
        <f t="shared" si="13"/>
        <v>100.32714</v>
      </c>
      <c r="L155" s="36">
        <f t="shared" si="14"/>
        <v>111.4746</v>
      </c>
      <c r="M155" s="41"/>
    </row>
    <row r="156" ht="15" spans="1:13">
      <c r="A156" s="27" t="s">
        <v>114</v>
      </c>
      <c r="B156" s="33" t="s">
        <v>26</v>
      </c>
      <c r="C156" s="29" t="s">
        <v>41</v>
      </c>
      <c r="D156" s="30" t="s">
        <v>28</v>
      </c>
      <c r="E156" s="29" t="s">
        <v>23</v>
      </c>
      <c r="F156" s="34" t="s">
        <v>29</v>
      </c>
      <c r="G156" s="35">
        <f t="shared" si="10"/>
        <v>12.7344336084021</v>
      </c>
      <c r="H156" s="36">
        <f t="shared" si="11"/>
        <v>152.775</v>
      </c>
      <c r="I156" s="40">
        <v>169.75</v>
      </c>
      <c r="J156" s="36">
        <f t="shared" si="12"/>
        <v>178.2375</v>
      </c>
      <c r="K156" s="36">
        <f t="shared" si="13"/>
        <v>143.6085</v>
      </c>
      <c r="L156" s="36">
        <f t="shared" si="14"/>
        <v>159.565</v>
      </c>
      <c r="M156" s="41"/>
    </row>
    <row r="157" ht="15" spans="1:13">
      <c r="A157" s="27" t="s">
        <v>114</v>
      </c>
      <c r="B157" s="33" t="s">
        <v>26</v>
      </c>
      <c r="C157" s="29" t="s">
        <v>121</v>
      </c>
      <c r="D157" s="30" t="s">
        <v>28</v>
      </c>
      <c r="E157" s="29" t="s">
        <v>23</v>
      </c>
      <c r="F157" s="34" t="s">
        <v>29</v>
      </c>
      <c r="G157" s="35">
        <f t="shared" si="10"/>
        <v>18.1110277569392</v>
      </c>
      <c r="H157" s="36">
        <f t="shared" si="11"/>
        <v>217.278</v>
      </c>
      <c r="I157" s="40">
        <v>241.42</v>
      </c>
      <c r="J157" s="36">
        <f t="shared" si="12"/>
        <v>253.491</v>
      </c>
      <c r="K157" s="36">
        <f t="shared" si="13"/>
        <v>204.24132</v>
      </c>
      <c r="L157" s="36">
        <f t="shared" si="14"/>
        <v>226.9348</v>
      </c>
      <c r="M157" s="41"/>
    </row>
    <row r="158" ht="15" spans="1:13">
      <c r="A158" s="27" t="s">
        <v>114</v>
      </c>
      <c r="B158" s="33" t="s">
        <v>26</v>
      </c>
      <c r="C158" s="29" t="s">
        <v>55</v>
      </c>
      <c r="D158" s="30" t="s">
        <v>28</v>
      </c>
      <c r="E158" s="29" t="s">
        <v>23</v>
      </c>
      <c r="F158" s="34" t="s">
        <v>29</v>
      </c>
      <c r="G158" s="35">
        <f t="shared" si="10"/>
        <v>22.2813203300825</v>
      </c>
      <c r="H158" s="36">
        <f t="shared" si="11"/>
        <v>267.309</v>
      </c>
      <c r="I158" s="40">
        <v>297.01</v>
      </c>
      <c r="J158" s="36">
        <f t="shared" si="12"/>
        <v>311.8605</v>
      </c>
      <c r="K158" s="36">
        <f t="shared" si="13"/>
        <v>251.27046</v>
      </c>
      <c r="L158" s="36">
        <f t="shared" si="14"/>
        <v>279.1894</v>
      </c>
      <c r="M158" s="41"/>
    </row>
    <row r="159" ht="15" spans="1:13">
      <c r="A159" s="27" t="s">
        <v>114</v>
      </c>
      <c r="B159" s="33" t="s">
        <v>65</v>
      </c>
      <c r="C159" s="29" t="s">
        <v>21</v>
      </c>
      <c r="D159" s="30" t="s">
        <v>28</v>
      </c>
      <c r="E159" s="29" t="s">
        <v>23</v>
      </c>
      <c r="F159" s="34" t="s">
        <v>66</v>
      </c>
      <c r="G159" s="35">
        <f t="shared" si="10"/>
        <v>9.02175543885972</v>
      </c>
      <c r="H159" s="36">
        <f t="shared" si="11"/>
        <v>108.234</v>
      </c>
      <c r="I159" s="40">
        <v>120.26</v>
      </c>
      <c r="J159" s="36">
        <f t="shared" si="12"/>
        <v>126.273</v>
      </c>
      <c r="K159" s="36">
        <f t="shared" si="13"/>
        <v>101.73996</v>
      </c>
      <c r="L159" s="36">
        <f t="shared" si="14"/>
        <v>113.0444</v>
      </c>
      <c r="M159" s="41"/>
    </row>
    <row r="160" ht="15" spans="1:13">
      <c r="A160" s="27" t="s">
        <v>114</v>
      </c>
      <c r="B160" s="33" t="s">
        <v>65</v>
      </c>
      <c r="C160" s="29" t="s">
        <v>41</v>
      </c>
      <c r="D160" s="30" t="s">
        <v>28</v>
      </c>
      <c r="E160" s="29" t="s">
        <v>23</v>
      </c>
      <c r="F160" s="34" t="s">
        <v>66</v>
      </c>
      <c r="G160" s="35">
        <f t="shared" si="10"/>
        <v>12.8507126781695</v>
      </c>
      <c r="H160" s="36">
        <f t="shared" si="11"/>
        <v>154.17</v>
      </c>
      <c r="I160" s="40">
        <v>171.3</v>
      </c>
      <c r="J160" s="36">
        <f t="shared" si="12"/>
        <v>179.865</v>
      </c>
      <c r="K160" s="36">
        <f t="shared" si="13"/>
        <v>144.9198</v>
      </c>
      <c r="L160" s="36">
        <f t="shared" si="14"/>
        <v>161.022</v>
      </c>
      <c r="M160" s="41"/>
    </row>
    <row r="161" ht="15" spans="1:13">
      <c r="A161" s="27" t="s">
        <v>114</v>
      </c>
      <c r="B161" s="33" t="s">
        <v>65</v>
      </c>
      <c r="C161" s="29" t="s">
        <v>55</v>
      </c>
      <c r="D161" s="30" t="s">
        <v>28</v>
      </c>
      <c r="E161" s="29" t="s">
        <v>23</v>
      </c>
      <c r="F161" s="34" t="s">
        <v>66</v>
      </c>
      <c r="G161" s="35">
        <f t="shared" si="10"/>
        <v>22.4756189047262</v>
      </c>
      <c r="H161" s="36">
        <f t="shared" si="11"/>
        <v>269.64</v>
      </c>
      <c r="I161" s="40">
        <v>299.6</v>
      </c>
      <c r="J161" s="36">
        <f t="shared" si="12"/>
        <v>314.58</v>
      </c>
      <c r="K161" s="36">
        <f t="shared" si="13"/>
        <v>253.4616</v>
      </c>
      <c r="L161" s="36">
        <f t="shared" si="14"/>
        <v>281.624</v>
      </c>
      <c r="M161" s="41"/>
    </row>
    <row r="162" ht="15" spans="1:13">
      <c r="A162" s="27" t="s">
        <v>114</v>
      </c>
      <c r="B162" s="33" t="s">
        <v>65</v>
      </c>
      <c r="C162" s="29" t="s">
        <v>122</v>
      </c>
      <c r="D162" s="30" t="s">
        <v>28</v>
      </c>
      <c r="E162" s="29" t="s">
        <v>23</v>
      </c>
      <c r="F162" s="34" t="s">
        <v>66</v>
      </c>
      <c r="G162" s="35">
        <f t="shared" si="10"/>
        <v>32.5881470367592</v>
      </c>
      <c r="H162" s="36">
        <f t="shared" si="11"/>
        <v>390.96</v>
      </c>
      <c r="I162" s="40">
        <v>434.4</v>
      </c>
      <c r="J162" s="36">
        <f t="shared" si="12"/>
        <v>456.12</v>
      </c>
      <c r="K162" s="36">
        <f t="shared" si="13"/>
        <v>367.5024</v>
      </c>
      <c r="L162" s="36">
        <f t="shared" si="14"/>
        <v>408.336</v>
      </c>
      <c r="M162" s="41"/>
    </row>
    <row r="163" ht="15" spans="1:13">
      <c r="A163" s="27" t="s">
        <v>114</v>
      </c>
      <c r="B163" s="33" t="s">
        <v>123</v>
      </c>
      <c r="C163" s="29" t="s">
        <v>55</v>
      </c>
      <c r="D163" s="30" t="s">
        <v>28</v>
      </c>
      <c r="E163" s="29" t="s">
        <v>23</v>
      </c>
      <c r="F163" s="34" t="s">
        <v>68</v>
      </c>
      <c r="G163" s="35">
        <f t="shared" si="10"/>
        <v>22.119279819955</v>
      </c>
      <c r="H163" s="36">
        <f t="shared" si="11"/>
        <v>265.365</v>
      </c>
      <c r="I163" s="40">
        <v>294.85</v>
      </c>
      <c r="J163" s="36">
        <f t="shared" si="12"/>
        <v>309.5925</v>
      </c>
      <c r="K163" s="36">
        <f t="shared" si="13"/>
        <v>249.4431</v>
      </c>
      <c r="L163" s="36">
        <f t="shared" si="14"/>
        <v>277.159</v>
      </c>
      <c r="M163" s="41"/>
    </row>
    <row r="164" ht="15" spans="1:13">
      <c r="A164" s="27" t="s">
        <v>114</v>
      </c>
      <c r="B164" s="33" t="s">
        <v>67</v>
      </c>
      <c r="C164" s="29" t="s">
        <v>41</v>
      </c>
      <c r="D164" s="30" t="s">
        <v>28</v>
      </c>
      <c r="E164" s="29" t="s">
        <v>23</v>
      </c>
      <c r="F164" s="34" t="s">
        <v>68</v>
      </c>
      <c r="G164" s="35">
        <f t="shared" si="10"/>
        <v>12.4868717179295</v>
      </c>
      <c r="H164" s="36">
        <f t="shared" si="11"/>
        <v>149.805</v>
      </c>
      <c r="I164" s="40">
        <v>166.45</v>
      </c>
      <c r="J164" s="36">
        <f t="shared" si="12"/>
        <v>174.7725</v>
      </c>
      <c r="K164" s="36">
        <f t="shared" si="13"/>
        <v>140.8167</v>
      </c>
      <c r="L164" s="36">
        <f t="shared" si="14"/>
        <v>156.463</v>
      </c>
      <c r="M164" s="41"/>
    </row>
    <row r="165" ht="15" spans="1:13">
      <c r="A165" s="27" t="s">
        <v>114</v>
      </c>
      <c r="B165" s="33" t="s">
        <v>67</v>
      </c>
      <c r="C165" s="29" t="s">
        <v>55</v>
      </c>
      <c r="D165" s="30" t="s">
        <v>28</v>
      </c>
      <c r="E165" s="29" t="s">
        <v>23</v>
      </c>
      <c r="F165" s="34" t="s">
        <v>68</v>
      </c>
      <c r="G165" s="35">
        <f t="shared" si="10"/>
        <v>22.1312828207052</v>
      </c>
      <c r="H165" s="36">
        <f t="shared" si="11"/>
        <v>265.509</v>
      </c>
      <c r="I165" s="40">
        <v>295.01</v>
      </c>
      <c r="J165" s="36">
        <f t="shared" si="12"/>
        <v>309.7605</v>
      </c>
      <c r="K165" s="36">
        <f t="shared" si="13"/>
        <v>249.57846</v>
      </c>
      <c r="L165" s="36">
        <f t="shared" si="14"/>
        <v>277.3094</v>
      </c>
      <c r="M165" s="41"/>
    </row>
    <row r="166" ht="15" spans="1:13">
      <c r="A166" s="27" t="s">
        <v>114</v>
      </c>
      <c r="B166" s="33" t="s">
        <v>69</v>
      </c>
      <c r="C166" s="29" t="s">
        <v>21</v>
      </c>
      <c r="D166" s="30" t="s">
        <v>28</v>
      </c>
      <c r="E166" s="29" t="s">
        <v>23</v>
      </c>
      <c r="F166" s="34" t="s">
        <v>68</v>
      </c>
      <c r="G166" s="35">
        <f t="shared" si="10"/>
        <v>8.50712678169542</v>
      </c>
      <c r="H166" s="36">
        <f t="shared" si="11"/>
        <v>102.06</v>
      </c>
      <c r="I166" s="40">
        <v>113.4</v>
      </c>
      <c r="J166" s="36">
        <f t="shared" si="12"/>
        <v>119.07</v>
      </c>
      <c r="K166" s="36">
        <f t="shared" si="13"/>
        <v>95.9364</v>
      </c>
      <c r="L166" s="36">
        <f t="shared" si="14"/>
        <v>106.596</v>
      </c>
      <c r="M166" s="41"/>
    </row>
    <row r="167" ht="15" spans="1:13">
      <c r="A167" s="27" t="s">
        <v>114</v>
      </c>
      <c r="B167" s="33" t="s">
        <v>69</v>
      </c>
      <c r="C167" s="29" t="s">
        <v>41</v>
      </c>
      <c r="D167" s="30" t="s">
        <v>28</v>
      </c>
      <c r="E167" s="29" t="s">
        <v>23</v>
      </c>
      <c r="F167" s="34" t="s">
        <v>68</v>
      </c>
      <c r="G167" s="35">
        <f t="shared" si="10"/>
        <v>12.3675918979745</v>
      </c>
      <c r="H167" s="36">
        <f t="shared" si="11"/>
        <v>148.374</v>
      </c>
      <c r="I167" s="40">
        <v>164.86</v>
      </c>
      <c r="J167" s="36">
        <f t="shared" si="12"/>
        <v>173.103</v>
      </c>
      <c r="K167" s="36">
        <f t="shared" si="13"/>
        <v>139.47156</v>
      </c>
      <c r="L167" s="36">
        <f t="shared" si="14"/>
        <v>154.9684</v>
      </c>
      <c r="M167" s="41"/>
    </row>
    <row r="168" ht="15" spans="1:13">
      <c r="A168" s="27" t="s">
        <v>114</v>
      </c>
      <c r="B168" s="33" t="s">
        <v>70</v>
      </c>
      <c r="C168" s="29" t="s">
        <v>21</v>
      </c>
      <c r="D168" s="30" t="s">
        <v>28</v>
      </c>
      <c r="E168" s="29" t="s">
        <v>23</v>
      </c>
      <c r="F168" s="34" t="s">
        <v>68</v>
      </c>
      <c r="G168" s="35">
        <f t="shared" si="10"/>
        <v>8.58664666166542</v>
      </c>
      <c r="H168" s="36">
        <f t="shared" si="11"/>
        <v>103.014</v>
      </c>
      <c r="I168" s="40">
        <v>114.46</v>
      </c>
      <c r="J168" s="36">
        <f t="shared" si="12"/>
        <v>120.183</v>
      </c>
      <c r="K168" s="36">
        <f t="shared" si="13"/>
        <v>96.83316</v>
      </c>
      <c r="L168" s="36">
        <f t="shared" si="14"/>
        <v>107.5924</v>
      </c>
      <c r="M168" s="41"/>
    </row>
    <row r="169" ht="15" spans="1:13">
      <c r="A169" s="27" t="s">
        <v>114</v>
      </c>
      <c r="B169" s="33" t="s">
        <v>70</v>
      </c>
      <c r="C169" s="29" t="s">
        <v>41</v>
      </c>
      <c r="D169" s="30" t="s">
        <v>28</v>
      </c>
      <c r="E169" s="29" t="s">
        <v>23</v>
      </c>
      <c r="F169" s="34" t="s">
        <v>68</v>
      </c>
      <c r="G169" s="35">
        <f t="shared" si="10"/>
        <v>12.5093773443361</v>
      </c>
      <c r="H169" s="36">
        <f t="shared" si="11"/>
        <v>150.075</v>
      </c>
      <c r="I169" s="40">
        <v>166.75</v>
      </c>
      <c r="J169" s="36">
        <f t="shared" si="12"/>
        <v>175.0875</v>
      </c>
      <c r="K169" s="36">
        <f t="shared" si="13"/>
        <v>141.0705</v>
      </c>
      <c r="L169" s="36">
        <f t="shared" si="14"/>
        <v>156.745</v>
      </c>
      <c r="M169" s="41"/>
    </row>
    <row r="170" ht="15" spans="1:13">
      <c r="A170" s="27" t="s">
        <v>114</v>
      </c>
      <c r="B170" s="33" t="s">
        <v>70</v>
      </c>
      <c r="C170" s="29" t="s">
        <v>41</v>
      </c>
      <c r="D170" s="30" t="s">
        <v>28</v>
      </c>
      <c r="E170" s="29" t="s">
        <v>23</v>
      </c>
      <c r="F170" s="34" t="s">
        <v>124</v>
      </c>
      <c r="G170" s="35">
        <f t="shared" si="10"/>
        <v>15.1132783195799</v>
      </c>
      <c r="H170" s="36">
        <f t="shared" si="11"/>
        <v>181.314</v>
      </c>
      <c r="I170" s="40">
        <v>201.46</v>
      </c>
      <c r="J170" s="36">
        <f t="shared" si="12"/>
        <v>211.533</v>
      </c>
      <c r="K170" s="36">
        <f t="shared" si="13"/>
        <v>170.43516</v>
      </c>
      <c r="L170" s="36">
        <f t="shared" si="14"/>
        <v>189.3724</v>
      </c>
      <c r="M170" s="41"/>
    </row>
    <row r="171" ht="15" spans="1:13">
      <c r="A171" s="27" t="s">
        <v>114</v>
      </c>
      <c r="B171" s="33" t="s">
        <v>70</v>
      </c>
      <c r="C171" s="29" t="s">
        <v>55</v>
      </c>
      <c r="D171" s="30" t="s">
        <v>28</v>
      </c>
      <c r="E171" s="29" t="s">
        <v>23</v>
      </c>
      <c r="F171" s="34" t="s">
        <v>68</v>
      </c>
      <c r="G171" s="35">
        <f t="shared" si="10"/>
        <v>22.0885221305326</v>
      </c>
      <c r="H171" s="36">
        <f t="shared" si="11"/>
        <v>264.996</v>
      </c>
      <c r="I171" s="40">
        <v>294.44</v>
      </c>
      <c r="J171" s="36">
        <f t="shared" si="12"/>
        <v>309.162</v>
      </c>
      <c r="K171" s="36">
        <f t="shared" si="13"/>
        <v>249.09624</v>
      </c>
      <c r="L171" s="36">
        <f t="shared" si="14"/>
        <v>276.7736</v>
      </c>
      <c r="M171" s="41"/>
    </row>
    <row r="172" ht="15" spans="1:13">
      <c r="A172" s="27" t="s">
        <v>114</v>
      </c>
      <c r="B172" s="33" t="s">
        <v>72</v>
      </c>
      <c r="C172" s="29" t="s">
        <v>21</v>
      </c>
      <c r="D172" s="30" t="s">
        <v>28</v>
      </c>
      <c r="E172" s="29" t="s">
        <v>23</v>
      </c>
      <c r="F172" s="34" t="s">
        <v>73</v>
      </c>
      <c r="G172" s="35">
        <f t="shared" si="10"/>
        <v>9.97824456114028</v>
      </c>
      <c r="H172" s="36">
        <f t="shared" si="11"/>
        <v>119.709</v>
      </c>
      <c r="I172" s="40">
        <v>133.01</v>
      </c>
      <c r="J172" s="36">
        <f t="shared" si="12"/>
        <v>139.6605</v>
      </c>
      <c r="K172" s="36">
        <f t="shared" si="13"/>
        <v>112.52646</v>
      </c>
      <c r="L172" s="36">
        <f t="shared" si="14"/>
        <v>125.0294</v>
      </c>
      <c r="M172" s="41"/>
    </row>
    <row r="173" ht="15" spans="1:13">
      <c r="A173" s="27" t="s">
        <v>114</v>
      </c>
      <c r="B173" s="33" t="s">
        <v>72</v>
      </c>
      <c r="C173" s="29" t="s">
        <v>41</v>
      </c>
      <c r="D173" s="30" t="s">
        <v>28</v>
      </c>
      <c r="E173" s="29" t="s">
        <v>23</v>
      </c>
      <c r="F173" s="34" t="s">
        <v>73</v>
      </c>
      <c r="G173" s="35">
        <f t="shared" si="10"/>
        <v>13.9797449362341</v>
      </c>
      <c r="H173" s="36">
        <f t="shared" si="11"/>
        <v>167.715</v>
      </c>
      <c r="I173" s="40">
        <v>186.35</v>
      </c>
      <c r="J173" s="36">
        <f t="shared" si="12"/>
        <v>195.6675</v>
      </c>
      <c r="K173" s="36">
        <f t="shared" si="13"/>
        <v>157.6521</v>
      </c>
      <c r="L173" s="36">
        <f t="shared" si="14"/>
        <v>175.169</v>
      </c>
      <c r="M173" s="41"/>
    </row>
    <row r="174" ht="15" spans="1:13">
      <c r="A174" s="27" t="s">
        <v>114</v>
      </c>
      <c r="B174" s="33" t="s">
        <v>74</v>
      </c>
      <c r="C174" s="29" t="s">
        <v>21</v>
      </c>
      <c r="D174" s="30" t="s">
        <v>28</v>
      </c>
      <c r="E174" s="29" t="s">
        <v>23</v>
      </c>
      <c r="F174" s="34" t="s">
        <v>73</v>
      </c>
      <c r="G174" s="35">
        <f t="shared" si="10"/>
        <v>9.89122280570142</v>
      </c>
      <c r="H174" s="36">
        <f t="shared" si="11"/>
        <v>118.665</v>
      </c>
      <c r="I174" s="40">
        <v>131.85</v>
      </c>
      <c r="J174" s="36">
        <f t="shared" si="12"/>
        <v>138.4425</v>
      </c>
      <c r="K174" s="36">
        <f t="shared" si="13"/>
        <v>111.5451</v>
      </c>
      <c r="L174" s="36">
        <f t="shared" si="14"/>
        <v>123.939</v>
      </c>
      <c r="M174" s="41"/>
    </row>
    <row r="175" ht="15" spans="1:13">
      <c r="A175" s="27" t="s">
        <v>114</v>
      </c>
      <c r="B175" s="33" t="s">
        <v>74</v>
      </c>
      <c r="C175" s="29" t="s">
        <v>41</v>
      </c>
      <c r="D175" s="30" t="s">
        <v>28</v>
      </c>
      <c r="E175" s="29" t="s">
        <v>23</v>
      </c>
      <c r="F175" s="34" t="s">
        <v>73</v>
      </c>
      <c r="G175" s="35">
        <f t="shared" si="10"/>
        <v>13.8132033008252</v>
      </c>
      <c r="H175" s="36">
        <f t="shared" si="11"/>
        <v>165.717</v>
      </c>
      <c r="I175" s="40">
        <v>184.13</v>
      </c>
      <c r="J175" s="36">
        <f t="shared" si="12"/>
        <v>193.3365</v>
      </c>
      <c r="K175" s="36">
        <f t="shared" si="13"/>
        <v>155.77398</v>
      </c>
      <c r="L175" s="36">
        <f t="shared" si="14"/>
        <v>173.0822</v>
      </c>
      <c r="M175" s="41"/>
    </row>
    <row r="176" ht="15" spans="1:13">
      <c r="A176" s="27" t="s">
        <v>114</v>
      </c>
      <c r="B176" s="33" t="s">
        <v>77</v>
      </c>
      <c r="C176" s="29" t="s">
        <v>21</v>
      </c>
      <c r="D176" s="30" t="s">
        <v>28</v>
      </c>
      <c r="E176" s="29" t="s">
        <v>23</v>
      </c>
      <c r="F176" s="34" t="s">
        <v>76</v>
      </c>
      <c r="G176" s="35">
        <f t="shared" si="10"/>
        <v>9.82145536384096</v>
      </c>
      <c r="H176" s="36">
        <f t="shared" si="11"/>
        <v>117.828</v>
      </c>
      <c r="I176" s="40">
        <v>130.92</v>
      </c>
      <c r="J176" s="36">
        <f t="shared" si="12"/>
        <v>137.466</v>
      </c>
      <c r="K176" s="36">
        <f t="shared" si="13"/>
        <v>110.75832</v>
      </c>
      <c r="L176" s="36">
        <f t="shared" si="14"/>
        <v>123.0648</v>
      </c>
      <c r="M176" s="41"/>
    </row>
    <row r="177" ht="15" spans="1:13">
      <c r="A177" s="27" t="s">
        <v>114</v>
      </c>
      <c r="B177" s="33" t="s">
        <v>77</v>
      </c>
      <c r="C177" s="29" t="s">
        <v>41</v>
      </c>
      <c r="D177" s="30" t="s">
        <v>28</v>
      </c>
      <c r="E177" s="29" t="s">
        <v>23</v>
      </c>
      <c r="F177" s="34" t="s">
        <v>76</v>
      </c>
      <c r="G177" s="35">
        <f t="shared" si="10"/>
        <v>13.9684921230308</v>
      </c>
      <c r="H177" s="36">
        <f t="shared" si="11"/>
        <v>167.58</v>
      </c>
      <c r="I177" s="40">
        <v>186.2</v>
      </c>
      <c r="J177" s="36">
        <f t="shared" si="12"/>
        <v>195.51</v>
      </c>
      <c r="K177" s="36">
        <f t="shared" si="13"/>
        <v>157.5252</v>
      </c>
      <c r="L177" s="36">
        <f t="shared" si="14"/>
        <v>175.028</v>
      </c>
      <c r="M177" s="41"/>
    </row>
    <row r="178" ht="15" spans="1:13">
      <c r="A178" s="27" t="s">
        <v>114</v>
      </c>
      <c r="B178" s="33" t="s">
        <v>125</v>
      </c>
      <c r="C178" s="29" t="s">
        <v>21</v>
      </c>
      <c r="D178" s="30" t="s">
        <v>28</v>
      </c>
      <c r="E178" s="29" t="s">
        <v>23</v>
      </c>
      <c r="F178" s="34" t="s">
        <v>76</v>
      </c>
      <c r="G178" s="35">
        <f t="shared" si="10"/>
        <v>9.87171792948237</v>
      </c>
      <c r="H178" s="36">
        <f t="shared" si="11"/>
        <v>118.431</v>
      </c>
      <c r="I178" s="40">
        <v>131.59</v>
      </c>
      <c r="J178" s="36">
        <f t="shared" si="12"/>
        <v>138.1695</v>
      </c>
      <c r="K178" s="36">
        <f t="shared" si="13"/>
        <v>111.32514</v>
      </c>
      <c r="L178" s="36">
        <f t="shared" si="14"/>
        <v>123.6946</v>
      </c>
      <c r="M178" s="41"/>
    </row>
    <row r="179" ht="15" spans="1:13">
      <c r="A179" s="27" t="s">
        <v>114</v>
      </c>
      <c r="B179" s="33" t="s">
        <v>125</v>
      </c>
      <c r="C179" s="29" t="s">
        <v>41</v>
      </c>
      <c r="D179" s="30" t="s">
        <v>28</v>
      </c>
      <c r="E179" s="29" t="s">
        <v>23</v>
      </c>
      <c r="F179" s="34" t="s">
        <v>76</v>
      </c>
      <c r="G179" s="35">
        <f t="shared" si="10"/>
        <v>13.9729932483121</v>
      </c>
      <c r="H179" s="36">
        <f t="shared" si="11"/>
        <v>167.634</v>
      </c>
      <c r="I179" s="40">
        <v>186.26</v>
      </c>
      <c r="J179" s="36">
        <f t="shared" si="12"/>
        <v>195.573</v>
      </c>
      <c r="K179" s="36">
        <f t="shared" si="13"/>
        <v>157.57596</v>
      </c>
      <c r="L179" s="36">
        <f t="shared" si="14"/>
        <v>175.0844</v>
      </c>
      <c r="M179" s="41"/>
    </row>
    <row r="180" ht="15" spans="1:13">
      <c r="A180" s="27" t="s">
        <v>114</v>
      </c>
      <c r="B180" s="33" t="s">
        <v>125</v>
      </c>
      <c r="C180" s="29" t="s">
        <v>55</v>
      </c>
      <c r="D180" s="30" t="s">
        <v>28</v>
      </c>
      <c r="E180" s="29" t="s">
        <v>23</v>
      </c>
      <c r="F180" s="34" t="s">
        <v>76</v>
      </c>
      <c r="G180" s="35">
        <f t="shared" si="10"/>
        <v>23.5446361590398</v>
      </c>
      <c r="H180" s="36">
        <f t="shared" si="11"/>
        <v>282.465</v>
      </c>
      <c r="I180" s="40">
        <v>313.85</v>
      </c>
      <c r="J180" s="36">
        <f t="shared" si="12"/>
        <v>329.5425</v>
      </c>
      <c r="K180" s="36">
        <f t="shared" si="13"/>
        <v>265.5171</v>
      </c>
      <c r="L180" s="36">
        <f t="shared" si="14"/>
        <v>295.019</v>
      </c>
      <c r="M180" s="41"/>
    </row>
    <row r="181" ht="15" spans="1:13">
      <c r="A181" s="27" t="s">
        <v>114</v>
      </c>
      <c r="B181" s="33" t="s">
        <v>126</v>
      </c>
      <c r="C181" s="29" t="s">
        <v>21</v>
      </c>
      <c r="D181" s="30" t="s">
        <v>28</v>
      </c>
      <c r="E181" s="29" t="s">
        <v>23</v>
      </c>
      <c r="F181" s="34" t="s">
        <v>32</v>
      </c>
      <c r="G181" s="35">
        <f t="shared" si="10"/>
        <v>9.59939984996249</v>
      </c>
      <c r="H181" s="36">
        <f t="shared" si="11"/>
        <v>115.164</v>
      </c>
      <c r="I181" s="40">
        <v>127.96</v>
      </c>
      <c r="J181" s="36">
        <f t="shared" si="12"/>
        <v>134.358</v>
      </c>
      <c r="K181" s="36">
        <f t="shared" si="13"/>
        <v>108.25416</v>
      </c>
      <c r="L181" s="36">
        <f t="shared" si="14"/>
        <v>120.2824</v>
      </c>
      <c r="M181" s="41"/>
    </row>
    <row r="182" ht="15" spans="1:13">
      <c r="A182" s="27" t="s">
        <v>114</v>
      </c>
      <c r="B182" s="33" t="s">
        <v>126</v>
      </c>
      <c r="C182" s="29" t="s">
        <v>41</v>
      </c>
      <c r="D182" s="30" t="s">
        <v>28</v>
      </c>
      <c r="E182" s="29" t="s">
        <v>23</v>
      </c>
      <c r="F182" s="34" t="s">
        <v>32</v>
      </c>
      <c r="G182" s="35">
        <f t="shared" si="10"/>
        <v>13.5783945986497</v>
      </c>
      <c r="H182" s="36">
        <f t="shared" si="11"/>
        <v>162.9</v>
      </c>
      <c r="I182" s="40">
        <v>181</v>
      </c>
      <c r="J182" s="36">
        <f t="shared" si="12"/>
        <v>190.05</v>
      </c>
      <c r="K182" s="36">
        <f t="shared" si="13"/>
        <v>153.126</v>
      </c>
      <c r="L182" s="36">
        <f t="shared" si="14"/>
        <v>170.14</v>
      </c>
      <c r="M182" s="41"/>
    </row>
    <row r="183" ht="15" spans="1:13">
      <c r="A183" s="27" t="s">
        <v>114</v>
      </c>
      <c r="B183" s="33" t="s">
        <v>78</v>
      </c>
      <c r="C183" s="29" t="s">
        <v>27</v>
      </c>
      <c r="D183" s="30" t="s">
        <v>28</v>
      </c>
      <c r="E183" s="29" t="s">
        <v>23</v>
      </c>
      <c r="F183" s="34" t="s">
        <v>32</v>
      </c>
      <c r="G183" s="35">
        <f t="shared" si="10"/>
        <v>8.75618904726181</v>
      </c>
      <c r="H183" s="36">
        <f t="shared" si="11"/>
        <v>105.048</v>
      </c>
      <c r="I183" s="40">
        <v>116.72</v>
      </c>
      <c r="J183" s="36">
        <f t="shared" si="12"/>
        <v>122.556</v>
      </c>
      <c r="K183" s="36">
        <f t="shared" si="13"/>
        <v>98.74512</v>
      </c>
      <c r="L183" s="36">
        <f t="shared" si="14"/>
        <v>109.7168</v>
      </c>
      <c r="M183" s="41"/>
    </row>
    <row r="184" ht="15" spans="1:13">
      <c r="A184" s="27" t="s">
        <v>114</v>
      </c>
      <c r="B184" s="33" t="s">
        <v>78</v>
      </c>
      <c r="C184" s="29" t="s">
        <v>21</v>
      </c>
      <c r="D184" s="30" t="s">
        <v>28</v>
      </c>
      <c r="E184" s="29" t="s">
        <v>23</v>
      </c>
      <c r="F184" s="34" t="s">
        <v>32</v>
      </c>
      <c r="G184" s="35">
        <f t="shared" si="10"/>
        <v>9.69317329332333</v>
      </c>
      <c r="H184" s="36">
        <f t="shared" si="11"/>
        <v>116.289</v>
      </c>
      <c r="I184" s="40">
        <v>129.21</v>
      </c>
      <c r="J184" s="36">
        <f t="shared" si="12"/>
        <v>135.6705</v>
      </c>
      <c r="K184" s="36">
        <f t="shared" si="13"/>
        <v>109.31166</v>
      </c>
      <c r="L184" s="36">
        <f t="shared" si="14"/>
        <v>121.4574</v>
      </c>
      <c r="M184" s="41"/>
    </row>
    <row r="185" ht="15" spans="1:13">
      <c r="A185" s="27" t="s">
        <v>114</v>
      </c>
      <c r="B185" s="33" t="s">
        <v>78</v>
      </c>
      <c r="C185" s="29" t="s">
        <v>41</v>
      </c>
      <c r="D185" s="30" t="s">
        <v>28</v>
      </c>
      <c r="E185" s="29" t="s">
        <v>23</v>
      </c>
      <c r="F185" s="34" t="s">
        <v>32</v>
      </c>
      <c r="G185" s="35">
        <f t="shared" si="10"/>
        <v>13.7239309827457</v>
      </c>
      <c r="H185" s="36">
        <f t="shared" si="11"/>
        <v>164.646</v>
      </c>
      <c r="I185" s="40">
        <v>182.94</v>
      </c>
      <c r="J185" s="36">
        <f t="shared" si="12"/>
        <v>192.087</v>
      </c>
      <c r="K185" s="36">
        <f t="shared" si="13"/>
        <v>154.76724</v>
      </c>
      <c r="L185" s="36">
        <f t="shared" si="14"/>
        <v>171.9636</v>
      </c>
      <c r="M185" s="41"/>
    </row>
    <row r="186" ht="15" spans="1:13">
      <c r="A186" s="27" t="s">
        <v>114</v>
      </c>
      <c r="B186" s="33" t="s">
        <v>31</v>
      </c>
      <c r="C186" s="29" t="s">
        <v>21</v>
      </c>
      <c r="D186" s="30" t="s">
        <v>28</v>
      </c>
      <c r="E186" s="29" t="s">
        <v>23</v>
      </c>
      <c r="F186" s="34" t="s">
        <v>32</v>
      </c>
      <c r="G186" s="35">
        <f t="shared" si="10"/>
        <v>9.99324831207802</v>
      </c>
      <c r="H186" s="36">
        <f t="shared" si="11"/>
        <v>119.889</v>
      </c>
      <c r="I186" s="40">
        <v>133.21</v>
      </c>
      <c r="J186" s="36">
        <f t="shared" si="12"/>
        <v>139.8705</v>
      </c>
      <c r="K186" s="36">
        <f t="shared" si="13"/>
        <v>112.69566</v>
      </c>
      <c r="L186" s="36">
        <f t="shared" si="14"/>
        <v>125.2174</v>
      </c>
      <c r="M186" s="41"/>
    </row>
    <row r="187" ht="15" spans="1:13">
      <c r="A187" s="27" t="s">
        <v>114</v>
      </c>
      <c r="B187" s="33" t="s">
        <v>31</v>
      </c>
      <c r="C187" s="29" t="s">
        <v>41</v>
      </c>
      <c r="D187" s="30" t="s">
        <v>28</v>
      </c>
      <c r="E187" s="29" t="s">
        <v>23</v>
      </c>
      <c r="F187" s="34" t="s">
        <v>32</v>
      </c>
      <c r="G187" s="35">
        <f t="shared" si="10"/>
        <v>13.966991747937</v>
      </c>
      <c r="H187" s="36">
        <f t="shared" si="11"/>
        <v>167.562</v>
      </c>
      <c r="I187" s="40">
        <v>186.18</v>
      </c>
      <c r="J187" s="36">
        <f t="shared" si="12"/>
        <v>195.489</v>
      </c>
      <c r="K187" s="36">
        <f t="shared" si="13"/>
        <v>157.50828</v>
      </c>
      <c r="L187" s="36">
        <f t="shared" si="14"/>
        <v>175.0092</v>
      </c>
      <c r="M187" s="41"/>
    </row>
    <row r="188" ht="15" spans="1:13">
      <c r="A188" s="27" t="s">
        <v>114</v>
      </c>
      <c r="B188" s="33" t="s">
        <v>80</v>
      </c>
      <c r="C188" s="29" t="s">
        <v>21</v>
      </c>
      <c r="D188" s="30" t="s">
        <v>28</v>
      </c>
      <c r="E188" s="29" t="s">
        <v>23</v>
      </c>
      <c r="F188" s="34" t="s">
        <v>32</v>
      </c>
      <c r="G188" s="35">
        <f t="shared" si="10"/>
        <v>10.0697674418605</v>
      </c>
      <c r="H188" s="36">
        <f t="shared" si="11"/>
        <v>120.807</v>
      </c>
      <c r="I188" s="40">
        <v>134.23</v>
      </c>
      <c r="J188" s="36">
        <f t="shared" si="12"/>
        <v>140.9415</v>
      </c>
      <c r="K188" s="36">
        <f t="shared" si="13"/>
        <v>113.55858</v>
      </c>
      <c r="L188" s="36">
        <f t="shared" si="14"/>
        <v>126.1762</v>
      </c>
      <c r="M188" s="41"/>
    </row>
    <row r="189" ht="15" spans="1:13">
      <c r="A189" s="27" t="s">
        <v>114</v>
      </c>
      <c r="B189" s="33" t="s">
        <v>80</v>
      </c>
      <c r="C189" s="29" t="s">
        <v>41</v>
      </c>
      <c r="D189" s="30" t="s">
        <v>28</v>
      </c>
      <c r="E189" s="29" t="s">
        <v>23</v>
      </c>
      <c r="F189" s="34" t="s">
        <v>32</v>
      </c>
      <c r="G189" s="35">
        <f t="shared" si="10"/>
        <v>13.9654913728432</v>
      </c>
      <c r="H189" s="36">
        <f t="shared" si="11"/>
        <v>167.544</v>
      </c>
      <c r="I189" s="40">
        <v>186.16</v>
      </c>
      <c r="J189" s="36">
        <f t="shared" si="12"/>
        <v>195.468</v>
      </c>
      <c r="K189" s="36">
        <f t="shared" si="13"/>
        <v>157.49136</v>
      </c>
      <c r="L189" s="36">
        <f t="shared" si="14"/>
        <v>174.9904</v>
      </c>
      <c r="M189" s="41"/>
    </row>
    <row r="190" ht="15" spans="1:13">
      <c r="A190" s="27" t="s">
        <v>114</v>
      </c>
      <c r="B190" s="33" t="s">
        <v>83</v>
      </c>
      <c r="C190" s="29" t="s">
        <v>41</v>
      </c>
      <c r="D190" s="30" t="s">
        <v>28</v>
      </c>
      <c r="E190" s="29" t="s">
        <v>23</v>
      </c>
      <c r="F190" s="34" t="s">
        <v>82</v>
      </c>
      <c r="G190" s="35">
        <f t="shared" si="10"/>
        <v>15.9039759939985</v>
      </c>
      <c r="H190" s="36">
        <f t="shared" si="11"/>
        <v>190.8</v>
      </c>
      <c r="I190" s="40">
        <v>212</v>
      </c>
      <c r="J190" s="36">
        <f t="shared" si="12"/>
        <v>222.6</v>
      </c>
      <c r="K190" s="36">
        <f t="shared" si="13"/>
        <v>179.352</v>
      </c>
      <c r="L190" s="36">
        <f t="shared" si="14"/>
        <v>199.28</v>
      </c>
      <c r="M190" s="41"/>
    </row>
    <row r="191" ht="15" spans="1:13">
      <c r="A191" s="27" t="s">
        <v>114</v>
      </c>
      <c r="B191" s="33" t="s">
        <v>84</v>
      </c>
      <c r="C191" s="29" t="s">
        <v>21</v>
      </c>
      <c r="D191" s="30" t="s">
        <v>28</v>
      </c>
      <c r="E191" s="29" t="s">
        <v>23</v>
      </c>
      <c r="F191" s="34" t="s">
        <v>36</v>
      </c>
      <c r="G191" s="35">
        <f t="shared" si="10"/>
        <v>10.7951987996999</v>
      </c>
      <c r="H191" s="36">
        <f t="shared" si="11"/>
        <v>129.51</v>
      </c>
      <c r="I191" s="40">
        <v>143.9</v>
      </c>
      <c r="J191" s="36">
        <f t="shared" si="12"/>
        <v>151.095</v>
      </c>
      <c r="K191" s="36">
        <f t="shared" si="13"/>
        <v>121.7394</v>
      </c>
      <c r="L191" s="36">
        <f t="shared" si="14"/>
        <v>135.266</v>
      </c>
      <c r="M191" s="41"/>
    </row>
    <row r="192" ht="15" spans="1:13">
      <c r="A192" s="27" t="s">
        <v>114</v>
      </c>
      <c r="B192" s="33" t="s">
        <v>84</v>
      </c>
      <c r="C192" s="29" t="s">
        <v>41</v>
      </c>
      <c r="D192" s="30" t="s">
        <v>28</v>
      </c>
      <c r="E192" s="29" t="s">
        <v>23</v>
      </c>
      <c r="F192" s="34" t="s">
        <v>36</v>
      </c>
      <c r="G192" s="35">
        <f t="shared" si="10"/>
        <v>14.9249812453113</v>
      </c>
      <c r="H192" s="36">
        <f t="shared" si="11"/>
        <v>179.055</v>
      </c>
      <c r="I192" s="40">
        <v>198.95</v>
      </c>
      <c r="J192" s="36">
        <f t="shared" si="12"/>
        <v>208.8975</v>
      </c>
      <c r="K192" s="36">
        <f t="shared" si="13"/>
        <v>168.3117</v>
      </c>
      <c r="L192" s="36">
        <f t="shared" si="14"/>
        <v>187.013</v>
      </c>
      <c r="M192" s="41"/>
    </row>
    <row r="193" ht="15" spans="1:13">
      <c r="A193" s="27" t="s">
        <v>114</v>
      </c>
      <c r="B193" s="33" t="s">
        <v>85</v>
      </c>
      <c r="C193" s="29" t="s">
        <v>27</v>
      </c>
      <c r="D193" s="37" t="s">
        <v>28</v>
      </c>
      <c r="E193" s="29" t="s">
        <v>23</v>
      </c>
      <c r="F193" s="34" t="s">
        <v>36</v>
      </c>
      <c r="G193" s="35">
        <f t="shared" si="10"/>
        <v>10.7329332333083</v>
      </c>
      <c r="H193" s="36">
        <f t="shared" si="11"/>
        <v>128.763</v>
      </c>
      <c r="I193" s="40">
        <v>143.07</v>
      </c>
      <c r="J193" s="36">
        <f t="shared" si="12"/>
        <v>150.2235</v>
      </c>
      <c r="K193" s="36">
        <f t="shared" si="13"/>
        <v>121.03722</v>
      </c>
      <c r="L193" s="36">
        <f t="shared" si="14"/>
        <v>134.4858</v>
      </c>
      <c r="M193" s="41"/>
    </row>
    <row r="194" ht="15" spans="1:13">
      <c r="A194" s="27" t="s">
        <v>114</v>
      </c>
      <c r="B194" s="33" t="s">
        <v>85</v>
      </c>
      <c r="C194" s="29" t="s">
        <v>21</v>
      </c>
      <c r="D194" s="30" t="s">
        <v>22</v>
      </c>
      <c r="E194" s="29" t="s">
        <v>23</v>
      </c>
      <c r="F194" s="34" t="s">
        <v>36</v>
      </c>
      <c r="G194" s="35">
        <f t="shared" si="10"/>
        <v>11.1417854463616</v>
      </c>
      <c r="H194" s="36">
        <f t="shared" si="11"/>
        <v>133.668</v>
      </c>
      <c r="I194" s="40">
        <v>148.52</v>
      </c>
      <c r="J194" s="36">
        <f t="shared" si="12"/>
        <v>155.946</v>
      </c>
      <c r="K194" s="36">
        <f t="shared" si="13"/>
        <v>125.64792</v>
      </c>
      <c r="L194" s="36">
        <f t="shared" si="14"/>
        <v>139.6088</v>
      </c>
      <c r="M194" s="41"/>
    </row>
    <row r="195" ht="15" spans="1:13">
      <c r="A195" s="27" t="s">
        <v>114</v>
      </c>
      <c r="B195" s="33" t="s">
        <v>85</v>
      </c>
      <c r="C195" s="29" t="s">
        <v>41</v>
      </c>
      <c r="D195" s="30" t="s">
        <v>22</v>
      </c>
      <c r="E195" s="29" t="s">
        <v>23</v>
      </c>
      <c r="F195" s="34" t="s">
        <v>36</v>
      </c>
      <c r="G195" s="35">
        <f t="shared" ref="G195:G258" si="15">I195/13.33</f>
        <v>15.0412603150788</v>
      </c>
      <c r="H195" s="36">
        <f t="shared" ref="H195:H258" si="16">I195*0.9</f>
        <v>180.45</v>
      </c>
      <c r="I195" s="40">
        <v>200.5</v>
      </c>
      <c r="J195" s="36">
        <f t="shared" ref="J195:J258" si="17">I195*1.05</f>
        <v>210.525</v>
      </c>
      <c r="K195" s="36">
        <f t="shared" ref="K195:K258" si="18">H195*0.94</f>
        <v>169.623</v>
      </c>
      <c r="L195" s="36">
        <f t="shared" ref="L195:L258" si="19">I195*0.94</f>
        <v>188.47</v>
      </c>
      <c r="M195" s="41"/>
    </row>
    <row r="196" ht="15" spans="1:13">
      <c r="A196" s="27" t="s">
        <v>114</v>
      </c>
      <c r="B196" s="33" t="s">
        <v>37</v>
      </c>
      <c r="C196" s="29" t="s">
        <v>21</v>
      </c>
      <c r="D196" s="30" t="s">
        <v>22</v>
      </c>
      <c r="E196" s="29" t="s">
        <v>23</v>
      </c>
      <c r="F196" s="34" t="s">
        <v>38</v>
      </c>
      <c r="G196" s="35">
        <f t="shared" si="15"/>
        <v>12.4583645911478</v>
      </c>
      <c r="H196" s="36">
        <f t="shared" si="16"/>
        <v>149.463</v>
      </c>
      <c r="I196" s="40">
        <v>166.07</v>
      </c>
      <c r="J196" s="36">
        <f t="shared" si="17"/>
        <v>174.3735</v>
      </c>
      <c r="K196" s="36">
        <f t="shared" si="18"/>
        <v>140.49522</v>
      </c>
      <c r="L196" s="36">
        <f t="shared" si="19"/>
        <v>156.1058</v>
      </c>
      <c r="M196" s="41"/>
    </row>
    <row r="197" ht="15" spans="1:13">
      <c r="A197" s="27" t="s">
        <v>114</v>
      </c>
      <c r="B197" s="33" t="s">
        <v>37</v>
      </c>
      <c r="C197" s="29" t="s">
        <v>41</v>
      </c>
      <c r="D197" s="30" t="s">
        <v>22</v>
      </c>
      <c r="E197" s="29" t="s">
        <v>23</v>
      </c>
      <c r="F197" s="34" t="s">
        <v>38</v>
      </c>
      <c r="G197" s="35">
        <f t="shared" si="15"/>
        <v>16.3645911477869</v>
      </c>
      <c r="H197" s="36">
        <f t="shared" si="16"/>
        <v>196.326</v>
      </c>
      <c r="I197" s="40">
        <v>218.14</v>
      </c>
      <c r="J197" s="36">
        <f t="shared" si="17"/>
        <v>229.047</v>
      </c>
      <c r="K197" s="36">
        <f t="shared" si="18"/>
        <v>184.54644</v>
      </c>
      <c r="L197" s="36">
        <f t="shared" si="19"/>
        <v>205.0516</v>
      </c>
      <c r="M197" s="41"/>
    </row>
    <row r="198" ht="15" spans="1:13">
      <c r="A198" s="27" t="s">
        <v>114</v>
      </c>
      <c r="B198" s="33" t="s">
        <v>39</v>
      </c>
      <c r="C198" s="29" t="s">
        <v>21</v>
      </c>
      <c r="D198" s="30" t="s">
        <v>22</v>
      </c>
      <c r="E198" s="29" t="s">
        <v>23</v>
      </c>
      <c r="F198" s="34" t="s">
        <v>40</v>
      </c>
      <c r="G198" s="35">
        <f t="shared" si="15"/>
        <v>12.7104276069017</v>
      </c>
      <c r="H198" s="36">
        <f t="shared" si="16"/>
        <v>152.487</v>
      </c>
      <c r="I198" s="40">
        <v>169.43</v>
      </c>
      <c r="J198" s="36">
        <f t="shared" si="17"/>
        <v>177.9015</v>
      </c>
      <c r="K198" s="36">
        <f t="shared" si="18"/>
        <v>143.33778</v>
      </c>
      <c r="L198" s="36">
        <f t="shared" si="19"/>
        <v>159.2642</v>
      </c>
      <c r="M198" s="41"/>
    </row>
    <row r="199" ht="15" spans="1:13">
      <c r="A199" s="27" t="s">
        <v>114</v>
      </c>
      <c r="B199" s="33" t="s">
        <v>39</v>
      </c>
      <c r="C199" s="29" t="s">
        <v>41</v>
      </c>
      <c r="D199" s="30" t="s">
        <v>22</v>
      </c>
      <c r="E199" s="29" t="s">
        <v>23</v>
      </c>
      <c r="F199" s="34" t="s">
        <v>40</v>
      </c>
      <c r="G199" s="35">
        <f t="shared" si="15"/>
        <v>16.2693173293323</v>
      </c>
      <c r="H199" s="36">
        <f t="shared" si="16"/>
        <v>195.183</v>
      </c>
      <c r="I199" s="40">
        <v>216.87</v>
      </c>
      <c r="J199" s="36">
        <f t="shared" si="17"/>
        <v>227.7135</v>
      </c>
      <c r="K199" s="36">
        <f t="shared" si="18"/>
        <v>183.47202</v>
      </c>
      <c r="L199" s="36">
        <f t="shared" si="19"/>
        <v>203.8578</v>
      </c>
      <c r="M199" s="41"/>
    </row>
    <row r="200" ht="15" spans="1:13">
      <c r="A200" s="27" t="s">
        <v>114</v>
      </c>
      <c r="B200" s="33" t="s">
        <v>39</v>
      </c>
      <c r="C200" s="29" t="s">
        <v>55</v>
      </c>
      <c r="D200" s="30" t="s">
        <v>22</v>
      </c>
      <c r="E200" s="29" t="s">
        <v>23</v>
      </c>
      <c r="F200" s="34" t="s">
        <v>40</v>
      </c>
      <c r="G200" s="35">
        <f t="shared" si="15"/>
        <v>26.3930982745686</v>
      </c>
      <c r="H200" s="36">
        <f t="shared" si="16"/>
        <v>316.638</v>
      </c>
      <c r="I200" s="40">
        <v>351.82</v>
      </c>
      <c r="J200" s="36">
        <f t="shared" si="17"/>
        <v>369.411</v>
      </c>
      <c r="K200" s="36">
        <f t="shared" si="18"/>
        <v>297.63972</v>
      </c>
      <c r="L200" s="36">
        <f t="shared" si="19"/>
        <v>330.7108</v>
      </c>
      <c r="M200" s="41"/>
    </row>
    <row r="201" ht="15" spans="1:13">
      <c r="A201" s="27" t="s">
        <v>114</v>
      </c>
      <c r="B201" s="33" t="s">
        <v>42</v>
      </c>
      <c r="C201" s="29" t="s">
        <v>21</v>
      </c>
      <c r="D201" s="30" t="s">
        <v>22</v>
      </c>
      <c r="E201" s="29" t="s">
        <v>23</v>
      </c>
      <c r="F201" s="34" t="s">
        <v>43</v>
      </c>
      <c r="G201" s="35">
        <f t="shared" si="15"/>
        <v>13.4823705926482</v>
      </c>
      <c r="H201" s="36">
        <f t="shared" si="16"/>
        <v>161.748</v>
      </c>
      <c r="I201" s="40">
        <v>179.72</v>
      </c>
      <c r="J201" s="36">
        <f t="shared" si="17"/>
        <v>188.706</v>
      </c>
      <c r="K201" s="36">
        <f t="shared" si="18"/>
        <v>152.04312</v>
      </c>
      <c r="L201" s="36">
        <f t="shared" si="19"/>
        <v>168.9368</v>
      </c>
      <c r="M201" s="41"/>
    </row>
    <row r="202" ht="15" spans="1:13">
      <c r="A202" s="27" t="s">
        <v>114</v>
      </c>
      <c r="B202" s="33" t="s">
        <v>42</v>
      </c>
      <c r="C202" s="29" t="s">
        <v>41</v>
      </c>
      <c r="D202" s="30" t="s">
        <v>22</v>
      </c>
      <c r="E202" s="29" t="s">
        <v>23</v>
      </c>
      <c r="F202" s="34" t="s">
        <v>43</v>
      </c>
      <c r="G202" s="35">
        <f t="shared" si="15"/>
        <v>17.3240810202551</v>
      </c>
      <c r="H202" s="36">
        <f t="shared" si="16"/>
        <v>207.837</v>
      </c>
      <c r="I202" s="40">
        <v>230.93</v>
      </c>
      <c r="J202" s="36">
        <f t="shared" si="17"/>
        <v>242.4765</v>
      </c>
      <c r="K202" s="36">
        <f t="shared" si="18"/>
        <v>195.36678</v>
      </c>
      <c r="L202" s="36">
        <f t="shared" si="19"/>
        <v>217.0742</v>
      </c>
      <c r="M202" s="41"/>
    </row>
    <row r="203" ht="15" spans="1:13">
      <c r="A203" s="27" t="s">
        <v>114</v>
      </c>
      <c r="B203" s="33" t="s">
        <v>88</v>
      </c>
      <c r="C203" s="29" t="s">
        <v>21</v>
      </c>
      <c r="D203" s="30" t="s">
        <v>22</v>
      </c>
      <c r="E203" s="29" t="s">
        <v>23</v>
      </c>
      <c r="F203" s="34" t="s">
        <v>43</v>
      </c>
      <c r="G203" s="35">
        <f t="shared" si="15"/>
        <v>14.1672918229557</v>
      </c>
      <c r="H203" s="36">
        <f t="shared" si="16"/>
        <v>169.965</v>
      </c>
      <c r="I203" s="40">
        <v>188.85</v>
      </c>
      <c r="J203" s="36">
        <f t="shared" si="17"/>
        <v>198.2925</v>
      </c>
      <c r="K203" s="36">
        <f t="shared" si="18"/>
        <v>159.7671</v>
      </c>
      <c r="L203" s="36">
        <f t="shared" si="19"/>
        <v>177.519</v>
      </c>
      <c r="M203" s="41"/>
    </row>
    <row r="204" ht="15" spans="1:13">
      <c r="A204" s="27" t="s">
        <v>114</v>
      </c>
      <c r="B204" s="33" t="s">
        <v>88</v>
      </c>
      <c r="C204" s="29" t="s">
        <v>41</v>
      </c>
      <c r="D204" s="30" t="s">
        <v>22</v>
      </c>
      <c r="E204" s="29" t="s">
        <v>23</v>
      </c>
      <c r="F204" s="34" t="s">
        <v>43</v>
      </c>
      <c r="G204" s="35">
        <f t="shared" si="15"/>
        <v>18.0442610652663</v>
      </c>
      <c r="H204" s="36">
        <f t="shared" si="16"/>
        <v>216.477</v>
      </c>
      <c r="I204" s="40">
        <v>240.53</v>
      </c>
      <c r="J204" s="36">
        <f t="shared" si="17"/>
        <v>252.5565</v>
      </c>
      <c r="K204" s="36">
        <f t="shared" si="18"/>
        <v>203.48838</v>
      </c>
      <c r="L204" s="36">
        <f t="shared" si="19"/>
        <v>226.0982</v>
      </c>
      <c r="M204" s="41"/>
    </row>
    <row r="205" ht="15" spans="1:13">
      <c r="A205" s="27" t="s">
        <v>114</v>
      </c>
      <c r="B205" s="33" t="s">
        <v>88</v>
      </c>
      <c r="C205" s="29" t="s">
        <v>55</v>
      </c>
      <c r="D205" s="30" t="s">
        <v>22</v>
      </c>
      <c r="E205" s="29" t="s">
        <v>23</v>
      </c>
      <c r="F205" s="34" t="s">
        <v>43</v>
      </c>
      <c r="G205" s="35">
        <f t="shared" si="15"/>
        <v>27.2970742685671</v>
      </c>
      <c r="H205" s="36">
        <f t="shared" si="16"/>
        <v>327.483</v>
      </c>
      <c r="I205" s="40">
        <v>363.87</v>
      </c>
      <c r="J205" s="36">
        <f t="shared" si="17"/>
        <v>382.0635</v>
      </c>
      <c r="K205" s="36">
        <f t="shared" si="18"/>
        <v>307.83402</v>
      </c>
      <c r="L205" s="36">
        <f t="shared" si="19"/>
        <v>342.0378</v>
      </c>
      <c r="M205" s="41"/>
    </row>
    <row r="206" ht="15" spans="1:13">
      <c r="A206" s="27" t="s">
        <v>114</v>
      </c>
      <c r="B206" s="33" t="s">
        <v>91</v>
      </c>
      <c r="C206" s="29" t="s">
        <v>21</v>
      </c>
      <c r="D206" s="30" t="s">
        <v>22</v>
      </c>
      <c r="E206" s="29" t="s">
        <v>23</v>
      </c>
      <c r="F206" s="34" t="s">
        <v>90</v>
      </c>
      <c r="G206" s="35">
        <f t="shared" si="15"/>
        <v>14.9639909977494</v>
      </c>
      <c r="H206" s="36">
        <f t="shared" si="16"/>
        <v>179.523</v>
      </c>
      <c r="I206" s="40">
        <v>199.47</v>
      </c>
      <c r="J206" s="36">
        <f t="shared" si="17"/>
        <v>209.4435</v>
      </c>
      <c r="K206" s="36">
        <f t="shared" si="18"/>
        <v>168.75162</v>
      </c>
      <c r="L206" s="36">
        <f t="shared" si="19"/>
        <v>187.5018</v>
      </c>
      <c r="M206" s="41"/>
    </row>
    <row r="207" ht="15" spans="1:13">
      <c r="A207" s="27" t="s">
        <v>114</v>
      </c>
      <c r="B207" s="33" t="s">
        <v>91</v>
      </c>
      <c r="C207" s="29" t="s">
        <v>41</v>
      </c>
      <c r="D207" s="30" t="s">
        <v>22</v>
      </c>
      <c r="E207" s="29" t="s">
        <v>23</v>
      </c>
      <c r="F207" s="34" t="s">
        <v>90</v>
      </c>
      <c r="G207" s="35">
        <f t="shared" si="15"/>
        <v>18.9722430607652</v>
      </c>
      <c r="H207" s="36">
        <f t="shared" si="16"/>
        <v>227.61</v>
      </c>
      <c r="I207" s="40">
        <v>252.9</v>
      </c>
      <c r="J207" s="36">
        <f t="shared" si="17"/>
        <v>265.545</v>
      </c>
      <c r="K207" s="36">
        <f t="shared" si="18"/>
        <v>213.9534</v>
      </c>
      <c r="L207" s="36">
        <f t="shared" si="19"/>
        <v>237.726</v>
      </c>
      <c r="M207" s="41"/>
    </row>
    <row r="208" ht="15" spans="1:13">
      <c r="A208" s="27" t="s">
        <v>114</v>
      </c>
      <c r="B208" s="33" t="s">
        <v>91</v>
      </c>
      <c r="C208" s="29" t="s">
        <v>55</v>
      </c>
      <c r="D208" s="30" t="s">
        <v>22</v>
      </c>
      <c r="E208" s="29" t="s">
        <v>23</v>
      </c>
      <c r="F208" s="34" t="s">
        <v>43</v>
      </c>
      <c r="G208" s="35">
        <f t="shared" si="15"/>
        <v>27.8439609902476</v>
      </c>
      <c r="H208" s="36">
        <f t="shared" si="16"/>
        <v>334.044</v>
      </c>
      <c r="I208" s="40">
        <v>371.16</v>
      </c>
      <c r="J208" s="36">
        <f t="shared" si="17"/>
        <v>389.718</v>
      </c>
      <c r="K208" s="36">
        <f t="shared" si="18"/>
        <v>314.00136</v>
      </c>
      <c r="L208" s="36">
        <f t="shared" si="19"/>
        <v>348.8904</v>
      </c>
      <c r="M208" s="41"/>
    </row>
    <row r="209" ht="15" spans="1:13">
      <c r="A209" s="27" t="s">
        <v>114</v>
      </c>
      <c r="B209" s="33" t="s">
        <v>91</v>
      </c>
      <c r="C209" s="29" t="s">
        <v>122</v>
      </c>
      <c r="D209" s="30" t="s">
        <v>22</v>
      </c>
      <c r="E209" s="29" t="s">
        <v>23</v>
      </c>
      <c r="F209" s="34" t="s">
        <v>43</v>
      </c>
      <c r="G209" s="35">
        <f t="shared" si="15"/>
        <v>37.2625656414103</v>
      </c>
      <c r="H209" s="36">
        <f t="shared" si="16"/>
        <v>447.039</v>
      </c>
      <c r="I209" s="40">
        <v>496.71</v>
      </c>
      <c r="J209" s="36">
        <f t="shared" si="17"/>
        <v>521.5455</v>
      </c>
      <c r="K209" s="36">
        <f t="shared" si="18"/>
        <v>420.21666</v>
      </c>
      <c r="L209" s="36">
        <f t="shared" si="19"/>
        <v>466.9074</v>
      </c>
      <c r="M209" s="41"/>
    </row>
    <row r="210" ht="15" spans="1:13">
      <c r="A210" s="27" t="s">
        <v>114</v>
      </c>
      <c r="B210" s="33" t="s">
        <v>92</v>
      </c>
      <c r="C210" s="29" t="s">
        <v>21</v>
      </c>
      <c r="D210" s="30" t="s">
        <v>22</v>
      </c>
      <c r="E210" s="29" t="s">
        <v>23</v>
      </c>
      <c r="F210" s="34" t="s">
        <v>90</v>
      </c>
      <c r="G210" s="35">
        <f t="shared" si="15"/>
        <v>15.4028507126782</v>
      </c>
      <c r="H210" s="36">
        <f t="shared" si="16"/>
        <v>184.788</v>
      </c>
      <c r="I210" s="40">
        <v>205.32</v>
      </c>
      <c r="J210" s="36">
        <f t="shared" si="17"/>
        <v>215.586</v>
      </c>
      <c r="K210" s="36">
        <f t="shared" si="18"/>
        <v>173.70072</v>
      </c>
      <c r="L210" s="36">
        <f t="shared" si="19"/>
        <v>193.0008</v>
      </c>
      <c r="M210" s="41"/>
    </row>
    <row r="211" ht="15" spans="1:13">
      <c r="A211" s="27" t="s">
        <v>114</v>
      </c>
      <c r="B211" s="33" t="s">
        <v>92</v>
      </c>
      <c r="C211" s="29" t="s">
        <v>41</v>
      </c>
      <c r="D211" s="30" t="s">
        <v>22</v>
      </c>
      <c r="E211" s="29" t="s">
        <v>23</v>
      </c>
      <c r="F211" s="34" t="s">
        <v>90</v>
      </c>
      <c r="G211" s="35">
        <f t="shared" si="15"/>
        <v>19.4028507126782</v>
      </c>
      <c r="H211" s="36">
        <f t="shared" si="16"/>
        <v>232.776</v>
      </c>
      <c r="I211" s="40">
        <v>258.64</v>
      </c>
      <c r="J211" s="36">
        <f t="shared" si="17"/>
        <v>271.572</v>
      </c>
      <c r="K211" s="36">
        <f t="shared" si="18"/>
        <v>218.80944</v>
      </c>
      <c r="L211" s="36">
        <f t="shared" si="19"/>
        <v>243.1216</v>
      </c>
      <c r="M211" s="41"/>
    </row>
    <row r="212" ht="15" spans="1:13">
      <c r="A212" s="27" t="s">
        <v>114</v>
      </c>
      <c r="B212" s="33" t="s">
        <v>20</v>
      </c>
      <c r="C212" s="29" t="s">
        <v>21</v>
      </c>
      <c r="D212" s="30" t="s">
        <v>22</v>
      </c>
      <c r="E212" s="29" t="s">
        <v>23</v>
      </c>
      <c r="F212" s="34" t="s">
        <v>24</v>
      </c>
      <c r="G212" s="35">
        <f t="shared" si="15"/>
        <v>16.5603900975244</v>
      </c>
      <c r="H212" s="36">
        <f t="shared" si="16"/>
        <v>198.675</v>
      </c>
      <c r="I212" s="40">
        <v>220.75</v>
      </c>
      <c r="J212" s="36">
        <f t="shared" si="17"/>
        <v>231.7875</v>
      </c>
      <c r="K212" s="36">
        <f t="shared" si="18"/>
        <v>186.7545</v>
      </c>
      <c r="L212" s="36">
        <f t="shared" si="19"/>
        <v>207.505</v>
      </c>
      <c r="M212" s="41"/>
    </row>
    <row r="213" ht="15" spans="1:13">
      <c r="A213" s="27" t="s">
        <v>114</v>
      </c>
      <c r="B213" s="33" t="s">
        <v>20</v>
      </c>
      <c r="C213" s="29" t="s">
        <v>41</v>
      </c>
      <c r="D213" s="30" t="s">
        <v>22</v>
      </c>
      <c r="E213" s="29" t="s">
        <v>23</v>
      </c>
      <c r="F213" s="34" t="s">
        <v>24</v>
      </c>
      <c r="G213" s="35">
        <f t="shared" si="15"/>
        <v>20.4276069017254</v>
      </c>
      <c r="H213" s="36">
        <f t="shared" si="16"/>
        <v>245.07</v>
      </c>
      <c r="I213" s="40">
        <v>272.3</v>
      </c>
      <c r="J213" s="36">
        <f t="shared" si="17"/>
        <v>285.915</v>
      </c>
      <c r="K213" s="36">
        <f t="shared" si="18"/>
        <v>230.3658</v>
      </c>
      <c r="L213" s="36">
        <f t="shared" si="19"/>
        <v>255.962</v>
      </c>
      <c r="M213" s="41"/>
    </row>
    <row r="214" ht="15" spans="1:13">
      <c r="A214" s="27" t="s">
        <v>114</v>
      </c>
      <c r="B214" s="33" t="s">
        <v>20</v>
      </c>
      <c r="C214" s="29" t="s">
        <v>71</v>
      </c>
      <c r="D214" s="30" t="s">
        <v>22</v>
      </c>
      <c r="E214" s="29" t="s">
        <v>23</v>
      </c>
      <c r="F214" s="34" t="s">
        <v>24</v>
      </c>
      <c r="G214" s="35">
        <f t="shared" si="15"/>
        <v>25.6174043510878</v>
      </c>
      <c r="H214" s="36">
        <f t="shared" si="16"/>
        <v>307.332</v>
      </c>
      <c r="I214" s="40">
        <v>341.48</v>
      </c>
      <c r="J214" s="36">
        <f t="shared" si="17"/>
        <v>358.554</v>
      </c>
      <c r="K214" s="36">
        <f t="shared" si="18"/>
        <v>288.89208</v>
      </c>
      <c r="L214" s="36">
        <f t="shared" si="19"/>
        <v>320.9912</v>
      </c>
      <c r="M214" s="41"/>
    </row>
    <row r="215" ht="15" spans="1:13">
      <c r="A215" s="27" t="s">
        <v>114</v>
      </c>
      <c r="B215" s="33" t="s">
        <v>20</v>
      </c>
      <c r="C215" s="29" t="s">
        <v>55</v>
      </c>
      <c r="D215" s="30" t="s">
        <v>22</v>
      </c>
      <c r="E215" s="29" t="s">
        <v>23</v>
      </c>
      <c r="F215" s="34" t="s">
        <v>90</v>
      </c>
      <c r="G215" s="35">
        <f t="shared" si="15"/>
        <v>29.3990997749437</v>
      </c>
      <c r="H215" s="36">
        <f t="shared" si="16"/>
        <v>352.701</v>
      </c>
      <c r="I215" s="40">
        <v>391.89</v>
      </c>
      <c r="J215" s="36">
        <f t="shared" si="17"/>
        <v>411.4845</v>
      </c>
      <c r="K215" s="36">
        <f t="shared" si="18"/>
        <v>331.53894</v>
      </c>
      <c r="L215" s="36">
        <f t="shared" si="19"/>
        <v>368.3766</v>
      </c>
      <c r="M215" s="41"/>
    </row>
    <row r="216" ht="15" spans="1:13">
      <c r="A216" s="27" t="s">
        <v>114</v>
      </c>
      <c r="B216" s="33" t="s">
        <v>93</v>
      </c>
      <c r="C216" s="29" t="s">
        <v>71</v>
      </c>
      <c r="D216" s="30" t="s">
        <v>22</v>
      </c>
      <c r="E216" s="29" t="s">
        <v>23</v>
      </c>
      <c r="F216" s="34" t="s">
        <v>24</v>
      </c>
      <c r="G216" s="35">
        <f t="shared" si="15"/>
        <v>27.2175543885972</v>
      </c>
      <c r="H216" s="36">
        <f t="shared" si="16"/>
        <v>326.529</v>
      </c>
      <c r="I216" s="40">
        <v>362.81</v>
      </c>
      <c r="J216" s="36">
        <f t="shared" si="17"/>
        <v>380.9505</v>
      </c>
      <c r="K216" s="36">
        <f t="shared" si="18"/>
        <v>306.93726</v>
      </c>
      <c r="L216" s="36">
        <f t="shared" si="19"/>
        <v>341.0414</v>
      </c>
      <c r="M216" s="41"/>
    </row>
    <row r="217" ht="15" spans="1:13">
      <c r="A217" s="27" t="s">
        <v>114</v>
      </c>
      <c r="B217" s="33" t="s">
        <v>93</v>
      </c>
      <c r="C217" s="29" t="s">
        <v>55</v>
      </c>
      <c r="D217" s="30" t="s">
        <v>22</v>
      </c>
      <c r="E217" s="29" t="s">
        <v>23</v>
      </c>
      <c r="F217" s="34" t="s">
        <v>24</v>
      </c>
      <c r="G217" s="35">
        <f t="shared" si="15"/>
        <v>29.8132033008252</v>
      </c>
      <c r="H217" s="36">
        <f t="shared" si="16"/>
        <v>357.669</v>
      </c>
      <c r="I217" s="40">
        <v>397.41</v>
      </c>
      <c r="J217" s="36">
        <f t="shared" si="17"/>
        <v>417.2805</v>
      </c>
      <c r="K217" s="36">
        <f t="shared" si="18"/>
        <v>336.20886</v>
      </c>
      <c r="L217" s="36">
        <f t="shared" si="19"/>
        <v>373.5654</v>
      </c>
      <c r="M217" s="41"/>
    </row>
    <row r="218" ht="15" spans="1:13">
      <c r="A218" s="27" t="s">
        <v>114</v>
      </c>
      <c r="B218" s="33" t="s">
        <v>97</v>
      </c>
      <c r="C218" s="29" t="s">
        <v>71</v>
      </c>
      <c r="D218" s="30" t="s">
        <v>22</v>
      </c>
      <c r="E218" s="29" t="s">
        <v>23</v>
      </c>
      <c r="F218" s="34" t="s">
        <v>98</v>
      </c>
      <c r="G218" s="35">
        <f t="shared" si="15"/>
        <v>28.0735183795949</v>
      </c>
      <c r="H218" s="36">
        <f t="shared" si="16"/>
        <v>336.798</v>
      </c>
      <c r="I218" s="40">
        <v>374.22</v>
      </c>
      <c r="J218" s="36">
        <f t="shared" si="17"/>
        <v>392.931</v>
      </c>
      <c r="K218" s="36">
        <f t="shared" si="18"/>
        <v>316.59012</v>
      </c>
      <c r="L218" s="36">
        <f t="shared" si="19"/>
        <v>351.7668</v>
      </c>
      <c r="M218" s="41"/>
    </row>
    <row r="219" ht="15" spans="1:13">
      <c r="A219" s="27" t="s">
        <v>114</v>
      </c>
      <c r="B219" s="33" t="s">
        <v>97</v>
      </c>
      <c r="C219" s="29" t="s">
        <v>122</v>
      </c>
      <c r="D219" s="30" t="s">
        <v>22</v>
      </c>
      <c r="E219" s="29" t="s">
        <v>23</v>
      </c>
      <c r="F219" s="34" t="s">
        <v>95</v>
      </c>
      <c r="G219" s="35">
        <f t="shared" si="15"/>
        <v>42.1770442610653</v>
      </c>
      <c r="H219" s="36">
        <f t="shared" si="16"/>
        <v>505.998</v>
      </c>
      <c r="I219" s="40">
        <v>562.22</v>
      </c>
      <c r="J219" s="36">
        <f t="shared" si="17"/>
        <v>590.331</v>
      </c>
      <c r="K219" s="36">
        <f t="shared" si="18"/>
        <v>475.63812</v>
      </c>
      <c r="L219" s="36">
        <f t="shared" si="19"/>
        <v>528.4868</v>
      </c>
      <c r="M219" s="41"/>
    </row>
    <row r="220" ht="15" spans="1:13">
      <c r="A220" s="27" t="s">
        <v>114</v>
      </c>
      <c r="B220" s="33" t="s">
        <v>127</v>
      </c>
      <c r="C220" s="29" t="s">
        <v>71</v>
      </c>
      <c r="D220" s="30" t="s">
        <v>22</v>
      </c>
      <c r="E220" s="29" t="s">
        <v>23</v>
      </c>
      <c r="F220" s="34" t="s">
        <v>103</v>
      </c>
      <c r="G220" s="35">
        <f t="shared" si="15"/>
        <v>30.0630157539385</v>
      </c>
      <c r="H220" s="36">
        <f t="shared" si="16"/>
        <v>360.666</v>
      </c>
      <c r="I220" s="40">
        <v>400.74</v>
      </c>
      <c r="J220" s="36">
        <f t="shared" si="17"/>
        <v>420.777</v>
      </c>
      <c r="K220" s="36">
        <f t="shared" si="18"/>
        <v>339.02604</v>
      </c>
      <c r="L220" s="36">
        <f t="shared" si="19"/>
        <v>376.6956</v>
      </c>
      <c r="M220" s="41"/>
    </row>
    <row r="221" ht="15" spans="1:13">
      <c r="A221" s="27" t="s">
        <v>114</v>
      </c>
      <c r="B221" s="33" t="s">
        <v>128</v>
      </c>
      <c r="C221" s="29" t="s">
        <v>55</v>
      </c>
      <c r="D221" s="30" t="s">
        <v>22</v>
      </c>
      <c r="E221" s="29" t="s">
        <v>23</v>
      </c>
      <c r="F221" s="34" t="s">
        <v>129</v>
      </c>
      <c r="G221" s="35">
        <f t="shared" si="15"/>
        <v>37.7786946736684</v>
      </c>
      <c r="H221" s="36">
        <f t="shared" si="16"/>
        <v>453.231</v>
      </c>
      <c r="I221" s="40">
        <v>503.59</v>
      </c>
      <c r="J221" s="36">
        <f t="shared" si="17"/>
        <v>528.7695</v>
      </c>
      <c r="K221" s="36">
        <f t="shared" si="18"/>
        <v>426.03714</v>
      </c>
      <c r="L221" s="36">
        <f t="shared" si="19"/>
        <v>473.3746</v>
      </c>
      <c r="M221" s="41"/>
    </row>
    <row r="222" ht="15" spans="1:13">
      <c r="A222" s="27" t="s">
        <v>130</v>
      </c>
      <c r="B222" s="33" t="s">
        <v>52</v>
      </c>
      <c r="C222" s="29" t="s">
        <v>21</v>
      </c>
      <c r="D222" s="30" t="s">
        <v>28</v>
      </c>
      <c r="E222" s="29" t="s">
        <v>23</v>
      </c>
      <c r="F222" s="34" t="s">
        <v>53</v>
      </c>
      <c r="G222" s="35">
        <f t="shared" si="15"/>
        <v>7.3218304576144</v>
      </c>
      <c r="H222" s="36">
        <f t="shared" si="16"/>
        <v>87.84</v>
      </c>
      <c r="I222" s="40">
        <v>97.6</v>
      </c>
      <c r="J222" s="36">
        <f t="shared" si="17"/>
        <v>102.48</v>
      </c>
      <c r="K222" s="36">
        <f t="shared" si="18"/>
        <v>82.5696</v>
      </c>
      <c r="L222" s="36">
        <f t="shared" si="19"/>
        <v>91.744</v>
      </c>
      <c r="M222" s="41"/>
    </row>
    <row r="223" ht="15" spans="1:13">
      <c r="A223" s="27" t="s">
        <v>130</v>
      </c>
      <c r="B223" s="33" t="s">
        <v>52</v>
      </c>
      <c r="C223" s="29" t="s">
        <v>55</v>
      </c>
      <c r="D223" s="30" t="s">
        <v>28</v>
      </c>
      <c r="E223" s="29" t="s">
        <v>23</v>
      </c>
      <c r="F223" s="34" t="s">
        <v>56</v>
      </c>
      <c r="G223" s="35">
        <f t="shared" si="15"/>
        <v>22.8057014253563</v>
      </c>
      <c r="H223" s="36">
        <f t="shared" si="16"/>
        <v>273.6</v>
      </c>
      <c r="I223" s="40">
        <v>304</v>
      </c>
      <c r="J223" s="36">
        <f t="shared" si="17"/>
        <v>319.2</v>
      </c>
      <c r="K223" s="36">
        <f t="shared" si="18"/>
        <v>257.184</v>
      </c>
      <c r="L223" s="36">
        <f t="shared" si="19"/>
        <v>285.76</v>
      </c>
      <c r="M223" s="41"/>
    </row>
    <row r="224" ht="15" spans="1:13">
      <c r="A224" s="27" t="s">
        <v>130</v>
      </c>
      <c r="B224" s="33" t="s">
        <v>58</v>
      </c>
      <c r="C224" s="29" t="s">
        <v>41</v>
      </c>
      <c r="D224" s="30" t="s">
        <v>28</v>
      </c>
      <c r="E224" s="29" t="s">
        <v>23</v>
      </c>
      <c r="F224" s="34" t="s">
        <v>53</v>
      </c>
      <c r="G224" s="35">
        <f t="shared" si="15"/>
        <v>11.4606151537884</v>
      </c>
      <c r="H224" s="36">
        <f t="shared" si="16"/>
        <v>137.493</v>
      </c>
      <c r="I224" s="40">
        <v>152.77</v>
      </c>
      <c r="J224" s="36">
        <f t="shared" si="17"/>
        <v>160.4085</v>
      </c>
      <c r="K224" s="36">
        <f t="shared" si="18"/>
        <v>129.24342</v>
      </c>
      <c r="L224" s="36">
        <f t="shared" si="19"/>
        <v>143.6038</v>
      </c>
      <c r="M224" s="41"/>
    </row>
    <row r="225" ht="15" spans="1:13">
      <c r="A225" s="27" t="s">
        <v>130</v>
      </c>
      <c r="B225" s="33" t="s">
        <v>58</v>
      </c>
      <c r="C225" s="29" t="s">
        <v>41</v>
      </c>
      <c r="D225" s="30" t="s">
        <v>28</v>
      </c>
      <c r="E225" s="29" t="s">
        <v>23</v>
      </c>
      <c r="F225" s="34" t="s">
        <v>59</v>
      </c>
      <c r="G225" s="35">
        <f t="shared" si="15"/>
        <v>11.7809452363091</v>
      </c>
      <c r="H225" s="36">
        <f t="shared" si="16"/>
        <v>141.336</v>
      </c>
      <c r="I225" s="40">
        <v>157.04</v>
      </c>
      <c r="J225" s="36">
        <f t="shared" si="17"/>
        <v>164.892</v>
      </c>
      <c r="K225" s="36">
        <f t="shared" si="18"/>
        <v>132.85584</v>
      </c>
      <c r="L225" s="36">
        <f t="shared" si="19"/>
        <v>147.6176</v>
      </c>
      <c r="M225" s="41"/>
    </row>
    <row r="226" ht="15" spans="1:13">
      <c r="A226" s="27" t="s">
        <v>130</v>
      </c>
      <c r="B226" s="33" t="s">
        <v>60</v>
      </c>
      <c r="C226" s="29" t="s">
        <v>21</v>
      </c>
      <c r="D226" s="30" t="s">
        <v>28</v>
      </c>
      <c r="E226" s="29" t="s">
        <v>23</v>
      </c>
      <c r="F226" s="34" t="s">
        <v>61</v>
      </c>
      <c r="G226" s="35">
        <f t="shared" si="15"/>
        <v>7.65641410352588</v>
      </c>
      <c r="H226" s="36">
        <f t="shared" si="16"/>
        <v>91.854</v>
      </c>
      <c r="I226" s="40">
        <v>102.06</v>
      </c>
      <c r="J226" s="36">
        <f t="shared" si="17"/>
        <v>107.163</v>
      </c>
      <c r="K226" s="36">
        <f t="shared" si="18"/>
        <v>86.34276</v>
      </c>
      <c r="L226" s="36">
        <f t="shared" si="19"/>
        <v>95.9364</v>
      </c>
      <c r="M226" s="41"/>
    </row>
    <row r="227" ht="15" spans="1:13">
      <c r="A227" s="27" t="s">
        <v>130</v>
      </c>
      <c r="B227" s="33" t="s">
        <v>64</v>
      </c>
      <c r="C227" s="29" t="s">
        <v>41</v>
      </c>
      <c r="D227" s="30" t="s">
        <v>28</v>
      </c>
      <c r="E227" s="29" t="s">
        <v>23</v>
      </c>
      <c r="F227" s="34" t="s">
        <v>63</v>
      </c>
      <c r="G227" s="35">
        <f t="shared" si="15"/>
        <v>11.2130532633158</v>
      </c>
      <c r="H227" s="36">
        <f t="shared" si="16"/>
        <v>134.523</v>
      </c>
      <c r="I227" s="40">
        <v>149.47</v>
      </c>
      <c r="J227" s="36">
        <f t="shared" si="17"/>
        <v>156.9435</v>
      </c>
      <c r="K227" s="36">
        <f t="shared" si="18"/>
        <v>126.45162</v>
      </c>
      <c r="L227" s="36">
        <f t="shared" si="19"/>
        <v>140.5018</v>
      </c>
      <c r="M227" s="41"/>
    </row>
    <row r="228" ht="15" spans="1:13">
      <c r="A228" s="27" t="s">
        <v>130</v>
      </c>
      <c r="B228" s="33" t="s">
        <v>64</v>
      </c>
      <c r="C228" s="29" t="s">
        <v>55</v>
      </c>
      <c r="D228" s="30" t="s">
        <v>28</v>
      </c>
      <c r="E228" s="29" t="s">
        <v>23</v>
      </c>
      <c r="F228" s="34" t="s">
        <v>29</v>
      </c>
      <c r="G228" s="35">
        <f t="shared" si="15"/>
        <v>22.4163540885221</v>
      </c>
      <c r="H228" s="36">
        <f t="shared" si="16"/>
        <v>268.929</v>
      </c>
      <c r="I228" s="40">
        <v>298.81</v>
      </c>
      <c r="J228" s="36">
        <f t="shared" si="17"/>
        <v>313.7505</v>
      </c>
      <c r="K228" s="36">
        <f t="shared" si="18"/>
        <v>252.79326</v>
      </c>
      <c r="L228" s="36">
        <f t="shared" si="19"/>
        <v>280.8814</v>
      </c>
      <c r="M228" s="41"/>
    </row>
    <row r="229" ht="15" spans="1:13">
      <c r="A229" s="27" t="s">
        <v>130</v>
      </c>
      <c r="B229" s="33" t="s">
        <v>64</v>
      </c>
      <c r="C229" s="29" t="s">
        <v>55</v>
      </c>
      <c r="D229" s="30" t="s">
        <v>28</v>
      </c>
      <c r="E229" s="29" t="s">
        <v>23</v>
      </c>
      <c r="F229" s="34" t="s">
        <v>131</v>
      </c>
      <c r="G229" s="35">
        <f t="shared" si="15"/>
        <v>22.2108027006752</v>
      </c>
      <c r="H229" s="36">
        <f t="shared" si="16"/>
        <v>266.463</v>
      </c>
      <c r="I229" s="40">
        <v>296.07</v>
      </c>
      <c r="J229" s="36">
        <f t="shared" si="17"/>
        <v>310.8735</v>
      </c>
      <c r="K229" s="36">
        <f t="shared" si="18"/>
        <v>250.47522</v>
      </c>
      <c r="L229" s="36">
        <f t="shared" si="19"/>
        <v>278.3058</v>
      </c>
      <c r="M229" s="41"/>
    </row>
    <row r="230" ht="15" spans="1:13">
      <c r="A230" s="27" t="s">
        <v>130</v>
      </c>
      <c r="B230" s="33" t="s">
        <v>26</v>
      </c>
      <c r="C230" s="29" t="s">
        <v>55</v>
      </c>
      <c r="D230" s="30" t="s">
        <v>28</v>
      </c>
      <c r="E230" s="29" t="s">
        <v>23</v>
      </c>
      <c r="F230" s="34" t="s">
        <v>29</v>
      </c>
      <c r="G230" s="35">
        <f t="shared" si="15"/>
        <v>22.3458364591148</v>
      </c>
      <c r="H230" s="36">
        <f t="shared" si="16"/>
        <v>268.083</v>
      </c>
      <c r="I230" s="40">
        <v>297.87</v>
      </c>
      <c r="J230" s="36">
        <f t="shared" si="17"/>
        <v>312.7635</v>
      </c>
      <c r="K230" s="36">
        <f t="shared" si="18"/>
        <v>251.99802</v>
      </c>
      <c r="L230" s="36">
        <f t="shared" si="19"/>
        <v>279.9978</v>
      </c>
      <c r="M230" s="41"/>
    </row>
    <row r="231" ht="15" spans="1:13">
      <c r="A231" s="27" t="s">
        <v>130</v>
      </c>
      <c r="B231" s="33" t="s">
        <v>26</v>
      </c>
      <c r="C231" s="29" t="s">
        <v>122</v>
      </c>
      <c r="D231" s="30" t="s">
        <v>28</v>
      </c>
      <c r="E231" s="29" t="s">
        <v>23</v>
      </c>
      <c r="F231" s="34" t="s">
        <v>29</v>
      </c>
      <c r="G231" s="35">
        <f t="shared" si="15"/>
        <v>32.3608402100525</v>
      </c>
      <c r="H231" s="36">
        <f t="shared" si="16"/>
        <v>388.233</v>
      </c>
      <c r="I231" s="40">
        <v>431.37</v>
      </c>
      <c r="J231" s="36">
        <f t="shared" si="17"/>
        <v>452.9385</v>
      </c>
      <c r="K231" s="36">
        <f t="shared" si="18"/>
        <v>364.93902</v>
      </c>
      <c r="L231" s="36">
        <f t="shared" si="19"/>
        <v>405.4878</v>
      </c>
      <c r="M231" s="41"/>
    </row>
    <row r="232" ht="15" spans="1:13">
      <c r="A232" s="27" t="s">
        <v>130</v>
      </c>
      <c r="B232" s="33" t="s">
        <v>65</v>
      </c>
      <c r="C232" s="29" t="s">
        <v>55</v>
      </c>
      <c r="D232" s="30" t="s">
        <v>28</v>
      </c>
      <c r="E232" s="29" t="s">
        <v>23</v>
      </c>
      <c r="F232" s="34" t="s">
        <v>66</v>
      </c>
      <c r="G232" s="35">
        <f t="shared" si="15"/>
        <v>22.6781695423856</v>
      </c>
      <c r="H232" s="36">
        <f t="shared" si="16"/>
        <v>272.07</v>
      </c>
      <c r="I232" s="40">
        <v>302.3</v>
      </c>
      <c r="J232" s="36">
        <f t="shared" si="17"/>
        <v>317.415</v>
      </c>
      <c r="K232" s="36">
        <f t="shared" si="18"/>
        <v>255.7458</v>
      </c>
      <c r="L232" s="36">
        <f t="shared" si="19"/>
        <v>284.162</v>
      </c>
      <c r="M232" s="41"/>
    </row>
    <row r="233" ht="15" spans="1:13">
      <c r="A233" s="27" t="s">
        <v>130</v>
      </c>
      <c r="B233" s="33" t="s">
        <v>67</v>
      </c>
      <c r="C233" s="29" t="s">
        <v>41</v>
      </c>
      <c r="D233" s="30" t="s">
        <v>28</v>
      </c>
      <c r="E233" s="29" t="s">
        <v>23</v>
      </c>
      <c r="F233" s="34" t="s">
        <v>68</v>
      </c>
      <c r="G233" s="35">
        <f t="shared" si="15"/>
        <v>12.7494373593398</v>
      </c>
      <c r="H233" s="36">
        <f t="shared" si="16"/>
        <v>152.955</v>
      </c>
      <c r="I233" s="40">
        <v>169.95</v>
      </c>
      <c r="J233" s="36">
        <f t="shared" si="17"/>
        <v>178.4475</v>
      </c>
      <c r="K233" s="36">
        <f t="shared" si="18"/>
        <v>143.7777</v>
      </c>
      <c r="L233" s="36">
        <f t="shared" si="19"/>
        <v>159.753</v>
      </c>
      <c r="M233" s="41"/>
    </row>
    <row r="234" ht="15" spans="1:13">
      <c r="A234" s="27" t="s">
        <v>130</v>
      </c>
      <c r="B234" s="33" t="s">
        <v>67</v>
      </c>
      <c r="C234" s="29" t="s">
        <v>55</v>
      </c>
      <c r="D234" s="30" t="s">
        <v>28</v>
      </c>
      <c r="E234" s="29" t="s">
        <v>23</v>
      </c>
      <c r="F234" s="34" t="s">
        <v>68</v>
      </c>
      <c r="G234" s="35">
        <f t="shared" si="15"/>
        <v>22.0547636909227</v>
      </c>
      <c r="H234" s="36">
        <f t="shared" si="16"/>
        <v>264.591</v>
      </c>
      <c r="I234" s="40">
        <v>293.99</v>
      </c>
      <c r="J234" s="36">
        <f t="shared" si="17"/>
        <v>308.6895</v>
      </c>
      <c r="K234" s="36">
        <f t="shared" si="18"/>
        <v>248.71554</v>
      </c>
      <c r="L234" s="36">
        <f t="shared" si="19"/>
        <v>276.3506</v>
      </c>
      <c r="M234" s="41"/>
    </row>
    <row r="235" ht="15" spans="1:13">
      <c r="A235" s="27" t="s">
        <v>130</v>
      </c>
      <c r="B235" s="33" t="s">
        <v>69</v>
      </c>
      <c r="C235" s="29" t="s">
        <v>55</v>
      </c>
      <c r="D235" s="30" t="s">
        <v>28</v>
      </c>
      <c r="E235" s="29" t="s">
        <v>23</v>
      </c>
      <c r="F235" s="34" t="s">
        <v>68</v>
      </c>
      <c r="G235" s="35">
        <f t="shared" si="15"/>
        <v>22.1807951987997</v>
      </c>
      <c r="H235" s="36">
        <f t="shared" si="16"/>
        <v>266.103</v>
      </c>
      <c r="I235" s="40">
        <v>295.67</v>
      </c>
      <c r="J235" s="36">
        <f t="shared" si="17"/>
        <v>310.4535</v>
      </c>
      <c r="K235" s="36">
        <f t="shared" si="18"/>
        <v>250.13682</v>
      </c>
      <c r="L235" s="36">
        <f t="shared" si="19"/>
        <v>277.9298</v>
      </c>
      <c r="M235" s="41"/>
    </row>
    <row r="236" ht="15" spans="1:13">
      <c r="A236" s="27" t="s">
        <v>130</v>
      </c>
      <c r="B236" s="33" t="s">
        <v>70</v>
      </c>
      <c r="C236" s="29" t="s">
        <v>41</v>
      </c>
      <c r="D236" s="30" t="s">
        <v>28</v>
      </c>
      <c r="E236" s="29" t="s">
        <v>23</v>
      </c>
      <c r="F236" s="34" t="s">
        <v>68</v>
      </c>
      <c r="G236" s="35">
        <f t="shared" si="15"/>
        <v>12.9842460615154</v>
      </c>
      <c r="H236" s="36">
        <f t="shared" si="16"/>
        <v>155.772</v>
      </c>
      <c r="I236" s="40">
        <v>173.08</v>
      </c>
      <c r="J236" s="36">
        <f t="shared" si="17"/>
        <v>181.734</v>
      </c>
      <c r="K236" s="36">
        <f t="shared" si="18"/>
        <v>146.42568</v>
      </c>
      <c r="L236" s="36">
        <f t="shared" si="19"/>
        <v>162.6952</v>
      </c>
      <c r="M236" s="41"/>
    </row>
    <row r="237" ht="15" spans="1:13">
      <c r="A237" s="27" t="s">
        <v>130</v>
      </c>
      <c r="B237" s="33" t="s">
        <v>70</v>
      </c>
      <c r="C237" s="29" t="s">
        <v>55</v>
      </c>
      <c r="D237" s="30" t="s">
        <v>28</v>
      </c>
      <c r="E237" s="29" t="s">
        <v>23</v>
      </c>
      <c r="F237" s="34" t="s">
        <v>68</v>
      </c>
      <c r="G237" s="35">
        <f t="shared" si="15"/>
        <v>22.3848462115529</v>
      </c>
      <c r="H237" s="36">
        <f t="shared" si="16"/>
        <v>268.551</v>
      </c>
      <c r="I237" s="40">
        <v>298.39</v>
      </c>
      <c r="J237" s="36">
        <f t="shared" si="17"/>
        <v>313.3095</v>
      </c>
      <c r="K237" s="36">
        <f t="shared" si="18"/>
        <v>252.43794</v>
      </c>
      <c r="L237" s="36">
        <f t="shared" si="19"/>
        <v>280.4866</v>
      </c>
      <c r="M237" s="41"/>
    </row>
    <row r="238" ht="15" spans="1:13">
      <c r="A238" s="27" t="s">
        <v>130</v>
      </c>
      <c r="B238" s="33" t="s">
        <v>132</v>
      </c>
      <c r="C238" s="29" t="s">
        <v>41</v>
      </c>
      <c r="D238" s="30" t="s">
        <v>28</v>
      </c>
      <c r="E238" s="29" t="s">
        <v>23</v>
      </c>
      <c r="F238" s="42" t="s">
        <v>73</v>
      </c>
      <c r="G238" s="35">
        <f t="shared" si="15"/>
        <v>14.7171792948237</v>
      </c>
      <c r="H238" s="36">
        <f t="shared" si="16"/>
        <v>176.562</v>
      </c>
      <c r="I238" s="40">
        <v>196.18</v>
      </c>
      <c r="J238" s="36">
        <f t="shared" si="17"/>
        <v>205.989</v>
      </c>
      <c r="K238" s="36">
        <f t="shared" si="18"/>
        <v>165.96828</v>
      </c>
      <c r="L238" s="36">
        <f t="shared" si="19"/>
        <v>184.4092</v>
      </c>
      <c r="M238" s="41"/>
    </row>
    <row r="239" ht="15" spans="1:13">
      <c r="A239" s="27" t="s">
        <v>130</v>
      </c>
      <c r="B239" s="33" t="s">
        <v>74</v>
      </c>
      <c r="C239" s="29" t="s">
        <v>55</v>
      </c>
      <c r="D239" s="30" t="s">
        <v>28</v>
      </c>
      <c r="E239" s="29" t="s">
        <v>23</v>
      </c>
      <c r="F239" s="42" t="s">
        <v>73</v>
      </c>
      <c r="G239" s="35">
        <f t="shared" si="15"/>
        <v>24.2018004501125</v>
      </c>
      <c r="H239" s="36">
        <f t="shared" si="16"/>
        <v>290.349</v>
      </c>
      <c r="I239" s="40">
        <v>322.61</v>
      </c>
      <c r="J239" s="36">
        <f t="shared" si="17"/>
        <v>338.7405</v>
      </c>
      <c r="K239" s="36">
        <f t="shared" si="18"/>
        <v>272.92806</v>
      </c>
      <c r="L239" s="36">
        <f t="shared" si="19"/>
        <v>303.2534</v>
      </c>
      <c r="M239" s="41"/>
    </row>
    <row r="240" ht="15" spans="1:13">
      <c r="A240" s="27" t="s">
        <v>130</v>
      </c>
      <c r="B240" s="33" t="s">
        <v>77</v>
      </c>
      <c r="C240" s="29" t="s">
        <v>21</v>
      </c>
      <c r="D240" s="30" t="s">
        <v>28</v>
      </c>
      <c r="E240" s="29" t="s">
        <v>23</v>
      </c>
      <c r="F240" s="34" t="s">
        <v>76</v>
      </c>
      <c r="G240" s="35">
        <f t="shared" si="15"/>
        <v>10.3300825206302</v>
      </c>
      <c r="H240" s="36">
        <f t="shared" si="16"/>
        <v>123.93</v>
      </c>
      <c r="I240" s="40">
        <v>137.7</v>
      </c>
      <c r="J240" s="36">
        <f t="shared" si="17"/>
        <v>144.585</v>
      </c>
      <c r="K240" s="36">
        <f t="shared" si="18"/>
        <v>116.4942</v>
      </c>
      <c r="L240" s="36">
        <f t="shared" si="19"/>
        <v>129.438</v>
      </c>
      <c r="M240" s="41"/>
    </row>
    <row r="241" ht="15" spans="1:13">
      <c r="A241" s="27" t="s">
        <v>130</v>
      </c>
      <c r="B241" s="33" t="s">
        <v>77</v>
      </c>
      <c r="C241" s="29" t="s">
        <v>55</v>
      </c>
      <c r="D241" s="30" t="s">
        <v>28</v>
      </c>
      <c r="E241" s="29" t="s">
        <v>23</v>
      </c>
      <c r="F241" s="34" t="s">
        <v>76</v>
      </c>
      <c r="G241" s="35">
        <f t="shared" si="15"/>
        <v>23.7396849212303</v>
      </c>
      <c r="H241" s="36">
        <f t="shared" si="16"/>
        <v>284.805</v>
      </c>
      <c r="I241" s="40">
        <v>316.45</v>
      </c>
      <c r="J241" s="36">
        <f t="shared" si="17"/>
        <v>332.2725</v>
      </c>
      <c r="K241" s="36">
        <f t="shared" si="18"/>
        <v>267.7167</v>
      </c>
      <c r="L241" s="36">
        <f t="shared" si="19"/>
        <v>297.463</v>
      </c>
      <c r="M241" s="41"/>
    </row>
    <row r="242" ht="15" spans="1:13">
      <c r="A242" s="27" t="s">
        <v>130</v>
      </c>
      <c r="B242" s="33" t="s">
        <v>31</v>
      </c>
      <c r="C242" s="29" t="s">
        <v>55</v>
      </c>
      <c r="D242" s="30" t="s">
        <v>28</v>
      </c>
      <c r="E242" s="29" t="s">
        <v>23</v>
      </c>
      <c r="F242" s="34" t="s">
        <v>32</v>
      </c>
      <c r="G242" s="35">
        <f t="shared" si="15"/>
        <v>23.9579894973743</v>
      </c>
      <c r="H242" s="36">
        <f t="shared" si="16"/>
        <v>287.424</v>
      </c>
      <c r="I242" s="40">
        <v>319.36</v>
      </c>
      <c r="J242" s="36">
        <f t="shared" si="17"/>
        <v>335.328</v>
      </c>
      <c r="K242" s="36">
        <f t="shared" si="18"/>
        <v>270.17856</v>
      </c>
      <c r="L242" s="36">
        <f t="shared" si="19"/>
        <v>300.1984</v>
      </c>
      <c r="M242" s="41"/>
    </row>
    <row r="243" ht="15" spans="1:13">
      <c r="A243" s="27" t="s">
        <v>130</v>
      </c>
      <c r="B243" s="33" t="s">
        <v>80</v>
      </c>
      <c r="C243" s="29" t="s">
        <v>21</v>
      </c>
      <c r="D243" s="30" t="s">
        <v>28</v>
      </c>
      <c r="E243" s="29" t="s">
        <v>23</v>
      </c>
      <c r="F243" s="34" t="s">
        <v>32</v>
      </c>
      <c r="G243" s="35">
        <f t="shared" si="15"/>
        <v>10.370592648162</v>
      </c>
      <c r="H243" s="36">
        <f t="shared" si="16"/>
        <v>124.416</v>
      </c>
      <c r="I243" s="40">
        <v>138.24</v>
      </c>
      <c r="J243" s="36">
        <f t="shared" si="17"/>
        <v>145.152</v>
      </c>
      <c r="K243" s="36">
        <f t="shared" si="18"/>
        <v>116.95104</v>
      </c>
      <c r="L243" s="36">
        <f t="shared" si="19"/>
        <v>129.9456</v>
      </c>
      <c r="M243" s="41"/>
    </row>
    <row r="244" ht="15" spans="1:13">
      <c r="A244" s="27" t="s">
        <v>130</v>
      </c>
      <c r="B244" s="33" t="s">
        <v>80</v>
      </c>
      <c r="C244" s="29" t="s">
        <v>41</v>
      </c>
      <c r="D244" s="30" t="s">
        <v>28</v>
      </c>
      <c r="E244" s="29" t="s">
        <v>23</v>
      </c>
      <c r="F244" s="34" t="s">
        <v>32</v>
      </c>
      <c r="G244" s="35">
        <f t="shared" si="15"/>
        <v>14.887471867967</v>
      </c>
      <c r="H244" s="36">
        <f t="shared" si="16"/>
        <v>178.605</v>
      </c>
      <c r="I244" s="40">
        <v>198.45</v>
      </c>
      <c r="J244" s="36">
        <f t="shared" si="17"/>
        <v>208.3725</v>
      </c>
      <c r="K244" s="36">
        <f t="shared" si="18"/>
        <v>167.8887</v>
      </c>
      <c r="L244" s="36">
        <f t="shared" si="19"/>
        <v>186.543</v>
      </c>
      <c r="M244" s="41"/>
    </row>
    <row r="245" ht="15" spans="1:13">
      <c r="A245" s="27" t="s">
        <v>130</v>
      </c>
      <c r="B245" s="33" t="s">
        <v>33</v>
      </c>
      <c r="C245" s="29" t="s">
        <v>21</v>
      </c>
      <c r="D245" s="30" t="s">
        <v>28</v>
      </c>
      <c r="E245" s="29" t="s">
        <v>23</v>
      </c>
      <c r="F245" s="34" t="s">
        <v>34</v>
      </c>
      <c r="G245" s="35">
        <f t="shared" si="15"/>
        <v>12.0802700675169</v>
      </c>
      <c r="H245" s="36">
        <f t="shared" si="16"/>
        <v>144.927</v>
      </c>
      <c r="I245" s="40">
        <v>161.03</v>
      </c>
      <c r="J245" s="36">
        <f t="shared" si="17"/>
        <v>169.0815</v>
      </c>
      <c r="K245" s="36">
        <f t="shared" si="18"/>
        <v>136.23138</v>
      </c>
      <c r="L245" s="36">
        <f t="shared" si="19"/>
        <v>151.3682</v>
      </c>
      <c r="M245" s="41"/>
    </row>
    <row r="246" ht="15" spans="1:13">
      <c r="A246" s="27" t="s">
        <v>130</v>
      </c>
      <c r="B246" s="33" t="s">
        <v>84</v>
      </c>
      <c r="C246" s="29" t="s">
        <v>55</v>
      </c>
      <c r="D246" s="30" t="s">
        <v>28</v>
      </c>
      <c r="E246" s="29" t="s">
        <v>23</v>
      </c>
      <c r="F246" s="34" t="s">
        <v>36</v>
      </c>
      <c r="G246" s="35">
        <f t="shared" si="15"/>
        <v>24.8529632408102</v>
      </c>
      <c r="H246" s="36">
        <f t="shared" si="16"/>
        <v>298.161</v>
      </c>
      <c r="I246" s="40">
        <v>331.29</v>
      </c>
      <c r="J246" s="36">
        <f t="shared" si="17"/>
        <v>347.8545</v>
      </c>
      <c r="K246" s="36">
        <f t="shared" si="18"/>
        <v>280.27134</v>
      </c>
      <c r="L246" s="36">
        <f t="shared" si="19"/>
        <v>311.4126</v>
      </c>
      <c r="M246" s="41"/>
    </row>
    <row r="247" ht="15" spans="1:13">
      <c r="A247" s="27" t="s">
        <v>130</v>
      </c>
      <c r="B247" s="33" t="s">
        <v>85</v>
      </c>
      <c r="C247" s="29" t="s">
        <v>55</v>
      </c>
      <c r="D247" s="30" t="s">
        <v>22</v>
      </c>
      <c r="E247" s="29" t="s">
        <v>23</v>
      </c>
      <c r="F247" s="34" t="s">
        <v>34</v>
      </c>
      <c r="G247" s="35">
        <f t="shared" si="15"/>
        <v>25.9842460615154</v>
      </c>
      <c r="H247" s="36">
        <f t="shared" si="16"/>
        <v>311.733</v>
      </c>
      <c r="I247" s="40">
        <v>346.37</v>
      </c>
      <c r="J247" s="36">
        <f t="shared" si="17"/>
        <v>363.6885</v>
      </c>
      <c r="K247" s="36">
        <f t="shared" si="18"/>
        <v>293.02902</v>
      </c>
      <c r="L247" s="36">
        <f t="shared" si="19"/>
        <v>325.5878</v>
      </c>
      <c r="M247" s="41"/>
    </row>
    <row r="248" ht="15" spans="1:13">
      <c r="A248" s="27" t="s">
        <v>130</v>
      </c>
      <c r="B248" s="33" t="s">
        <v>85</v>
      </c>
      <c r="C248" s="29" t="s">
        <v>122</v>
      </c>
      <c r="D248" s="30" t="s">
        <v>22</v>
      </c>
      <c r="E248" s="29" t="s">
        <v>23</v>
      </c>
      <c r="F248" s="34" t="s">
        <v>32</v>
      </c>
      <c r="G248" s="35">
        <f t="shared" si="15"/>
        <v>34.0157539384846</v>
      </c>
      <c r="H248" s="36">
        <f t="shared" si="16"/>
        <v>408.087</v>
      </c>
      <c r="I248" s="40">
        <v>453.43</v>
      </c>
      <c r="J248" s="36">
        <f t="shared" si="17"/>
        <v>476.1015</v>
      </c>
      <c r="K248" s="36">
        <f t="shared" si="18"/>
        <v>383.60178</v>
      </c>
      <c r="L248" s="36">
        <f t="shared" si="19"/>
        <v>426.2242</v>
      </c>
      <c r="M248" s="41"/>
    </row>
    <row r="249" ht="15" spans="1:13">
      <c r="A249" s="27" t="s">
        <v>130</v>
      </c>
      <c r="B249" s="33" t="s">
        <v>37</v>
      </c>
      <c r="C249" s="29" t="s">
        <v>55</v>
      </c>
      <c r="D249" s="30" t="s">
        <v>22</v>
      </c>
      <c r="E249" s="29" t="s">
        <v>23</v>
      </c>
      <c r="F249" s="42" t="s">
        <v>36</v>
      </c>
      <c r="G249" s="35">
        <f t="shared" si="15"/>
        <v>25.3563390847712</v>
      </c>
      <c r="H249" s="36">
        <f t="shared" si="16"/>
        <v>304.2</v>
      </c>
      <c r="I249" s="40">
        <v>338</v>
      </c>
      <c r="J249" s="36">
        <f t="shared" si="17"/>
        <v>354.9</v>
      </c>
      <c r="K249" s="36">
        <f t="shared" si="18"/>
        <v>285.948</v>
      </c>
      <c r="L249" s="36">
        <f t="shared" si="19"/>
        <v>317.72</v>
      </c>
      <c r="M249" s="41"/>
    </row>
    <row r="250" ht="15" spans="1:13">
      <c r="A250" s="27" t="s">
        <v>130</v>
      </c>
      <c r="B250" s="33" t="s">
        <v>87</v>
      </c>
      <c r="C250" s="29" t="s">
        <v>55</v>
      </c>
      <c r="D250" s="30" t="s">
        <v>22</v>
      </c>
      <c r="E250" s="29" t="s">
        <v>23</v>
      </c>
      <c r="F250" s="42" t="s">
        <v>38</v>
      </c>
      <c r="G250" s="35">
        <f t="shared" si="15"/>
        <v>26.5528882220555</v>
      </c>
      <c r="H250" s="36">
        <f t="shared" si="16"/>
        <v>318.555</v>
      </c>
      <c r="I250" s="40">
        <v>353.95</v>
      </c>
      <c r="J250" s="36">
        <f t="shared" si="17"/>
        <v>371.6475</v>
      </c>
      <c r="K250" s="36">
        <f t="shared" si="18"/>
        <v>299.4417</v>
      </c>
      <c r="L250" s="36">
        <f t="shared" si="19"/>
        <v>332.713</v>
      </c>
      <c r="M250" s="41"/>
    </row>
    <row r="251" ht="15" spans="1:13">
      <c r="A251" s="27" t="s">
        <v>130</v>
      </c>
      <c r="B251" s="33" t="s">
        <v>39</v>
      </c>
      <c r="C251" s="29" t="s">
        <v>41</v>
      </c>
      <c r="D251" s="30" t="s">
        <v>22</v>
      </c>
      <c r="E251" s="29" t="s">
        <v>23</v>
      </c>
      <c r="F251" s="34" t="s">
        <v>40</v>
      </c>
      <c r="G251" s="35">
        <f t="shared" si="15"/>
        <v>17.662415603901</v>
      </c>
      <c r="H251" s="36">
        <f t="shared" si="16"/>
        <v>211.896</v>
      </c>
      <c r="I251" s="40">
        <v>235.44</v>
      </c>
      <c r="J251" s="36">
        <f t="shared" si="17"/>
        <v>247.212</v>
      </c>
      <c r="K251" s="36">
        <f t="shared" si="18"/>
        <v>199.18224</v>
      </c>
      <c r="L251" s="36">
        <f t="shared" si="19"/>
        <v>221.3136</v>
      </c>
      <c r="M251" s="41"/>
    </row>
    <row r="252" ht="15" spans="1:13">
      <c r="A252" s="27" t="s">
        <v>130</v>
      </c>
      <c r="B252" s="33" t="s">
        <v>39</v>
      </c>
      <c r="C252" s="29" t="s">
        <v>55</v>
      </c>
      <c r="D252" s="30" t="s">
        <v>22</v>
      </c>
      <c r="E252" s="29" t="s">
        <v>23</v>
      </c>
      <c r="F252" s="34" t="s">
        <v>40</v>
      </c>
      <c r="G252" s="35">
        <f t="shared" si="15"/>
        <v>25.9219804951238</v>
      </c>
      <c r="H252" s="36">
        <f t="shared" si="16"/>
        <v>310.986</v>
      </c>
      <c r="I252" s="40">
        <v>345.54</v>
      </c>
      <c r="J252" s="36">
        <f t="shared" si="17"/>
        <v>362.817</v>
      </c>
      <c r="K252" s="36">
        <f t="shared" si="18"/>
        <v>292.32684</v>
      </c>
      <c r="L252" s="36">
        <f t="shared" si="19"/>
        <v>324.8076</v>
      </c>
      <c r="M252" s="41"/>
    </row>
    <row r="253" ht="15" spans="1:13">
      <c r="A253" s="27" t="s">
        <v>130</v>
      </c>
      <c r="B253" s="33" t="s">
        <v>42</v>
      </c>
      <c r="C253" s="29" t="s">
        <v>41</v>
      </c>
      <c r="D253" s="30" t="s">
        <v>22</v>
      </c>
      <c r="E253" s="29" t="s">
        <v>23</v>
      </c>
      <c r="F253" s="34" t="s">
        <v>43</v>
      </c>
      <c r="G253" s="35">
        <f t="shared" si="15"/>
        <v>18.5536384096024</v>
      </c>
      <c r="H253" s="36">
        <f t="shared" si="16"/>
        <v>222.588</v>
      </c>
      <c r="I253" s="40">
        <v>247.32</v>
      </c>
      <c r="J253" s="36">
        <f t="shared" si="17"/>
        <v>259.686</v>
      </c>
      <c r="K253" s="36">
        <f t="shared" si="18"/>
        <v>209.23272</v>
      </c>
      <c r="L253" s="36">
        <f t="shared" si="19"/>
        <v>232.4808</v>
      </c>
      <c r="M253" s="41"/>
    </row>
    <row r="254" ht="15" spans="1:13">
      <c r="A254" s="27" t="s">
        <v>130</v>
      </c>
      <c r="B254" s="33" t="s">
        <v>42</v>
      </c>
      <c r="C254" s="29" t="s">
        <v>55</v>
      </c>
      <c r="D254" s="30" t="s">
        <v>22</v>
      </c>
      <c r="E254" s="29" t="s">
        <v>23</v>
      </c>
      <c r="F254" s="34" t="s">
        <v>40</v>
      </c>
      <c r="G254" s="35">
        <f t="shared" si="15"/>
        <v>26.0585146286572</v>
      </c>
      <c r="H254" s="36">
        <f t="shared" si="16"/>
        <v>312.624</v>
      </c>
      <c r="I254" s="40">
        <v>347.36</v>
      </c>
      <c r="J254" s="36">
        <f t="shared" si="17"/>
        <v>364.728</v>
      </c>
      <c r="K254" s="36">
        <f t="shared" si="18"/>
        <v>293.86656</v>
      </c>
      <c r="L254" s="36">
        <f t="shared" si="19"/>
        <v>326.5184</v>
      </c>
      <c r="M254" s="41"/>
    </row>
    <row r="255" ht="15" spans="1:13">
      <c r="A255" s="27" t="s">
        <v>130</v>
      </c>
      <c r="B255" s="33" t="s">
        <v>88</v>
      </c>
      <c r="C255" s="29" t="s">
        <v>41</v>
      </c>
      <c r="D255" s="30" t="s">
        <v>22</v>
      </c>
      <c r="E255" s="29" t="s">
        <v>23</v>
      </c>
      <c r="F255" s="34" t="s">
        <v>43</v>
      </c>
      <c r="G255" s="35">
        <f t="shared" si="15"/>
        <v>18.5086271567892</v>
      </c>
      <c r="H255" s="36">
        <f t="shared" si="16"/>
        <v>222.048</v>
      </c>
      <c r="I255" s="40">
        <v>246.72</v>
      </c>
      <c r="J255" s="36">
        <f t="shared" si="17"/>
        <v>259.056</v>
      </c>
      <c r="K255" s="36">
        <f t="shared" si="18"/>
        <v>208.72512</v>
      </c>
      <c r="L255" s="36">
        <f t="shared" si="19"/>
        <v>231.9168</v>
      </c>
      <c r="M255" s="41"/>
    </row>
    <row r="256" ht="15" spans="1:13">
      <c r="A256" s="27" t="s">
        <v>130</v>
      </c>
      <c r="B256" s="33" t="s">
        <v>20</v>
      </c>
      <c r="C256" s="29" t="s">
        <v>21</v>
      </c>
      <c r="D256" s="30" t="s">
        <v>22</v>
      </c>
      <c r="E256" s="29" t="s">
        <v>23</v>
      </c>
      <c r="F256" s="34" t="s">
        <v>24</v>
      </c>
      <c r="G256" s="35">
        <f t="shared" si="15"/>
        <v>17.2243060765191</v>
      </c>
      <c r="H256" s="36">
        <f t="shared" si="16"/>
        <v>206.64</v>
      </c>
      <c r="I256" s="40">
        <v>229.6</v>
      </c>
      <c r="J256" s="36">
        <f t="shared" si="17"/>
        <v>241.08</v>
      </c>
      <c r="K256" s="36">
        <f t="shared" si="18"/>
        <v>194.2416</v>
      </c>
      <c r="L256" s="36">
        <f t="shared" si="19"/>
        <v>215.824</v>
      </c>
      <c r="M256" s="41"/>
    </row>
    <row r="257" ht="15" spans="1:13">
      <c r="A257" s="27" t="s">
        <v>130</v>
      </c>
      <c r="B257" s="33" t="s">
        <v>20</v>
      </c>
      <c r="C257" s="29" t="s">
        <v>55</v>
      </c>
      <c r="D257" s="30" t="s">
        <v>22</v>
      </c>
      <c r="E257" s="29" t="s">
        <v>23</v>
      </c>
      <c r="F257" s="34" t="s">
        <v>90</v>
      </c>
      <c r="G257" s="35">
        <f t="shared" si="15"/>
        <v>29.814703675919</v>
      </c>
      <c r="H257" s="36">
        <f t="shared" si="16"/>
        <v>357.687</v>
      </c>
      <c r="I257" s="40">
        <v>397.43</v>
      </c>
      <c r="J257" s="36">
        <f t="shared" si="17"/>
        <v>417.3015</v>
      </c>
      <c r="K257" s="36">
        <f t="shared" si="18"/>
        <v>336.22578</v>
      </c>
      <c r="L257" s="36">
        <f t="shared" si="19"/>
        <v>373.5842</v>
      </c>
      <c r="M257" s="41"/>
    </row>
    <row r="258" ht="15" spans="1:13">
      <c r="A258" s="27" t="s">
        <v>130</v>
      </c>
      <c r="B258" s="33" t="s">
        <v>93</v>
      </c>
      <c r="C258" s="29" t="s">
        <v>55</v>
      </c>
      <c r="D258" s="30" t="s">
        <v>22</v>
      </c>
      <c r="E258" s="29" t="s">
        <v>23</v>
      </c>
      <c r="F258" s="34" t="s">
        <v>24</v>
      </c>
      <c r="G258" s="35">
        <f t="shared" si="15"/>
        <v>30.4133533383346</v>
      </c>
      <c r="H258" s="36">
        <f t="shared" si="16"/>
        <v>364.869</v>
      </c>
      <c r="I258" s="40">
        <v>405.41</v>
      </c>
      <c r="J258" s="36">
        <f t="shared" si="17"/>
        <v>425.6805</v>
      </c>
      <c r="K258" s="36">
        <f t="shared" si="18"/>
        <v>342.97686</v>
      </c>
      <c r="L258" s="36">
        <f t="shared" si="19"/>
        <v>381.0854</v>
      </c>
      <c r="M258" s="41"/>
    </row>
    <row r="259" ht="15" spans="1:13">
      <c r="A259" s="27" t="s">
        <v>130</v>
      </c>
      <c r="B259" s="33" t="s">
        <v>133</v>
      </c>
      <c r="C259" s="29" t="s">
        <v>122</v>
      </c>
      <c r="D259" s="30" t="s">
        <v>22</v>
      </c>
      <c r="E259" s="29" t="s">
        <v>23</v>
      </c>
      <c r="F259" s="34" t="s">
        <v>24</v>
      </c>
      <c r="G259" s="35">
        <f t="shared" ref="G259:G322" si="20">I259/13.33</f>
        <v>40.0075018754689</v>
      </c>
      <c r="H259" s="36">
        <f t="shared" ref="H259:H322" si="21">I259*0.9</f>
        <v>479.97</v>
      </c>
      <c r="I259" s="40">
        <v>533.3</v>
      </c>
      <c r="J259" s="36">
        <f t="shared" ref="J259:J322" si="22">I259*1.05</f>
        <v>559.965</v>
      </c>
      <c r="K259" s="36">
        <f t="shared" ref="K259:K322" si="23">H259*0.94</f>
        <v>451.1718</v>
      </c>
      <c r="L259" s="36">
        <f t="shared" ref="L259:L322" si="24">I259*0.94</f>
        <v>501.302</v>
      </c>
      <c r="M259" s="41"/>
    </row>
    <row r="260" ht="15" spans="1:13">
      <c r="A260" s="27" t="s">
        <v>130</v>
      </c>
      <c r="B260" s="33" t="s">
        <v>97</v>
      </c>
      <c r="C260" s="29" t="s">
        <v>41</v>
      </c>
      <c r="D260" s="30" t="s">
        <v>22</v>
      </c>
      <c r="E260" s="29" t="s">
        <v>23</v>
      </c>
      <c r="F260" s="34" t="s">
        <v>98</v>
      </c>
      <c r="G260" s="35">
        <f t="shared" si="20"/>
        <v>24.2085521380345</v>
      </c>
      <c r="H260" s="36">
        <f t="shared" si="21"/>
        <v>290.43</v>
      </c>
      <c r="I260" s="40">
        <v>322.7</v>
      </c>
      <c r="J260" s="36">
        <f t="shared" si="22"/>
        <v>338.835</v>
      </c>
      <c r="K260" s="36">
        <f t="shared" si="23"/>
        <v>273.0042</v>
      </c>
      <c r="L260" s="36">
        <f t="shared" si="24"/>
        <v>303.338</v>
      </c>
      <c r="M260" s="41"/>
    </row>
    <row r="261" ht="15" spans="1:13">
      <c r="A261" s="27" t="s">
        <v>134</v>
      </c>
      <c r="B261" s="33" t="s">
        <v>62</v>
      </c>
      <c r="C261" s="29" t="s">
        <v>122</v>
      </c>
      <c r="D261" s="30" t="s">
        <v>28</v>
      </c>
      <c r="E261" s="29" t="s">
        <v>23</v>
      </c>
      <c r="F261" s="34" t="s">
        <v>131</v>
      </c>
      <c r="G261" s="35">
        <f t="shared" si="20"/>
        <v>32.8619654913728</v>
      </c>
      <c r="H261" s="36">
        <f t="shared" si="21"/>
        <v>394.245</v>
      </c>
      <c r="I261" s="40">
        <v>438.05</v>
      </c>
      <c r="J261" s="36">
        <f t="shared" si="22"/>
        <v>459.9525</v>
      </c>
      <c r="K261" s="36">
        <f t="shared" si="23"/>
        <v>370.5903</v>
      </c>
      <c r="L261" s="36">
        <f t="shared" si="24"/>
        <v>411.767</v>
      </c>
      <c r="M261" s="41"/>
    </row>
    <row r="262" ht="15" spans="1:13">
      <c r="A262" s="27" t="s">
        <v>134</v>
      </c>
      <c r="B262" s="33" t="s">
        <v>26</v>
      </c>
      <c r="C262" s="29" t="s">
        <v>122</v>
      </c>
      <c r="D262" s="30" t="s">
        <v>28</v>
      </c>
      <c r="E262" s="29" t="s">
        <v>23</v>
      </c>
      <c r="F262" s="34" t="s">
        <v>29</v>
      </c>
      <c r="G262" s="35">
        <f t="shared" si="20"/>
        <v>32.7659414853713</v>
      </c>
      <c r="H262" s="36">
        <f t="shared" si="21"/>
        <v>393.093</v>
      </c>
      <c r="I262" s="40">
        <v>436.77</v>
      </c>
      <c r="J262" s="36">
        <f t="shared" si="22"/>
        <v>458.6085</v>
      </c>
      <c r="K262" s="36">
        <f t="shared" si="23"/>
        <v>369.50742</v>
      </c>
      <c r="L262" s="36">
        <f t="shared" si="24"/>
        <v>410.5638</v>
      </c>
      <c r="M262" s="41"/>
    </row>
    <row r="263" ht="15" spans="1:13">
      <c r="A263" s="27" t="s">
        <v>134</v>
      </c>
      <c r="B263" s="33" t="s">
        <v>77</v>
      </c>
      <c r="C263" s="29" t="s">
        <v>122</v>
      </c>
      <c r="D263" s="30" t="s">
        <v>28</v>
      </c>
      <c r="E263" s="29" t="s">
        <v>23</v>
      </c>
      <c r="F263" s="34" t="s">
        <v>76</v>
      </c>
      <c r="G263" s="35">
        <f t="shared" si="20"/>
        <v>34.5551387846962</v>
      </c>
      <c r="H263" s="36">
        <f t="shared" si="21"/>
        <v>414.558</v>
      </c>
      <c r="I263" s="40">
        <v>460.62</v>
      </c>
      <c r="J263" s="36">
        <f t="shared" si="22"/>
        <v>483.651</v>
      </c>
      <c r="K263" s="36">
        <f t="shared" si="23"/>
        <v>389.68452</v>
      </c>
      <c r="L263" s="36">
        <f t="shared" si="24"/>
        <v>432.9828</v>
      </c>
      <c r="M263" s="41"/>
    </row>
    <row r="264" ht="15" spans="1:13">
      <c r="A264" s="27" t="s">
        <v>134</v>
      </c>
      <c r="B264" s="33" t="s">
        <v>39</v>
      </c>
      <c r="C264" s="29" t="s">
        <v>122</v>
      </c>
      <c r="D264" s="30" t="s">
        <v>22</v>
      </c>
      <c r="E264" s="29" t="s">
        <v>23</v>
      </c>
      <c r="F264" s="34" t="s">
        <v>36</v>
      </c>
      <c r="G264" s="35">
        <f t="shared" si="20"/>
        <v>36.4013503375844</v>
      </c>
      <c r="H264" s="36">
        <f t="shared" si="21"/>
        <v>436.707</v>
      </c>
      <c r="I264" s="40">
        <v>485.23</v>
      </c>
      <c r="J264" s="36">
        <f t="shared" si="22"/>
        <v>509.4915</v>
      </c>
      <c r="K264" s="36">
        <f t="shared" si="23"/>
        <v>410.50458</v>
      </c>
      <c r="L264" s="36">
        <f t="shared" si="24"/>
        <v>456.1162</v>
      </c>
      <c r="M264" s="41"/>
    </row>
    <row r="265" ht="15" spans="1:13">
      <c r="A265" s="27" t="s">
        <v>134</v>
      </c>
      <c r="B265" s="33" t="s">
        <v>91</v>
      </c>
      <c r="C265" s="29" t="s">
        <v>122</v>
      </c>
      <c r="D265" s="30" t="s">
        <v>22</v>
      </c>
      <c r="E265" s="29" t="s">
        <v>23</v>
      </c>
      <c r="F265" s="34" t="s">
        <v>43</v>
      </c>
      <c r="G265" s="35">
        <f t="shared" si="20"/>
        <v>38.6856714178545</v>
      </c>
      <c r="H265" s="36">
        <f t="shared" si="21"/>
        <v>464.112</v>
      </c>
      <c r="I265" s="40">
        <v>515.68</v>
      </c>
      <c r="J265" s="36">
        <f t="shared" si="22"/>
        <v>541.464</v>
      </c>
      <c r="K265" s="36">
        <f t="shared" si="23"/>
        <v>436.26528</v>
      </c>
      <c r="L265" s="36">
        <f t="shared" si="24"/>
        <v>484.7392</v>
      </c>
      <c r="M265" s="41"/>
    </row>
    <row r="266" ht="15" spans="1:13">
      <c r="A266" s="27" t="s">
        <v>134</v>
      </c>
      <c r="B266" s="33" t="s">
        <v>20</v>
      </c>
      <c r="C266" s="29" t="s">
        <v>122</v>
      </c>
      <c r="D266" s="30" t="s">
        <v>22</v>
      </c>
      <c r="E266" s="29" t="s">
        <v>23</v>
      </c>
      <c r="F266" s="34" t="s">
        <v>90</v>
      </c>
      <c r="G266" s="35">
        <f t="shared" si="20"/>
        <v>41.4996249062266</v>
      </c>
      <c r="H266" s="36">
        <f t="shared" si="21"/>
        <v>497.871</v>
      </c>
      <c r="I266" s="40">
        <v>553.19</v>
      </c>
      <c r="J266" s="36">
        <f t="shared" si="22"/>
        <v>580.8495</v>
      </c>
      <c r="K266" s="36">
        <f t="shared" si="23"/>
        <v>467.99874</v>
      </c>
      <c r="L266" s="36">
        <f t="shared" si="24"/>
        <v>519.9986</v>
      </c>
      <c r="M266" s="41"/>
    </row>
    <row r="267" ht="15" spans="1:13">
      <c r="A267" s="27" t="s">
        <v>134</v>
      </c>
      <c r="B267" s="33" t="s">
        <v>97</v>
      </c>
      <c r="C267" s="29" t="s">
        <v>122</v>
      </c>
      <c r="D267" s="30" t="s">
        <v>22</v>
      </c>
      <c r="E267" s="29" t="s">
        <v>23</v>
      </c>
      <c r="F267" s="34" t="s">
        <v>95</v>
      </c>
      <c r="G267" s="35">
        <f t="shared" si="20"/>
        <v>44.0360090022506</v>
      </c>
      <c r="H267" s="36">
        <f t="shared" si="21"/>
        <v>528.3</v>
      </c>
      <c r="I267" s="40">
        <v>587</v>
      </c>
      <c r="J267" s="36">
        <f t="shared" si="22"/>
        <v>616.35</v>
      </c>
      <c r="K267" s="36">
        <f t="shared" si="23"/>
        <v>496.602</v>
      </c>
      <c r="L267" s="36">
        <f t="shared" si="24"/>
        <v>551.78</v>
      </c>
      <c r="M267" s="41"/>
    </row>
    <row r="268" ht="15" spans="1:13">
      <c r="A268" s="27" t="s">
        <v>134</v>
      </c>
      <c r="B268" s="33" t="s">
        <v>97</v>
      </c>
      <c r="C268" s="29" t="s">
        <v>135</v>
      </c>
      <c r="D268" s="30" t="s">
        <v>22</v>
      </c>
      <c r="E268" s="29" t="s">
        <v>23</v>
      </c>
      <c r="F268" s="34" t="s">
        <v>95</v>
      </c>
      <c r="G268" s="35">
        <f t="shared" si="20"/>
        <v>55.933983495874</v>
      </c>
      <c r="H268" s="36">
        <f t="shared" si="21"/>
        <v>671.04</v>
      </c>
      <c r="I268" s="40">
        <v>745.6</v>
      </c>
      <c r="J268" s="36">
        <f t="shared" si="22"/>
        <v>782.88</v>
      </c>
      <c r="K268" s="36">
        <f t="shared" si="23"/>
        <v>630.7776</v>
      </c>
      <c r="L268" s="36">
        <f t="shared" si="24"/>
        <v>700.864</v>
      </c>
      <c r="M268" s="41"/>
    </row>
    <row r="269" ht="15" spans="1:13">
      <c r="A269" s="27" t="s">
        <v>134</v>
      </c>
      <c r="B269" s="33" t="s">
        <v>102</v>
      </c>
      <c r="C269" s="29" t="s">
        <v>122</v>
      </c>
      <c r="D269" s="30" t="s">
        <v>22</v>
      </c>
      <c r="E269" s="29" t="s">
        <v>23</v>
      </c>
      <c r="F269" s="34" t="s">
        <v>103</v>
      </c>
      <c r="G269" s="35">
        <f t="shared" si="20"/>
        <v>46.1860465116279</v>
      </c>
      <c r="H269" s="36">
        <f t="shared" si="21"/>
        <v>554.094</v>
      </c>
      <c r="I269" s="40">
        <v>615.66</v>
      </c>
      <c r="J269" s="36">
        <f t="shared" si="22"/>
        <v>646.443</v>
      </c>
      <c r="K269" s="36">
        <f t="shared" si="23"/>
        <v>520.84836</v>
      </c>
      <c r="L269" s="36">
        <f t="shared" si="24"/>
        <v>578.7204</v>
      </c>
      <c r="M269" s="41"/>
    </row>
    <row r="270" ht="15" spans="1:13">
      <c r="A270" s="27" t="s">
        <v>134</v>
      </c>
      <c r="B270" s="33" t="s">
        <v>109</v>
      </c>
      <c r="C270" s="29" t="s">
        <v>41</v>
      </c>
      <c r="D270" s="30" t="s">
        <v>22</v>
      </c>
      <c r="E270" s="29" t="s">
        <v>23</v>
      </c>
      <c r="F270" s="34" t="s">
        <v>110</v>
      </c>
      <c r="G270" s="35">
        <f t="shared" si="20"/>
        <v>30.6564141035259</v>
      </c>
      <c r="H270" s="36">
        <f t="shared" si="21"/>
        <v>367.785</v>
      </c>
      <c r="I270" s="40">
        <v>408.65</v>
      </c>
      <c r="J270" s="36">
        <f t="shared" si="22"/>
        <v>429.0825</v>
      </c>
      <c r="K270" s="36">
        <f t="shared" si="23"/>
        <v>345.7179</v>
      </c>
      <c r="L270" s="36">
        <f t="shared" si="24"/>
        <v>384.131</v>
      </c>
      <c r="M270" s="41"/>
    </row>
    <row r="271" ht="15" spans="1:13">
      <c r="A271" s="27" t="s">
        <v>136</v>
      </c>
      <c r="B271" s="33" t="s">
        <v>48</v>
      </c>
      <c r="C271" s="29" t="s">
        <v>21</v>
      </c>
      <c r="D271" s="30" t="s">
        <v>28</v>
      </c>
      <c r="E271" s="29" t="s">
        <v>23</v>
      </c>
      <c r="F271" s="34" t="s">
        <v>49</v>
      </c>
      <c r="G271" s="35">
        <f t="shared" si="20"/>
        <v>7.71342835708927</v>
      </c>
      <c r="H271" s="36">
        <f t="shared" si="21"/>
        <v>92.538</v>
      </c>
      <c r="I271" s="40">
        <v>102.82</v>
      </c>
      <c r="J271" s="36">
        <f t="shared" si="22"/>
        <v>107.961</v>
      </c>
      <c r="K271" s="36">
        <f t="shared" si="23"/>
        <v>86.98572</v>
      </c>
      <c r="L271" s="36">
        <f t="shared" si="24"/>
        <v>96.6508</v>
      </c>
      <c r="M271" s="41"/>
    </row>
    <row r="272" ht="15" spans="1:13">
      <c r="A272" s="27" t="s">
        <v>136</v>
      </c>
      <c r="B272" s="33" t="s">
        <v>52</v>
      </c>
      <c r="C272" s="29" t="s">
        <v>21</v>
      </c>
      <c r="D272" s="30" t="s">
        <v>28</v>
      </c>
      <c r="E272" s="29" t="s">
        <v>23</v>
      </c>
      <c r="F272" s="34" t="s">
        <v>53</v>
      </c>
      <c r="G272" s="35">
        <f t="shared" si="20"/>
        <v>7.22430607651913</v>
      </c>
      <c r="H272" s="36">
        <f t="shared" si="21"/>
        <v>86.67</v>
      </c>
      <c r="I272" s="40">
        <v>96.3</v>
      </c>
      <c r="J272" s="36">
        <f t="shared" si="22"/>
        <v>101.115</v>
      </c>
      <c r="K272" s="36">
        <f t="shared" si="23"/>
        <v>81.4698</v>
      </c>
      <c r="L272" s="36">
        <f t="shared" si="24"/>
        <v>90.522</v>
      </c>
      <c r="M272" s="41"/>
    </row>
    <row r="273" ht="15" spans="1:13">
      <c r="A273" s="27" t="s">
        <v>136</v>
      </c>
      <c r="B273" s="33" t="s">
        <v>52</v>
      </c>
      <c r="C273" s="29" t="s">
        <v>41</v>
      </c>
      <c r="D273" s="30" t="s">
        <v>28</v>
      </c>
      <c r="E273" s="29" t="s">
        <v>23</v>
      </c>
      <c r="F273" s="34" t="s">
        <v>53</v>
      </c>
      <c r="G273" s="35">
        <f t="shared" si="20"/>
        <v>11.3825956489122</v>
      </c>
      <c r="H273" s="36">
        <f t="shared" si="21"/>
        <v>136.557</v>
      </c>
      <c r="I273" s="40">
        <v>151.73</v>
      </c>
      <c r="J273" s="36">
        <f t="shared" si="22"/>
        <v>159.3165</v>
      </c>
      <c r="K273" s="36">
        <f t="shared" si="23"/>
        <v>128.36358</v>
      </c>
      <c r="L273" s="36">
        <f t="shared" si="24"/>
        <v>142.6262</v>
      </c>
      <c r="M273" s="41"/>
    </row>
    <row r="274" ht="15" spans="1:13">
      <c r="A274" s="27" t="s">
        <v>136</v>
      </c>
      <c r="B274" s="33" t="s">
        <v>26</v>
      </c>
      <c r="C274" s="29" t="s">
        <v>41</v>
      </c>
      <c r="D274" s="30" t="s">
        <v>28</v>
      </c>
      <c r="E274" s="29" t="s">
        <v>23</v>
      </c>
      <c r="F274" s="34" t="s">
        <v>29</v>
      </c>
      <c r="G274" s="35">
        <f t="shared" si="20"/>
        <v>13.0037509377344</v>
      </c>
      <c r="H274" s="36">
        <f t="shared" si="21"/>
        <v>156.006</v>
      </c>
      <c r="I274" s="40">
        <v>173.34</v>
      </c>
      <c r="J274" s="36">
        <f t="shared" si="22"/>
        <v>182.007</v>
      </c>
      <c r="K274" s="36">
        <f t="shared" si="23"/>
        <v>146.64564</v>
      </c>
      <c r="L274" s="36">
        <f t="shared" si="24"/>
        <v>162.9396</v>
      </c>
      <c r="M274" s="41"/>
    </row>
    <row r="275" ht="15" spans="1:13">
      <c r="A275" s="27" t="s">
        <v>136</v>
      </c>
      <c r="B275" s="33" t="s">
        <v>33</v>
      </c>
      <c r="C275" s="29" t="s">
        <v>41</v>
      </c>
      <c r="D275" s="30" t="s">
        <v>28</v>
      </c>
      <c r="E275" s="29" t="s">
        <v>23</v>
      </c>
      <c r="F275" s="34" t="s">
        <v>137</v>
      </c>
      <c r="G275" s="35">
        <f t="shared" si="20"/>
        <v>17.8199549887472</v>
      </c>
      <c r="H275" s="36">
        <f t="shared" si="21"/>
        <v>213.786</v>
      </c>
      <c r="I275" s="40">
        <v>237.54</v>
      </c>
      <c r="J275" s="36">
        <f t="shared" si="22"/>
        <v>249.417</v>
      </c>
      <c r="K275" s="36">
        <f t="shared" si="23"/>
        <v>200.95884</v>
      </c>
      <c r="L275" s="36">
        <f t="shared" si="24"/>
        <v>223.2876</v>
      </c>
      <c r="M275" s="41"/>
    </row>
    <row r="276" ht="15" spans="1:13">
      <c r="A276" s="27" t="s">
        <v>136</v>
      </c>
      <c r="B276" s="33" t="s">
        <v>85</v>
      </c>
      <c r="C276" s="29" t="s">
        <v>21</v>
      </c>
      <c r="D276" s="30" t="s">
        <v>22</v>
      </c>
      <c r="E276" s="29" t="s">
        <v>23</v>
      </c>
      <c r="F276" s="34" t="s">
        <v>36</v>
      </c>
      <c r="G276" s="35">
        <f t="shared" si="20"/>
        <v>11.4786196549137</v>
      </c>
      <c r="H276" s="36">
        <f t="shared" si="21"/>
        <v>137.709</v>
      </c>
      <c r="I276" s="40">
        <v>153.01</v>
      </c>
      <c r="J276" s="36">
        <f t="shared" si="22"/>
        <v>160.6605</v>
      </c>
      <c r="K276" s="36">
        <f t="shared" si="23"/>
        <v>129.44646</v>
      </c>
      <c r="L276" s="36">
        <f t="shared" si="24"/>
        <v>143.8294</v>
      </c>
      <c r="M276" s="41"/>
    </row>
    <row r="277" ht="15" spans="1:13">
      <c r="A277" s="27" t="s">
        <v>138</v>
      </c>
      <c r="B277" s="33" t="s">
        <v>52</v>
      </c>
      <c r="C277" s="29" t="s">
        <v>21</v>
      </c>
      <c r="D277" s="30" t="s">
        <v>28</v>
      </c>
      <c r="E277" s="29" t="s">
        <v>23</v>
      </c>
      <c r="F277" s="34" t="s">
        <v>53</v>
      </c>
      <c r="G277" s="35">
        <f t="shared" si="20"/>
        <v>7.38709677419355</v>
      </c>
      <c r="H277" s="36">
        <f t="shared" si="21"/>
        <v>88.623</v>
      </c>
      <c r="I277" s="40">
        <v>98.47</v>
      </c>
      <c r="J277" s="36">
        <f t="shared" si="22"/>
        <v>103.3935</v>
      </c>
      <c r="K277" s="36">
        <f t="shared" si="23"/>
        <v>83.30562</v>
      </c>
      <c r="L277" s="36">
        <f t="shared" si="24"/>
        <v>92.5618</v>
      </c>
      <c r="M277" s="41"/>
    </row>
    <row r="278" ht="15" spans="1:13">
      <c r="A278" s="27" t="s">
        <v>138</v>
      </c>
      <c r="B278" s="33" t="s">
        <v>20</v>
      </c>
      <c r="C278" s="29" t="s">
        <v>21</v>
      </c>
      <c r="D278" s="30" t="s">
        <v>22</v>
      </c>
      <c r="E278" s="29" t="s">
        <v>23</v>
      </c>
      <c r="F278" s="34" t="s">
        <v>24</v>
      </c>
      <c r="G278" s="35">
        <f t="shared" si="20"/>
        <v>18.23855963991</v>
      </c>
      <c r="H278" s="36">
        <f t="shared" si="21"/>
        <v>218.808</v>
      </c>
      <c r="I278" s="40">
        <v>243.12</v>
      </c>
      <c r="J278" s="36">
        <f t="shared" si="22"/>
        <v>255.276</v>
      </c>
      <c r="K278" s="36">
        <f t="shared" si="23"/>
        <v>205.67952</v>
      </c>
      <c r="L278" s="36">
        <f t="shared" si="24"/>
        <v>228.5328</v>
      </c>
      <c r="M278" s="41"/>
    </row>
    <row r="279" ht="15" spans="1:13">
      <c r="A279" s="27" t="s">
        <v>139</v>
      </c>
      <c r="B279" s="33" t="s">
        <v>140</v>
      </c>
      <c r="C279" s="29" t="s">
        <v>21</v>
      </c>
      <c r="D279" s="30" t="s">
        <v>28</v>
      </c>
      <c r="E279" s="29" t="s">
        <v>47</v>
      </c>
      <c r="F279" s="34" t="s">
        <v>46</v>
      </c>
      <c r="G279" s="35">
        <f t="shared" si="20"/>
        <v>7.52663165791448</v>
      </c>
      <c r="H279" s="36">
        <f t="shared" si="21"/>
        <v>90.297</v>
      </c>
      <c r="I279" s="40">
        <v>100.33</v>
      </c>
      <c r="J279" s="36">
        <f t="shared" si="22"/>
        <v>105.3465</v>
      </c>
      <c r="K279" s="36">
        <f t="shared" si="23"/>
        <v>84.87918</v>
      </c>
      <c r="L279" s="36">
        <f t="shared" si="24"/>
        <v>94.3102</v>
      </c>
      <c r="M279" s="41"/>
    </row>
    <row r="280" ht="15" spans="1:13">
      <c r="A280" s="27" t="s">
        <v>139</v>
      </c>
      <c r="B280" s="33" t="s">
        <v>115</v>
      </c>
      <c r="C280" s="29" t="s">
        <v>21</v>
      </c>
      <c r="D280" s="30" t="s">
        <v>28</v>
      </c>
      <c r="E280" s="29" t="s">
        <v>23</v>
      </c>
      <c r="F280" s="34" t="s">
        <v>116</v>
      </c>
      <c r="G280" s="35">
        <f t="shared" si="20"/>
        <v>7.53713428357089</v>
      </c>
      <c r="H280" s="36">
        <f t="shared" si="21"/>
        <v>90.423</v>
      </c>
      <c r="I280" s="40">
        <v>100.47</v>
      </c>
      <c r="J280" s="36">
        <f t="shared" si="22"/>
        <v>105.4935</v>
      </c>
      <c r="K280" s="36">
        <f t="shared" si="23"/>
        <v>84.99762</v>
      </c>
      <c r="L280" s="36">
        <f t="shared" si="24"/>
        <v>94.4418</v>
      </c>
      <c r="M280" s="41"/>
    </row>
    <row r="281" ht="15" spans="1:13">
      <c r="A281" s="27" t="s">
        <v>139</v>
      </c>
      <c r="B281" s="33" t="s">
        <v>115</v>
      </c>
      <c r="C281" s="29" t="s">
        <v>41</v>
      </c>
      <c r="D281" s="30" t="s">
        <v>28</v>
      </c>
      <c r="E281" s="29" t="s">
        <v>23</v>
      </c>
      <c r="F281" s="34" t="s">
        <v>116</v>
      </c>
      <c r="G281" s="35">
        <f t="shared" si="20"/>
        <v>11.2813203300825</v>
      </c>
      <c r="H281" s="36">
        <f t="shared" si="21"/>
        <v>135.342</v>
      </c>
      <c r="I281" s="40">
        <v>150.38</v>
      </c>
      <c r="J281" s="36">
        <f t="shared" si="22"/>
        <v>157.899</v>
      </c>
      <c r="K281" s="36">
        <f t="shared" si="23"/>
        <v>127.22148</v>
      </c>
      <c r="L281" s="36">
        <f t="shared" si="24"/>
        <v>141.3572</v>
      </c>
      <c r="M281" s="41"/>
    </row>
    <row r="282" ht="15" spans="1:13">
      <c r="A282" s="27" t="s">
        <v>139</v>
      </c>
      <c r="B282" s="33" t="s">
        <v>48</v>
      </c>
      <c r="C282" s="29" t="s">
        <v>21</v>
      </c>
      <c r="D282" s="30" t="s">
        <v>28</v>
      </c>
      <c r="E282" s="29" t="s">
        <v>23</v>
      </c>
      <c r="F282" s="34" t="s">
        <v>51</v>
      </c>
      <c r="G282" s="35">
        <f t="shared" si="20"/>
        <v>7.19804951237809</v>
      </c>
      <c r="H282" s="36">
        <f t="shared" si="21"/>
        <v>86.355</v>
      </c>
      <c r="I282" s="40">
        <v>95.95</v>
      </c>
      <c r="J282" s="36">
        <f t="shared" si="22"/>
        <v>100.7475</v>
      </c>
      <c r="K282" s="36">
        <f t="shared" si="23"/>
        <v>81.1737</v>
      </c>
      <c r="L282" s="36">
        <f t="shared" si="24"/>
        <v>90.193</v>
      </c>
      <c r="M282" s="41"/>
    </row>
    <row r="283" ht="15" spans="1:13">
      <c r="A283" s="27" t="s">
        <v>139</v>
      </c>
      <c r="B283" s="33" t="s">
        <v>48</v>
      </c>
      <c r="C283" s="29" t="s">
        <v>41</v>
      </c>
      <c r="D283" s="30" t="s">
        <v>28</v>
      </c>
      <c r="E283" s="29" t="s">
        <v>23</v>
      </c>
      <c r="F283" s="34" t="s">
        <v>51</v>
      </c>
      <c r="G283" s="35">
        <f t="shared" si="20"/>
        <v>11.2010502625656</v>
      </c>
      <c r="H283" s="36">
        <f t="shared" si="21"/>
        <v>134.379</v>
      </c>
      <c r="I283" s="40">
        <v>149.31</v>
      </c>
      <c r="J283" s="36">
        <f t="shared" si="22"/>
        <v>156.7755</v>
      </c>
      <c r="K283" s="36">
        <f t="shared" si="23"/>
        <v>126.31626</v>
      </c>
      <c r="L283" s="36">
        <f t="shared" si="24"/>
        <v>140.3514</v>
      </c>
      <c r="M283" s="41"/>
    </row>
    <row r="284" ht="15" spans="1:13">
      <c r="A284" s="27" t="s">
        <v>139</v>
      </c>
      <c r="B284" s="33" t="s">
        <v>50</v>
      </c>
      <c r="C284" s="29" t="s">
        <v>21</v>
      </c>
      <c r="D284" s="30" t="s">
        <v>28</v>
      </c>
      <c r="E284" s="29" t="s">
        <v>23</v>
      </c>
      <c r="F284" s="34" t="s">
        <v>51</v>
      </c>
      <c r="G284" s="35">
        <f t="shared" si="20"/>
        <v>7.2655663915979</v>
      </c>
      <c r="H284" s="36">
        <f t="shared" si="21"/>
        <v>87.165</v>
      </c>
      <c r="I284" s="40">
        <v>96.85</v>
      </c>
      <c r="J284" s="36">
        <f t="shared" si="22"/>
        <v>101.6925</v>
      </c>
      <c r="K284" s="36">
        <f t="shared" si="23"/>
        <v>81.9351</v>
      </c>
      <c r="L284" s="36">
        <f t="shared" si="24"/>
        <v>91.039</v>
      </c>
      <c r="M284" s="41"/>
    </row>
    <row r="285" ht="15" spans="1:13">
      <c r="A285" s="27" t="s">
        <v>139</v>
      </c>
      <c r="B285" s="33" t="s">
        <v>50</v>
      </c>
      <c r="C285" s="29" t="s">
        <v>41</v>
      </c>
      <c r="D285" s="30" t="s">
        <v>28</v>
      </c>
      <c r="E285" s="29" t="s">
        <v>23</v>
      </c>
      <c r="F285" s="34" t="s">
        <v>51</v>
      </c>
      <c r="G285" s="35">
        <f t="shared" si="20"/>
        <v>11.2033008252063</v>
      </c>
      <c r="H285" s="36">
        <f t="shared" si="21"/>
        <v>134.406</v>
      </c>
      <c r="I285" s="40">
        <v>149.34</v>
      </c>
      <c r="J285" s="36">
        <f t="shared" si="22"/>
        <v>156.807</v>
      </c>
      <c r="K285" s="36">
        <f t="shared" si="23"/>
        <v>126.34164</v>
      </c>
      <c r="L285" s="36">
        <f t="shared" si="24"/>
        <v>140.3796</v>
      </c>
      <c r="M285" s="41"/>
    </row>
    <row r="286" ht="15" spans="1:13">
      <c r="A286" s="27" t="s">
        <v>139</v>
      </c>
      <c r="B286" s="33" t="s">
        <v>141</v>
      </c>
      <c r="C286" s="29" t="s">
        <v>21</v>
      </c>
      <c r="D286" s="30" t="s">
        <v>28</v>
      </c>
      <c r="E286" s="29" t="s">
        <v>23</v>
      </c>
      <c r="F286" s="34" t="s">
        <v>51</v>
      </c>
      <c r="G286" s="35">
        <f t="shared" si="20"/>
        <v>7.26106526631658</v>
      </c>
      <c r="H286" s="36">
        <f t="shared" si="21"/>
        <v>87.111</v>
      </c>
      <c r="I286" s="40">
        <v>96.79</v>
      </c>
      <c r="J286" s="36">
        <f t="shared" si="22"/>
        <v>101.6295</v>
      </c>
      <c r="K286" s="36">
        <f t="shared" si="23"/>
        <v>81.88434</v>
      </c>
      <c r="L286" s="36">
        <f t="shared" si="24"/>
        <v>90.9826</v>
      </c>
      <c r="M286" s="41"/>
    </row>
    <row r="287" ht="15" spans="1:13">
      <c r="A287" s="27" t="s">
        <v>139</v>
      </c>
      <c r="B287" s="33" t="s">
        <v>141</v>
      </c>
      <c r="C287" s="29" t="s">
        <v>41</v>
      </c>
      <c r="D287" s="30" t="s">
        <v>28</v>
      </c>
      <c r="E287" s="29" t="s">
        <v>23</v>
      </c>
      <c r="F287" s="34" t="s">
        <v>51</v>
      </c>
      <c r="G287" s="35">
        <f t="shared" si="20"/>
        <v>11.2025506376594</v>
      </c>
      <c r="H287" s="36">
        <f t="shared" si="21"/>
        <v>134.397</v>
      </c>
      <c r="I287" s="40">
        <v>149.33</v>
      </c>
      <c r="J287" s="36">
        <f t="shared" si="22"/>
        <v>156.7965</v>
      </c>
      <c r="K287" s="36">
        <f t="shared" si="23"/>
        <v>126.33318</v>
      </c>
      <c r="L287" s="36">
        <f t="shared" si="24"/>
        <v>140.3702</v>
      </c>
      <c r="M287" s="41"/>
    </row>
    <row r="288" ht="15" spans="1:13">
      <c r="A288" s="27" t="s">
        <v>139</v>
      </c>
      <c r="B288" s="33" t="s">
        <v>141</v>
      </c>
      <c r="C288" s="29" t="s">
        <v>41</v>
      </c>
      <c r="D288" s="30" t="s">
        <v>28</v>
      </c>
      <c r="E288" s="29" t="s">
        <v>23</v>
      </c>
      <c r="F288" s="34" t="s">
        <v>142</v>
      </c>
      <c r="G288" s="35">
        <f t="shared" si="20"/>
        <v>13.6106526631658</v>
      </c>
      <c r="H288" s="36">
        <f t="shared" si="21"/>
        <v>163.287</v>
      </c>
      <c r="I288" s="40">
        <v>181.43</v>
      </c>
      <c r="J288" s="36">
        <f t="shared" si="22"/>
        <v>190.5015</v>
      </c>
      <c r="K288" s="36">
        <f t="shared" si="23"/>
        <v>153.48978</v>
      </c>
      <c r="L288" s="36">
        <f t="shared" si="24"/>
        <v>170.5442</v>
      </c>
      <c r="M288" s="41"/>
    </row>
    <row r="289" ht="15" spans="1:13">
      <c r="A289" s="27" t="s">
        <v>139</v>
      </c>
      <c r="B289" s="33" t="s">
        <v>52</v>
      </c>
      <c r="C289" s="29" t="s">
        <v>27</v>
      </c>
      <c r="D289" s="30" t="s">
        <v>28</v>
      </c>
      <c r="E289" s="29" t="s">
        <v>23</v>
      </c>
      <c r="F289" s="34" t="s">
        <v>53</v>
      </c>
      <c r="G289" s="35">
        <f t="shared" si="20"/>
        <v>6.45836459114779</v>
      </c>
      <c r="H289" s="36">
        <f t="shared" si="21"/>
        <v>77.481</v>
      </c>
      <c r="I289" s="40">
        <v>86.09</v>
      </c>
      <c r="J289" s="36">
        <f t="shared" si="22"/>
        <v>90.3945</v>
      </c>
      <c r="K289" s="36">
        <f t="shared" si="23"/>
        <v>72.83214</v>
      </c>
      <c r="L289" s="36">
        <f t="shared" si="24"/>
        <v>80.9246</v>
      </c>
      <c r="M289" s="41"/>
    </row>
    <row r="290" ht="15" spans="1:13">
      <c r="A290" s="27" t="s">
        <v>139</v>
      </c>
      <c r="B290" s="33" t="s">
        <v>52</v>
      </c>
      <c r="C290" s="29" t="s">
        <v>21</v>
      </c>
      <c r="D290" s="30" t="s">
        <v>28</v>
      </c>
      <c r="E290" s="29" t="s">
        <v>23</v>
      </c>
      <c r="F290" s="34" t="s">
        <v>53</v>
      </c>
      <c r="G290" s="35">
        <f t="shared" si="20"/>
        <v>7.3278319579895</v>
      </c>
      <c r="H290" s="36">
        <f t="shared" si="21"/>
        <v>87.912</v>
      </c>
      <c r="I290" s="40">
        <v>97.68</v>
      </c>
      <c r="J290" s="36">
        <f t="shared" si="22"/>
        <v>102.564</v>
      </c>
      <c r="K290" s="36">
        <f t="shared" si="23"/>
        <v>82.63728</v>
      </c>
      <c r="L290" s="36">
        <f t="shared" si="24"/>
        <v>91.8192</v>
      </c>
      <c r="M290" s="41"/>
    </row>
    <row r="291" ht="15" spans="1:13">
      <c r="A291" s="27" t="s">
        <v>139</v>
      </c>
      <c r="B291" s="33" t="s">
        <v>52</v>
      </c>
      <c r="C291" s="29" t="s">
        <v>54</v>
      </c>
      <c r="D291" s="30" t="s">
        <v>28</v>
      </c>
      <c r="E291" s="29" t="s">
        <v>23</v>
      </c>
      <c r="F291" s="34" t="s">
        <v>53</v>
      </c>
      <c r="G291" s="35">
        <f t="shared" si="20"/>
        <v>9.19729932483121</v>
      </c>
      <c r="H291" s="36">
        <f t="shared" si="21"/>
        <v>110.34</v>
      </c>
      <c r="I291" s="40">
        <v>122.6</v>
      </c>
      <c r="J291" s="36">
        <f t="shared" si="22"/>
        <v>128.73</v>
      </c>
      <c r="K291" s="36">
        <f t="shared" si="23"/>
        <v>103.7196</v>
      </c>
      <c r="L291" s="36">
        <f t="shared" si="24"/>
        <v>115.244</v>
      </c>
      <c r="M291" s="41"/>
    </row>
    <row r="292" ht="15" spans="1:13">
      <c r="A292" s="27" t="s">
        <v>139</v>
      </c>
      <c r="B292" s="33" t="s">
        <v>52</v>
      </c>
      <c r="C292" s="29" t="s">
        <v>41</v>
      </c>
      <c r="D292" s="30" t="s">
        <v>28</v>
      </c>
      <c r="E292" s="29" t="s">
        <v>23</v>
      </c>
      <c r="F292" s="34" t="s">
        <v>53</v>
      </c>
      <c r="G292" s="35">
        <f t="shared" si="20"/>
        <v>11.2888222055514</v>
      </c>
      <c r="H292" s="36">
        <f t="shared" si="21"/>
        <v>135.432</v>
      </c>
      <c r="I292" s="40">
        <v>150.48</v>
      </c>
      <c r="J292" s="36">
        <f t="shared" si="22"/>
        <v>158.004</v>
      </c>
      <c r="K292" s="36">
        <f t="shared" si="23"/>
        <v>127.30608</v>
      </c>
      <c r="L292" s="36">
        <f t="shared" si="24"/>
        <v>141.4512</v>
      </c>
      <c r="M292" s="41"/>
    </row>
    <row r="293" ht="15" spans="1:13">
      <c r="A293" s="27" t="s">
        <v>139</v>
      </c>
      <c r="B293" s="33" t="s">
        <v>52</v>
      </c>
      <c r="C293" s="29" t="s">
        <v>55</v>
      </c>
      <c r="D293" s="30" t="s">
        <v>28</v>
      </c>
      <c r="E293" s="29" t="s">
        <v>23</v>
      </c>
      <c r="F293" s="34" t="s">
        <v>53</v>
      </c>
      <c r="G293" s="35">
        <f t="shared" si="20"/>
        <v>20.7794448612153</v>
      </c>
      <c r="H293" s="36">
        <f t="shared" si="21"/>
        <v>249.291</v>
      </c>
      <c r="I293" s="40">
        <v>276.99</v>
      </c>
      <c r="J293" s="36">
        <f t="shared" si="22"/>
        <v>290.8395</v>
      </c>
      <c r="K293" s="36">
        <f t="shared" si="23"/>
        <v>234.33354</v>
      </c>
      <c r="L293" s="36">
        <f t="shared" si="24"/>
        <v>260.3706</v>
      </c>
      <c r="M293" s="41"/>
    </row>
    <row r="294" ht="15" spans="1:13">
      <c r="A294" s="27" t="s">
        <v>139</v>
      </c>
      <c r="B294" s="33" t="s">
        <v>58</v>
      </c>
      <c r="C294" s="29" t="s">
        <v>27</v>
      </c>
      <c r="D294" s="30" t="s">
        <v>28</v>
      </c>
      <c r="E294" s="29" t="s">
        <v>23</v>
      </c>
      <c r="F294" s="34" t="s">
        <v>53</v>
      </c>
      <c r="G294" s="35">
        <f t="shared" si="20"/>
        <v>6.47036759189797</v>
      </c>
      <c r="H294" s="36">
        <f t="shared" si="21"/>
        <v>77.625</v>
      </c>
      <c r="I294" s="40">
        <v>86.25</v>
      </c>
      <c r="J294" s="36">
        <f t="shared" si="22"/>
        <v>90.5625</v>
      </c>
      <c r="K294" s="36">
        <f t="shared" si="23"/>
        <v>72.9675</v>
      </c>
      <c r="L294" s="36">
        <f t="shared" si="24"/>
        <v>81.075</v>
      </c>
      <c r="M294" s="41"/>
    </row>
    <row r="295" ht="15" spans="1:13">
      <c r="A295" s="27" t="s">
        <v>139</v>
      </c>
      <c r="B295" s="33" t="s">
        <v>58</v>
      </c>
      <c r="C295" s="29" t="s">
        <v>21</v>
      </c>
      <c r="D295" s="30" t="s">
        <v>28</v>
      </c>
      <c r="E295" s="29" t="s">
        <v>23</v>
      </c>
      <c r="F295" s="34" t="s">
        <v>53</v>
      </c>
      <c r="G295" s="35">
        <f t="shared" si="20"/>
        <v>7.44861215303826</v>
      </c>
      <c r="H295" s="36">
        <f t="shared" si="21"/>
        <v>89.361</v>
      </c>
      <c r="I295" s="40">
        <v>99.29</v>
      </c>
      <c r="J295" s="36">
        <f t="shared" si="22"/>
        <v>104.2545</v>
      </c>
      <c r="K295" s="36">
        <f t="shared" si="23"/>
        <v>83.99934</v>
      </c>
      <c r="L295" s="36">
        <f t="shared" si="24"/>
        <v>93.3326</v>
      </c>
      <c r="M295" s="41"/>
    </row>
    <row r="296" ht="15" spans="1:13">
      <c r="A296" s="27" t="s">
        <v>139</v>
      </c>
      <c r="B296" s="33" t="s">
        <v>58</v>
      </c>
      <c r="C296" s="29" t="s">
        <v>41</v>
      </c>
      <c r="D296" s="30" t="s">
        <v>28</v>
      </c>
      <c r="E296" s="29" t="s">
        <v>23</v>
      </c>
      <c r="F296" s="34" t="s">
        <v>53</v>
      </c>
      <c r="G296" s="35">
        <f t="shared" si="20"/>
        <v>11.3563390847712</v>
      </c>
      <c r="H296" s="36">
        <f t="shared" si="21"/>
        <v>136.242</v>
      </c>
      <c r="I296" s="40">
        <v>151.38</v>
      </c>
      <c r="J296" s="36">
        <f t="shared" si="22"/>
        <v>158.949</v>
      </c>
      <c r="K296" s="36">
        <f t="shared" si="23"/>
        <v>128.06748</v>
      </c>
      <c r="L296" s="36">
        <f t="shared" si="24"/>
        <v>142.2972</v>
      </c>
      <c r="M296" s="41"/>
    </row>
    <row r="297" ht="15" spans="1:13">
      <c r="A297" s="27" t="s">
        <v>139</v>
      </c>
      <c r="B297" s="33" t="s">
        <v>60</v>
      </c>
      <c r="C297" s="29" t="s">
        <v>21</v>
      </c>
      <c r="D297" s="30" t="s">
        <v>28</v>
      </c>
      <c r="E297" s="29" t="s">
        <v>23</v>
      </c>
      <c r="F297" s="34" t="s">
        <v>61</v>
      </c>
      <c r="G297" s="35">
        <f t="shared" si="20"/>
        <v>7.43735933983496</v>
      </c>
      <c r="H297" s="36">
        <f t="shared" si="21"/>
        <v>89.226</v>
      </c>
      <c r="I297" s="40">
        <v>99.14</v>
      </c>
      <c r="J297" s="36">
        <f t="shared" si="22"/>
        <v>104.097</v>
      </c>
      <c r="K297" s="36">
        <f t="shared" si="23"/>
        <v>83.87244</v>
      </c>
      <c r="L297" s="36">
        <f t="shared" si="24"/>
        <v>93.1916</v>
      </c>
      <c r="M297" s="41"/>
    </row>
    <row r="298" ht="15" spans="1:13">
      <c r="A298" s="27" t="s">
        <v>139</v>
      </c>
      <c r="B298" s="33" t="s">
        <v>60</v>
      </c>
      <c r="C298" s="29" t="s">
        <v>41</v>
      </c>
      <c r="D298" s="30" t="s">
        <v>28</v>
      </c>
      <c r="E298" s="29" t="s">
        <v>23</v>
      </c>
      <c r="F298" s="34" t="s">
        <v>61</v>
      </c>
      <c r="G298" s="35">
        <f t="shared" si="20"/>
        <v>11.5371342835709</v>
      </c>
      <c r="H298" s="36">
        <f t="shared" si="21"/>
        <v>138.411</v>
      </c>
      <c r="I298" s="40">
        <v>153.79</v>
      </c>
      <c r="J298" s="36">
        <f t="shared" si="22"/>
        <v>161.4795</v>
      </c>
      <c r="K298" s="36">
        <f t="shared" si="23"/>
        <v>130.10634</v>
      </c>
      <c r="L298" s="36">
        <f t="shared" si="24"/>
        <v>144.5626</v>
      </c>
      <c r="M298" s="41"/>
    </row>
    <row r="299" ht="15" spans="1:13">
      <c r="A299" s="27" t="s">
        <v>139</v>
      </c>
      <c r="B299" s="33" t="s">
        <v>64</v>
      </c>
      <c r="C299" s="29" t="s">
        <v>27</v>
      </c>
      <c r="D299" s="30" t="s">
        <v>28</v>
      </c>
      <c r="E299" s="29" t="s">
        <v>23</v>
      </c>
      <c r="F299" s="34" t="s">
        <v>63</v>
      </c>
      <c r="G299" s="35">
        <f t="shared" si="20"/>
        <v>6.52663165791448</v>
      </c>
      <c r="H299" s="36">
        <f t="shared" si="21"/>
        <v>78.3</v>
      </c>
      <c r="I299" s="40">
        <v>87</v>
      </c>
      <c r="J299" s="36">
        <f t="shared" si="22"/>
        <v>91.35</v>
      </c>
      <c r="K299" s="36">
        <f t="shared" si="23"/>
        <v>73.602</v>
      </c>
      <c r="L299" s="36">
        <f t="shared" si="24"/>
        <v>81.78</v>
      </c>
      <c r="M299" s="41"/>
    </row>
    <row r="300" ht="15" spans="1:13">
      <c r="A300" s="27" t="s">
        <v>139</v>
      </c>
      <c r="B300" s="33" t="s">
        <v>64</v>
      </c>
      <c r="C300" s="29" t="s">
        <v>30</v>
      </c>
      <c r="D300" s="30" t="s">
        <v>28</v>
      </c>
      <c r="E300" s="29" t="s">
        <v>23</v>
      </c>
      <c r="F300" s="34" t="s">
        <v>63</v>
      </c>
      <c r="G300" s="35">
        <f t="shared" si="20"/>
        <v>6.43135783945987</v>
      </c>
      <c r="H300" s="36">
        <f t="shared" si="21"/>
        <v>77.157</v>
      </c>
      <c r="I300" s="40">
        <v>85.73</v>
      </c>
      <c r="J300" s="36">
        <f t="shared" si="22"/>
        <v>90.0165</v>
      </c>
      <c r="K300" s="36">
        <f t="shared" si="23"/>
        <v>72.52758</v>
      </c>
      <c r="L300" s="36">
        <f t="shared" si="24"/>
        <v>80.5862</v>
      </c>
      <c r="M300" s="41"/>
    </row>
    <row r="301" ht="15" spans="1:13">
      <c r="A301" s="27" t="s">
        <v>139</v>
      </c>
      <c r="B301" s="33" t="s">
        <v>64</v>
      </c>
      <c r="C301" s="29" t="s">
        <v>21</v>
      </c>
      <c r="D301" s="30" t="s">
        <v>28</v>
      </c>
      <c r="E301" s="29" t="s">
        <v>23</v>
      </c>
      <c r="F301" s="34" t="s">
        <v>63</v>
      </c>
      <c r="G301" s="35">
        <f t="shared" si="20"/>
        <v>7.52288072018005</v>
      </c>
      <c r="H301" s="36">
        <f t="shared" si="21"/>
        <v>90.252</v>
      </c>
      <c r="I301" s="40">
        <v>100.28</v>
      </c>
      <c r="J301" s="36">
        <f t="shared" si="22"/>
        <v>105.294</v>
      </c>
      <c r="K301" s="36">
        <f t="shared" si="23"/>
        <v>84.83688</v>
      </c>
      <c r="L301" s="36">
        <f t="shared" si="24"/>
        <v>94.2632</v>
      </c>
      <c r="M301" s="41"/>
    </row>
    <row r="302" ht="15" spans="1:13">
      <c r="A302" s="27" t="s">
        <v>139</v>
      </c>
      <c r="B302" s="33" t="s">
        <v>64</v>
      </c>
      <c r="C302" s="29" t="s">
        <v>21</v>
      </c>
      <c r="D302" s="30" t="s">
        <v>28</v>
      </c>
      <c r="E302" s="29" t="s">
        <v>23</v>
      </c>
      <c r="F302" s="34" t="s">
        <v>29</v>
      </c>
      <c r="G302" s="35">
        <f t="shared" si="20"/>
        <v>8.54688672168042</v>
      </c>
      <c r="H302" s="36">
        <f t="shared" si="21"/>
        <v>102.537</v>
      </c>
      <c r="I302" s="40">
        <v>113.93</v>
      </c>
      <c r="J302" s="36">
        <f t="shared" si="22"/>
        <v>119.6265</v>
      </c>
      <c r="K302" s="36">
        <f t="shared" si="23"/>
        <v>96.38478</v>
      </c>
      <c r="L302" s="36">
        <f t="shared" si="24"/>
        <v>107.0942</v>
      </c>
      <c r="M302" s="41"/>
    </row>
    <row r="303" ht="15" spans="1:13">
      <c r="A303" s="27" t="s">
        <v>139</v>
      </c>
      <c r="B303" s="33" t="s">
        <v>64</v>
      </c>
      <c r="C303" s="29" t="s">
        <v>41</v>
      </c>
      <c r="D303" s="30" t="s">
        <v>28</v>
      </c>
      <c r="E303" s="29" t="s">
        <v>23</v>
      </c>
      <c r="F303" s="34" t="s">
        <v>63</v>
      </c>
      <c r="G303" s="35">
        <f t="shared" si="20"/>
        <v>11.2445611402851</v>
      </c>
      <c r="H303" s="36">
        <f t="shared" si="21"/>
        <v>134.901</v>
      </c>
      <c r="I303" s="40">
        <v>149.89</v>
      </c>
      <c r="J303" s="36">
        <f t="shared" si="22"/>
        <v>157.3845</v>
      </c>
      <c r="K303" s="36">
        <f t="shared" si="23"/>
        <v>126.80694</v>
      </c>
      <c r="L303" s="36">
        <f t="shared" si="24"/>
        <v>140.8966</v>
      </c>
      <c r="M303" s="41"/>
    </row>
    <row r="304" ht="15" spans="1:13">
      <c r="A304" s="27" t="s">
        <v>139</v>
      </c>
      <c r="B304" s="33" t="s">
        <v>64</v>
      </c>
      <c r="C304" s="29" t="s">
        <v>55</v>
      </c>
      <c r="D304" s="30" t="s">
        <v>28</v>
      </c>
      <c r="E304" s="29" t="s">
        <v>23</v>
      </c>
      <c r="F304" s="34" t="s">
        <v>63</v>
      </c>
      <c r="G304" s="35">
        <f t="shared" si="20"/>
        <v>21.3420855213803</v>
      </c>
      <c r="H304" s="36">
        <f t="shared" si="21"/>
        <v>256.041</v>
      </c>
      <c r="I304" s="40">
        <v>284.49</v>
      </c>
      <c r="J304" s="36">
        <f t="shared" si="22"/>
        <v>298.7145</v>
      </c>
      <c r="K304" s="36">
        <f t="shared" si="23"/>
        <v>240.67854</v>
      </c>
      <c r="L304" s="36">
        <f t="shared" si="24"/>
        <v>267.4206</v>
      </c>
      <c r="M304" s="41"/>
    </row>
    <row r="305" ht="15" spans="1:13">
      <c r="A305" s="27" t="s">
        <v>139</v>
      </c>
      <c r="B305" s="33" t="s">
        <v>26</v>
      </c>
      <c r="C305" s="29" t="s">
        <v>27</v>
      </c>
      <c r="D305" s="30" t="s">
        <v>28</v>
      </c>
      <c r="E305" s="29" t="s">
        <v>23</v>
      </c>
      <c r="F305" s="34" t="s">
        <v>29</v>
      </c>
      <c r="G305" s="35">
        <f t="shared" si="20"/>
        <v>7.94748687171793</v>
      </c>
      <c r="H305" s="36">
        <f t="shared" si="21"/>
        <v>95.346</v>
      </c>
      <c r="I305" s="40">
        <v>105.94</v>
      </c>
      <c r="J305" s="36">
        <f t="shared" si="22"/>
        <v>111.237</v>
      </c>
      <c r="K305" s="36">
        <f t="shared" si="23"/>
        <v>89.62524</v>
      </c>
      <c r="L305" s="36">
        <f t="shared" si="24"/>
        <v>99.5836</v>
      </c>
      <c r="M305" s="41"/>
    </row>
    <row r="306" ht="15" spans="1:13">
      <c r="A306" s="27" t="s">
        <v>139</v>
      </c>
      <c r="B306" s="33" t="s">
        <v>26</v>
      </c>
      <c r="C306" s="29" t="s">
        <v>21</v>
      </c>
      <c r="D306" s="30" t="s">
        <v>28</v>
      </c>
      <c r="E306" s="29" t="s">
        <v>23</v>
      </c>
      <c r="F306" s="34" t="s">
        <v>29</v>
      </c>
      <c r="G306" s="35">
        <f t="shared" si="20"/>
        <v>9.18529632408102</v>
      </c>
      <c r="H306" s="36">
        <f t="shared" si="21"/>
        <v>110.196</v>
      </c>
      <c r="I306" s="40">
        <v>122.44</v>
      </c>
      <c r="J306" s="36">
        <f t="shared" si="22"/>
        <v>128.562</v>
      </c>
      <c r="K306" s="36">
        <f t="shared" si="23"/>
        <v>103.58424</v>
      </c>
      <c r="L306" s="36">
        <f t="shared" si="24"/>
        <v>115.0936</v>
      </c>
      <c r="M306" s="41"/>
    </row>
    <row r="307" ht="15" spans="1:13">
      <c r="A307" s="27" t="s">
        <v>139</v>
      </c>
      <c r="B307" s="33" t="s">
        <v>26</v>
      </c>
      <c r="C307" s="29" t="s">
        <v>54</v>
      </c>
      <c r="D307" s="30" t="s">
        <v>28</v>
      </c>
      <c r="E307" s="29" t="s">
        <v>23</v>
      </c>
      <c r="F307" s="34" t="s">
        <v>29</v>
      </c>
      <c r="G307" s="35">
        <f t="shared" si="20"/>
        <v>11.0345086271568</v>
      </c>
      <c r="H307" s="36">
        <f t="shared" si="21"/>
        <v>132.381</v>
      </c>
      <c r="I307" s="40">
        <v>147.09</v>
      </c>
      <c r="J307" s="36">
        <f t="shared" si="22"/>
        <v>154.4445</v>
      </c>
      <c r="K307" s="36">
        <f t="shared" si="23"/>
        <v>124.43814</v>
      </c>
      <c r="L307" s="36">
        <f t="shared" si="24"/>
        <v>138.2646</v>
      </c>
      <c r="M307" s="41"/>
    </row>
    <row r="308" ht="15" spans="1:13">
      <c r="A308" s="27" t="s">
        <v>139</v>
      </c>
      <c r="B308" s="33" t="s">
        <v>26</v>
      </c>
      <c r="C308" s="29" t="s">
        <v>41</v>
      </c>
      <c r="D308" s="30" t="s">
        <v>28</v>
      </c>
      <c r="E308" s="29" t="s">
        <v>23</v>
      </c>
      <c r="F308" s="34" t="s">
        <v>29</v>
      </c>
      <c r="G308" s="35">
        <f t="shared" si="20"/>
        <v>12.8949737434359</v>
      </c>
      <c r="H308" s="36">
        <f t="shared" si="21"/>
        <v>154.701</v>
      </c>
      <c r="I308" s="40">
        <v>171.89</v>
      </c>
      <c r="J308" s="36">
        <f t="shared" si="22"/>
        <v>180.4845</v>
      </c>
      <c r="K308" s="36">
        <f t="shared" si="23"/>
        <v>145.41894</v>
      </c>
      <c r="L308" s="36">
        <f t="shared" si="24"/>
        <v>161.5766</v>
      </c>
      <c r="M308" s="41"/>
    </row>
    <row r="309" ht="15" spans="1:13">
      <c r="A309" s="27" t="s">
        <v>139</v>
      </c>
      <c r="B309" s="33" t="s">
        <v>65</v>
      </c>
      <c r="C309" s="29" t="s">
        <v>27</v>
      </c>
      <c r="D309" s="30" t="s">
        <v>28</v>
      </c>
      <c r="E309" s="29" t="s">
        <v>23</v>
      </c>
      <c r="F309" s="34" t="s">
        <v>66</v>
      </c>
      <c r="G309" s="35">
        <f t="shared" si="20"/>
        <v>8.26706676669167</v>
      </c>
      <c r="H309" s="36">
        <f t="shared" si="21"/>
        <v>99.18</v>
      </c>
      <c r="I309" s="40">
        <v>110.2</v>
      </c>
      <c r="J309" s="36">
        <f t="shared" si="22"/>
        <v>115.71</v>
      </c>
      <c r="K309" s="36">
        <f t="shared" si="23"/>
        <v>93.2292</v>
      </c>
      <c r="L309" s="36">
        <f t="shared" si="24"/>
        <v>103.588</v>
      </c>
      <c r="M309" s="41"/>
    </row>
    <row r="310" ht="15" spans="1:13">
      <c r="A310" s="27" t="s">
        <v>139</v>
      </c>
      <c r="B310" s="33" t="s">
        <v>65</v>
      </c>
      <c r="C310" s="29" t="s">
        <v>21</v>
      </c>
      <c r="D310" s="30" t="s">
        <v>28</v>
      </c>
      <c r="E310" s="29" t="s">
        <v>23</v>
      </c>
      <c r="F310" s="34" t="s">
        <v>66</v>
      </c>
      <c r="G310" s="35">
        <f t="shared" si="20"/>
        <v>9.27006751687922</v>
      </c>
      <c r="H310" s="36">
        <f t="shared" si="21"/>
        <v>111.213</v>
      </c>
      <c r="I310" s="40">
        <v>123.57</v>
      </c>
      <c r="J310" s="36">
        <f t="shared" si="22"/>
        <v>129.7485</v>
      </c>
      <c r="K310" s="36">
        <f t="shared" si="23"/>
        <v>104.54022</v>
      </c>
      <c r="L310" s="36">
        <f t="shared" si="24"/>
        <v>116.1558</v>
      </c>
      <c r="M310" s="41"/>
    </row>
    <row r="311" ht="15" spans="1:13">
      <c r="A311" s="27" t="s">
        <v>139</v>
      </c>
      <c r="B311" s="33" t="s">
        <v>65</v>
      </c>
      <c r="C311" s="29" t="s">
        <v>41</v>
      </c>
      <c r="D311" s="30" t="s">
        <v>28</v>
      </c>
      <c r="E311" s="29" t="s">
        <v>23</v>
      </c>
      <c r="F311" s="34" t="s">
        <v>66</v>
      </c>
      <c r="G311" s="35">
        <f t="shared" si="20"/>
        <v>13.112528132033</v>
      </c>
      <c r="H311" s="36">
        <f t="shared" si="21"/>
        <v>157.311</v>
      </c>
      <c r="I311" s="40">
        <v>174.79</v>
      </c>
      <c r="J311" s="36">
        <f t="shared" si="22"/>
        <v>183.5295</v>
      </c>
      <c r="K311" s="36">
        <f t="shared" si="23"/>
        <v>147.87234</v>
      </c>
      <c r="L311" s="36">
        <f t="shared" si="24"/>
        <v>164.3026</v>
      </c>
      <c r="M311" s="41"/>
    </row>
    <row r="312" ht="15" spans="1:13">
      <c r="A312" s="27" t="s">
        <v>139</v>
      </c>
      <c r="B312" s="33" t="s">
        <v>65</v>
      </c>
      <c r="C312" s="29" t="s">
        <v>55</v>
      </c>
      <c r="D312" s="30" t="s">
        <v>28</v>
      </c>
      <c r="E312" s="29" t="s">
        <v>23</v>
      </c>
      <c r="F312" s="34" t="s">
        <v>66</v>
      </c>
      <c r="G312" s="35">
        <f t="shared" si="20"/>
        <v>23.344336084021</v>
      </c>
      <c r="H312" s="36">
        <f t="shared" si="21"/>
        <v>280.062</v>
      </c>
      <c r="I312" s="40">
        <v>311.18</v>
      </c>
      <c r="J312" s="36">
        <f t="shared" si="22"/>
        <v>326.739</v>
      </c>
      <c r="K312" s="36">
        <f t="shared" si="23"/>
        <v>263.25828</v>
      </c>
      <c r="L312" s="36">
        <f t="shared" si="24"/>
        <v>292.5092</v>
      </c>
      <c r="M312" s="41"/>
    </row>
    <row r="313" ht="15" spans="1:13">
      <c r="A313" s="27" t="s">
        <v>139</v>
      </c>
      <c r="B313" s="33" t="s">
        <v>67</v>
      </c>
      <c r="C313" s="29" t="s">
        <v>27</v>
      </c>
      <c r="D313" s="30" t="s">
        <v>28</v>
      </c>
      <c r="E313" s="29" t="s">
        <v>23</v>
      </c>
      <c r="F313" s="34" t="s">
        <v>68</v>
      </c>
      <c r="G313" s="35">
        <f t="shared" si="20"/>
        <v>8.15153788447112</v>
      </c>
      <c r="H313" s="36">
        <f t="shared" si="21"/>
        <v>97.794</v>
      </c>
      <c r="I313" s="40">
        <v>108.66</v>
      </c>
      <c r="J313" s="36">
        <f t="shared" si="22"/>
        <v>114.093</v>
      </c>
      <c r="K313" s="36">
        <f t="shared" si="23"/>
        <v>91.92636</v>
      </c>
      <c r="L313" s="36">
        <f t="shared" si="24"/>
        <v>102.1404</v>
      </c>
      <c r="M313" s="41"/>
    </row>
    <row r="314" ht="15" spans="1:13">
      <c r="A314" s="27" t="s">
        <v>139</v>
      </c>
      <c r="B314" s="33" t="s">
        <v>67</v>
      </c>
      <c r="C314" s="29" t="s">
        <v>21</v>
      </c>
      <c r="D314" s="37" t="s">
        <v>22</v>
      </c>
      <c r="E314" s="29" t="s">
        <v>23</v>
      </c>
      <c r="F314" s="34" t="s">
        <v>68</v>
      </c>
      <c r="G314" s="35">
        <f t="shared" si="20"/>
        <v>8.78919729932483</v>
      </c>
      <c r="H314" s="36">
        <f t="shared" si="21"/>
        <v>105.444</v>
      </c>
      <c r="I314" s="40">
        <v>117.16</v>
      </c>
      <c r="J314" s="36">
        <f t="shared" si="22"/>
        <v>123.018</v>
      </c>
      <c r="K314" s="36">
        <f t="shared" si="23"/>
        <v>99.11736</v>
      </c>
      <c r="L314" s="36">
        <f t="shared" si="24"/>
        <v>110.1304</v>
      </c>
      <c r="M314" s="41"/>
    </row>
    <row r="315" ht="15" spans="1:13">
      <c r="A315" s="27" t="s">
        <v>139</v>
      </c>
      <c r="B315" s="33" t="s">
        <v>67</v>
      </c>
      <c r="C315" s="29" t="s">
        <v>21</v>
      </c>
      <c r="D315" s="30" t="s">
        <v>28</v>
      </c>
      <c r="E315" s="29" t="s">
        <v>23</v>
      </c>
      <c r="F315" s="34" t="s">
        <v>68</v>
      </c>
      <c r="G315" s="35">
        <f t="shared" si="20"/>
        <v>8.78919729932483</v>
      </c>
      <c r="H315" s="36">
        <f t="shared" si="21"/>
        <v>105.444</v>
      </c>
      <c r="I315" s="40">
        <v>117.16</v>
      </c>
      <c r="J315" s="36">
        <f t="shared" si="22"/>
        <v>123.018</v>
      </c>
      <c r="K315" s="36">
        <f t="shared" si="23"/>
        <v>99.11736</v>
      </c>
      <c r="L315" s="36">
        <f t="shared" si="24"/>
        <v>110.1304</v>
      </c>
      <c r="M315" s="41"/>
    </row>
    <row r="316" ht="15" spans="1:13">
      <c r="A316" s="27" t="s">
        <v>139</v>
      </c>
      <c r="B316" s="33" t="s">
        <v>67</v>
      </c>
      <c r="C316" s="29" t="s">
        <v>41</v>
      </c>
      <c r="D316" s="30" t="s">
        <v>28</v>
      </c>
      <c r="E316" s="29" t="s">
        <v>23</v>
      </c>
      <c r="F316" s="34" t="s">
        <v>68</v>
      </c>
      <c r="G316" s="35">
        <f t="shared" si="20"/>
        <v>12.7156789197299</v>
      </c>
      <c r="H316" s="36">
        <f t="shared" si="21"/>
        <v>152.55</v>
      </c>
      <c r="I316" s="40">
        <v>169.5</v>
      </c>
      <c r="J316" s="36">
        <f t="shared" si="22"/>
        <v>177.975</v>
      </c>
      <c r="K316" s="36">
        <f t="shared" si="23"/>
        <v>143.397</v>
      </c>
      <c r="L316" s="36">
        <f t="shared" si="24"/>
        <v>159.33</v>
      </c>
      <c r="M316" s="41"/>
    </row>
    <row r="317" ht="15" spans="1:13">
      <c r="A317" s="27" t="s">
        <v>139</v>
      </c>
      <c r="B317" s="33" t="s">
        <v>69</v>
      </c>
      <c r="C317" s="29" t="s">
        <v>27</v>
      </c>
      <c r="D317" s="30" t="s">
        <v>28</v>
      </c>
      <c r="E317" s="29" t="s">
        <v>23</v>
      </c>
      <c r="F317" s="34" t="s">
        <v>68</v>
      </c>
      <c r="G317" s="35">
        <f t="shared" si="20"/>
        <v>8.14778694673668</v>
      </c>
      <c r="H317" s="36">
        <f t="shared" si="21"/>
        <v>97.749</v>
      </c>
      <c r="I317" s="40">
        <v>108.61</v>
      </c>
      <c r="J317" s="36">
        <f t="shared" si="22"/>
        <v>114.0405</v>
      </c>
      <c r="K317" s="36">
        <f t="shared" si="23"/>
        <v>91.88406</v>
      </c>
      <c r="L317" s="36">
        <f t="shared" si="24"/>
        <v>102.0934</v>
      </c>
      <c r="M317" s="41"/>
    </row>
    <row r="318" ht="15" spans="1:13">
      <c r="A318" s="27" t="s">
        <v>139</v>
      </c>
      <c r="B318" s="33" t="s">
        <v>69</v>
      </c>
      <c r="C318" s="29" t="s">
        <v>21</v>
      </c>
      <c r="D318" s="30" t="s">
        <v>28</v>
      </c>
      <c r="E318" s="29" t="s">
        <v>23</v>
      </c>
      <c r="F318" s="34" t="s">
        <v>68</v>
      </c>
      <c r="G318" s="35">
        <f t="shared" si="20"/>
        <v>8.79894973743436</v>
      </c>
      <c r="H318" s="36">
        <f t="shared" si="21"/>
        <v>105.561</v>
      </c>
      <c r="I318" s="40">
        <v>117.29</v>
      </c>
      <c r="J318" s="36">
        <f t="shared" si="22"/>
        <v>123.1545</v>
      </c>
      <c r="K318" s="36">
        <f t="shared" si="23"/>
        <v>99.22734</v>
      </c>
      <c r="L318" s="36">
        <f t="shared" si="24"/>
        <v>110.2526</v>
      </c>
      <c r="M318" s="41"/>
    </row>
    <row r="319" ht="15" spans="1:13">
      <c r="A319" s="27" t="s">
        <v>139</v>
      </c>
      <c r="B319" s="33" t="s">
        <v>69</v>
      </c>
      <c r="C319" s="29" t="s">
        <v>41</v>
      </c>
      <c r="D319" s="30" t="s">
        <v>28</v>
      </c>
      <c r="E319" s="29" t="s">
        <v>23</v>
      </c>
      <c r="F319" s="34" t="s">
        <v>68</v>
      </c>
      <c r="G319" s="35">
        <f t="shared" si="20"/>
        <v>12.8447111777944</v>
      </c>
      <c r="H319" s="36">
        <f t="shared" si="21"/>
        <v>154.098</v>
      </c>
      <c r="I319" s="40">
        <v>171.22</v>
      </c>
      <c r="J319" s="36">
        <f t="shared" si="22"/>
        <v>179.781</v>
      </c>
      <c r="K319" s="36">
        <f t="shared" si="23"/>
        <v>144.85212</v>
      </c>
      <c r="L319" s="36">
        <f t="shared" si="24"/>
        <v>160.9468</v>
      </c>
      <c r="M319" s="41"/>
    </row>
    <row r="320" ht="15" spans="1:13">
      <c r="A320" s="27" t="s">
        <v>139</v>
      </c>
      <c r="B320" s="33" t="s">
        <v>70</v>
      </c>
      <c r="C320" s="29" t="s">
        <v>30</v>
      </c>
      <c r="D320" s="30" t="s">
        <v>28</v>
      </c>
      <c r="E320" s="29" t="s">
        <v>23</v>
      </c>
      <c r="F320" s="34" t="s">
        <v>68</v>
      </c>
      <c r="G320" s="35">
        <f t="shared" si="20"/>
        <v>7.60015003750938</v>
      </c>
      <c r="H320" s="36">
        <f t="shared" si="21"/>
        <v>91.179</v>
      </c>
      <c r="I320" s="40">
        <v>101.31</v>
      </c>
      <c r="J320" s="36">
        <f t="shared" si="22"/>
        <v>106.3755</v>
      </c>
      <c r="K320" s="36">
        <f t="shared" si="23"/>
        <v>85.70826</v>
      </c>
      <c r="L320" s="36">
        <f t="shared" si="24"/>
        <v>95.2314</v>
      </c>
      <c r="M320" s="41"/>
    </row>
    <row r="321" ht="15" spans="1:13">
      <c r="A321" s="27" t="s">
        <v>139</v>
      </c>
      <c r="B321" s="33" t="s">
        <v>70</v>
      </c>
      <c r="C321" s="29" t="s">
        <v>27</v>
      </c>
      <c r="D321" s="30" t="s">
        <v>28</v>
      </c>
      <c r="E321" s="29" t="s">
        <v>23</v>
      </c>
      <c r="F321" s="34" t="s">
        <v>68</v>
      </c>
      <c r="G321" s="35">
        <f t="shared" si="20"/>
        <v>8.03675918979745</v>
      </c>
      <c r="H321" s="36">
        <f t="shared" si="21"/>
        <v>96.417</v>
      </c>
      <c r="I321" s="40">
        <v>107.13</v>
      </c>
      <c r="J321" s="36">
        <f t="shared" si="22"/>
        <v>112.4865</v>
      </c>
      <c r="K321" s="36">
        <f t="shared" si="23"/>
        <v>90.63198</v>
      </c>
      <c r="L321" s="36">
        <f t="shared" si="24"/>
        <v>100.7022</v>
      </c>
      <c r="M321" s="41"/>
    </row>
    <row r="322" ht="15" spans="1:13">
      <c r="A322" s="27" t="s">
        <v>139</v>
      </c>
      <c r="B322" s="33" t="s">
        <v>70</v>
      </c>
      <c r="C322" s="29" t="s">
        <v>21</v>
      </c>
      <c r="D322" s="30" t="s">
        <v>28</v>
      </c>
      <c r="E322" s="29" t="s">
        <v>23</v>
      </c>
      <c r="F322" s="34" t="s">
        <v>68</v>
      </c>
      <c r="G322" s="35">
        <f t="shared" si="20"/>
        <v>8.83495873968492</v>
      </c>
      <c r="H322" s="36">
        <f t="shared" si="21"/>
        <v>105.993</v>
      </c>
      <c r="I322" s="40">
        <v>117.77</v>
      </c>
      <c r="J322" s="36">
        <f t="shared" si="22"/>
        <v>123.6585</v>
      </c>
      <c r="K322" s="36">
        <f t="shared" si="23"/>
        <v>99.63342</v>
      </c>
      <c r="L322" s="36">
        <f t="shared" si="24"/>
        <v>110.7038</v>
      </c>
      <c r="M322" s="41"/>
    </row>
    <row r="323" ht="15" spans="1:13">
      <c r="A323" s="27" t="s">
        <v>139</v>
      </c>
      <c r="B323" s="33" t="s">
        <v>70</v>
      </c>
      <c r="C323" s="29" t="s">
        <v>41</v>
      </c>
      <c r="D323" s="30" t="s">
        <v>28</v>
      </c>
      <c r="E323" s="29" t="s">
        <v>23</v>
      </c>
      <c r="F323" s="34" t="s">
        <v>68</v>
      </c>
      <c r="G323" s="35">
        <f t="shared" ref="G323:G386" si="25">I323/13.33</f>
        <v>12.8492123030758</v>
      </c>
      <c r="H323" s="36">
        <f t="shared" ref="H323:H386" si="26">I323*0.9</f>
        <v>154.152</v>
      </c>
      <c r="I323" s="40">
        <v>171.28</v>
      </c>
      <c r="J323" s="36">
        <f t="shared" ref="J323:J386" si="27">I323*1.05</f>
        <v>179.844</v>
      </c>
      <c r="K323" s="36">
        <f t="shared" ref="K323:K386" si="28">H323*0.94</f>
        <v>144.90288</v>
      </c>
      <c r="L323" s="36">
        <f t="shared" ref="L323:L386" si="29">I323*0.94</f>
        <v>161.0032</v>
      </c>
      <c r="M323" s="41"/>
    </row>
    <row r="324" ht="15" spans="1:13">
      <c r="A324" s="27" t="s">
        <v>139</v>
      </c>
      <c r="B324" s="33" t="s">
        <v>74</v>
      </c>
      <c r="C324" s="29" t="s">
        <v>27</v>
      </c>
      <c r="D324" s="30" t="s">
        <v>28</v>
      </c>
      <c r="E324" s="29" t="s">
        <v>23</v>
      </c>
      <c r="F324" s="34" t="s">
        <v>73</v>
      </c>
      <c r="G324" s="35">
        <f t="shared" si="25"/>
        <v>9.23780945236309</v>
      </c>
      <c r="H324" s="36">
        <f t="shared" si="26"/>
        <v>110.826</v>
      </c>
      <c r="I324" s="40">
        <v>123.14</v>
      </c>
      <c r="J324" s="36">
        <f t="shared" si="27"/>
        <v>129.297</v>
      </c>
      <c r="K324" s="36">
        <f t="shared" si="28"/>
        <v>104.17644</v>
      </c>
      <c r="L324" s="36">
        <f t="shared" si="29"/>
        <v>115.7516</v>
      </c>
      <c r="M324" s="41"/>
    </row>
    <row r="325" ht="15" spans="1:13">
      <c r="A325" s="27" t="s">
        <v>139</v>
      </c>
      <c r="B325" s="33" t="s">
        <v>74</v>
      </c>
      <c r="C325" s="29" t="s">
        <v>21</v>
      </c>
      <c r="D325" s="30" t="s">
        <v>28</v>
      </c>
      <c r="E325" s="29" t="s">
        <v>23</v>
      </c>
      <c r="F325" s="34" t="s">
        <v>73</v>
      </c>
      <c r="G325" s="35">
        <f t="shared" si="25"/>
        <v>10.2153038259565</v>
      </c>
      <c r="H325" s="36">
        <f t="shared" si="26"/>
        <v>122.553</v>
      </c>
      <c r="I325" s="40">
        <v>136.17</v>
      </c>
      <c r="J325" s="36">
        <f t="shared" si="27"/>
        <v>142.9785</v>
      </c>
      <c r="K325" s="36">
        <f t="shared" si="28"/>
        <v>115.19982</v>
      </c>
      <c r="L325" s="36">
        <f t="shared" si="29"/>
        <v>127.9998</v>
      </c>
      <c r="M325" s="41"/>
    </row>
    <row r="326" ht="15" spans="1:13">
      <c r="A326" s="27" t="s">
        <v>139</v>
      </c>
      <c r="B326" s="33" t="s">
        <v>74</v>
      </c>
      <c r="C326" s="29" t="s">
        <v>41</v>
      </c>
      <c r="D326" s="30" t="s">
        <v>28</v>
      </c>
      <c r="E326" s="29" t="s">
        <v>23</v>
      </c>
      <c r="F326" s="34" t="s">
        <v>73</v>
      </c>
      <c r="G326" s="35">
        <f t="shared" si="25"/>
        <v>14.1275318829707</v>
      </c>
      <c r="H326" s="36">
        <f t="shared" si="26"/>
        <v>169.488</v>
      </c>
      <c r="I326" s="40">
        <v>188.32</v>
      </c>
      <c r="J326" s="36">
        <f t="shared" si="27"/>
        <v>197.736</v>
      </c>
      <c r="K326" s="36">
        <f t="shared" si="28"/>
        <v>159.31872</v>
      </c>
      <c r="L326" s="36">
        <f t="shared" si="29"/>
        <v>177.0208</v>
      </c>
      <c r="M326" s="41"/>
    </row>
    <row r="327" ht="15" spans="1:13">
      <c r="A327" s="27" t="s">
        <v>139</v>
      </c>
      <c r="B327" s="33" t="s">
        <v>77</v>
      </c>
      <c r="C327" s="29" t="s">
        <v>30</v>
      </c>
      <c r="D327" s="30" t="s">
        <v>28</v>
      </c>
      <c r="E327" s="29" t="s">
        <v>23</v>
      </c>
      <c r="F327" s="34" t="s">
        <v>76</v>
      </c>
      <c r="G327" s="35">
        <f t="shared" si="25"/>
        <v>9.52288072018004</v>
      </c>
      <c r="H327" s="36">
        <f t="shared" si="26"/>
        <v>114.246</v>
      </c>
      <c r="I327" s="40">
        <v>126.94</v>
      </c>
      <c r="J327" s="36">
        <f t="shared" si="27"/>
        <v>133.287</v>
      </c>
      <c r="K327" s="36">
        <f t="shared" si="28"/>
        <v>107.39124</v>
      </c>
      <c r="L327" s="36">
        <f t="shared" si="29"/>
        <v>119.3236</v>
      </c>
      <c r="M327" s="41"/>
    </row>
    <row r="328" ht="15" spans="1:13">
      <c r="A328" s="27" t="s">
        <v>139</v>
      </c>
      <c r="B328" s="33" t="s">
        <v>77</v>
      </c>
      <c r="C328" s="29" t="s">
        <v>27</v>
      </c>
      <c r="D328" s="30" t="s">
        <v>28</v>
      </c>
      <c r="E328" s="29" t="s">
        <v>23</v>
      </c>
      <c r="F328" s="34" t="s">
        <v>76</v>
      </c>
      <c r="G328" s="35">
        <f t="shared" si="25"/>
        <v>9.61140285071268</v>
      </c>
      <c r="H328" s="36">
        <f t="shared" si="26"/>
        <v>115.308</v>
      </c>
      <c r="I328" s="40">
        <v>128.12</v>
      </c>
      <c r="J328" s="36">
        <f t="shared" si="27"/>
        <v>134.526</v>
      </c>
      <c r="K328" s="36">
        <f t="shared" si="28"/>
        <v>108.38952</v>
      </c>
      <c r="L328" s="36">
        <f t="shared" si="29"/>
        <v>120.4328</v>
      </c>
      <c r="M328" s="41"/>
    </row>
    <row r="329" ht="15" spans="1:13">
      <c r="A329" s="27" t="s">
        <v>139</v>
      </c>
      <c r="B329" s="33" t="s">
        <v>77</v>
      </c>
      <c r="C329" s="29" t="s">
        <v>21</v>
      </c>
      <c r="D329" s="30" t="s">
        <v>28</v>
      </c>
      <c r="E329" s="29" t="s">
        <v>23</v>
      </c>
      <c r="F329" s="34" t="s">
        <v>76</v>
      </c>
      <c r="G329" s="35">
        <f t="shared" si="25"/>
        <v>10.536384096024</v>
      </c>
      <c r="H329" s="36">
        <f t="shared" si="26"/>
        <v>126.405</v>
      </c>
      <c r="I329" s="40">
        <v>140.45</v>
      </c>
      <c r="J329" s="36">
        <f t="shared" si="27"/>
        <v>147.4725</v>
      </c>
      <c r="K329" s="36">
        <f t="shared" si="28"/>
        <v>118.8207</v>
      </c>
      <c r="L329" s="36">
        <f t="shared" si="29"/>
        <v>132.023</v>
      </c>
      <c r="M329" s="41"/>
    </row>
    <row r="330" ht="15" spans="1:13">
      <c r="A330" s="27" t="s">
        <v>139</v>
      </c>
      <c r="B330" s="33" t="s">
        <v>77</v>
      </c>
      <c r="C330" s="29" t="s">
        <v>21</v>
      </c>
      <c r="D330" s="30" t="s">
        <v>28</v>
      </c>
      <c r="E330" s="29" t="s">
        <v>23</v>
      </c>
      <c r="F330" s="34" t="s">
        <v>143</v>
      </c>
      <c r="G330" s="35">
        <f t="shared" si="25"/>
        <v>12.9309827456864</v>
      </c>
      <c r="H330" s="36">
        <f t="shared" si="26"/>
        <v>155.133</v>
      </c>
      <c r="I330" s="40">
        <v>172.37</v>
      </c>
      <c r="J330" s="36">
        <f t="shared" si="27"/>
        <v>180.9885</v>
      </c>
      <c r="K330" s="36">
        <f t="shared" si="28"/>
        <v>145.82502</v>
      </c>
      <c r="L330" s="36">
        <f t="shared" si="29"/>
        <v>162.0278</v>
      </c>
      <c r="M330" s="41"/>
    </row>
    <row r="331" ht="15" spans="1:13">
      <c r="A331" s="27" t="s">
        <v>139</v>
      </c>
      <c r="B331" s="33" t="s">
        <v>77</v>
      </c>
      <c r="C331" s="29" t="s">
        <v>41</v>
      </c>
      <c r="D331" s="30" t="s">
        <v>28</v>
      </c>
      <c r="E331" s="29" t="s">
        <v>23</v>
      </c>
      <c r="F331" s="34" t="s">
        <v>76</v>
      </c>
      <c r="G331" s="35">
        <f t="shared" si="25"/>
        <v>14.5783945986497</v>
      </c>
      <c r="H331" s="36">
        <f t="shared" si="26"/>
        <v>174.897</v>
      </c>
      <c r="I331" s="40">
        <v>194.33</v>
      </c>
      <c r="J331" s="36">
        <f t="shared" si="27"/>
        <v>204.0465</v>
      </c>
      <c r="K331" s="36">
        <f t="shared" si="28"/>
        <v>164.40318</v>
      </c>
      <c r="L331" s="36">
        <f t="shared" si="29"/>
        <v>182.6702</v>
      </c>
      <c r="M331" s="41"/>
    </row>
    <row r="332" ht="15" spans="1:13">
      <c r="A332" s="27" t="s">
        <v>139</v>
      </c>
      <c r="B332" s="33" t="s">
        <v>78</v>
      </c>
      <c r="C332" s="29" t="s">
        <v>27</v>
      </c>
      <c r="D332" s="30" t="s">
        <v>28</v>
      </c>
      <c r="E332" s="29" t="s">
        <v>23</v>
      </c>
      <c r="F332" s="34" t="s">
        <v>32</v>
      </c>
      <c r="G332" s="35">
        <f t="shared" si="25"/>
        <v>9.57464366091523</v>
      </c>
      <c r="H332" s="36">
        <f t="shared" si="26"/>
        <v>114.867</v>
      </c>
      <c r="I332" s="40">
        <v>127.63</v>
      </c>
      <c r="J332" s="36">
        <f t="shared" si="27"/>
        <v>134.0115</v>
      </c>
      <c r="K332" s="36">
        <f t="shared" si="28"/>
        <v>107.97498</v>
      </c>
      <c r="L332" s="36">
        <f t="shared" si="29"/>
        <v>119.9722</v>
      </c>
      <c r="M332" s="41"/>
    </row>
    <row r="333" ht="15" spans="1:13">
      <c r="A333" s="27" t="s">
        <v>139</v>
      </c>
      <c r="B333" s="33" t="s">
        <v>78</v>
      </c>
      <c r="C333" s="29" t="s">
        <v>21</v>
      </c>
      <c r="D333" s="30" t="s">
        <v>28</v>
      </c>
      <c r="E333" s="29" t="s">
        <v>23</v>
      </c>
      <c r="F333" s="34" t="s">
        <v>32</v>
      </c>
      <c r="G333" s="35">
        <f t="shared" si="25"/>
        <v>10.1050262565641</v>
      </c>
      <c r="H333" s="36">
        <f t="shared" si="26"/>
        <v>121.23</v>
      </c>
      <c r="I333" s="40">
        <v>134.7</v>
      </c>
      <c r="J333" s="36">
        <f t="shared" si="27"/>
        <v>141.435</v>
      </c>
      <c r="K333" s="36">
        <f t="shared" si="28"/>
        <v>113.9562</v>
      </c>
      <c r="L333" s="36">
        <f t="shared" si="29"/>
        <v>126.618</v>
      </c>
      <c r="M333" s="41"/>
    </row>
    <row r="334" ht="15" spans="1:13">
      <c r="A334" s="27" t="s">
        <v>139</v>
      </c>
      <c r="B334" s="33" t="s">
        <v>31</v>
      </c>
      <c r="C334" s="29" t="s">
        <v>27</v>
      </c>
      <c r="D334" s="30" t="s">
        <v>28</v>
      </c>
      <c r="E334" s="29" t="s">
        <v>23</v>
      </c>
      <c r="F334" s="34" t="s">
        <v>32</v>
      </c>
      <c r="G334" s="35">
        <f t="shared" si="25"/>
        <v>9.76144036009002</v>
      </c>
      <c r="H334" s="36">
        <f t="shared" si="26"/>
        <v>117.108</v>
      </c>
      <c r="I334" s="40">
        <v>130.12</v>
      </c>
      <c r="J334" s="36">
        <f t="shared" si="27"/>
        <v>136.626</v>
      </c>
      <c r="K334" s="36">
        <f t="shared" si="28"/>
        <v>110.08152</v>
      </c>
      <c r="L334" s="36">
        <f t="shared" si="29"/>
        <v>122.3128</v>
      </c>
      <c r="M334" s="41"/>
    </row>
    <row r="335" ht="15" spans="1:13">
      <c r="A335" s="27" t="s">
        <v>139</v>
      </c>
      <c r="B335" s="33" t="s">
        <v>31</v>
      </c>
      <c r="C335" s="29" t="s">
        <v>21</v>
      </c>
      <c r="D335" s="30" t="s">
        <v>28</v>
      </c>
      <c r="E335" s="29" t="s">
        <v>23</v>
      </c>
      <c r="F335" s="34" t="s">
        <v>32</v>
      </c>
      <c r="G335" s="35">
        <f t="shared" si="25"/>
        <v>10.4081020255064</v>
      </c>
      <c r="H335" s="36">
        <f t="shared" si="26"/>
        <v>124.866</v>
      </c>
      <c r="I335" s="40">
        <v>138.74</v>
      </c>
      <c r="J335" s="36">
        <f t="shared" si="27"/>
        <v>145.677</v>
      </c>
      <c r="K335" s="36">
        <f t="shared" si="28"/>
        <v>117.37404</v>
      </c>
      <c r="L335" s="36">
        <f t="shared" si="29"/>
        <v>130.4156</v>
      </c>
      <c r="M335" s="41"/>
    </row>
    <row r="336" ht="15" spans="1:13">
      <c r="A336" s="27" t="s">
        <v>139</v>
      </c>
      <c r="B336" s="33" t="s">
        <v>31</v>
      </c>
      <c r="C336" s="29" t="s">
        <v>41</v>
      </c>
      <c r="D336" s="30" t="s">
        <v>28</v>
      </c>
      <c r="E336" s="29" t="s">
        <v>23</v>
      </c>
      <c r="F336" s="34" t="s">
        <v>32</v>
      </c>
      <c r="G336" s="35">
        <f t="shared" si="25"/>
        <v>14.2768192048012</v>
      </c>
      <c r="H336" s="36">
        <f t="shared" si="26"/>
        <v>171.279</v>
      </c>
      <c r="I336" s="40">
        <v>190.31</v>
      </c>
      <c r="J336" s="36">
        <f t="shared" si="27"/>
        <v>199.8255</v>
      </c>
      <c r="K336" s="36">
        <f t="shared" si="28"/>
        <v>161.00226</v>
      </c>
      <c r="L336" s="36">
        <f t="shared" si="29"/>
        <v>178.8914</v>
      </c>
      <c r="M336" s="41"/>
    </row>
    <row r="337" ht="15" spans="1:13">
      <c r="A337" s="27" t="s">
        <v>139</v>
      </c>
      <c r="B337" s="33" t="s">
        <v>80</v>
      </c>
      <c r="C337" s="29" t="s">
        <v>27</v>
      </c>
      <c r="D337" s="30" t="s">
        <v>28</v>
      </c>
      <c r="E337" s="29" t="s">
        <v>23</v>
      </c>
      <c r="F337" s="34" t="s">
        <v>32</v>
      </c>
      <c r="G337" s="35">
        <f t="shared" si="25"/>
        <v>9.847711927982</v>
      </c>
      <c r="H337" s="36">
        <f t="shared" si="26"/>
        <v>118.143</v>
      </c>
      <c r="I337" s="40">
        <v>131.27</v>
      </c>
      <c r="J337" s="36">
        <f t="shared" si="27"/>
        <v>137.8335</v>
      </c>
      <c r="K337" s="36">
        <f t="shared" si="28"/>
        <v>111.05442</v>
      </c>
      <c r="L337" s="36">
        <f t="shared" si="29"/>
        <v>123.3938</v>
      </c>
      <c r="M337" s="41"/>
    </row>
    <row r="338" ht="15" spans="1:13">
      <c r="A338" s="27" t="s">
        <v>139</v>
      </c>
      <c r="B338" s="33" t="s">
        <v>80</v>
      </c>
      <c r="C338" s="29" t="s">
        <v>21</v>
      </c>
      <c r="D338" s="30" t="s">
        <v>28</v>
      </c>
      <c r="E338" s="29" t="s">
        <v>23</v>
      </c>
      <c r="F338" s="34" t="s">
        <v>32</v>
      </c>
      <c r="G338" s="35">
        <f t="shared" si="25"/>
        <v>10.5138784696174</v>
      </c>
      <c r="H338" s="36">
        <f t="shared" si="26"/>
        <v>126.135</v>
      </c>
      <c r="I338" s="40">
        <v>140.15</v>
      </c>
      <c r="J338" s="36">
        <f t="shared" si="27"/>
        <v>147.1575</v>
      </c>
      <c r="K338" s="36">
        <f t="shared" si="28"/>
        <v>118.5669</v>
      </c>
      <c r="L338" s="36">
        <f t="shared" si="29"/>
        <v>131.741</v>
      </c>
      <c r="M338" s="41"/>
    </row>
    <row r="339" ht="15" spans="1:13">
      <c r="A339" s="27" t="s">
        <v>139</v>
      </c>
      <c r="B339" s="33" t="s">
        <v>80</v>
      </c>
      <c r="C339" s="29" t="s">
        <v>41</v>
      </c>
      <c r="D339" s="30" t="s">
        <v>28</v>
      </c>
      <c r="E339" s="29" t="s">
        <v>23</v>
      </c>
      <c r="F339" s="34" t="s">
        <v>32</v>
      </c>
      <c r="G339" s="35">
        <f t="shared" si="25"/>
        <v>14.5603900975244</v>
      </c>
      <c r="H339" s="36">
        <f t="shared" si="26"/>
        <v>174.681</v>
      </c>
      <c r="I339" s="40">
        <v>194.09</v>
      </c>
      <c r="J339" s="36">
        <f t="shared" si="27"/>
        <v>203.7945</v>
      </c>
      <c r="K339" s="36">
        <f t="shared" si="28"/>
        <v>164.20014</v>
      </c>
      <c r="L339" s="36">
        <f t="shared" si="29"/>
        <v>182.4446</v>
      </c>
      <c r="M339" s="41"/>
    </row>
    <row r="340" ht="15" spans="1:13">
      <c r="A340" s="27" t="s">
        <v>139</v>
      </c>
      <c r="B340" s="33" t="s">
        <v>83</v>
      </c>
      <c r="C340" s="29" t="s">
        <v>27</v>
      </c>
      <c r="D340" s="30" t="s">
        <v>28</v>
      </c>
      <c r="E340" s="29" t="s">
        <v>23</v>
      </c>
      <c r="F340" s="34" t="s">
        <v>34</v>
      </c>
      <c r="G340" s="35">
        <f t="shared" si="25"/>
        <v>11.2873218304576</v>
      </c>
      <c r="H340" s="36">
        <f t="shared" si="26"/>
        <v>135.414</v>
      </c>
      <c r="I340" s="40">
        <v>150.46</v>
      </c>
      <c r="J340" s="36">
        <f t="shared" si="27"/>
        <v>157.983</v>
      </c>
      <c r="K340" s="36">
        <f t="shared" si="28"/>
        <v>127.28916</v>
      </c>
      <c r="L340" s="36">
        <f t="shared" si="29"/>
        <v>141.4324</v>
      </c>
      <c r="M340" s="41"/>
    </row>
    <row r="341" ht="15" spans="1:13">
      <c r="A341" s="27" t="s">
        <v>139</v>
      </c>
      <c r="B341" s="33" t="s">
        <v>83</v>
      </c>
      <c r="C341" s="29" t="s">
        <v>21</v>
      </c>
      <c r="D341" s="30" t="s">
        <v>28</v>
      </c>
      <c r="E341" s="29" t="s">
        <v>23</v>
      </c>
      <c r="F341" s="34" t="s">
        <v>34</v>
      </c>
      <c r="G341" s="35">
        <f t="shared" si="25"/>
        <v>12.1200300075019</v>
      </c>
      <c r="H341" s="36">
        <f t="shared" si="26"/>
        <v>145.404</v>
      </c>
      <c r="I341" s="40">
        <v>161.56</v>
      </c>
      <c r="J341" s="36">
        <f t="shared" si="27"/>
        <v>169.638</v>
      </c>
      <c r="K341" s="36">
        <f t="shared" si="28"/>
        <v>136.67976</v>
      </c>
      <c r="L341" s="36">
        <f t="shared" si="29"/>
        <v>151.8664</v>
      </c>
      <c r="M341" s="41"/>
    </row>
    <row r="342" ht="15" spans="1:13">
      <c r="A342" s="27" t="s">
        <v>139</v>
      </c>
      <c r="B342" s="33" t="s">
        <v>83</v>
      </c>
      <c r="C342" s="29" t="s">
        <v>41</v>
      </c>
      <c r="D342" s="30" t="s">
        <v>28</v>
      </c>
      <c r="E342" s="29" t="s">
        <v>23</v>
      </c>
      <c r="F342" s="34" t="s">
        <v>34</v>
      </c>
      <c r="G342" s="35">
        <f t="shared" si="25"/>
        <v>16.3780945236309</v>
      </c>
      <c r="H342" s="36">
        <f t="shared" si="26"/>
        <v>196.488</v>
      </c>
      <c r="I342" s="40">
        <v>218.32</v>
      </c>
      <c r="J342" s="36">
        <f t="shared" si="27"/>
        <v>229.236</v>
      </c>
      <c r="K342" s="36">
        <f t="shared" si="28"/>
        <v>184.69872</v>
      </c>
      <c r="L342" s="36">
        <f t="shared" si="29"/>
        <v>205.2208</v>
      </c>
      <c r="M342" s="41"/>
    </row>
    <row r="343" ht="15" spans="1:13">
      <c r="A343" s="27" t="s">
        <v>139</v>
      </c>
      <c r="B343" s="33" t="s">
        <v>33</v>
      </c>
      <c r="C343" s="29" t="s">
        <v>27</v>
      </c>
      <c r="D343" s="30" t="s">
        <v>28</v>
      </c>
      <c r="E343" s="29" t="s">
        <v>23</v>
      </c>
      <c r="F343" s="34" t="s">
        <v>34</v>
      </c>
      <c r="G343" s="35">
        <f t="shared" si="25"/>
        <v>11.1845461365341</v>
      </c>
      <c r="H343" s="36">
        <f t="shared" si="26"/>
        <v>134.181</v>
      </c>
      <c r="I343" s="40">
        <v>149.09</v>
      </c>
      <c r="J343" s="36">
        <f t="shared" si="27"/>
        <v>156.5445</v>
      </c>
      <c r="K343" s="36">
        <f t="shared" si="28"/>
        <v>126.13014</v>
      </c>
      <c r="L343" s="36">
        <f t="shared" si="29"/>
        <v>140.1446</v>
      </c>
      <c r="M343" s="41"/>
    </row>
    <row r="344" ht="15" spans="1:13">
      <c r="A344" s="27" t="s">
        <v>139</v>
      </c>
      <c r="B344" s="33" t="s">
        <v>33</v>
      </c>
      <c r="C344" s="29" t="s">
        <v>21</v>
      </c>
      <c r="D344" s="30" t="s">
        <v>28</v>
      </c>
      <c r="E344" s="29" t="s">
        <v>23</v>
      </c>
      <c r="F344" s="34" t="s">
        <v>34</v>
      </c>
      <c r="G344" s="35">
        <f t="shared" si="25"/>
        <v>12.2325581395349</v>
      </c>
      <c r="H344" s="36">
        <f t="shared" si="26"/>
        <v>146.754</v>
      </c>
      <c r="I344" s="40">
        <v>163.06</v>
      </c>
      <c r="J344" s="36">
        <f t="shared" si="27"/>
        <v>171.213</v>
      </c>
      <c r="K344" s="36">
        <f t="shared" si="28"/>
        <v>137.94876</v>
      </c>
      <c r="L344" s="36">
        <f t="shared" si="29"/>
        <v>153.2764</v>
      </c>
      <c r="M344" s="41"/>
    </row>
    <row r="345" ht="15" spans="1:13">
      <c r="A345" s="27" t="s">
        <v>139</v>
      </c>
      <c r="B345" s="33" t="s">
        <v>84</v>
      </c>
      <c r="C345" s="29" t="s">
        <v>21</v>
      </c>
      <c r="D345" s="30" t="s">
        <v>28</v>
      </c>
      <c r="E345" s="29" t="s">
        <v>23</v>
      </c>
      <c r="F345" s="34" t="s">
        <v>36</v>
      </c>
      <c r="G345" s="35">
        <f t="shared" si="25"/>
        <v>11.5603900975244</v>
      </c>
      <c r="H345" s="36">
        <f t="shared" si="26"/>
        <v>138.69</v>
      </c>
      <c r="I345" s="40">
        <v>154.1</v>
      </c>
      <c r="J345" s="36">
        <f t="shared" si="27"/>
        <v>161.805</v>
      </c>
      <c r="K345" s="36">
        <f t="shared" si="28"/>
        <v>130.3686</v>
      </c>
      <c r="L345" s="36">
        <f t="shared" si="29"/>
        <v>144.854</v>
      </c>
      <c r="M345" s="41"/>
    </row>
    <row r="346" ht="15" spans="1:13">
      <c r="A346" s="27" t="s">
        <v>139</v>
      </c>
      <c r="B346" s="33" t="s">
        <v>84</v>
      </c>
      <c r="C346" s="29" t="s">
        <v>41</v>
      </c>
      <c r="D346" s="30" t="s">
        <v>28</v>
      </c>
      <c r="E346" s="29" t="s">
        <v>23</v>
      </c>
      <c r="F346" s="34" t="s">
        <v>36</v>
      </c>
      <c r="G346" s="35">
        <f t="shared" si="25"/>
        <v>15.576144036009</v>
      </c>
      <c r="H346" s="36">
        <f t="shared" si="26"/>
        <v>186.867</v>
      </c>
      <c r="I346" s="40">
        <v>207.63</v>
      </c>
      <c r="J346" s="36">
        <f t="shared" si="27"/>
        <v>218.0115</v>
      </c>
      <c r="K346" s="36">
        <f t="shared" si="28"/>
        <v>175.65498</v>
      </c>
      <c r="L346" s="36">
        <f t="shared" si="29"/>
        <v>195.1722</v>
      </c>
      <c r="M346" s="41"/>
    </row>
    <row r="347" ht="15" spans="1:13">
      <c r="A347" s="27" t="s">
        <v>139</v>
      </c>
      <c r="B347" s="33" t="s">
        <v>35</v>
      </c>
      <c r="C347" s="29" t="s">
        <v>27</v>
      </c>
      <c r="D347" s="30" t="s">
        <v>28</v>
      </c>
      <c r="E347" s="29" t="s">
        <v>23</v>
      </c>
      <c r="F347" s="34" t="s">
        <v>36</v>
      </c>
      <c r="G347" s="35">
        <f t="shared" si="25"/>
        <v>10.4268567141785</v>
      </c>
      <c r="H347" s="36">
        <f t="shared" si="26"/>
        <v>125.091</v>
      </c>
      <c r="I347" s="40">
        <v>138.99</v>
      </c>
      <c r="J347" s="36">
        <f t="shared" si="27"/>
        <v>145.9395</v>
      </c>
      <c r="K347" s="36">
        <f t="shared" si="28"/>
        <v>117.58554</v>
      </c>
      <c r="L347" s="36">
        <f t="shared" si="29"/>
        <v>130.6506</v>
      </c>
      <c r="M347" s="41"/>
    </row>
    <row r="348" ht="28.2" spans="1:13">
      <c r="A348" s="27" t="s">
        <v>139</v>
      </c>
      <c r="B348" s="33" t="s">
        <v>144</v>
      </c>
      <c r="C348" s="29" t="s">
        <v>21</v>
      </c>
      <c r="D348" s="30" t="s">
        <v>28</v>
      </c>
      <c r="E348" s="29" t="s">
        <v>23</v>
      </c>
      <c r="F348" s="34" t="s">
        <v>36</v>
      </c>
      <c r="G348" s="35">
        <f t="shared" si="25"/>
        <v>15.3038259564891</v>
      </c>
      <c r="H348" s="36">
        <f t="shared" si="26"/>
        <v>183.6</v>
      </c>
      <c r="I348" s="40">
        <v>204</v>
      </c>
      <c r="J348" s="36">
        <f t="shared" si="27"/>
        <v>214.2</v>
      </c>
      <c r="K348" s="36">
        <f t="shared" si="28"/>
        <v>172.584</v>
      </c>
      <c r="L348" s="36">
        <f t="shared" si="29"/>
        <v>191.76</v>
      </c>
      <c r="M348" s="43" t="s">
        <v>145</v>
      </c>
    </row>
    <row r="349" ht="15" spans="1:13">
      <c r="A349" s="27" t="s">
        <v>139</v>
      </c>
      <c r="B349" s="33" t="s">
        <v>85</v>
      </c>
      <c r="C349" s="29" t="s">
        <v>27</v>
      </c>
      <c r="D349" s="30" t="s">
        <v>22</v>
      </c>
      <c r="E349" s="29" t="s">
        <v>23</v>
      </c>
      <c r="F349" s="34" t="s">
        <v>36</v>
      </c>
      <c r="G349" s="35">
        <f t="shared" si="25"/>
        <v>10.9459864966242</v>
      </c>
      <c r="H349" s="36">
        <f t="shared" si="26"/>
        <v>131.319</v>
      </c>
      <c r="I349" s="40">
        <v>145.91</v>
      </c>
      <c r="J349" s="36">
        <f t="shared" si="27"/>
        <v>153.2055</v>
      </c>
      <c r="K349" s="36">
        <f t="shared" si="28"/>
        <v>123.43986</v>
      </c>
      <c r="L349" s="36">
        <f t="shared" si="29"/>
        <v>137.1554</v>
      </c>
      <c r="M349" s="41"/>
    </row>
    <row r="350" ht="15" spans="1:13">
      <c r="A350" s="27" t="s">
        <v>139</v>
      </c>
      <c r="B350" s="33" t="s">
        <v>85</v>
      </c>
      <c r="C350" s="29" t="s">
        <v>21</v>
      </c>
      <c r="D350" s="30" t="s">
        <v>22</v>
      </c>
      <c r="E350" s="29" t="s">
        <v>23</v>
      </c>
      <c r="F350" s="34" t="s">
        <v>36</v>
      </c>
      <c r="G350" s="35">
        <f t="shared" si="25"/>
        <v>11.8199549887472</v>
      </c>
      <c r="H350" s="36">
        <f t="shared" si="26"/>
        <v>141.804</v>
      </c>
      <c r="I350" s="40">
        <v>157.56</v>
      </c>
      <c r="J350" s="36">
        <f t="shared" si="27"/>
        <v>165.438</v>
      </c>
      <c r="K350" s="36">
        <f t="shared" si="28"/>
        <v>133.29576</v>
      </c>
      <c r="L350" s="36">
        <f t="shared" si="29"/>
        <v>148.1064</v>
      </c>
      <c r="M350" s="41"/>
    </row>
    <row r="351" ht="15" spans="1:13">
      <c r="A351" s="27" t="s">
        <v>139</v>
      </c>
      <c r="B351" s="33" t="s">
        <v>85</v>
      </c>
      <c r="C351" s="29" t="s">
        <v>41</v>
      </c>
      <c r="D351" s="30" t="s">
        <v>22</v>
      </c>
      <c r="E351" s="29" t="s">
        <v>23</v>
      </c>
      <c r="F351" s="34" t="s">
        <v>36</v>
      </c>
      <c r="G351" s="35">
        <f t="shared" si="25"/>
        <v>15.7164291072768</v>
      </c>
      <c r="H351" s="36">
        <f t="shared" si="26"/>
        <v>188.55</v>
      </c>
      <c r="I351" s="40">
        <v>209.5</v>
      </c>
      <c r="J351" s="36">
        <f t="shared" si="27"/>
        <v>219.975</v>
      </c>
      <c r="K351" s="36">
        <f t="shared" si="28"/>
        <v>177.237</v>
      </c>
      <c r="L351" s="36">
        <f t="shared" si="29"/>
        <v>196.93</v>
      </c>
      <c r="M351" s="41"/>
    </row>
    <row r="352" ht="15" spans="1:13">
      <c r="A352" s="27" t="s">
        <v>139</v>
      </c>
      <c r="B352" s="33" t="s">
        <v>86</v>
      </c>
      <c r="C352" s="29" t="s">
        <v>21</v>
      </c>
      <c r="D352" s="30" t="s">
        <v>22</v>
      </c>
      <c r="E352" s="29" t="s">
        <v>23</v>
      </c>
      <c r="F352" s="34" t="s">
        <v>38</v>
      </c>
      <c r="G352" s="35">
        <f t="shared" si="25"/>
        <v>13.3990997749437</v>
      </c>
      <c r="H352" s="36">
        <f t="shared" si="26"/>
        <v>160.749</v>
      </c>
      <c r="I352" s="40">
        <v>178.61</v>
      </c>
      <c r="J352" s="36">
        <f t="shared" si="27"/>
        <v>187.5405</v>
      </c>
      <c r="K352" s="36">
        <f t="shared" si="28"/>
        <v>151.10406</v>
      </c>
      <c r="L352" s="36">
        <f t="shared" si="29"/>
        <v>167.8934</v>
      </c>
      <c r="M352" s="41"/>
    </row>
    <row r="353" ht="15" spans="1:13">
      <c r="A353" s="27" t="s">
        <v>139</v>
      </c>
      <c r="B353" s="33" t="s">
        <v>86</v>
      </c>
      <c r="C353" s="29" t="s">
        <v>41</v>
      </c>
      <c r="D353" s="30" t="s">
        <v>22</v>
      </c>
      <c r="E353" s="29" t="s">
        <v>23</v>
      </c>
      <c r="F353" s="34" t="s">
        <v>36</v>
      </c>
      <c r="G353" s="35">
        <f t="shared" si="25"/>
        <v>17.2730682670668</v>
      </c>
      <c r="H353" s="36">
        <f t="shared" si="26"/>
        <v>207.225</v>
      </c>
      <c r="I353" s="40">
        <v>230.25</v>
      </c>
      <c r="J353" s="36">
        <f t="shared" si="27"/>
        <v>241.7625</v>
      </c>
      <c r="K353" s="36">
        <f t="shared" si="28"/>
        <v>194.7915</v>
      </c>
      <c r="L353" s="36">
        <f t="shared" si="29"/>
        <v>216.435</v>
      </c>
      <c r="M353" s="41"/>
    </row>
    <row r="354" ht="15" spans="1:13">
      <c r="A354" s="27" t="s">
        <v>139</v>
      </c>
      <c r="B354" s="33" t="s">
        <v>86</v>
      </c>
      <c r="C354" s="29" t="s">
        <v>71</v>
      </c>
      <c r="D354" s="30" t="s">
        <v>22</v>
      </c>
      <c r="E354" s="29" t="s">
        <v>23</v>
      </c>
      <c r="F354" s="34" t="s">
        <v>36</v>
      </c>
      <c r="G354" s="35">
        <f t="shared" si="25"/>
        <v>21.2430607651913</v>
      </c>
      <c r="H354" s="36">
        <f t="shared" si="26"/>
        <v>254.853</v>
      </c>
      <c r="I354" s="40">
        <v>283.17</v>
      </c>
      <c r="J354" s="36">
        <f t="shared" si="27"/>
        <v>297.3285</v>
      </c>
      <c r="K354" s="36">
        <f t="shared" si="28"/>
        <v>239.56182</v>
      </c>
      <c r="L354" s="36">
        <f t="shared" si="29"/>
        <v>266.1798</v>
      </c>
      <c r="M354" s="41"/>
    </row>
    <row r="355" ht="15" spans="1:13">
      <c r="A355" s="27" t="s">
        <v>139</v>
      </c>
      <c r="B355" s="33" t="s">
        <v>37</v>
      </c>
      <c r="C355" s="29" t="s">
        <v>30</v>
      </c>
      <c r="D355" s="30" t="s">
        <v>22</v>
      </c>
      <c r="E355" s="29" t="s">
        <v>23</v>
      </c>
      <c r="F355" s="34" t="s">
        <v>40</v>
      </c>
      <c r="G355" s="35">
        <f t="shared" si="25"/>
        <v>11.5836459114779</v>
      </c>
      <c r="H355" s="36">
        <f t="shared" si="26"/>
        <v>138.969</v>
      </c>
      <c r="I355" s="40">
        <v>154.41</v>
      </c>
      <c r="J355" s="36">
        <f t="shared" si="27"/>
        <v>162.1305</v>
      </c>
      <c r="K355" s="36">
        <f t="shared" si="28"/>
        <v>130.63086</v>
      </c>
      <c r="L355" s="36">
        <f t="shared" si="29"/>
        <v>145.1454</v>
      </c>
      <c r="M355" s="41"/>
    </row>
    <row r="356" ht="15" spans="1:13">
      <c r="A356" s="27" t="s">
        <v>139</v>
      </c>
      <c r="B356" s="33" t="s">
        <v>37</v>
      </c>
      <c r="C356" s="29" t="s">
        <v>27</v>
      </c>
      <c r="D356" s="30" t="s">
        <v>22</v>
      </c>
      <c r="E356" s="29" t="s">
        <v>23</v>
      </c>
      <c r="F356" s="34" t="s">
        <v>38</v>
      </c>
      <c r="G356" s="35">
        <f t="shared" si="25"/>
        <v>12.377344336084</v>
      </c>
      <c r="H356" s="36">
        <f t="shared" si="26"/>
        <v>148.491</v>
      </c>
      <c r="I356" s="40">
        <v>164.99</v>
      </c>
      <c r="J356" s="36">
        <f t="shared" si="27"/>
        <v>173.2395</v>
      </c>
      <c r="K356" s="36">
        <f t="shared" si="28"/>
        <v>139.58154</v>
      </c>
      <c r="L356" s="36">
        <f t="shared" si="29"/>
        <v>155.0906</v>
      </c>
      <c r="M356" s="41"/>
    </row>
    <row r="357" ht="15" spans="1:13">
      <c r="A357" s="27" t="s">
        <v>139</v>
      </c>
      <c r="B357" s="33" t="s">
        <v>37</v>
      </c>
      <c r="C357" s="29" t="s">
        <v>21</v>
      </c>
      <c r="D357" s="30" t="s">
        <v>22</v>
      </c>
      <c r="E357" s="29" t="s">
        <v>23</v>
      </c>
      <c r="F357" s="34" t="s">
        <v>38</v>
      </c>
      <c r="G357" s="35">
        <f t="shared" si="25"/>
        <v>13.4351087771943</v>
      </c>
      <c r="H357" s="36">
        <f t="shared" si="26"/>
        <v>161.181</v>
      </c>
      <c r="I357" s="40">
        <v>179.09</v>
      </c>
      <c r="J357" s="36">
        <f t="shared" si="27"/>
        <v>188.0445</v>
      </c>
      <c r="K357" s="36">
        <f t="shared" si="28"/>
        <v>151.51014</v>
      </c>
      <c r="L357" s="36">
        <f t="shared" si="29"/>
        <v>168.3446</v>
      </c>
      <c r="M357" s="41"/>
    </row>
    <row r="358" ht="15" spans="1:13">
      <c r="A358" s="27" t="s">
        <v>139</v>
      </c>
      <c r="B358" s="33" t="s">
        <v>37</v>
      </c>
      <c r="C358" s="29" t="s">
        <v>41</v>
      </c>
      <c r="D358" s="30" t="s">
        <v>22</v>
      </c>
      <c r="E358" s="29" t="s">
        <v>23</v>
      </c>
      <c r="F358" s="34" t="s">
        <v>38</v>
      </c>
      <c r="G358" s="35">
        <f t="shared" si="25"/>
        <v>16.9789947486872</v>
      </c>
      <c r="H358" s="36">
        <f t="shared" si="26"/>
        <v>203.697</v>
      </c>
      <c r="I358" s="40">
        <v>226.33</v>
      </c>
      <c r="J358" s="36">
        <f t="shared" si="27"/>
        <v>237.6465</v>
      </c>
      <c r="K358" s="36">
        <f t="shared" si="28"/>
        <v>191.47518</v>
      </c>
      <c r="L358" s="36">
        <f t="shared" si="29"/>
        <v>212.7502</v>
      </c>
      <c r="M358" s="41"/>
    </row>
    <row r="359" ht="15" spans="1:13">
      <c r="A359" s="27" t="s">
        <v>139</v>
      </c>
      <c r="B359" s="33" t="s">
        <v>39</v>
      </c>
      <c r="C359" s="29" t="s">
        <v>27</v>
      </c>
      <c r="D359" s="30" t="s">
        <v>22</v>
      </c>
      <c r="E359" s="29" t="s">
        <v>23</v>
      </c>
      <c r="F359" s="34" t="s">
        <v>40</v>
      </c>
      <c r="G359" s="35">
        <f t="shared" si="25"/>
        <v>12.6654163540885</v>
      </c>
      <c r="H359" s="36">
        <f t="shared" si="26"/>
        <v>151.947</v>
      </c>
      <c r="I359" s="40">
        <v>168.83</v>
      </c>
      <c r="J359" s="36">
        <f t="shared" si="27"/>
        <v>177.2715</v>
      </c>
      <c r="K359" s="36">
        <f t="shared" si="28"/>
        <v>142.83018</v>
      </c>
      <c r="L359" s="36">
        <f t="shared" si="29"/>
        <v>158.7002</v>
      </c>
      <c r="M359" s="41"/>
    </row>
    <row r="360" ht="15" spans="1:13">
      <c r="A360" s="27" t="s">
        <v>139</v>
      </c>
      <c r="B360" s="33" t="s">
        <v>39</v>
      </c>
      <c r="C360" s="29" t="s">
        <v>21</v>
      </c>
      <c r="D360" s="30" t="s">
        <v>22</v>
      </c>
      <c r="E360" s="29" t="s">
        <v>23</v>
      </c>
      <c r="F360" s="34" t="s">
        <v>40</v>
      </c>
      <c r="G360" s="35">
        <f t="shared" si="25"/>
        <v>13.4816204051013</v>
      </c>
      <c r="H360" s="36">
        <f t="shared" si="26"/>
        <v>161.739</v>
      </c>
      <c r="I360" s="40">
        <v>179.71</v>
      </c>
      <c r="J360" s="36">
        <f t="shared" si="27"/>
        <v>188.6955</v>
      </c>
      <c r="K360" s="36">
        <f t="shared" si="28"/>
        <v>152.03466</v>
      </c>
      <c r="L360" s="36">
        <f t="shared" si="29"/>
        <v>168.9274</v>
      </c>
      <c r="M360" s="41"/>
    </row>
    <row r="361" ht="15" spans="1:13">
      <c r="A361" s="27" t="s">
        <v>139</v>
      </c>
      <c r="B361" s="33" t="s">
        <v>39</v>
      </c>
      <c r="C361" s="29" t="s">
        <v>41</v>
      </c>
      <c r="D361" s="30" t="s">
        <v>22</v>
      </c>
      <c r="E361" s="29" t="s">
        <v>23</v>
      </c>
      <c r="F361" s="34" t="s">
        <v>40</v>
      </c>
      <c r="G361" s="35">
        <f t="shared" si="25"/>
        <v>17.4666166541635</v>
      </c>
      <c r="H361" s="36">
        <f t="shared" si="26"/>
        <v>209.547</v>
      </c>
      <c r="I361" s="40">
        <v>232.83</v>
      </c>
      <c r="J361" s="36">
        <f t="shared" si="27"/>
        <v>244.4715</v>
      </c>
      <c r="K361" s="36">
        <f t="shared" si="28"/>
        <v>196.97418</v>
      </c>
      <c r="L361" s="36">
        <f t="shared" si="29"/>
        <v>218.8602</v>
      </c>
      <c r="M361" s="41"/>
    </row>
    <row r="362" ht="15" spans="1:13">
      <c r="A362" s="27" t="s">
        <v>139</v>
      </c>
      <c r="B362" s="33" t="s">
        <v>39</v>
      </c>
      <c r="C362" s="29" t="s">
        <v>55</v>
      </c>
      <c r="D362" s="30" t="s">
        <v>22</v>
      </c>
      <c r="E362" s="29" t="s">
        <v>23</v>
      </c>
      <c r="F362" s="34" t="s">
        <v>40</v>
      </c>
      <c r="G362" s="35">
        <f t="shared" si="25"/>
        <v>27.0277569392348</v>
      </c>
      <c r="H362" s="36">
        <f t="shared" si="26"/>
        <v>324.252</v>
      </c>
      <c r="I362" s="40">
        <v>360.28</v>
      </c>
      <c r="J362" s="36">
        <f t="shared" si="27"/>
        <v>378.294</v>
      </c>
      <c r="K362" s="36">
        <f t="shared" si="28"/>
        <v>304.79688</v>
      </c>
      <c r="L362" s="36">
        <f t="shared" si="29"/>
        <v>338.6632</v>
      </c>
      <c r="M362" s="41"/>
    </row>
    <row r="363" ht="15" spans="1:13">
      <c r="A363" s="27" t="s">
        <v>139</v>
      </c>
      <c r="B363" s="33" t="s">
        <v>42</v>
      </c>
      <c r="C363" s="29" t="s">
        <v>27</v>
      </c>
      <c r="D363" s="30" t="s">
        <v>22</v>
      </c>
      <c r="E363" s="29" t="s">
        <v>23</v>
      </c>
      <c r="F363" s="34" t="s">
        <v>43</v>
      </c>
      <c r="G363" s="35">
        <f t="shared" si="25"/>
        <v>13.5671417854464</v>
      </c>
      <c r="H363" s="36">
        <f t="shared" si="26"/>
        <v>162.765</v>
      </c>
      <c r="I363" s="40">
        <v>180.85</v>
      </c>
      <c r="J363" s="36">
        <f t="shared" si="27"/>
        <v>189.8925</v>
      </c>
      <c r="K363" s="36">
        <f t="shared" si="28"/>
        <v>152.9991</v>
      </c>
      <c r="L363" s="36">
        <f t="shared" si="29"/>
        <v>169.999</v>
      </c>
      <c r="M363" s="41"/>
    </row>
    <row r="364" ht="15" spans="1:13">
      <c r="A364" s="27" t="s">
        <v>139</v>
      </c>
      <c r="B364" s="33" t="s">
        <v>42</v>
      </c>
      <c r="C364" s="29" t="s">
        <v>21</v>
      </c>
      <c r="D364" s="30" t="s">
        <v>22</v>
      </c>
      <c r="E364" s="29" t="s">
        <v>23</v>
      </c>
      <c r="F364" s="34" t="s">
        <v>43</v>
      </c>
      <c r="G364" s="35">
        <f t="shared" si="25"/>
        <v>14.1792948237059</v>
      </c>
      <c r="H364" s="36">
        <f t="shared" si="26"/>
        <v>170.109</v>
      </c>
      <c r="I364" s="40">
        <v>189.01</v>
      </c>
      <c r="J364" s="36">
        <f t="shared" si="27"/>
        <v>198.4605</v>
      </c>
      <c r="K364" s="36">
        <f t="shared" si="28"/>
        <v>159.90246</v>
      </c>
      <c r="L364" s="36">
        <f t="shared" si="29"/>
        <v>177.6694</v>
      </c>
      <c r="M364" s="41"/>
    </row>
    <row r="365" ht="15" spans="1:13">
      <c r="A365" s="27" t="s">
        <v>139</v>
      </c>
      <c r="B365" s="33" t="s">
        <v>42</v>
      </c>
      <c r="C365" s="29" t="s">
        <v>41</v>
      </c>
      <c r="D365" s="30" t="s">
        <v>22</v>
      </c>
      <c r="E365" s="29" t="s">
        <v>23</v>
      </c>
      <c r="F365" s="34" t="s">
        <v>43</v>
      </c>
      <c r="G365" s="35">
        <f t="shared" si="25"/>
        <v>18.7209302325581</v>
      </c>
      <c r="H365" s="36">
        <f t="shared" si="26"/>
        <v>224.595</v>
      </c>
      <c r="I365" s="40">
        <v>249.55</v>
      </c>
      <c r="J365" s="36">
        <f t="shared" si="27"/>
        <v>262.0275</v>
      </c>
      <c r="K365" s="36">
        <f t="shared" si="28"/>
        <v>211.1193</v>
      </c>
      <c r="L365" s="36">
        <f t="shared" si="29"/>
        <v>234.577</v>
      </c>
      <c r="M365" s="41"/>
    </row>
    <row r="366" ht="15" spans="1:13">
      <c r="A366" s="27" t="s">
        <v>139</v>
      </c>
      <c r="B366" s="33" t="s">
        <v>88</v>
      </c>
      <c r="C366" s="29" t="s">
        <v>27</v>
      </c>
      <c r="D366" s="30" t="s">
        <v>22</v>
      </c>
      <c r="E366" s="29" t="s">
        <v>23</v>
      </c>
      <c r="F366" s="34" t="s">
        <v>43</v>
      </c>
      <c r="G366" s="35">
        <f t="shared" si="25"/>
        <v>13.9354838709677</v>
      </c>
      <c r="H366" s="36">
        <f t="shared" si="26"/>
        <v>167.184</v>
      </c>
      <c r="I366" s="40">
        <v>185.76</v>
      </c>
      <c r="J366" s="36">
        <f t="shared" si="27"/>
        <v>195.048</v>
      </c>
      <c r="K366" s="36">
        <f t="shared" si="28"/>
        <v>157.15296</v>
      </c>
      <c r="L366" s="36">
        <f t="shared" si="29"/>
        <v>174.6144</v>
      </c>
      <c r="M366" s="41"/>
    </row>
    <row r="367" ht="15" spans="1:13">
      <c r="A367" s="27" t="s">
        <v>139</v>
      </c>
      <c r="B367" s="33" t="s">
        <v>88</v>
      </c>
      <c r="C367" s="29" t="s">
        <v>21</v>
      </c>
      <c r="D367" s="30" t="s">
        <v>22</v>
      </c>
      <c r="E367" s="29" t="s">
        <v>23</v>
      </c>
      <c r="F367" s="34" t="s">
        <v>43</v>
      </c>
      <c r="G367" s="35">
        <f t="shared" si="25"/>
        <v>14.7246811702926</v>
      </c>
      <c r="H367" s="36">
        <f t="shared" si="26"/>
        <v>176.652</v>
      </c>
      <c r="I367" s="40">
        <v>196.28</v>
      </c>
      <c r="J367" s="36">
        <f t="shared" si="27"/>
        <v>206.094</v>
      </c>
      <c r="K367" s="36">
        <f t="shared" si="28"/>
        <v>166.05288</v>
      </c>
      <c r="L367" s="36">
        <f t="shared" si="29"/>
        <v>184.5032</v>
      </c>
      <c r="M367" s="41"/>
    </row>
    <row r="368" ht="15" spans="1:13">
      <c r="A368" s="27" t="s">
        <v>139</v>
      </c>
      <c r="B368" s="33" t="s">
        <v>88</v>
      </c>
      <c r="C368" s="29" t="s">
        <v>41</v>
      </c>
      <c r="D368" s="30" t="s">
        <v>22</v>
      </c>
      <c r="E368" s="29" t="s">
        <v>23</v>
      </c>
      <c r="F368" s="34" t="s">
        <v>43</v>
      </c>
      <c r="G368" s="35">
        <f t="shared" si="25"/>
        <v>18.7689422355589</v>
      </c>
      <c r="H368" s="36">
        <f t="shared" si="26"/>
        <v>225.171</v>
      </c>
      <c r="I368" s="40">
        <v>250.19</v>
      </c>
      <c r="J368" s="36">
        <f t="shared" si="27"/>
        <v>262.6995</v>
      </c>
      <c r="K368" s="36">
        <f t="shared" si="28"/>
        <v>211.66074</v>
      </c>
      <c r="L368" s="36">
        <f t="shared" si="29"/>
        <v>235.1786</v>
      </c>
      <c r="M368" s="41"/>
    </row>
    <row r="369" ht="15" spans="1:13">
      <c r="A369" s="27" t="s">
        <v>139</v>
      </c>
      <c r="B369" s="33" t="s">
        <v>91</v>
      </c>
      <c r="C369" s="29" t="s">
        <v>27</v>
      </c>
      <c r="D369" s="30" t="s">
        <v>22</v>
      </c>
      <c r="E369" s="29" t="s">
        <v>23</v>
      </c>
      <c r="F369" s="34" t="s">
        <v>90</v>
      </c>
      <c r="G369" s="35">
        <f t="shared" si="25"/>
        <v>15.4538634658665</v>
      </c>
      <c r="H369" s="36">
        <f t="shared" si="26"/>
        <v>185.4</v>
      </c>
      <c r="I369" s="40">
        <v>206</v>
      </c>
      <c r="J369" s="36">
        <f t="shared" si="27"/>
        <v>216.3</v>
      </c>
      <c r="K369" s="36">
        <f t="shared" si="28"/>
        <v>174.276</v>
      </c>
      <c r="L369" s="36">
        <f t="shared" si="29"/>
        <v>193.64</v>
      </c>
      <c r="M369" s="41"/>
    </row>
    <row r="370" ht="15" spans="1:13">
      <c r="A370" s="27" t="s">
        <v>139</v>
      </c>
      <c r="B370" s="33" t="s">
        <v>91</v>
      </c>
      <c r="C370" s="29" t="s">
        <v>21</v>
      </c>
      <c r="D370" s="30" t="s">
        <v>22</v>
      </c>
      <c r="E370" s="29" t="s">
        <v>23</v>
      </c>
      <c r="F370" s="34" t="s">
        <v>90</v>
      </c>
      <c r="G370" s="35">
        <f t="shared" si="25"/>
        <v>16.0037509377344</v>
      </c>
      <c r="H370" s="36">
        <f t="shared" si="26"/>
        <v>191.997</v>
      </c>
      <c r="I370" s="40">
        <v>213.33</v>
      </c>
      <c r="J370" s="36">
        <f t="shared" si="27"/>
        <v>223.9965</v>
      </c>
      <c r="K370" s="36">
        <f t="shared" si="28"/>
        <v>180.47718</v>
      </c>
      <c r="L370" s="36">
        <f t="shared" si="29"/>
        <v>200.5302</v>
      </c>
      <c r="M370" s="41"/>
    </row>
    <row r="371" ht="15" spans="1:13">
      <c r="A371" s="27" t="s">
        <v>139</v>
      </c>
      <c r="B371" s="33" t="s">
        <v>91</v>
      </c>
      <c r="C371" s="29" t="s">
        <v>41</v>
      </c>
      <c r="D371" s="30" t="s">
        <v>22</v>
      </c>
      <c r="E371" s="29" t="s">
        <v>23</v>
      </c>
      <c r="F371" s="34" t="s">
        <v>90</v>
      </c>
      <c r="G371" s="35">
        <f t="shared" si="25"/>
        <v>19.8927231807952</v>
      </c>
      <c r="H371" s="36">
        <f t="shared" si="26"/>
        <v>238.653</v>
      </c>
      <c r="I371" s="40">
        <v>265.17</v>
      </c>
      <c r="J371" s="36">
        <f t="shared" si="27"/>
        <v>278.4285</v>
      </c>
      <c r="K371" s="36">
        <f t="shared" si="28"/>
        <v>224.33382</v>
      </c>
      <c r="L371" s="36">
        <f t="shared" si="29"/>
        <v>249.2598</v>
      </c>
      <c r="M371" s="41"/>
    </row>
    <row r="372" ht="15" spans="1:13">
      <c r="A372" s="27" t="s">
        <v>139</v>
      </c>
      <c r="B372" s="33" t="s">
        <v>92</v>
      </c>
      <c r="C372" s="29" t="s">
        <v>21</v>
      </c>
      <c r="D372" s="30" t="s">
        <v>22</v>
      </c>
      <c r="E372" s="29" t="s">
        <v>23</v>
      </c>
      <c r="F372" s="34" t="s">
        <v>90</v>
      </c>
      <c r="G372" s="35">
        <f t="shared" si="25"/>
        <v>16.3848462115529</v>
      </c>
      <c r="H372" s="36">
        <f t="shared" si="26"/>
        <v>196.569</v>
      </c>
      <c r="I372" s="40">
        <v>218.41</v>
      </c>
      <c r="J372" s="36">
        <f t="shared" si="27"/>
        <v>229.3305</v>
      </c>
      <c r="K372" s="36">
        <f t="shared" si="28"/>
        <v>184.77486</v>
      </c>
      <c r="L372" s="36">
        <f t="shared" si="29"/>
        <v>205.3054</v>
      </c>
      <c r="M372" s="41"/>
    </row>
    <row r="373" ht="15" spans="1:13">
      <c r="A373" s="27" t="s">
        <v>139</v>
      </c>
      <c r="B373" s="33" t="s">
        <v>20</v>
      </c>
      <c r="C373" s="29" t="s">
        <v>30</v>
      </c>
      <c r="D373" s="30" t="s">
        <v>22</v>
      </c>
      <c r="E373" s="29" t="s">
        <v>23</v>
      </c>
      <c r="F373" s="34" t="s">
        <v>24</v>
      </c>
      <c r="G373" s="35">
        <f t="shared" si="25"/>
        <v>16.4793698424606</v>
      </c>
      <c r="H373" s="36">
        <f t="shared" si="26"/>
        <v>197.703</v>
      </c>
      <c r="I373" s="40">
        <v>219.67</v>
      </c>
      <c r="J373" s="36">
        <f t="shared" si="27"/>
        <v>230.6535</v>
      </c>
      <c r="K373" s="36">
        <f t="shared" si="28"/>
        <v>185.84082</v>
      </c>
      <c r="L373" s="36">
        <f t="shared" si="29"/>
        <v>206.4898</v>
      </c>
      <c r="M373" s="41"/>
    </row>
    <row r="374" ht="15" spans="1:13">
      <c r="A374" s="27" t="s">
        <v>139</v>
      </c>
      <c r="B374" s="33" t="s">
        <v>20</v>
      </c>
      <c r="C374" s="29" t="s">
        <v>27</v>
      </c>
      <c r="D374" s="30" t="s">
        <v>22</v>
      </c>
      <c r="E374" s="29" t="s">
        <v>23</v>
      </c>
      <c r="F374" s="34" t="s">
        <v>24</v>
      </c>
      <c r="G374" s="35">
        <f t="shared" si="25"/>
        <v>16.6346586646662</v>
      </c>
      <c r="H374" s="36">
        <f t="shared" si="26"/>
        <v>199.566</v>
      </c>
      <c r="I374" s="40">
        <v>221.74</v>
      </c>
      <c r="J374" s="36">
        <f t="shared" si="27"/>
        <v>232.827</v>
      </c>
      <c r="K374" s="36">
        <f t="shared" si="28"/>
        <v>187.59204</v>
      </c>
      <c r="L374" s="36">
        <f t="shared" si="29"/>
        <v>208.4356</v>
      </c>
      <c r="M374" s="41"/>
    </row>
    <row r="375" ht="15" spans="1:13">
      <c r="A375" s="27" t="s">
        <v>139</v>
      </c>
      <c r="B375" s="33" t="s">
        <v>20</v>
      </c>
      <c r="C375" s="29" t="s">
        <v>21</v>
      </c>
      <c r="D375" s="30" t="s">
        <v>22</v>
      </c>
      <c r="E375" s="29" t="s">
        <v>23</v>
      </c>
      <c r="F375" s="34" t="s">
        <v>24</v>
      </c>
      <c r="G375" s="35">
        <f t="shared" si="25"/>
        <v>17.437359339835</v>
      </c>
      <c r="H375" s="36">
        <f t="shared" si="26"/>
        <v>209.196</v>
      </c>
      <c r="I375" s="40">
        <v>232.44</v>
      </c>
      <c r="J375" s="36">
        <f t="shared" si="27"/>
        <v>244.062</v>
      </c>
      <c r="K375" s="36">
        <f t="shared" si="28"/>
        <v>196.64424</v>
      </c>
      <c r="L375" s="36">
        <f t="shared" si="29"/>
        <v>218.4936</v>
      </c>
      <c r="M375" s="41"/>
    </row>
    <row r="376" ht="15" spans="1:13">
      <c r="A376" s="27" t="s">
        <v>139</v>
      </c>
      <c r="B376" s="33" t="s">
        <v>20</v>
      </c>
      <c r="C376" s="29" t="s">
        <v>41</v>
      </c>
      <c r="D376" s="30" t="s">
        <v>22</v>
      </c>
      <c r="E376" s="29" t="s">
        <v>23</v>
      </c>
      <c r="F376" s="34" t="s">
        <v>24</v>
      </c>
      <c r="G376" s="35">
        <f t="shared" si="25"/>
        <v>21.0052513128282</v>
      </c>
      <c r="H376" s="36">
        <f t="shared" si="26"/>
        <v>252</v>
      </c>
      <c r="I376" s="40">
        <v>280</v>
      </c>
      <c r="J376" s="36">
        <f t="shared" si="27"/>
        <v>294</v>
      </c>
      <c r="K376" s="36">
        <f t="shared" si="28"/>
        <v>236.88</v>
      </c>
      <c r="L376" s="36">
        <f t="shared" si="29"/>
        <v>263.2</v>
      </c>
      <c r="M376" s="41"/>
    </row>
    <row r="377" ht="15" spans="1:13">
      <c r="A377" s="27" t="s">
        <v>139</v>
      </c>
      <c r="B377" s="33" t="s">
        <v>20</v>
      </c>
      <c r="C377" s="29" t="s">
        <v>71</v>
      </c>
      <c r="D377" s="30" t="s">
        <v>22</v>
      </c>
      <c r="E377" s="29" t="s">
        <v>23</v>
      </c>
      <c r="F377" s="34" t="s">
        <v>90</v>
      </c>
      <c r="G377" s="35">
        <f t="shared" si="25"/>
        <v>26.0345086271568</v>
      </c>
      <c r="H377" s="36">
        <f t="shared" si="26"/>
        <v>312.336</v>
      </c>
      <c r="I377" s="40">
        <v>347.04</v>
      </c>
      <c r="J377" s="36">
        <f t="shared" si="27"/>
        <v>364.392</v>
      </c>
      <c r="K377" s="36">
        <f t="shared" si="28"/>
        <v>293.59584</v>
      </c>
      <c r="L377" s="36">
        <f t="shared" si="29"/>
        <v>326.2176</v>
      </c>
      <c r="M377" s="41"/>
    </row>
    <row r="378" ht="15" spans="1:13">
      <c r="A378" s="27" t="s">
        <v>139</v>
      </c>
      <c r="B378" s="33" t="s">
        <v>93</v>
      </c>
      <c r="C378" s="29" t="s">
        <v>41</v>
      </c>
      <c r="D378" s="30" t="s">
        <v>22</v>
      </c>
      <c r="E378" s="29" t="s">
        <v>23</v>
      </c>
      <c r="F378" s="34" t="s">
        <v>24</v>
      </c>
      <c r="G378" s="35">
        <f t="shared" si="25"/>
        <v>22.3735933983496</v>
      </c>
      <c r="H378" s="36">
        <f t="shared" si="26"/>
        <v>268.416</v>
      </c>
      <c r="I378" s="40">
        <v>298.24</v>
      </c>
      <c r="J378" s="36">
        <f t="shared" si="27"/>
        <v>313.152</v>
      </c>
      <c r="K378" s="36">
        <f t="shared" si="28"/>
        <v>252.31104</v>
      </c>
      <c r="L378" s="36">
        <f t="shared" si="29"/>
        <v>280.3456</v>
      </c>
      <c r="M378" s="41"/>
    </row>
    <row r="379" ht="15" spans="1:13">
      <c r="A379" s="27" t="s">
        <v>139</v>
      </c>
      <c r="B379" s="33" t="s">
        <v>94</v>
      </c>
      <c r="C379" s="29" t="s">
        <v>27</v>
      </c>
      <c r="D379" s="30" t="s">
        <v>22</v>
      </c>
      <c r="E379" s="29" t="s">
        <v>23</v>
      </c>
      <c r="F379" s="34" t="s">
        <v>95</v>
      </c>
      <c r="G379" s="35">
        <f t="shared" si="25"/>
        <v>18.3053263315829</v>
      </c>
      <c r="H379" s="36">
        <f t="shared" si="26"/>
        <v>219.609</v>
      </c>
      <c r="I379" s="40">
        <v>244.01</v>
      </c>
      <c r="J379" s="36">
        <f t="shared" si="27"/>
        <v>256.2105</v>
      </c>
      <c r="K379" s="36">
        <f t="shared" si="28"/>
        <v>206.43246</v>
      </c>
      <c r="L379" s="36">
        <f t="shared" si="29"/>
        <v>229.3694</v>
      </c>
      <c r="M379" s="41"/>
    </row>
    <row r="380" ht="15" spans="1:13">
      <c r="A380" s="27" t="s">
        <v>139</v>
      </c>
      <c r="B380" s="33" t="s">
        <v>94</v>
      </c>
      <c r="C380" s="29" t="s">
        <v>21</v>
      </c>
      <c r="D380" s="30" t="s">
        <v>22</v>
      </c>
      <c r="E380" s="29" t="s">
        <v>23</v>
      </c>
      <c r="F380" s="34" t="s">
        <v>95</v>
      </c>
      <c r="G380" s="35">
        <f t="shared" si="25"/>
        <v>18.7891972993248</v>
      </c>
      <c r="H380" s="36">
        <f t="shared" si="26"/>
        <v>225.414</v>
      </c>
      <c r="I380" s="40">
        <v>250.46</v>
      </c>
      <c r="J380" s="36">
        <f t="shared" si="27"/>
        <v>262.983</v>
      </c>
      <c r="K380" s="36">
        <f t="shared" si="28"/>
        <v>211.88916</v>
      </c>
      <c r="L380" s="36">
        <f t="shared" si="29"/>
        <v>235.4324</v>
      </c>
      <c r="M380" s="41"/>
    </row>
    <row r="381" ht="15" spans="1:13">
      <c r="A381" s="27" t="s">
        <v>139</v>
      </c>
      <c r="B381" s="33" t="s">
        <v>97</v>
      </c>
      <c r="C381" s="29" t="s">
        <v>27</v>
      </c>
      <c r="D381" s="30" t="s">
        <v>22</v>
      </c>
      <c r="E381" s="29" t="s">
        <v>23</v>
      </c>
      <c r="F381" s="34" t="s">
        <v>98</v>
      </c>
      <c r="G381" s="35">
        <f t="shared" si="25"/>
        <v>19.675168792198</v>
      </c>
      <c r="H381" s="36">
        <f t="shared" si="26"/>
        <v>236.043</v>
      </c>
      <c r="I381" s="40">
        <v>262.27</v>
      </c>
      <c r="J381" s="36">
        <f t="shared" si="27"/>
        <v>275.3835</v>
      </c>
      <c r="K381" s="36">
        <f t="shared" si="28"/>
        <v>221.88042</v>
      </c>
      <c r="L381" s="36">
        <f t="shared" si="29"/>
        <v>246.5338</v>
      </c>
      <c r="M381" s="41"/>
    </row>
    <row r="382" ht="15" spans="1:13">
      <c r="A382" s="27" t="s">
        <v>139</v>
      </c>
      <c r="B382" s="33" t="s">
        <v>97</v>
      </c>
      <c r="C382" s="29" t="s">
        <v>21</v>
      </c>
      <c r="D382" s="30" t="s">
        <v>22</v>
      </c>
      <c r="E382" s="29" t="s">
        <v>23</v>
      </c>
      <c r="F382" s="34" t="s">
        <v>98</v>
      </c>
      <c r="G382" s="35">
        <f t="shared" si="25"/>
        <v>20.7606901725431</v>
      </c>
      <c r="H382" s="36">
        <f t="shared" si="26"/>
        <v>249.066</v>
      </c>
      <c r="I382" s="40">
        <v>276.74</v>
      </c>
      <c r="J382" s="36">
        <f t="shared" si="27"/>
        <v>290.577</v>
      </c>
      <c r="K382" s="36">
        <f t="shared" si="28"/>
        <v>234.12204</v>
      </c>
      <c r="L382" s="36">
        <f t="shared" si="29"/>
        <v>260.1356</v>
      </c>
      <c r="M382" s="41"/>
    </row>
    <row r="383" ht="15" spans="1:13">
      <c r="A383" s="27" t="s">
        <v>139</v>
      </c>
      <c r="B383" s="33" t="s">
        <v>102</v>
      </c>
      <c r="C383" s="29" t="s">
        <v>21</v>
      </c>
      <c r="D383" s="30" t="s">
        <v>22</v>
      </c>
      <c r="E383" s="29" t="s">
        <v>23</v>
      </c>
      <c r="F383" s="34" t="s">
        <v>103</v>
      </c>
      <c r="G383" s="35">
        <f t="shared" si="25"/>
        <v>23.8004501125281</v>
      </c>
      <c r="H383" s="36">
        <f t="shared" si="26"/>
        <v>285.534</v>
      </c>
      <c r="I383" s="40">
        <v>317.26</v>
      </c>
      <c r="J383" s="36">
        <f t="shared" si="27"/>
        <v>333.123</v>
      </c>
      <c r="K383" s="36">
        <f t="shared" si="28"/>
        <v>268.40196</v>
      </c>
      <c r="L383" s="36">
        <f t="shared" si="29"/>
        <v>298.2244</v>
      </c>
      <c r="M383" s="41"/>
    </row>
    <row r="384" ht="15" spans="1:13">
      <c r="A384" s="27" t="s">
        <v>139</v>
      </c>
      <c r="B384" s="33" t="s">
        <v>128</v>
      </c>
      <c r="C384" s="29" t="s">
        <v>21</v>
      </c>
      <c r="D384" s="30" t="s">
        <v>22</v>
      </c>
      <c r="E384" s="29" t="s">
        <v>23</v>
      </c>
      <c r="F384" s="34" t="s">
        <v>129</v>
      </c>
      <c r="G384" s="35">
        <f t="shared" si="25"/>
        <v>26.9947486871718</v>
      </c>
      <c r="H384" s="36">
        <f t="shared" si="26"/>
        <v>323.856</v>
      </c>
      <c r="I384" s="40">
        <v>359.84</v>
      </c>
      <c r="J384" s="36">
        <f t="shared" si="27"/>
        <v>377.832</v>
      </c>
      <c r="K384" s="36">
        <f t="shared" si="28"/>
        <v>304.42464</v>
      </c>
      <c r="L384" s="36">
        <f t="shared" si="29"/>
        <v>338.2496</v>
      </c>
      <c r="M384" s="41"/>
    </row>
    <row r="385" ht="15" spans="1:13">
      <c r="A385" s="27" t="s">
        <v>146</v>
      </c>
      <c r="B385" s="33" t="s">
        <v>64</v>
      </c>
      <c r="C385" s="29" t="s">
        <v>54</v>
      </c>
      <c r="D385" s="30" t="s">
        <v>28</v>
      </c>
      <c r="E385" s="29" t="s">
        <v>23</v>
      </c>
      <c r="F385" s="34" t="s">
        <v>63</v>
      </c>
      <c r="G385" s="35">
        <f t="shared" si="25"/>
        <v>10.0150037509377</v>
      </c>
      <c r="H385" s="36">
        <f t="shared" si="26"/>
        <v>120.15</v>
      </c>
      <c r="I385" s="40">
        <v>133.5</v>
      </c>
      <c r="J385" s="36">
        <f t="shared" si="27"/>
        <v>140.175</v>
      </c>
      <c r="K385" s="36">
        <f t="shared" si="28"/>
        <v>112.941</v>
      </c>
      <c r="L385" s="36">
        <f t="shared" si="29"/>
        <v>125.49</v>
      </c>
      <c r="M385" s="41"/>
    </row>
    <row r="386" ht="15" spans="1:13">
      <c r="A386" s="27" t="s">
        <v>146</v>
      </c>
      <c r="B386" s="33" t="s">
        <v>26</v>
      </c>
      <c r="C386" s="29" t="s">
        <v>55</v>
      </c>
      <c r="D386" s="30" t="s">
        <v>28</v>
      </c>
      <c r="E386" s="29" t="s">
        <v>23</v>
      </c>
      <c r="F386" s="34" t="s">
        <v>29</v>
      </c>
      <c r="G386" s="35">
        <f t="shared" si="25"/>
        <v>24.3810952738185</v>
      </c>
      <c r="H386" s="36">
        <f t="shared" si="26"/>
        <v>292.5</v>
      </c>
      <c r="I386" s="40">
        <v>325</v>
      </c>
      <c r="J386" s="36">
        <f t="shared" si="27"/>
        <v>341.25</v>
      </c>
      <c r="K386" s="36">
        <f t="shared" si="28"/>
        <v>274.95</v>
      </c>
      <c r="L386" s="36">
        <f t="shared" si="29"/>
        <v>305.5</v>
      </c>
      <c r="M386" s="41"/>
    </row>
    <row r="387" ht="15" spans="1:13">
      <c r="A387" s="27" t="s">
        <v>146</v>
      </c>
      <c r="B387" s="33" t="s">
        <v>147</v>
      </c>
      <c r="C387" s="29" t="s">
        <v>30</v>
      </c>
      <c r="D387" s="30" t="s">
        <v>28</v>
      </c>
      <c r="E387" s="29" t="s">
        <v>23</v>
      </c>
      <c r="F387" s="34" t="s">
        <v>66</v>
      </c>
      <c r="G387" s="35">
        <f t="shared" ref="G387:G450" si="30">I387/13.33</f>
        <v>8.6271567891973</v>
      </c>
      <c r="H387" s="36">
        <f t="shared" ref="H387:H450" si="31">I387*0.9</f>
        <v>103.5</v>
      </c>
      <c r="I387" s="40">
        <v>115</v>
      </c>
      <c r="J387" s="36">
        <f t="shared" ref="J387:J450" si="32">I387*1.05</f>
        <v>120.75</v>
      </c>
      <c r="K387" s="36">
        <f t="shared" ref="K387:K450" si="33">H387*0.94</f>
        <v>97.29</v>
      </c>
      <c r="L387" s="36">
        <f t="shared" ref="L387:L450" si="34">I387*0.94</f>
        <v>108.1</v>
      </c>
      <c r="M387" s="41"/>
    </row>
    <row r="388" ht="15" spans="1:13">
      <c r="A388" s="27" t="s">
        <v>146</v>
      </c>
      <c r="B388" s="33" t="s">
        <v>148</v>
      </c>
      <c r="C388" s="29" t="s">
        <v>21</v>
      </c>
      <c r="D388" s="30" t="s">
        <v>28</v>
      </c>
      <c r="E388" s="29" t="s">
        <v>23</v>
      </c>
      <c r="F388" s="34" t="s">
        <v>76</v>
      </c>
      <c r="G388" s="35">
        <f t="shared" si="30"/>
        <v>11.0772693173293</v>
      </c>
      <c r="H388" s="36">
        <f t="shared" si="31"/>
        <v>132.894</v>
      </c>
      <c r="I388" s="40">
        <v>147.66</v>
      </c>
      <c r="J388" s="36">
        <f t="shared" si="32"/>
        <v>155.043</v>
      </c>
      <c r="K388" s="36">
        <f t="shared" si="33"/>
        <v>124.92036</v>
      </c>
      <c r="L388" s="36">
        <f t="shared" si="34"/>
        <v>138.8004</v>
      </c>
      <c r="M388" s="41"/>
    </row>
    <row r="389" ht="15" spans="1:13">
      <c r="A389" s="27" t="s">
        <v>146</v>
      </c>
      <c r="B389" s="33" t="s">
        <v>149</v>
      </c>
      <c r="C389" s="29" t="s">
        <v>41</v>
      </c>
      <c r="D389" s="30" t="s">
        <v>28</v>
      </c>
      <c r="E389" s="29" t="s">
        <v>23</v>
      </c>
      <c r="F389" s="34" t="s">
        <v>36</v>
      </c>
      <c r="G389" s="35">
        <f t="shared" si="30"/>
        <v>16.9542385596399</v>
      </c>
      <c r="H389" s="36">
        <f t="shared" si="31"/>
        <v>203.4</v>
      </c>
      <c r="I389" s="40">
        <v>226</v>
      </c>
      <c r="J389" s="36">
        <f t="shared" si="32"/>
        <v>237.3</v>
      </c>
      <c r="K389" s="36">
        <f t="shared" si="33"/>
        <v>191.196</v>
      </c>
      <c r="L389" s="36">
        <f t="shared" si="34"/>
        <v>212.44</v>
      </c>
      <c r="M389" s="41"/>
    </row>
    <row r="390" ht="15" spans="1:13">
      <c r="A390" s="27" t="s">
        <v>150</v>
      </c>
      <c r="B390" s="33" t="s">
        <v>151</v>
      </c>
      <c r="C390" s="29" t="s">
        <v>55</v>
      </c>
      <c r="D390" s="30" t="s">
        <v>28</v>
      </c>
      <c r="E390" s="29" t="s">
        <v>47</v>
      </c>
      <c r="F390" s="34" t="s">
        <v>46</v>
      </c>
      <c r="G390" s="35">
        <f t="shared" si="30"/>
        <v>23.105776444111</v>
      </c>
      <c r="H390" s="36">
        <f t="shared" si="31"/>
        <v>277.2</v>
      </c>
      <c r="I390" s="40">
        <v>308</v>
      </c>
      <c r="J390" s="36">
        <f t="shared" si="32"/>
        <v>323.4</v>
      </c>
      <c r="K390" s="36">
        <f t="shared" si="33"/>
        <v>260.568</v>
      </c>
      <c r="L390" s="36">
        <f t="shared" si="34"/>
        <v>289.52</v>
      </c>
      <c r="M390" s="41"/>
    </row>
    <row r="391" ht="15" spans="1:13">
      <c r="A391" s="27" t="s">
        <v>150</v>
      </c>
      <c r="B391" s="33" t="s">
        <v>64</v>
      </c>
      <c r="C391" s="29" t="s">
        <v>21</v>
      </c>
      <c r="D391" s="30" t="s">
        <v>28</v>
      </c>
      <c r="E391" s="29" t="s">
        <v>23</v>
      </c>
      <c r="F391" s="34" t="s">
        <v>63</v>
      </c>
      <c r="G391" s="35">
        <f t="shared" si="30"/>
        <v>7.6099024756189</v>
      </c>
      <c r="H391" s="36">
        <f t="shared" si="31"/>
        <v>91.296</v>
      </c>
      <c r="I391" s="40">
        <v>101.44</v>
      </c>
      <c r="J391" s="36">
        <f t="shared" si="32"/>
        <v>106.512</v>
      </c>
      <c r="K391" s="36">
        <f t="shared" si="33"/>
        <v>85.81824</v>
      </c>
      <c r="L391" s="36">
        <f t="shared" si="34"/>
        <v>95.3536</v>
      </c>
      <c r="M391" s="41"/>
    </row>
    <row r="392" ht="15" spans="1:13">
      <c r="A392" s="27" t="s">
        <v>150</v>
      </c>
      <c r="B392" s="33" t="s">
        <v>152</v>
      </c>
      <c r="C392" s="29" t="s">
        <v>21</v>
      </c>
      <c r="D392" s="30" t="s">
        <v>28</v>
      </c>
      <c r="E392" s="29" t="s">
        <v>23</v>
      </c>
      <c r="F392" s="34" t="s">
        <v>63</v>
      </c>
      <c r="G392" s="35">
        <f t="shared" si="30"/>
        <v>7.53863465866467</v>
      </c>
      <c r="H392" s="36">
        <f t="shared" si="31"/>
        <v>90.441</v>
      </c>
      <c r="I392" s="40">
        <v>100.49</v>
      </c>
      <c r="J392" s="36">
        <f t="shared" si="32"/>
        <v>105.5145</v>
      </c>
      <c r="K392" s="36">
        <f t="shared" si="33"/>
        <v>85.01454</v>
      </c>
      <c r="L392" s="36">
        <f t="shared" si="34"/>
        <v>94.4606</v>
      </c>
      <c r="M392" s="41"/>
    </row>
    <row r="393" ht="15" spans="1:13">
      <c r="A393" s="27" t="s">
        <v>150</v>
      </c>
      <c r="B393" s="33" t="s">
        <v>147</v>
      </c>
      <c r="C393" s="29" t="s">
        <v>21</v>
      </c>
      <c r="D393" s="30" t="s">
        <v>28</v>
      </c>
      <c r="E393" s="29" t="s">
        <v>23</v>
      </c>
      <c r="F393" s="34" t="s">
        <v>66</v>
      </c>
      <c r="G393" s="35">
        <f t="shared" si="30"/>
        <v>10.2400600150038</v>
      </c>
      <c r="H393" s="36">
        <f t="shared" si="31"/>
        <v>122.85</v>
      </c>
      <c r="I393" s="40">
        <v>136.5</v>
      </c>
      <c r="J393" s="36">
        <f t="shared" si="32"/>
        <v>143.325</v>
      </c>
      <c r="K393" s="36">
        <f t="shared" si="33"/>
        <v>115.479</v>
      </c>
      <c r="L393" s="36">
        <f t="shared" si="34"/>
        <v>128.31</v>
      </c>
      <c r="M393" s="41"/>
    </row>
    <row r="394" ht="15" spans="1:13">
      <c r="A394" s="27" t="s">
        <v>150</v>
      </c>
      <c r="B394" s="33" t="s">
        <v>153</v>
      </c>
      <c r="C394" s="29" t="s">
        <v>21</v>
      </c>
      <c r="D394" s="30" t="s">
        <v>28</v>
      </c>
      <c r="E394" s="29" t="s">
        <v>23</v>
      </c>
      <c r="F394" s="34" t="s">
        <v>68</v>
      </c>
      <c r="G394" s="35">
        <f t="shared" si="30"/>
        <v>9.29482370592648</v>
      </c>
      <c r="H394" s="36">
        <f t="shared" si="31"/>
        <v>111.51</v>
      </c>
      <c r="I394" s="40">
        <v>123.9</v>
      </c>
      <c r="J394" s="36">
        <f t="shared" si="32"/>
        <v>130.095</v>
      </c>
      <c r="K394" s="36">
        <f t="shared" si="33"/>
        <v>104.8194</v>
      </c>
      <c r="L394" s="36">
        <f t="shared" si="34"/>
        <v>116.466</v>
      </c>
      <c r="M394" s="41"/>
    </row>
    <row r="395" ht="15" spans="1:13">
      <c r="A395" s="27" t="s">
        <v>154</v>
      </c>
      <c r="B395" s="33" t="s">
        <v>151</v>
      </c>
      <c r="C395" s="29" t="s">
        <v>21</v>
      </c>
      <c r="D395" s="30" t="s">
        <v>28</v>
      </c>
      <c r="E395" s="29" t="s">
        <v>47</v>
      </c>
      <c r="F395" s="34" t="s">
        <v>155</v>
      </c>
      <c r="G395" s="35">
        <f t="shared" si="30"/>
        <v>7.62940735183796</v>
      </c>
      <c r="H395" s="36">
        <f t="shared" si="31"/>
        <v>91.53</v>
      </c>
      <c r="I395" s="40">
        <v>101.7</v>
      </c>
      <c r="J395" s="36">
        <f t="shared" si="32"/>
        <v>106.785</v>
      </c>
      <c r="K395" s="36">
        <f t="shared" si="33"/>
        <v>86.0382</v>
      </c>
      <c r="L395" s="36">
        <f t="shared" si="34"/>
        <v>95.598</v>
      </c>
      <c r="M395" s="41"/>
    </row>
    <row r="396" ht="15" spans="1:13">
      <c r="A396" s="27" t="s">
        <v>154</v>
      </c>
      <c r="B396" s="33" t="s">
        <v>115</v>
      </c>
      <c r="C396" s="29" t="s">
        <v>21</v>
      </c>
      <c r="D396" s="30" t="s">
        <v>28</v>
      </c>
      <c r="E396" s="29" t="s">
        <v>47</v>
      </c>
      <c r="F396" s="34" t="s">
        <v>116</v>
      </c>
      <c r="G396" s="35">
        <f t="shared" si="30"/>
        <v>7.54688672168042</v>
      </c>
      <c r="H396" s="36">
        <f t="shared" si="31"/>
        <v>90.54</v>
      </c>
      <c r="I396" s="40">
        <v>100.6</v>
      </c>
      <c r="J396" s="36">
        <f t="shared" si="32"/>
        <v>105.63</v>
      </c>
      <c r="K396" s="36">
        <f t="shared" si="33"/>
        <v>85.1076</v>
      </c>
      <c r="L396" s="36">
        <f t="shared" si="34"/>
        <v>94.564</v>
      </c>
      <c r="M396" s="41"/>
    </row>
    <row r="397" ht="15" spans="1:13">
      <c r="A397" s="27" t="s">
        <v>154</v>
      </c>
      <c r="B397" s="33" t="s">
        <v>50</v>
      </c>
      <c r="C397" s="29" t="s">
        <v>21</v>
      </c>
      <c r="D397" s="30" t="s">
        <v>28</v>
      </c>
      <c r="E397" s="29" t="s">
        <v>47</v>
      </c>
      <c r="F397" s="34" t="s">
        <v>51</v>
      </c>
      <c r="G397" s="35">
        <f t="shared" si="30"/>
        <v>7.48162040510128</v>
      </c>
      <c r="H397" s="36">
        <f t="shared" si="31"/>
        <v>89.757</v>
      </c>
      <c r="I397" s="40">
        <v>99.73</v>
      </c>
      <c r="J397" s="36">
        <f t="shared" si="32"/>
        <v>104.7165</v>
      </c>
      <c r="K397" s="36">
        <f t="shared" si="33"/>
        <v>84.37158</v>
      </c>
      <c r="L397" s="36">
        <f t="shared" si="34"/>
        <v>93.7462</v>
      </c>
      <c r="M397" s="41"/>
    </row>
    <row r="398" ht="15" spans="1:13">
      <c r="A398" s="27" t="s">
        <v>154</v>
      </c>
      <c r="B398" s="33" t="s">
        <v>50</v>
      </c>
      <c r="C398" s="29" t="s">
        <v>54</v>
      </c>
      <c r="D398" s="30" t="s">
        <v>28</v>
      </c>
      <c r="E398" s="29" t="s">
        <v>47</v>
      </c>
      <c r="F398" s="34" t="s">
        <v>51</v>
      </c>
      <c r="G398" s="35">
        <f t="shared" si="30"/>
        <v>9.49362340585146</v>
      </c>
      <c r="H398" s="36">
        <f t="shared" si="31"/>
        <v>113.895</v>
      </c>
      <c r="I398" s="40">
        <v>126.55</v>
      </c>
      <c r="J398" s="36">
        <f t="shared" si="32"/>
        <v>132.8775</v>
      </c>
      <c r="K398" s="36">
        <f t="shared" si="33"/>
        <v>107.0613</v>
      </c>
      <c r="L398" s="36">
        <f t="shared" si="34"/>
        <v>118.957</v>
      </c>
      <c r="M398" s="41"/>
    </row>
    <row r="399" ht="15" spans="1:13">
      <c r="A399" s="27" t="s">
        <v>154</v>
      </c>
      <c r="B399" s="33" t="s">
        <v>50</v>
      </c>
      <c r="C399" s="29" t="s">
        <v>55</v>
      </c>
      <c r="D399" s="30" t="s">
        <v>28</v>
      </c>
      <c r="E399" s="29" t="s">
        <v>23</v>
      </c>
      <c r="F399" s="34" t="s">
        <v>51</v>
      </c>
      <c r="G399" s="35">
        <f t="shared" si="30"/>
        <v>21.7134283570893</v>
      </c>
      <c r="H399" s="36">
        <f t="shared" si="31"/>
        <v>260.496</v>
      </c>
      <c r="I399" s="40">
        <v>289.44</v>
      </c>
      <c r="J399" s="36">
        <f t="shared" si="32"/>
        <v>303.912</v>
      </c>
      <c r="K399" s="36">
        <f t="shared" si="33"/>
        <v>244.86624</v>
      </c>
      <c r="L399" s="36">
        <f t="shared" si="34"/>
        <v>272.0736</v>
      </c>
      <c r="M399" s="41"/>
    </row>
    <row r="400" ht="15" spans="1:13">
      <c r="A400" s="27" t="s">
        <v>154</v>
      </c>
      <c r="B400" s="33" t="s">
        <v>50</v>
      </c>
      <c r="C400" s="29" t="s">
        <v>55</v>
      </c>
      <c r="D400" s="30" t="s">
        <v>28</v>
      </c>
      <c r="E400" s="29" t="s">
        <v>47</v>
      </c>
      <c r="F400" s="34" t="s">
        <v>116</v>
      </c>
      <c r="G400" s="35">
        <f t="shared" si="30"/>
        <v>23.1792948237059</v>
      </c>
      <c r="H400" s="36">
        <f t="shared" si="31"/>
        <v>278.082</v>
      </c>
      <c r="I400" s="40">
        <v>308.98</v>
      </c>
      <c r="J400" s="36">
        <f t="shared" si="32"/>
        <v>324.429</v>
      </c>
      <c r="K400" s="36">
        <f t="shared" si="33"/>
        <v>261.39708</v>
      </c>
      <c r="L400" s="36">
        <f t="shared" si="34"/>
        <v>290.4412</v>
      </c>
      <c r="M400" s="41"/>
    </row>
    <row r="401" ht="15" spans="1:13">
      <c r="A401" s="27" t="s">
        <v>154</v>
      </c>
      <c r="B401" s="33" t="s">
        <v>156</v>
      </c>
      <c r="C401" s="29" t="s">
        <v>21</v>
      </c>
      <c r="D401" s="30" t="s">
        <v>28</v>
      </c>
      <c r="E401" s="29" t="s">
        <v>47</v>
      </c>
      <c r="F401" s="34" t="s">
        <v>119</v>
      </c>
      <c r="G401" s="35">
        <f t="shared" si="30"/>
        <v>7.75618904726182</v>
      </c>
      <c r="H401" s="36">
        <f t="shared" si="31"/>
        <v>93.051</v>
      </c>
      <c r="I401" s="40">
        <v>103.39</v>
      </c>
      <c r="J401" s="36">
        <f t="shared" si="32"/>
        <v>108.5595</v>
      </c>
      <c r="K401" s="36">
        <f t="shared" si="33"/>
        <v>87.46794</v>
      </c>
      <c r="L401" s="36">
        <f t="shared" si="34"/>
        <v>97.1866</v>
      </c>
      <c r="M401" s="41"/>
    </row>
    <row r="402" ht="15" spans="1:13">
      <c r="A402" s="27" t="s">
        <v>154</v>
      </c>
      <c r="B402" s="33" t="s">
        <v>156</v>
      </c>
      <c r="C402" s="29" t="s">
        <v>41</v>
      </c>
      <c r="D402" s="30" t="s">
        <v>28</v>
      </c>
      <c r="E402" s="29" t="s">
        <v>47</v>
      </c>
      <c r="F402" s="34" t="s">
        <v>119</v>
      </c>
      <c r="G402" s="35">
        <f t="shared" si="30"/>
        <v>11.0607651912978</v>
      </c>
      <c r="H402" s="36">
        <f t="shared" si="31"/>
        <v>132.696</v>
      </c>
      <c r="I402" s="40">
        <v>147.44</v>
      </c>
      <c r="J402" s="36">
        <f t="shared" si="32"/>
        <v>154.812</v>
      </c>
      <c r="K402" s="36">
        <f t="shared" si="33"/>
        <v>124.73424</v>
      </c>
      <c r="L402" s="36">
        <f t="shared" si="34"/>
        <v>138.5936</v>
      </c>
      <c r="M402" s="41"/>
    </row>
    <row r="403" ht="15" spans="1:13">
      <c r="A403" s="27" t="s">
        <v>154</v>
      </c>
      <c r="B403" s="33" t="s">
        <v>156</v>
      </c>
      <c r="C403" s="29" t="s">
        <v>55</v>
      </c>
      <c r="D403" s="30" t="s">
        <v>28</v>
      </c>
      <c r="E403" s="29" t="s">
        <v>47</v>
      </c>
      <c r="F403" s="34" t="s">
        <v>119</v>
      </c>
      <c r="G403" s="35">
        <f t="shared" si="30"/>
        <v>22.3653413353338</v>
      </c>
      <c r="H403" s="36">
        <f t="shared" si="31"/>
        <v>268.317</v>
      </c>
      <c r="I403" s="40">
        <v>298.13</v>
      </c>
      <c r="J403" s="36">
        <f t="shared" si="32"/>
        <v>313.0365</v>
      </c>
      <c r="K403" s="36">
        <f t="shared" si="33"/>
        <v>252.21798</v>
      </c>
      <c r="L403" s="36">
        <f t="shared" si="34"/>
        <v>280.2422</v>
      </c>
      <c r="M403" s="41"/>
    </row>
    <row r="404" ht="15" spans="1:13">
      <c r="A404" s="27" t="s">
        <v>154</v>
      </c>
      <c r="B404" s="33" t="s">
        <v>157</v>
      </c>
      <c r="C404" s="29" t="s">
        <v>21</v>
      </c>
      <c r="D404" s="30" t="s">
        <v>28</v>
      </c>
      <c r="E404" s="29" t="s">
        <v>23</v>
      </c>
      <c r="F404" s="34" t="s">
        <v>61</v>
      </c>
      <c r="G404" s="35">
        <f t="shared" si="30"/>
        <v>8.74043510877719</v>
      </c>
      <c r="H404" s="36">
        <f t="shared" si="31"/>
        <v>104.859</v>
      </c>
      <c r="I404" s="40">
        <v>116.51</v>
      </c>
      <c r="J404" s="36">
        <f t="shared" si="32"/>
        <v>122.3355</v>
      </c>
      <c r="K404" s="36">
        <f t="shared" si="33"/>
        <v>98.56746</v>
      </c>
      <c r="L404" s="36">
        <f t="shared" si="34"/>
        <v>109.5194</v>
      </c>
      <c r="M404" s="41"/>
    </row>
    <row r="405" ht="15" spans="1:13">
      <c r="A405" s="27" t="s">
        <v>154</v>
      </c>
      <c r="B405" s="33" t="s">
        <v>157</v>
      </c>
      <c r="C405" s="29" t="s">
        <v>41</v>
      </c>
      <c r="D405" s="30" t="s">
        <v>28</v>
      </c>
      <c r="E405" s="29" t="s">
        <v>23</v>
      </c>
      <c r="F405" s="34" t="s">
        <v>61</v>
      </c>
      <c r="G405" s="35">
        <f t="shared" si="30"/>
        <v>12.3968492123031</v>
      </c>
      <c r="H405" s="36">
        <f t="shared" si="31"/>
        <v>148.725</v>
      </c>
      <c r="I405" s="40">
        <v>165.25</v>
      </c>
      <c r="J405" s="36">
        <f t="shared" si="32"/>
        <v>173.5125</v>
      </c>
      <c r="K405" s="36">
        <f t="shared" si="33"/>
        <v>139.8015</v>
      </c>
      <c r="L405" s="36">
        <f t="shared" si="34"/>
        <v>155.335</v>
      </c>
      <c r="M405" s="41"/>
    </row>
    <row r="406" ht="15" spans="1:13">
      <c r="A406" s="27" t="s">
        <v>154</v>
      </c>
      <c r="B406" s="33" t="s">
        <v>65</v>
      </c>
      <c r="C406" s="29" t="s">
        <v>21</v>
      </c>
      <c r="D406" s="30" t="s">
        <v>28</v>
      </c>
      <c r="E406" s="29" t="s">
        <v>23</v>
      </c>
      <c r="F406" s="34" t="s">
        <v>66</v>
      </c>
      <c r="G406" s="35">
        <f t="shared" si="30"/>
        <v>9.44261065266317</v>
      </c>
      <c r="H406" s="36">
        <f t="shared" si="31"/>
        <v>113.283</v>
      </c>
      <c r="I406" s="40">
        <v>125.87</v>
      </c>
      <c r="J406" s="36">
        <f t="shared" si="32"/>
        <v>132.1635</v>
      </c>
      <c r="K406" s="36">
        <f t="shared" si="33"/>
        <v>106.48602</v>
      </c>
      <c r="L406" s="36">
        <f t="shared" si="34"/>
        <v>118.3178</v>
      </c>
      <c r="M406" s="41"/>
    </row>
    <row r="407" ht="15" spans="1:13">
      <c r="A407" s="27" t="s">
        <v>154</v>
      </c>
      <c r="B407" s="33" t="s">
        <v>147</v>
      </c>
      <c r="C407" s="29" t="s">
        <v>41</v>
      </c>
      <c r="D407" s="30" t="s">
        <v>28</v>
      </c>
      <c r="E407" s="29" t="s">
        <v>23</v>
      </c>
      <c r="F407" s="34" t="s">
        <v>66</v>
      </c>
      <c r="G407" s="35">
        <f t="shared" si="30"/>
        <v>13.437359339835</v>
      </c>
      <c r="H407" s="36">
        <f t="shared" si="31"/>
        <v>161.208</v>
      </c>
      <c r="I407" s="40">
        <v>179.12</v>
      </c>
      <c r="J407" s="36">
        <f t="shared" si="32"/>
        <v>188.076</v>
      </c>
      <c r="K407" s="36">
        <f t="shared" si="33"/>
        <v>151.53552</v>
      </c>
      <c r="L407" s="36">
        <f t="shared" si="34"/>
        <v>168.3728</v>
      </c>
      <c r="M407" s="41"/>
    </row>
    <row r="408" ht="15" spans="1:13">
      <c r="A408" s="27" t="s">
        <v>158</v>
      </c>
      <c r="B408" s="33" t="s">
        <v>151</v>
      </c>
      <c r="C408" s="29" t="s">
        <v>21</v>
      </c>
      <c r="D408" s="30" t="s">
        <v>28</v>
      </c>
      <c r="E408" s="29" t="s">
        <v>47</v>
      </c>
      <c r="F408" s="34" t="s">
        <v>159</v>
      </c>
      <c r="G408" s="35">
        <f t="shared" si="30"/>
        <v>8.09302325581395</v>
      </c>
      <c r="H408" s="36">
        <f t="shared" si="31"/>
        <v>97.092</v>
      </c>
      <c r="I408" s="40">
        <v>107.88</v>
      </c>
      <c r="J408" s="36">
        <f t="shared" si="32"/>
        <v>113.274</v>
      </c>
      <c r="K408" s="36">
        <f t="shared" si="33"/>
        <v>91.26648</v>
      </c>
      <c r="L408" s="36">
        <f t="shared" si="34"/>
        <v>101.4072</v>
      </c>
      <c r="M408" s="41"/>
    </row>
    <row r="409" ht="15" spans="1:13">
      <c r="A409" s="27" t="s">
        <v>158</v>
      </c>
      <c r="B409" s="33" t="s">
        <v>151</v>
      </c>
      <c r="C409" s="29" t="s">
        <v>54</v>
      </c>
      <c r="D409" s="30" t="s">
        <v>28</v>
      </c>
      <c r="E409" s="29" t="s">
        <v>47</v>
      </c>
      <c r="F409" s="34" t="s">
        <v>159</v>
      </c>
      <c r="G409" s="35">
        <f t="shared" si="30"/>
        <v>10.0217554388597</v>
      </c>
      <c r="H409" s="36">
        <f t="shared" si="31"/>
        <v>120.231</v>
      </c>
      <c r="I409" s="40">
        <v>133.59</v>
      </c>
      <c r="J409" s="36">
        <f t="shared" si="32"/>
        <v>140.2695</v>
      </c>
      <c r="K409" s="36">
        <f t="shared" si="33"/>
        <v>113.01714</v>
      </c>
      <c r="L409" s="36">
        <f t="shared" si="34"/>
        <v>125.5746</v>
      </c>
      <c r="M409" s="41"/>
    </row>
    <row r="410" ht="15" spans="1:13">
      <c r="A410" s="27" t="s">
        <v>158</v>
      </c>
      <c r="B410" s="33" t="s">
        <v>151</v>
      </c>
      <c r="C410" s="29" t="s">
        <v>54</v>
      </c>
      <c r="D410" s="30" t="s">
        <v>28</v>
      </c>
      <c r="E410" s="29" t="s">
        <v>47</v>
      </c>
      <c r="F410" s="34" t="s">
        <v>46</v>
      </c>
      <c r="G410" s="35">
        <f t="shared" si="30"/>
        <v>10.1875468867217</v>
      </c>
      <c r="H410" s="36">
        <f t="shared" si="31"/>
        <v>122.22</v>
      </c>
      <c r="I410" s="40">
        <v>135.8</v>
      </c>
      <c r="J410" s="36">
        <f t="shared" si="32"/>
        <v>142.59</v>
      </c>
      <c r="K410" s="36">
        <f t="shared" si="33"/>
        <v>114.8868</v>
      </c>
      <c r="L410" s="36">
        <f t="shared" si="34"/>
        <v>127.652</v>
      </c>
      <c r="M410" s="41"/>
    </row>
    <row r="411" ht="15" spans="1:13">
      <c r="A411" s="27" t="s">
        <v>158</v>
      </c>
      <c r="B411" s="33" t="s">
        <v>151</v>
      </c>
      <c r="C411" s="29" t="s">
        <v>55</v>
      </c>
      <c r="D411" s="30" t="s">
        <v>28</v>
      </c>
      <c r="E411" s="29" t="s">
        <v>47</v>
      </c>
      <c r="F411" s="34" t="s">
        <v>159</v>
      </c>
      <c r="G411" s="35">
        <f t="shared" si="30"/>
        <v>23.4058514628657</v>
      </c>
      <c r="H411" s="36">
        <f t="shared" si="31"/>
        <v>280.8</v>
      </c>
      <c r="I411" s="40">
        <v>312</v>
      </c>
      <c r="J411" s="36">
        <f t="shared" si="32"/>
        <v>327.6</v>
      </c>
      <c r="K411" s="36">
        <f t="shared" si="33"/>
        <v>263.952</v>
      </c>
      <c r="L411" s="36">
        <f t="shared" si="34"/>
        <v>293.28</v>
      </c>
      <c r="M411" s="41"/>
    </row>
    <row r="412" ht="15" spans="1:13">
      <c r="A412" s="27" t="s">
        <v>158</v>
      </c>
      <c r="B412" s="33" t="s">
        <v>160</v>
      </c>
      <c r="C412" s="29" t="s">
        <v>21</v>
      </c>
      <c r="D412" s="30" t="s">
        <v>28</v>
      </c>
      <c r="E412" s="29" t="s">
        <v>23</v>
      </c>
      <c r="F412" s="34" t="s">
        <v>161</v>
      </c>
      <c r="G412" s="35">
        <f t="shared" si="30"/>
        <v>8.21230307576894</v>
      </c>
      <c r="H412" s="36">
        <f t="shared" si="31"/>
        <v>98.523</v>
      </c>
      <c r="I412" s="40">
        <v>109.47</v>
      </c>
      <c r="J412" s="36">
        <f t="shared" si="32"/>
        <v>114.9435</v>
      </c>
      <c r="K412" s="36">
        <f t="shared" si="33"/>
        <v>92.61162</v>
      </c>
      <c r="L412" s="36">
        <f t="shared" si="34"/>
        <v>102.9018</v>
      </c>
      <c r="M412" s="41"/>
    </row>
    <row r="413" ht="15" spans="1:13">
      <c r="A413" s="27" t="s">
        <v>158</v>
      </c>
      <c r="B413" s="33" t="s">
        <v>160</v>
      </c>
      <c r="C413" s="29" t="s">
        <v>21</v>
      </c>
      <c r="D413" s="30" t="s">
        <v>28</v>
      </c>
      <c r="E413" s="29" t="s">
        <v>47</v>
      </c>
      <c r="F413" s="34" t="s">
        <v>161</v>
      </c>
      <c r="G413" s="35">
        <f t="shared" si="30"/>
        <v>8.86946736684171</v>
      </c>
      <c r="H413" s="36">
        <f t="shared" si="31"/>
        <v>106.407</v>
      </c>
      <c r="I413" s="40">
        <v>118.23</v>
      </c>
      <c r="J413" s="36">
        <f t="shared" si="32"/>
        <v>124.1415</v>
      </c>
      <c r="K413" s="36">
        <f t="shared" si="33"/>
        <v>100.02258</v>
      </c>
      <c r="L413" s="36">
        <f t="shared" si="34"/>
        <v>111.1362</v>
      </c>
      <c r="M413" s="41"/>
    </row>
    <row r="414" ht="15" spans="1:13">
      <c r="A414" s="27" t="s">
        <v>158</v>
      </c>
      <c r="B414" s="33" t="s">
        <v>45</v>
      </c>
      <c r="C414" s="29" t="s">
        <v>21</v>
      </c>
      <c r="D414" s="30" t="s">
        <v>28</v>
      </c>
      <c r="E414" s="29" t="s">
        <v>47</v>
      </c>
      <c r="F414" s="34" t="s">
        <v>159</v>
      </c>
      <c r="G414" s="35">
        <f t="shared" si="30"/>
        <v>8.40285071267817</v>
      </c>
      <c r="H414" s="36">
        <f t="shared" si="31"/>
        <v>100.809</v>
      </c>
      <c r="I414" s="40">
        <v>112.01</v>
      </c>
      <c r="J414" s="36">
        <f t="shared" si="32"/>
        <v>117.6105</v>
      </c>
      <c r="K414" s="36">
        <f t="shared" si="33"/>
        <v>94.76046</v>
      </c>
      <c r="L414" s="36">
        <f t="shared" si="34"/>
        <v>105.2894</v>
      </c>
      <c r="M414" s="41"/>
    </row>
    <row r="415" ht="15" spans="1:13">
      <c r="A415" s="27" t="s">
        <v>158</v>
      </c>
      <c r="B415" s="33" t="s">
        <v>45</v>
      </c>
      <c r="C415" s="29" t="s">
        <v>41</v>
      </c>
      <c r="D415" s="30" t="s">
        <v>28</v>
      </c>
      <c r="E415" s="29" t="s">
        <v>47</v>
      </c>
      <c r="F415" s="34" t="s">
        <v>159</v>
      </c>
      <c r="G415" s="35">
        <f t="shared" si="30"/>
        <v>12.264816204051</v>
      </c>
      <c r="H415" s="36">
        <f t="shared" si="31"/>
        <v>147.141</v>
      </c>
      <c r="I415" s="40">
        <v>163.49</v>
      </c>
      <c r="J415" s="36">
        <f t="shared" si="32"/>
        <v>171.6645</v>
      </c>
      <c r="K415" s="36">
        <f t="shared" si="33"/>
        <v>138.31254</v>
      </c>
      <c r="L415" s="36">
        <f t="shared" si="34"/>
        <v>153.6806</v>
      </c>
      <c r="M415" s="41"/>
    </row>
    <row r="416" ht="15" spans="1:13">
      <c r="A416" s="27" t="s">
        <v>158</v>
      </c>
      <c r="B416" s="33" t="s">
        <v>115</v>
      </c>
      <c r="C416" s="29" t="s">
        <v>21</v>
      </c>
      <c r="D416" s="30" t="s">
        <v>28</v>
      </c>
      <c r="E416" s="29" t="s">
        <v>47</v>
      </c>
      <c r="F416" s="34" t="s">
        <v>116</v>
      </c>
      <c r="G416" s="35">
        <f t="shared" si="30"/>
        <v>8.19354838709677</v>
      </c>
      <c r="H416" s="36">
        <f t="shared" si="31"/>
        <v>98.298</v>
      </c>
      <c r="I416" s="40">
        <v>109.22</v>
      </c>
      <c r="J416" s="36">
        <f t="shared" si="32"/>
        <v>114.681</v>
      </c>
      <c r="K416" s="36">
        <f t="shared" si="33"/>
        <v>92.40012</v>
      </c>
      <c r="L416" s="36">
        <f t="shared" si="34"/>
        <v>102.6668</v>
      </c>
      <c r="M416" s="41"/>
    </row>
    <row r="417" ht="15" spans="1:13">
      <c r="A417" s="27" t="s">
        <v>158</v>
      </c>
      <c r="B417" s="33" t="s">
        <v>48</v>
      </c>
      <c r="C417" s="29" t="s">
        <v>21</v>
      </c>
      <c r="D417" s="30" t="s">
        <v>28</v>
      </c>
      <c r="E417" s="29" t="s">
        <v>23</v>
      </c>
      <c r="F417" s="34" t="s">
        <v>51</v>
      </c>
      <c r="G417" s="35">
        <f t="shared" si="30"/>
        <v>8.46511627906977</v>
      </c>
      <c r="H417" s="36">
        <f t="shared" si="31"/>
        <v>101.556</v>
      </c>
      <c r="I417" s="40">
        <v>112.84</v>
      </c>
      <c r="J417" s="36">
        <f t="shared" si="32"/>
        <v>118.482</v>
      </c>
      <c r="K417" s="36">
        <f t="shared" si="33"/>
        <v>95.46264</v>
      </c>
      <c r="L417" s="36">
        <f t="shared" si="34"/>
        <v>106.0696</v>
      </c>
      <c r="M417" s="41"/>
    </row>
    <row r="418" ht="15" spans="1:13">
      <c r="A418" s="27" t="s">
        <v>158</v>
      </c>
      <c r="B418" s="33" t="s">
        <v>48</v>
      </c>
      <c r="C418" s="29" t="s">
        <v>41</v>
      </c>
      <c r="D418" s="30" t="s">
        <v>28</v>
      </c>
      <c r="E418" s="29" t="s">
        <v>23</v>
      </c>
      <c r="F418" s="34" t="s">
        <v>51</v>
      </c>
      <c r="G418" s="35">
        <f t="shared" si="30"/>
        <v>12.4763690922731</v>
      </c>
      <c r="H418" s="36">
        <f t="shared" si="31"/>
        <v>149.679</v>
      </c>
      <c r="I418" s="40">
        <v>166.31</v>
      </c>
      <c r="J418" s="36">
        <f t="shared" si="32"/>
        <v>174.6255</v>
      </c>
      <c r="K418" s="36">
        <f t="shared" si="33"/>
        <v>140.69826</v>
      </c>
      <c r="L418" s="36">
        <f t="shared" si="34"/>
        <v>156.3314</v>
      </c>
      <c r="M418" s="41"/>
    </row>
    <row r="419" ht="15" spans="1:13">
      <c r="A419" s="27" t="s">
        <v>158</v>
      </c>
      <c r="B419" s="33" t="s">
        <v>48</v>
      </c>
      <c r="C419" s="29" t="s">
        <v>41</v>
      </c>
      <c r="D419" s="30" t="s">
        <v>28</v>
      </c>
      <c r="E419" s="29" t="s">
        <v>47</v>
      </c>
      <c r="F419" s="34" t="s">
        <v>51</v>
      </c>
      <c r="G419" s="35">
        <f t="shared" si="30"/>
        <v>12.2633158289572</v>
      </c>
      <c r="H419" s="36">
        <f t="shared" si="31"/>
        <v>147.123</v>
      </c>
      <c r="I419" s="40">
        <v>163.47</v>
      </c>
      <c r="J419" s="36">
        <f t="shared" si="32"/>
        <v>171.6435</v>
      </c>
      <c r="K419" s="36">
        <f t="shared" si="33"/>
        <v>138.29562</v>
      </c>
      <c r="L419" s="36">
        <f t="shared" si="34"/>
        <v>153.6618</v>
      </c>
      <c r="M419" s="41"/>
    </row>
    <row r="420" ht="15" spans="1:13">
      <c r="A420" s="27" t="s">
        <v>158</v>
      </c>
      <c r="B420" s="33" t="s">
        <v>50</v>
      </c>
      <c r="C420" s="29" t="s">
        <v>21</v>
      </c>
      <c r="D420" s="30" t="s">
        <v>28</v>
      </c>
      <c r="E420" s="29" t="s">
        <v>47</v>
      </c>
      <c r="F420" s="34" t="s">
        <v>51</v>
      </c>
      <c r="G420" s="35">
        <f t="shared" si="30"/>
        <v>8.43060765191298</v>
      </c>
      <c r="H420" s="36">
        <f t="shared" si="31"/>
        <v>101.142</v>
      </c>
      <c r="I420" s="40">
        <v>112.38</v>
      </c>
      <c r="J420" s="36">
        <f t="shared" si="32"/>
        <v>117.999</v>
      </c>
      <c r="K420" s="36">
        <f t="shared" si="33"/>
        <v>95.07348</v>
      </c>
      <c r="L420" s="36">
        <f t="shared" si="34"/>
        <v>105.6372</v>
      </c>
      <c r="M420" s="41"/>
    </row>
    <row r="421" ht="15" spans="1:13">
      <c r="A421" s="27" t="s">
        <v>158</v>
      </c>
      <c r="B421" s="33" t="s">
        <v>50</v>
      </c>
      <c r="C421" s="29" t="s">
        <v>21</v>
      </c>
      <c r="D421" s="30" t="s">
        <v>28</v>
      </c>
      <c r="E421" s="29" t="s">
        <v>23</v>
      </c>
      <c r="F421" s="34" t="s">
        <v>49</v>
      </c>
      <c r="G421" s="35">
        <f t="shared" si="30"/>
        <v>8.35408852213053</v>
      </c>
      <c r="H421" s="36">
        <f t="shared" si="31"/>
        <v>100.224</v>
      </c>
      <c r="I421" s="40">
        <v>111.36</v>
      </c>
      <c r="J421" s="36">
        <f t="shared" si="32"/>
        <v>116.928</v>
      </c>
      <c r="K421" s="36">
        <f t="shared" si="33"/>
        <v>94.21056</v>
      </c>
      <c r="L421" s="36">
        <f t="shared" si="34"/>
        <v>104.6784</v>
      </c>
      <c r="M421" s="41"/>
    </row>
    <row r="422" ht="15" spans="1:13">
      <c r="A422" s="27" t="s">
        <v>158</v>
      </c>
      <c r="B422" s="33" t="s">
        <v>50</v>
      </c>
      <c r="C422" s="29" t="s">
        <v>54</v>
      </c>
      <c r="D422" s="30" t="s">
        <v>28</v>
      </c>
      <c r="E422" s="29" t="s">
        <v>47</v>
      </c>
      <c r="F422" s="34" t="s">
        <v>51</v>
      </c>
      <c r="G422" s="35">
        <f t="shared" si="30"/>
        <v>10.9167291822956</v>
      </c>
      <c r="H422" s="36">
        <f t="shared" si="31"/>
        <v>130.968</v>
      </c>
      <c r="I422" s="40">
        <v>145.52</v>
      </c>
      <c r="J422" s="36">
        <f t="shared" si="32"/>
        <v>152.796</v>
      </c>
      <c r="K422" s="36">
        <f t="shared" si="33"/>
        <v>123.10992</v>
      </c>
      <c r="L422" s="36">
        <f t="shared" si="34"/>
        <v>136.7888</v>
      </c>
      <c r="M422" s="41"/>
    </row>
    <row r="423" ht="15" spans="1:13">
      <c r="A423" s="27" t="s">
        <v>158</v>
      </c>
      <c r="B423" s="33" t="s">
        <v>50</v>
      </c>
      <c r="C423" s="29" t="s">
        <v>41</v>
      </c>
      <c r="D423" s="30" t="s">
        <v>28</v>
      </c>
      <c r="E423" s="29" t="s">
        <v>47</v>
      </c>
      <c r="F423" s="34" t="s">
        <v>51</v>
      </c>
      <c r="G423" s="35">
        <f t="shared" si="30"/>
        <v>12.4951237809452</v>
      </c>
      <c r="H423" s="36">
        <f t="shared" si="31"/>
        <v>149.904</v>
      </c>
      <c r="I423" s="40">
        <v>166.56</v>
      </c>
      <c r="J423" s="36">
        <f t="shared" si="32"/>
        <v>174.888</v>
      </c>
      <c r="K423" s="36">
        <f t="shared" si="33"/>
        <v>140.90976</v>
      </c>
      <c r="L423" s="36">
        <f t="shared" si="34"/>
        <v>156.5664</v>
      </c>
      <c r="M423" s="41"/>
    </row>
    <row r="424" ht="15" spans="1:13">
      <c r="A424" s="27" t="s">
        <v>158</v>
      </c>
      <c r="B424" s="33" t="s">
        <v>50</v>
      </c>
      <c r="C424" s="29" t="s">
        <v>41</v>
      </c>
      <c r="D424" s="30" t="s">
        <v>28</v>
      </c>
      <c r="E424" s="29" t="s">
        <v>23</v>
      </c>
      <c r="F424" s="34" t="s">
        <v>49</v>
      </c>
      <c r="G424" s="35">
        <f t="shared" si="30"/>
        <v>12.4951237809452</v>
      </c>
      <c r="H424" s="36">
        <f t="shared" si="31"/>
        <v>149.904</v>
      </c>
      <c r="I424" s="40">
        <v>166.56</v>
      </c>
      <c r="J424" s="36">
        <f t="shared" si="32"/>
        <v>174.888</v>
      </c>
      <c r="K424" s="36">
        <f t="shared" si="33"/>
        <v>140.90976</v>
      </c>
      <c r="L424" s="36">
        <f t="shared" si="34"/>
        <v>156.5664</v>
      </c>
      <c r="M424" s="41"/>
    </row>
    <row r="425" ht="15" spans="1:13">
      <c r="A425" s="27" t="s">
        <v>158</v>
      </c>
      <c r="B425" s="33" t="s">
        <v>50</v>
      </c>
      <c r="C425" s="29" t="s">
        <v>41</v>
      </c>
      <c r="D425" s="30" t="s">
        <v>28</v>
      </c>
      <c r="E425" s="29" t="s">
        <v>47</v>
      </c>
      <c r="F425" s="34" t="s">
        <v>49</v>
      </c>
      <c r="G425" s="35">
        <f t="shared" si="30"/>
        <v>12.4951237809452</v>
      </c>
      <c r="H425" s="36">
        <f t="shared" si="31"/>
        <v>149.904</v>
      </c>
      <c r="I425" s="40">
        <v>166.56</v>
      </c>
      <c r="J425" s="36">
        <f t="shared" si="32"/>
        <v>174.888</v>
      </c>
      <c r="K425" s="36">
        <f t="shared" si="33"/>
        <v>140.90976</v>
      </c>
      <c r="L425" s="36">
        <f t="shared" si="34"/>
        <v>156.5664</v>
      </c>
      <c r="M425" s="41"/>
    </row>
    <row r="426" ht="15" spans="1:13">
      <c r="A426" s="27" t="s">
        <v>158</v>
      </c>
      <c r="B426" s="33" t="s">
        <v>50</v>
      </c>
      <c r="C426" s="29" t="s">
        <v>55</v>
      </c>
      <c r="D426" s="30" t="s">
        <v>28</v>
      </c>
      <c r="E426" s="29" t="s">
        <v>47</v>
      </c>
      <c r="F426" s="34" t="s">
        <v>116</v>
      </c>
      <c r="G426" s="35">
        <f t="shared" si="30"/>
        <v>23.1792948237059</v>
      </c>
      <c r="H426" s="36">
        <f t="shared" si="31"/>
        <v>278.082</v>
      </c>
      <c r="I426" s="40">
        <v>308.98</v>
      </c>
      <c r="J426" s="36">
        <f t="shared" si="32"/>
        <v>324.429</v>
      </c>
      <c r="K426" s="36">
        <f t="shared" si="33"/>
        <v>261.39708</v>
      </c>
      <c r="L426" s="36">
        <f t="shared" si="34"/>
        <v>290.4412</v>
      </c>
      <c r="M426" s="41"/>
    </row>
    <row r="427" ht="15" spans="1:13">
      <c r="A427" s="27" t="s">
        <v>158</v>
      </c>
      <c r="B427" s="33" t="s">
        <v>141</v>
      </c>
      <c r="C427" s="29" t="s">
        <v>21</v>
      </c>
      <c r="D427" s="30" t="s">
        <v>28</v>
      </c>
      <c r="E427" s="29" t="s">
        <v>23</v>
      </c>
      <c r="F427" s="34" t="s">
        <v>51</v>
      </c>
      <c r="G427" s="35">
        <f t="shared" si="30"/>
        <v>8.43735933983496</v>
      </c>
      <c r="H427" s="36">
        <f t="shared" si="31"/>
        <v>101.223</v>
      </c>
      <c r="I427" s="40">
        <v>112.47</v>
      </c>
      <c r="J427" s="36">
        <f t="shared" si="32"/>
        <v>118.0935</v>
      </c>
      <c r="K427" s="36">
        <f t="shared" si="33"/>
        <v>95.14962</v>
      </c>
      <c r="L427" s="36">
        <f t="shared" si="34"/>
        <v>105.7218</v>
      </c>
      <c r="M427" s="41"/>
    </row>
    <row r="428" ht="15" spans="1:13">
      <c r="A428" s="27" t="s">
        <v>158</v>
      </c>
      <c r="B428" s="33" t="s">
        <v>141</v>
      </c>
      <c r="C428" s="29" t="s">
        <v>41</v>
      </c>
      <c r="D428" s="30" t="s">
        <v>28</v>
      </c>
      <c r="E428" s="29" t="s">
        <v>23</v>
      </c>
      <c r="F428" s="34" t="s">
        <v>51</v>
      </c>
      <c r="G428" s="35">
        <f t="shared" si="30"/>
        <v>12.3795948987247</v>
      </c>
      <c r="H428" s="36">
        <f t="shared" si="31"/>
        <v>148.518</v>
      </c>
      <c r="I428" s="40">
        <v>165.02</v>
      </c>
      <c r="J428" s="36">
        <f t="shared" si="32"/>
        <v>173.271</v>
      </c>
      <c r="K428" s="36">
        <f t="shared" si="33"/>
        <v>139.60692</v>
      </c>
      <c r="L428" s="36">
        <f t="shared" si="34"/>
        <v>155.1188</v>
      </c>
      <c r="M428" s="41"/>
    </row>
    <row r="429" ht="15" spans="1:13">
      <c r="A429" s="27" t="s">
        <v>158</v>
      </c>
      <c r="B429" s="33" t="s">
        <v>52</v>
      </c>
      <c r="C429" s="29" t="s">
        <v>21</v>
      </c>
      <c r="D429" s="30" t="s">
        <v>28</v>
      </c>
      <c r="E429" s="29" t="s">
        <v>47</v>
      </c>
      <c r="F429" s="34" t="s">
        <v>53</v>
      </c>
      <c r="G429" s="35">
        <f t="shared" si="30"/>
        <v>8.30757689422355</v>
      </c>
      <c r="H429" s="36">
        <f t="shared" si="31"/>
        <v>99.666</v>
      </c>
      <c r="I429" s="40">
        <v>110.74</v>
      </c>
      <c r="J429" s="36">
        <f t="shared" si="32"/>
        <v>116.277</v>
      </c>
      <c r="K429" s="36">
        <f t="shared" si="33"/>
        <v>93.68604</v>
      </c>
      <c r="L429" s="36">
        <f t="shared" si="34"/>
        <v>104.0956</v>
      </c>
      <c r="M429" s="41"/>
    </row>
    <row r="430" ht="15" spans="1:13">
      <c r="A430" s="27" t="s">
        <v>158</v>
      </c>
      <c r="B430" s="33" t="s">
        <v>52</v>
      </c>
      <c r="C430" s="29" t="s">
        <v>41</v>
      </c>
      <c r="D430" s="30" t="s">
        <v>28</v>
      </c>
      <c r="E430" s="29" t="s">
        <v>47</v>
      </c>
      <c r="F430" s="34" t="s">
        <v>53</v>
      </c>
      <c r="G430" s="35">
        <f t="shared" si="30"/>
        <v>12.4928732183046</v>
      </c>
      <c r="H430" s="36">
        <f t="shared" si="31"/>
        <v>149.877</v>
      </c>
      <c r="I430" s="40">
        <v>166.53</v>
      </c>
      <c r="J430" s="36">
        <f t="shared" si="32"/>
        <v>174.8565</v>
      </c>
      <c r="K430" s="36">
        <f t="shared" si="33"/>
        <v>140.88438</v>
      </c>
      <c r="L430" s="36">
        <f t="shared" si="34"/>
        <v>156.5382</v>
      </c>
      <c r="M430" s="41"/>
    </row>
    <row r="431" ht="15" spans="1:13">
      <c r="A431" s="27" t="s">
        <v>158</v>
      </c>
      <c r="B431" s="33" t="s">
        <v>52</v>
      </c>
      <c r="C431" s="29" t="s">
        <v>41</v>
      </c>
      <c r="D431" s="30" t="s">
        <v>28</v>
      </c>
      <c r="E431" s="29" t="s">
        <v>47</v>
      </c>
      <c r="F431" s="34" t="s">
        <v>162</v>
      </c>
      <c r="G431" s="35">
        <f t="shared" si="30"/>
        <v>13.8282070517629</v>
      </c>
      <c r="H431" s="36">
        <f t="shared" si="31"/>
        <v>165.897</v>
      </c>
      <c r="I431" s="40">
        <v>184.33</v>
      </c>
      <c r="J431" s="36">
        <f t="shared" si="32"/>
        <v>193.5465</v>
      </c>
      <c r="K431" s="36">
        <f t="shared" si="33"/>
        <v>155.94318</v>
      </c>
      <c r="L431" s="36">
        <f t="shared" si="34"/>
        <v>173.2702</v>
      </c>
      <c r="M431" s="41"/>
    </row>
    <row r="432" ht="15" spans="1:13">
      <c r="A432" s="27" t="s">
        <v>158</v>
      </c>
      <c r="B432" s="33" t="s">
        <v>156</v>
      </c>
      <c r="C432" s="29" t="s">
        <v>21</v>
      </c>
      <c r="D432" s="30" t="s">
        <v>28</v>
      </c>
      <c r="E432" s="29" t="s">
        <v>47</v>
      </c>
      <c r="F432" s="34" t="s">
        <v>53</v>
      </c>
      <c r="G432" s="35">
        <f t="shared" si="30"/>
        <v>8.30757689422355</v>
      </c>
      <c r="H432" s="36">
        <f t="shared" si="31"/>
        <v>99.666</v>
      </c>
      <c r="I432" s="40">
        <v>110.74</v>
      </c>
      <c r="J432" s="36">
        <f t="shared" si="32"/>
        <v>116.277</v>
      </c>
      <c r="K432" s="36">
        <f t="shared" si="33"/>
        <v>93.68604</v>
      </c>
      <c r="L432" s="36">
        <f t="shared" si="34"/>
        <v>104.0956</v>
      </c>
      <c r="M432" s="41"/>
    </row>
    <row r="433" ht="15" spans="1:13">
      <c r="A433" s="27" t="s">
        <v>158</v>
      </c>
      <c r="B433" s="33" t="s">
        <v>156</v>
      </c>
      <c r="C433" s="29" t="s">
        <v>41</v>
      </c>
      <c r="D433" s="30" t="s">
        <v>28</v>
      </c>
      <c r="E433" s="29" t="s">
        <v>47</v>
      </c>
      <c r="F433" s="34" t="s">
        <v>119</v>
      </c>
      <c r="G433" s="35">
        <f t="shared" si="30"/>
        <v>12.4448612153038</v>
      </c>
      <c r="H433" s="36">
        <f t="shared" si="31"/>
        <v>149.301</v>
      </c>
      <c r="I433" s="40">
        <v>165.89</v>
      </c>
      <c r="J433" s="36">
        <f t="shared" si="32"/>
        <v>174.1845</v>
      </c>
      <c r="K433" s="36">
        <f t="shared" si="33"/>
        <v>140.34294</v>
      </c>
      <c r="L433" s="36">
        <f t="shared" si="34"/>
        <v>155.9366</v>
      </c>
      <c r="M433" s="41"/>
    </row>
    <row r="434" ht="15" spans="1:13">
      <c r="A434" s="27" t="s">
        <v>158</v>
      </c>
      <c r="B434" s="33" t="s">
        <v>156</v>
      </c>
      <c r="C434" s="29" t="s">
        <v>41</v>
      </c>
      <c r="D434" s="30" t="s">
        <v>28</v>
      </c>
      <c r="E434" s="29" t="s">
        <v>23</v>
      </c>
      <c r="F434" s="34" t="s">
        <v>53</v>
      </c>
      <c r="G434" s="35">
        <f t="shared" si="30"/>
        <v>12.1267816954239</v>
      </c>
      <c r="H434" s="36">
        <f t="shared" si="31"/>
        <v>145.485</v>
      </c>
      <c r="I434" s="40">
        <v>161.65</v>
      </c>
      <c r="J434" s="36">
        <f t="shared" si="32"/>
        <v>169.7325</v>
      </c>
      <c r="K434" s="36">
        <f t="shared" si="33"/>
        <v>136.7559</v>
      </c>
      <c r="L434" s="36">
        <f t="shared" si="34"/>
        <v>151.951</v>
      </c>
      <c r="M434" s="41"/>
    </row>
    <row r="435" ht="15" spans="1:13">
      <c r="A435" s="27" t="s">
        <v>158</v>
      </c>
      <c r="B435" s="33" t="s">
        <v>156</v>
      </c>
      <c r="C435" s="29" t="s">
        <v>41</v>
      </c>
      <c r="D435" s="30" t="s">
        <v>28</v>
      </c>
      <c r="E435" s="29" t="s">
        <v>47</v>
      </c>
      <c r="F435" s="34" t="s">
        <v>53</v>
      </c>
      <c r="G435" s="35">
        <f t="shared" si="30"/>
        <v>12.1267816954239</v>
      </c>
      <c r="H435" s="36">
        <f t="shared" si="31"/>
        <v>145.485</v>
      </c>
      <c r="I435" s="40">
        <v>161.65</v>
      </c>
      <c r="J435" s="36">
        <f t="shared" si="32"/>
        <v>169.7325</v>
      </c>
      <c r="K435" s="36">
        <f t="shared" si="33"/>
        <v>136.7559</v>
      </c>
      <c r="L435" s="36">
        <f t="shared" si="34"/>
        <v>151.951</v>
      </c>
      <c r="M435" s="41"/>
    </row>
    <row r="436" ht="15" spans="1:13">
      <c r="A436" s="27" t="s">
        <v>158</v>
      </c>
      <c r="B436" s="33" t="s">
        <v>156</v>
      </c>
      <c r="C436" s="29" t="s">
        <v>54</v>
      </c>
      <c r="D436" s="30" t="s">
        <v>28</v>
      </c>
      <c r="E436" s="29" t="s">
        <v>47</v>
      </c>
      <c r="F436" s="34" t="s">
        <v>163</v>
      </c>
      <c r="G436" s="35">
        <f t="shared" si="30"/>
        <v>10.5348837209302</v>
      </c>
      <c r="H436" s="36">
        <f t="shared" si="31"/>
        <v>126.387</v>
      </c>
      <c r="I436" s="40">
        <v>140.43</v>
      </c>
      <c r="J436" s="36">
        <f t="shared" si="32"/>
        <v>147.4515</v>
      </c>
      <c r="K436" s="36">
        <f t="shared" si="33"/>
        <v>118.80378</v>
      </c>
      <c r="L436" s="36">
        <f t="shared" si="34"/>
        <v>132.0042</v>
      </c>
      <c r="M436" s="41"/>
    </row>
    <row r="437" ht="15" spans="1:13">
      <c r="A437" s="27" t="s">
        <v>158</v>
      </c>
      <c r="B437" s="33" t="s">
        <v>156</v>
      </c>
      <c r="C437" s="29" t="s">
        <v>121</v>
      </c>
      <c r="D437" s="30" t="s">
        <v>28</v>
      </c>
      <c r="E437" s="29" t="s">
        <v>47</v>
      </c>
      <c r="F437" s="34" t="s">
        <v>56</v>
      </c>
      <c r="G437" s="35">
        <f t="shared" si="30"/>
        <v>20.039759939985</v>
      </c>
      <c r="H437" s="36">
        <f t="shared" si="31"/>
        <v>240.417</v>
      </c>
      <c r="I437" s="40">
        <v>267.13</v>
      </c>
      <c r="J437" s="36">
        <f t="shared" si="32"/>
        <v>280.4865</v>
      </c>
      <c r="K437" s="36">
        <f t="shared" si="33"/>
        <v>225.99198</v>
      </c>
      <c r="L437" s="36">
        <f t="shared" si="34"/>
        <v>251.1022</v>
      </c>
      <c r="M437" s="41"/>
    </row>
    <row r="438" ht="15" spans="1:13">
      <c r="A438" s="27" t="s">
        <v>158</v>
      </c>
      <c r="B438" s="33" t="s">
        <v>156</v>
      </c>
      <c r="C438" s="29" t="s">
        <v>55</v>
      </c>
      <c r="D438" s="30" t="s">
        <v>28</v>
      </c>
      <c r="E438" s="29" t="s">
        <v>47</v>
      </c>
      <c r="F438" s="34" t="s">
        <v>163</v>
      </c>
      <c r="G438" s="35">
        <f t="shared" si="30"/>
        <v>23.3338334583646</v>
      </c>
      <c r="H438" s="36">
        <f t="shared" si="31"/>
        <v>279.936</v>
      </c>
      <c r="I438" s="40">
        <v>311.04</v>
      </c>
      <c r="J438" s="36">
        <f t="shared" si="32"/>
        <v>326.592</v>
      </c>
      <c r="K438" s="36">
        <f t="shared" si="33"/>
        <v>263.13984</v>
      </c>
      <c r="L438" s="36">
        <f t="shared" si="34"/>
        <v>292.3776</v>
      </c>
      <c r="M438" s="41"/>
    </row>
    <row r="439" ht="15" spans="1:13">
      <c r="A439" s="27" t="s">
        <v>158</v>
      </c>
      <c r="B439" s="33" t="s">
        <v>156</v>
      </c>
      <c r="C439" s="29" t="s">
        <v>55</v>
      </c>
      <c r="D439" s="30" t="s">
        <v>28</v>
      </c>
      <c r="E439" s="29" t="s">
        <v>47</v>
      </c>
      <c r="F439" s="34" t="s">
        <v>119</v>
      </c>
      <c r="G439" s="35">
        <f t="shared" si="30"/>
        <v>22.4163540885221</v>
      </c>
      <c r="H439" s="36">
        <f t="shared" si="31"/>
        <v>268.929</v>
      </c>
      <c r="I439" s="40">
        <v>298.81</v>
      </c>
      <c r="J439" s="36">
        <f t="shared" si="32"/>
        <v>313.7505</v>
      </c>
      <c r="K439" s="36">
        <f t="shared" si="33"/>
        <v>252.79326</v>
      </c>
      <c r="L439" s="36">
        <f t="shared" si="34"/>
        <v>280.8814</v>
      </c>
      <c r="M439" s="41"/>
    </row>
    <row r="440" ht="15" spans="1:13">
      <c r="A440" s="27" t="s">
        <v>158</v>
      </c>
      <c r="B440" s="33" t="s">
        <v>156</v>
      </c>
      <c r="C440" s="29" t="s">
        <v>55</v>
      </c>
      <c r="D440" s="30" t="s">
        <v>28</v>
      </c>
      <c r="E440" s="29" t="s">
        <v>47</v>
      </c>
      <c r="F440" s="34" t="s">
        <v>56</v>
      </c>
      <c r="G440" s="35">
        <f t="shared" si="30"/>
        <v>24.589647411853</v>
      </c>
      <c r="H440" s="36">
        <f t="shared" si="31"/>
        <v>295.002</v>
      </c>
      <c r="I440" s="40">
        <v>327.78</v>
      </c>
      <c r="J440" s="36">
        <f t="shared" si="32"/>
        <v>344.169</v>
      </c>
      <c r="K440" s="36">
        <f t="shared" si="33"/>
        <v>277.30188</v>
      </c>
      <c r="L440" s="36">
        <f t="shared" si="34"/>
        <v>308.1132</v>
      </c>
      <c r="M440" s="41"/>
    </row>
    <row r="441" ht="15" spans="1:13">
      <c r="A441" s="27" t="s">
        <v>158</v>
      </c>
      <c r="B441" s="33" t="s">
        <v>164</v>
      </c>
      <c r="C441" s="29" t="s">
        <v>41</v>
      </c>
      <c r="D441" s="30" t="s">
        <v>28</v>
      </c>
      <c r="E441" s="29" t="s">
        <v>23</v>
      </c>
      <c r="F441" s="34" t="s">
        <v>53</v>
      </c>
      <c r="G441" s="35">
        <f t="shared" si="30"/>
        <v>12.4756189047262</v>
      </c>
      <c r="H441" s="36">
        <f t="shared" si="31"/>
        <v>149.67</v>
      </c>
      <c r="I441" s="40">
        <v>166.3</v>
      </c>
      <c r="J441" s="36">
        <f t="shared" si="32"/>
        <v>174.615</v>
      </c>
      <c r="K441" s="36">
        <f t="shared" si="33"/>
        <v>140.6898</v>
      </c>
      <c r="L441" s="36">
        <f t="shared" si="34"/>
        <v>156.322</v>
      </c>
      <c r="M441" s="41"/>
    </row>
    <row r="442" ht="15" spans="1:13">
      <c r="A442" s="27" t="s">
        <v>158</v>
      </c>
      <c r="B442" s="33" t="s">
        <v>58</v>
      </c>
      <c r="C442" s="29" t="s">
        <v>21</v>
      </c>
      <c r="D442" s="30" t="s">
        <v>28</v>
      </c>
      <c r="E442" s="29" t="s">
        <v>47</v>
      </c>
      <c r="F442" s="34" t="s">
        <v>53</v>
      </c>
      <c r="G442" s="35">
        <f t="shared" si="30"/>
        <v>8.73668417104276</v>
      </c>
      <c r="H442" s="36">
        <f t="shared" si="31"/>
        <v>104.814</v>
      </c>
      <c r="I442" s="40">
        <v>116.46</v>
      </c>
      <c r="J442" s="36">
        <f t="shared" si="32"/>
        <v>122.283</v>
      </c>
      <c r="K442" s="36">
        <f t="shared" si="33"/>
        <v>98.52516</v>
      </c>
      <c r="L442" s="36">
        <f t="shared" si="34"/>
        <v>109.4724</v>
      </c>
      <c r="M442" s="41"/>
    </row>
    <row r="443" ht="15" spans="1:13">
      <c r="A443" s="27" t="s">
        <v>158</v>
      </c>
      <c r="B443" s="33" t="s">
        <v>58</v>
      </c>
      <c r="C443" s="29" t="s">
        <v>41</v>
      </c>
      <c r="D443" s="30" t="s">
        <v>28</v>
      </c>
      <c r="E443" s="29" t="s">
        <v>47</v>
      </c>
      <c r="F443" s="34" t="s">
        <v>53</v>
      </c>
      <c r="G443" s="35">
        <f t="shared" si="30"/>
        <v>12.4801200300075</v>
      </c>
      <c r="H443" s="36">
        <f t="shared" si="31"/>
        <v>149.724</v>
      </c>
      <c r="I443" s="40">
        <v>166.36</v>
      </c>
      <c r="J443" s="36">
        <f t="shared" si="32"/>
        <v>174.678</v>
      </c>
      <c r="K443" s="36">
        <f t="shared" si="33"/>
        <v>140.74056</v>
      </c>
      <c r="L443" s="36">
        <f t="shared" si="34"/>
        <v>156.3784</v>
      </c>
      <c r="M443" s="41"/>
    </row>
    <row r="444" ht="15" spans="1:13">
      <c r="A444" s="27" t="s">
        <v>158</v>
      </c>
      <c r="B444" s="33" t="s">
        <v>157</v>
      </c>
      <c r="C444" s="29" t="s">
        <v>55</v>
      </c>
      <c r="D444" s="30" t="s">
        <v>28</v>
      </c>
      <c r="E444" s="29" t="s">
        <v>47</v>
      </c>
      <c r="F444" s="34" t="s">
        <v>59</v>
      </c>
      <c r="G444" s="35">
        <f t="shared" si="30"/>
        <v>24.8349587396849</v>
      </c>
      <c r="H444" s="36">
        <f t="shared" si="31"/>
        <v>297.945</v>
      </c>
      <c r="I444" s="40">
        <v>331.05</v>
      </c>
      <c r="J444" s="36">
        <f t="shared" si="32"/>
        <v>347.6025</v>
      </c>
      <c r="K444" s="36">
        <f t="shared" si="33"/>
        <v>280.0683</v>
      </c>
      <c r="L444" s="36">
        <f t="shared" si="34"/>
        <v>311.187</v>
      </c>
      <c r="M444" s="41"/>
    </row>
    <row r="445" ht="15" spans="1:13">
      <c r="A445" s="27" t="s">
        <v>158</v>
      </c>
      <c r="B445" s="33" t="s">
        <v>152</v>
      </c>
      <c r="C445" s="29" t="s">
        <v>21</v>
      </c>
      <c r="D445" s="30" t="s">
        <v>28</v>
      </c>
      <c r="E445" s="29" t="s">
        <v>47</v>
      </c>
      <c r="F445" s="34" t="s">
        <v>63</v>
      </c>
      <c r="G445" s="35">
        <f t="shared" si="30"/>
        <v>8.87096774193548</v>
      </c>
      <c r="H445" s="36">
        <f t="shared" si="31"/>
        <v>106.425</v>
      </c>
      <c r="I445" s="40">
        <v>118.25</v>
      </c>
      <c r="J445" s="36">
        <f t="shared" si="32"/>
        <v>124.1625</v>
      </c>
      <c r="K445" s="36">
        <f t="shared" si="33"/>
        <v>100.0395</v>
      </c>
      <c r="L445" s="36">
        <f t="shared" si="34"/>
        <v>111.155</v>
      </c>
      <c r="M445" s="41"/>
    </row>
    <row r="446" ht="15" spans="1:13">
      <c r="A446" s="27" t="s">
        <v>158</v>
      </c>
      <c r="B446" s="33" t="s">
        <v>152</v>
      </c>
      <c r="C446" s="29" t="s">
        <v>41</v>
      </c>
      <c r="D446" s="30" t="s">
        <v>28</v>
      </c>
      <c r="E446" s="29" t="s">
        <v>47</v>
      </c>
      <c r="F446" s="34" t="s">
        <v>63</v>
      </c>
      <c r="G446" s="35">
        <f t="shared" si="30"/>
        <v>12.9189797449362</v>
      </c>
      <c r="H446" s="36">
        <f t="shared" si="31"/>
        <v>154.989</v>
      </c>
      <c r="I446" s="40">
        <v>172.21</v>
      </c>
      <c r="J446" s="36">
        <f t="shared" si="32"/>
        <v>180.8205</v>
      </c>
      <c r="K446" s="36">
        <f t="shared" si="33"/>
        <v>145.68966</v>
      </c>
      <c r="L446" s="36">
        <f t="shared" si="34"/>
        <v>161.8774</v>
      </c>
      <c r="M446" s="41"/>
    </row>
    <row r="447" ht="15" spans="1:13">
      <c r="A447" s="27" t="s">
        <v>158</v>
      </c>
      <c r="B447" s="33" t="s">
        <v>165</v>
      </c>
      <c r="C447" s="29" t="s">
        <v>21</v>
      </c>
      <c r="D447" s="30" t="s">
        <v>28</v>
      </c>
      <c r="E447" s="29" t="s">
        <v>47</v>
      </c>
      <c r="F447" s="34" t="s">
        <v>29</v>
      </c>
      <c r="G447" s="35">
        <f t="shared" si="30"/>
        <v>10.7036759189797</v>
      </c>
      <c r="H447" s="36">
        <f t="shared" si="31"/>
        <v>128.412</v>
      </c>
      <c r="I447" s="40">
        <v>142.68</v>
      </c>
      <c r="J447" s="36">
        <f t="shared" si="32"/>
        <v>149.814</v>
      </c>
      <c r="K447" s="36">
        <f t="shared" si="33"/>
        <v>120.70728</v>
      </c>
      <c r="L447" s="36">
        <f t="shared" si="34"/>
        <v>134.1192</v>
      </c>
      <c r="M447" s="41"/>
    </row>
    <row r="448" ht="15" spans="1:13">
      <c r="A448" s="27" t="s">
        <v>158</v>
      </c>
      <c r="B448" s="33" t="s">
        <v>165</v>
      </c>
      <c r="C448" s="29" t="s">
        <v>41</v>
      </c>
      <c r="D448" s="30" t="s">
        <v>28</v>
      </c>
      <c r="E448" s="29" t="s">
        <v>47</v>
      </c>
      <c r="F448" s="34" t="s">
        <v>29</v>
      </c>
      <c r="G448" s="35">
        <f t="shared" si="30"/>
        <v>14.6504126031508</v>
      </c>
      <c r="H448" s="36">
        <f t="shared" si="31"/>
        <v>175.761</v>
      </c>
      <c r="I448" s="40">
        <v>195.29</v>
      </c>
      <c r="J448" s="36">
        <f t="shared" si="32"/>
        <v>205.0545</v>
      </c>
      <c r="K448" s="36">
        <f t="shared" si="33"/>
        <v>165.21534</v>
      </c>
      <c r="L448" s="36">
        <f t="shared" si="34"/>
        <v>183.5726</v>
      </c>
      <c r="M448" s="41"/>
    </row>
    <row r="449" ht="15" spans="1:13">
      <c r="A449" s="27" t="s">
        <v>158</v>
      </c>
      <c r="B449" s="33" t="s">
        <v>26</v>
      </c>
      <c r="C449" s="29" t="s">
        <v>54</v>
      </c>
      <c r="D449" s="30" t="s">
        <v>28</v>
      </c>
      <c r="E449" s="29" t="s">
        <v>47</v>
      </c>
      <c r="F449" s="34" t="s">
        <v>29</v>
      </c>
      <c r="G449" s="35">
        <f t="shared" si="30"/>
        <v>12.7891972993248</v>
      </c>
      <c r="H449" s="36">
        <f t="shared" si="31"/>
        <v>153.432</v>
      </c>
      <c r="I449" s="40">
        <v>170.48</v>
      </c>
      <c r="J449" s="36">
        <f t="shared" si="32"/>
        <v>179.004</v>
      </c>
      <c r="K449" s="36">
        <f t="shared" si="33"/>
        <v>144.22608</v>
      </c>
      <c r="L449" s="36">
        <f t="shared" si="34"/>
        <v>160.2512</v>
      </c>
      <c r="M449" s="41"/>
    </row>
    <row r="450" ht="15" spans="1:13">
      <c r="A450" s="27" t="s">
        <v>158</v>
      </c>
      <c r="B450" s="33" t="s">
        <v>147</v>
      </c>
      <c r="C450" s="29" t="s">
        <v>21</v>
      </c>
      <c r="D450" s="30" t="s">
        <v>28</v>
      </c>
      <c r="E450" s="29" t="s">
        <v>47</v>
      </c>
      <c r="F450" s="34" t="s">
        <v>66</v>
      </c>
      <c r="G450" s="35">
        <f t="shared" si="30"/>
        <v>10.735183795949</v>
      </c>
      <c r="H450" s="36">
        <f t="shared" si="31"/>
        <v>128.79</v>
      </c>
      <c r="I450" s="40">
        <v>143.1</v>
      </c>
      <c r="J450" s="36">
        <f t="shared" si="32"/>
        <v>150.255</v>
      </c>
      <c r="K450" s="36">
        <f t="shared" si="33"/>
        <v>121.0626</v>
      </c>
      <c r="L450" s="36">
        <f t="shared" si="34"/>
        <v>134.514</v>
      </c>
      <c r="M450" s="41"/>
    </row>
    <row r="451" ht="15" spans="1:13">
      <c r="A451" s="27" t="s">
        <v>158</v>
      </c>
      <c r="B451" s="33" t="s">
        <v>147</v>
      </c>
      <c r="C451" s="29" t="s">
        <v>41</v>
      </c>
      <c r="D451" s="30" t="s">
        <v>28</v>
      </c>
      <c r="E451" s="29" t="s">
        <v>47</v>
      </c>
      <c r="F451" s="34" t="s">
        <v>66</v>
      </c>
      <c r="G451" s="35">
        <f t="shared" ref="G451:G514" si="35">I451/13.33</f>
        <v>14.7344336084021</v>
      </c>
      <c r="H451" s="36">
        <f t="shared" ref="H451:H514" si="36">I451*0.9</f>
        <v>176.769</v>
      </c>
      <c r="I451" s="40">
        <v>196.41</v>
      </c>
      <c r="J451" s="36">
        <f t="shared" ref="J451:J514" si="37">I451*1.05</f>
        <v>206.2305</v>
      </c>
      <c r="K451" s="36">
        <f t="shared" ref="K451:K514" si="38">H451*0.94</f>
        <v>166.16286</v>
      </c>
      <c r="L451" s="36">
        <f t="shared" ref="L451:L514" si="39">I451*0.94</f>
        <v>184.6254</v>
      </c>
      <c r="M451" s="41"/>
    </row>
    <row r="452" ht="15" spans="1:13">
      <c r="A452" s="27" t="s">
        <v>158</v>
      </c>
      <c r="B452" s="33" t="s">
        <v>147</v>
      </c>
      <c r="C452" s="29" t="s">
        <v>21</v>
      </c>
      <c r="D452" s="30" t="s">
        <v>28</v>
      </c>
      <c r="E452" s="29" t="s">
        <v>47</v>
      </c>
      <c r="F452" s="34" t="s">
        <v>166</v>
      </c>
      <c r="G452" s="35">
        <f t="shared" si="35"/>
        <v>11.576144036009</v>
      </c>
      <c r="H452" s="36">
        <f t="shared" si="36"/>
        <v>138.879</v>
      </c>
      <c r="I452" s="40">
        <v>154.31</v>
      </c>
      <c r="J452" s="36">
        <f t="shared" si="37"/>
        <v>162.0255</v>
      </c>
      <c r="K452" s="36">
        <f t="shared" si="38"/>
        <v>130.54626</v>
      </c>
      <c r="L452" s="36">
        <f t="shared" si="39"/>
        <v>145.0514</v>
      </c>
      <c r="M452" s="41"/>
    </row>
    <row r="453" ht="15" spans="1:13">
      <c r="A453" s="27" t="s">
        <v>158</v>
      </c>
      <c r="B453" s="33" t="s">
        <v>167</v>
      </c>
      <c r="C453" s="29" t="s">
        <v>21</v>
      </c>
      <c r="D453" s="30" t="s">
        <v>28</v>
      </c>
      <c r="E453" s="29" t="s">
        <v>47</v>
      </c>
      <c r="F453" s="34" t="s">
        <v>68</v>
      </c>
      <c r="G453" s="35">
        <f t="shared" si="35"/>
        <v>10.5063765941485</v>
      </c>
      <c r="H453" s="36">
        <f t="shared" si="36"/>
        <v>126.045</v>
      </c>
      <c r="I453" s="40">
        <v>140.05</v>
      </c>
      <c r="J453" s="36">
        <f t="shared" si="37"/>
        <v>147.0525</v>
      </c>
      <c r="K453" s="36">
        <f t="shared" si="38"/>
        <v>118.4823</v>
      </c>
      <c r="L453" s="36">
        <f t="shared" si="39"/>
        <v>131.647</v>
      </c>
      <c r="M453" s="41"/>
    </row>
    <row r="454" ht="15" spans="1:13">
      <c r="A454" s="27" t="s">
        <v>158</v>
      </c>
      <c r="B454" s="33" t="s">
        <v>167</v>
      </c>
      <c r="C454" s="29" t="s">
        <v>21</v>
      </c>
      <c r="D454" s="30" t="s">
        <v>28</v>
      </c>
      <c r="E454" s="29" t="s">
        <v>23</v>
      </c>
      <c r="F454" s="34" t="s">
        <v>166</v>
      </c>
      <c r="G454" s="35">
        <f t="shared" si="35"/>
        <v>11.9279819954989</v>
      </c>
      <c r="H454" s="36">
        <f t="shared" si="36"/>
        <v>143.1</v>
      </c>
      <c r="I454" s="40">
        <v>159</v>
      </c>
      <c r="J454" s="36">
        <f t="shared" si="37"/>
        <v>166.95</v>
      </c>
      <c r="K454" s="36">
        <f t="shared" si="38"/>
        <v>134.514</v>
      </c>
      <c r="L454" s="36">
        <f t="shared" si="39"/>
        <v>149.46</v>
      </c>
      <c r="M454" s="41"/>
    </row>
    <row r="455" ht="15" spans="1:13">
      <c r="A455" s="27" t="s">
        <v>158</v>
      </c>
      <c r="B455" s="33" t="s">
        <v>67</v>
      </c>
      <c r="C455" s="29" t="s">
        <v>41</v>
      </c>
      <c r="D455" s="30" t="s">
        <v>28</v>
      </c>
      <c r="E455" s="29" t="s">
        <v>47</v>
      </c>
      <c r="F455" s="34" t="s">
        <v>68</v>
      </c>
      <c r="G455" s="35">
        <f t="shared" si="35"/>
        <v>14.4321080270068</v>
      </c>
      <c r="H455" s="36">
        <f t="shared" si="36"/>
        <v>173.142</v>
      </c>
      <c r="I455" s="40">
        <v>192.38</v>
      </c>
      <c r="J455" s="36">
        <f t="shared" si="37"/>
        <v>201.999</v>
      </c>
      <c r="K455" s="36">
        <f t="shared" si="38"/>
        <v>162.75348</v>
      </c>
      <c r="L455" s="36">
        <f t="shared" si="39"/>
        <v>180.8372</v>
      </c>
      <c r="M455" s="41"/>
    </row>
    <row r="456" ht="15" spans="1:13">
      <c r="A456" s="27" t="s">
        <v>158</v>
      </c>
      <c r="B456" s="33" t="s">
        <v>69</v>
      </c>
      <c r="C456" s="29" t="s">
        <v>41</v>
      </c>
      <c r="D456" s="30" t="s">
        <v>28</v>
      </c>
      <c r="E456" s="29" t="s">
        <v>47</v>
      </c>
      <c r="F456" s="34" t="s">
        <v>68</v>
      </c>
      <c r="G456" s="35">
        <f t="shared" si="35"/>
        <v>14.609152288072</v>
      </c>
      <c r="H456" s="36">
        <f t="shared" si="36"/>
        <v>175.266</v>
      </c>
      <c r="I456" s="40">
        <v>194.74</v>
      </c>
      <c r="J456" s="36">
        <f t="shared" si="37"/>
        <v>204.477</v>
      </c>
      <c r="K456" s="36">
        <f t="shared" si="38"/>
        <v>164.75004</v>
      </c>
      <c r="L456" s="36">
        <f t="shared" si="39"/>
        <v>183.0556</v>
      </c>
      <c r="M456" s="41"/>
    </row>
    <row r="457" ht="15" spans="1:13">
      <c r="A457" s="27" t="s">
        <v>158</v>
      </c>
      <c r="B457" s="33" t="s">
        <v>168</v>
      </c>
      <c r="C457" s="29" t="s">
        <v>41</v>
      </c>
      <c r="D457" s="30" t="s">
        <v>28</v>
      </c>
      <c r="E457" s="29" t="s">
        <v>47</v>
      </c>
      <c r="F457" s="34" t="s">
        <v>166</v>
      </c>
      <c r="G457" s="35">
        <f t="shared" si="35"/>
        <v>16.5746436609152</v>
      </c>
      <c r="H457" s="36">
        <f t="shared" si="36"/>
        <v>198.846</v>
      </c>
      <c r="I457" s="40">
        <v>220.94</v>
      </c>
      <c r="J457" s="36">
        <f t="shared" si="37"/>
        <v>231.987</v>
      </c>
      <c r="K457" s="36">
        <f t="shared" si="38"/>
        <v>186.91524</v>
      </c>
      <c r="L457" s="36">
        <f t="shared" si="39"/>
        <v>207.6836</v>
      </c>
      <c r="M457" s="41"/>
    </row>
    <row r="458" ht="15" spans="1:13">
      <c r="A458" s="27" t="s">
        <v>158</v>
      </c>
      <c r="B458" s="33" t="s">
        <v>168</v>
      </c>
      <c r="C458" s="29" t="s">
        <v>55</v>
      </c>
      <c r="D458" s="30" t="s">
        <v>28</v>
      </c>
      <c r="E458" s="29" t="s">
        <v>47</v>
      </c>
      <c r="F458" s="34" t="s">
        <v>166</v>
      </c>
      <c r="G458" s="35">
        <f t="shared" si="35"/>
        <v>27.178544636159</v>
      </c>
      <c r="H458" s="36">
        <f t="shared" si="36"/>
        <v>326.061</v>
      </c>
      <c r="I458" s="40">
        <v>362.29</v>
      </c>
      <c r="J458" s="36">
        <f t="shared" si="37"/>
        <v>380.4045</v>
      </c>
      <c r="K458" s="36">
        <f t="shared" si="38"/>
        <v>306.49734</v>
      </c>
      <c r="L458" s="36">
        <f t="shared" si="39"/>
        <v>340.5526</v>
      </c>
      <c r="M458" s="41"/>
    </row>
    <row r="459" ht="15" spans="1:13">
      <c r="A459" s="27" t="s">
        <v>158</v>
      </c>
      <c r="B459" s="33" t="s">
        <v>70</v>
      </c>
      <c r="C459" s="29" t="s">
        <v>21</v>
      </c>
      <c r="D459" s="30" t="s">
        <v>28</v>
      </c>
      <c r="E459" s="29" t="s">
        <v>47</v>
      </c>
      <c r="F459" s="34" t="s">
        <v>68</v>
      </c>
      <c r="G459" s="35">
        <f t="shared" si="35"/>
        <v>11.1087771942986</v>
      </c>
      <c r="H459" s="36">
        <f t="shared" si="36"/>
        <v>133.272</v>
      </c>
      <c r="I459" s="40">
        <v>148.08</v>
      </c>
      <c r="J459" s="36">
        <f t="shared" si="37"/>
        <v>155.484</v>
      </c>
      <c r="K459" s="36">
        <f t="shared" si="38"/>
        <v>125.27568</v>
      </c>
      <c r="L459" s="36">
        <f t="shared" si="39"/>
        <v>139.1952</v>
      </c>
      <c r="M459" s="41"/>
    </row>
    <row r="460" ht="15" spans="1:13">
      <c r="A460" s="27" t="s">
        <v>158</v>
      </c>
      <c r="B460" s="33" t="s">
        <v>70</v>
      </c>
      <c r="C460" s="29" t="s">
        <v>41</v>
      </c>
      <c r="D460" s="30" t="s">
        <v>28</v>
      </c>
      <c r="E460" s="29" t="s">
        <v>47</v>
      </c>
      <c r="F460" s="34" t="s">
        <v>68</v>
      </c>
      <c r="G460" s="35">
        <f t="shared" si="35"/>
        <v>14.8882220555139</v>
      </c>
      <c r="H460" s="36">
        <f t="shared" si="36"/>
        <v>178.614</v>
      </c>
      <c r="I460" s="40">
        <v>198.46</v>
      </c>
      <c r="J460" s="36">
        <f t="shared" si="37"/>
        <v>208.383</v>
      </c>
      <c r="K460" s="36">
        <f t="shared" si="38"/>
        <v>167.89716</v>
      </c>
      <c r="L460" s="36">
        <f t="shared" si="39"/>
        <v>186.5524</v>
      </c>
      <c r="M460" s="41"/>
    </row>
    <row r="461" ht="15" spans="1:13">
      <c r="A461" s="27" t="s">
        <v>158</v>
      </c>
      <c r="B461" s="33" t="s">
        <v>153</v>
      </c>
      <c r="C461" s="29" t="s">
        <v>55</v>
      </c>
      <c r="D461" s="30" t="s">
        <v>28</v>
      </c>
      <c r="E461" s="29" t="s">
        <v>47</v>
      </c>
      <c r="F461" s="34" t="s">
        <v>68</v>
      </c>
      <c r="G461" s="35">
        <f t="shared" si="35"/>
        <v>24.6054013503376</v>
      </c>
      <c r="H461" s="36">
        <f t="shared" si="36"/>
        <v>295.191</v>
      </c>
      <c r="I461" s="40">
        <v>327.99</v>
      </c>
      <c r="J461" s="36">
        <f t="shared" si="37"/>
        <v>344.3895</v>
      </c>
      <c r="K461" s="36">
        <f t="shared" si="38"/>
        <v>277.47954</v>
      </c>
      <c r="L461" s="36">
        <f t="shared" si="39"/>
        <v>308.3106</v>
      </c>
      <c r="M461" s="41"/>
    </row>
    <row r="462" ht="15" spans="1:13">
      <c r="A462" s="27" t="s">
        <v>158</v>
      </c>
      <c r="B462" s="33" t="s">
        <v>148</v>
      </c>
      <c r="C462" s="29" t="s">
        <v>21</v>
      </c>
      <c r="D462" s="30" t="s">
        <v>28</v>
      </c>
      <c r="E462" s="29" t="s">
        <v>47</v>
      </c>
      <c r="F462" s="34" t="s">
        <v>76</v>
      </c>
      <c r="G462" s="35">
        <f t="shared" si="35"/>
        <v>12.8102025506377</v>
      </c>
      <c r="H462" s="36">
        <f t="shared" si="36"/>
        <v>153.684</v>
      </c>
      <c r="I462" s="40">
        <v>170.76</v>
      </c>
      <c r="J462" s="36">
        <f t="shared" si="37"/>
        <v>179.298</v>
      </c>
      <c r="K462" s="36">
        <f t="shared" si="38"/>
        <v>144.46296</v>
      </c>
      <c r="L462" s="36">
        <f t="shared" si="39"/>
        <v>160.5144</v>
      </c>
      <c r="M462" s="41"/>
    </row>
    <row r="463" ht="15" spans="1:13">
      <c r="A463" s="27" t="s">
        <v>158</v>
      </c>
      <c r="B463" s="33" t="s">
        <v>148</v>
      </c>
      <c r="C463" s="29" t="s">
        <v>41</v>
      </c>
      <c r="D463" s="30" t="s">
        <v>28</v>
      </c>
      <c r="E463" s="29" t="s">
        <v>47</v>
      </c>
      <c r="F463" s="34" t="s">
        <v>76</v>
      </c>
      <c r="G463" s="35">
        <f t="shared" si="35"/>
        <v>16.8394598649662</v>
      </c>
      <c r="H463" s="36">
        <f t="shared" si="36"/>
        <v>202.023</v>
      </c>
      <c r="I463" s="40">
        <v>224.47</v>
      </c>
      <c r="J463" s="36">
        <f t="shared" si="37"/>
        <v>235.6935</v>
      </c>
      <c r="K463" s="36">
        <f t="shared" si="38"/>
        <v>189.90162</v>
      </c>
      <c r="L463" s="36">
        <f t="shared" si="39"/>
        <v>211.0018</v>
      </c>
      <c r="M463" s="41"/>
    </row>
    <row r="464" ht="15" spans="1:13">
      <c r="A464" s="27" t="s">
        <v>158</v>
      </c>
      <c r="B464" s="33" t="s">
        <v>148</v>
      </c>
      <c r="C464" s="29" t="s">
        <v>55</v>
      </c>
      <c r="D464" s="30" t="s">
        <v>28</v>
      </c>
      <c r="E464" s="29" t="s">
        <v>47</v>
      </c>
      <c r="F464" s="34" t="s">
        <v>76</v>
      </c>
      <c r="G464" s="35">
        <f t="shared" si="35"/>
        <v>27.3810952738185</v>
      </c>
      <c r="H464" s="36">
        <f t="shared" si="36"/>
        <v>328.491</v>
      </c>
      <c r="I464" s="40">
        <v>364.99</v>
      </c>
      <c r="J464" s="36">
        <f t="shared" si="37"/>
        <v>383.2395</v>
      </c>
      <c r="K464" s="36">
        <f t="shared" si="38"/>
        <v>308.78154</v>
      </c>
      <c r="L464" s="36">
        <f t="shared" si="39"/>
        <v>343.0906</v>
      </c>
      <c r="M464" s="41"/>
    </row>
    <row r="465" ht="15" spans="1:13">
      <c r="A465" s="27" t="s">
        <v>158</v>
      </c>
      <c r="B465" s="33" t="s">
        <v>169</v>
      </c>
      <c r="C465" s="29" t="s">
        <v>21</v>
      </c>
      <c r="D465" s="30" t="s">
        <v>28</v>
      </c>
      <c r="E465" s="29" t="s">
        <v>47</v>
      </c>
      <c r="F465" s="34" t="s">
        <v>143</v>
      </c>
      <c r="G465" s="35">
        <f t="shared" si="35"/>
        <v>15.5798949737434</v>
      </c>
      <c r="H465" s="36">
        <f t="shared" si="36"/>
        <v>186.912</v>
      </c>
      <c r="I465" s="40">
        <v>207.68</v>
      </c>
      <c r="J465" s="36">
        <f t="shared" si="37"/>
        <v>218.064</v>
      </c>
      <c r="K465" s="36">
        <f t="shared" si="38"/>
        <v>175.69728</v>
      </c>
      <c r="L465" s="36">
        <f t="shared" si="39"/>
        <v>195.2192</v>
      </c>
      <c r="M465" s="41"/>
    </row>
    <row r="466" ht="15" spans="1:13">
      <c r="A466" s="27" t="s">
        <v>158</v>
      </c>
      <c r="B466" s="33" t="s">
        <v>31</v>
      </c>
      <c r="C466" s="29" t="s">
        <v>41</v>
      </c>
      <c r="D466" s="30" t="s">
        <v>28</v>
      </c>
      <c r="E466" s="29" t="s">
        <v>47</v>
      </c>
      <c r="F466" s="34" t="s">
        <v>32</v>
      </c>
      <c r="G466" s="35">
        <f t="shared" si="35"/>
        <v>17.4126031507877</v>
      </c>
      <c r="H466" s="36">
        <f t="shared" si="36"/>
        <v>208.899</v>
      </c>
      <c r="I466" s="40">
        <v>232.11</v>
      </c>
      <c r="J466" s="36">
        <f t="shared" si="37"/>
        <v>243.7155</v>
      </c>
      <c r="K466" s="36">
        <f t="shared" si="38"/>
        <v>196.36506</v>
      </c>
      <c r="L466" s="36">
        <f t="shared" si="39"/>
        <v>218.1834</v>
      </c>
      <c r="M466" s="41"/>
    </row>
    <row r="467" ht="15" spans="1:13">
      <c r="A467" s="27" t="s">
        <v>158</v>
      </c>
      <c r="B467" s="33" t="s">
        <v>80</v>
      </c>
      <c r="C467" s="29" t="s">
        <v>41</v>
      </c>
      <c r="D467" s="30" t="s">
        <v>28</v>
      </c>
      <c r="E467" s="29" t="s">
        <v>47</v>
      </c>
      <c r="F467" s="34" t="s">
        <v>32</v>
      </c>
      <c r="G467" s="35">
        <f t="shared" si="35"/>
        <v>17.4126031507877</v>
      </c>
      <c r="H467" s="36">
        <f t="shared" si="36"/>
        <v>208.899</v>
      </c>
      <c r="I467" s="40">
        <v>232.11</v>
      </c>
      <c r="J467" s="36">
        <f t="shared" si="37"/>
        <v>243.7155</v>
      </c>
      <c r="K467" s="36">
        <f t="shared" si="38"/>
        <v>196.36506</v>
      </c>
      <c r="L467" s="36">
        <f t="shared" si="39"/>
        <v>218.1834</v>
      </c>
      <c r="M467" s="41"/>
    </row>
    <row r="468" ht="15" spans="1:13">
      <c r="A468" s="27" t="s">
        <v>158</v>
      </c>
      <c r="B468" s="33" t="s">
        <v>149</v>
      </c>
      <c r="C468" s="29" t="s">
        <v>21</v>
      </c>
      <c r="D468" s="30" t="s">
        <v>28</v>
      </c>
      <c r="E468" s="29" t="s">
        <v>47</v>
      </c>
      <c r="F468" s="34" t="s">
        <v>36</v>
      </c>
      <c r="G468" s="35">
        <f t="shared" si="35"/>
        <v>14.3345836459115</v>
      </c>
      <c r="H468" s="36">
        <f t="shared" si="36"/>
        <v>171.972</v>
      </c>
      <c r="I468" s="40">
        <v>191.08</v>
      </c>
      <c r="J468" s="36">
        <f t="shared" si="37"/>
        <v>200.634</v>
      </c>
      <c r="K468" s="36">
        <f t="shared" si="38"/>
        <v>161.65368</v>
      </c>
      <c r="L468" s="36">
        <f t="shared" si="39"/>
        <v>179.6152</v>
      </c>
      <c r="M468" s="41"/>
    </row>
    <row r="469" ht="15" spans="1:13">
      <c r="A469" s="27" t="s">
        <v>158</v>
      </c>
      <c r="B469" s="33" t="s">
        <v>85</v>
      </c>
      <c r="C469" s="29" t="s">
        <v>21</v>
      </c>
      <c r="D469" s="30" t="s">
        <v>22</v>
      </c>
      <c r="E469" s="29" t="s">
        <v>47</v>
      </c>
      <c r="F469" s="34" t="s">
        <v>36</v>
      </c>
      <c r="G469" s="35">
        <f t="shared" si="35"/>
        <v>15.0765191297824</v>
      </c>
      <c r="H469" s="36">
        <f t="shared" si="36"/>
        <v>180.873</v>
      </c>
      <c r="I469" s="40">
        <v>200.97</v>
      </c>
      <c r="J469" s="36">
        <f t="shared" si="37"/>
        <v>211.0185</v>
      </c>
      <c r="K469" s="36">
        <f t="shared" si="38"/>
        <v>170.02062</v>
      </c>
      <c r="L469" s="36">
        <f t="shared" si="39"/>
        <v>188.9118</v>
      </c>
      <c r="M469" s="41"/>
    </row>
    <row r="470" ht="15" spans="1:13">
      <c r="A470" s="27" t="s">
        <v>158</v>
      </c>
      <c r="B470" s="33" t="s">
        <v>85</v>
      </c>
      <c r="C470" s="29" t="s">
        <v>41</v>
      </c>
      <c r="D470" s="30" t="s">
        <v>22</v>
      </c>
      <c r="E470" s="29" t="s">
        <v>47</v>
      </c>
      <c r="F470" s="34" t="s">
        <v>36</v>
      </c>
      <c r="G470" s="35">
        <f t="shared" si="35"/>
        <v>18.6369092273068</v>
      </c>
      <c r="H470" s="36">
        <f t="shared" si="36"/>
        <v>223.587</v>
      </c>
      <c r="I470" s="40">
        <v>248.43</v>
      </c>
      <c r="J470" s="36">
        <f t="shared" si="37"/>
        <v>260.8515</v>
      </c>
      <c r="K470" s="36">
        <f t="shared" si="38"/>
        <v>210.17178</v>
      </c>
      <c r="L470" s="36">
        <f t="shared" si="39"/>
        <v>233.5242</v>
      </c>
      <c r="M470" s="41"/>
    </row>
    <row r="471" ht="15" spans="1:13">
      <c r="A471" s="27" t="s">
        <v>158</v>
      </c>
      <c r="B471" s="33" t="s">
        <v>170</v>
      </c>
      <c r="C471" s="29" t="s">
        <v>41</v>
      </c>
      <c r="D471" s="30" t="s">
        <v>22</v>
      </c>
      <c r="E471" s="29" t="s">
        <v>47</v>
      </c>
      <c r="F471" s="34" t="s">
        <v>171</v>
      </c>
      <c r="G471" s="35">
        <f t="shared" si="35"/>
        <v>25.5476369092273</v>
      </c>
      <c r="H471" s="36">
        <f t="shared" si="36"/>
        <v>306.495</v>
      </c>
      <c r="I471" s="40">
        <v>340.55</v>
      </c>
      <c r="J471" s="36">
        <f t="shared" si="37"/>
        <v>357.5775</v>
      </c>
      <c r="K471" s="36">
        <f t="shared" si="38"/>
        <v>288.1053</v>
      </c>
      <c r="L471" s="36">
        <f t="shared" si="39"/>
        <v>320.117</v>
      </c>
      <c r="M471" s="41"/>
    </row>
    <row r="472" ht="15" spans="1:13">
      <c r="A472" s="27" t="s">
        <v>158</v>
      </c>
      <c r="B472" s="33" t="s">
        <v>37</v>
      </c>
      <c r="C472" s="29" t="s">
        <v>21</v>
      </c>
      <c r="D472" s="30" t="s">
        <v>22</v>
      </c>
      <c r="E472" s="29" t="s">
        <v>47</v>
      </c>
      <c r="F472" s="34" t="s">
        <v>38</v>
      </c>
      <c r="G472" s="35">
        <f t="shared" si="35"/>
        <v>17.5738934733683</v>
      </c>
      <c r="H472" s="36">
        <f t="shared" si="36"/>
        <v>210.834</v>
      </c>
      <c r="I472" s="40">
        <v>234.26</v>
      </c>
      <c r="J472" s="36">
        <f t="shared" si="37"/>
        <v>245.973</v>
      </c>
      <c r="K472" s="36">
        <f t="shared" si="38"/>
        <v>198.18396</v>
      </c>
      <c r="L472" s="36">
        <f t="shared" si="39"/>
        <v>220.2044</v>
      </c>
      <c r="M472" s="41"/>
    </row>
    <row r="473" ht="15" spans="1:13">
      <c r="A473" s="27" t="s">
        <v>158</v>
      </c>
      <c r="B473" s="33" t="s">
        <v>37</v>
      </c>
      <c r="C473" s="29" t="s">
        <v>41</v>
      </c>
      <c r="D473" s="30" t="s">
        <v>22</v>
      </c>
      <c r="E473" s="29" t="s">
        <v>47</v>
      </c>
      <c r="F473" s="34" t="s">
        <v>38</v>
      </c>
      <c r="G473" s="35">
        <f t="shared" si="35"/>
        <v>21.5813953488372</v>
      </c>
      <c r="H473" s="36">
        <f t="shared" si="36"/>
        <v>258.912</v>
      </c>
      <c r="I473" s="40">
        <v>287.68</v>
      </c>
      <c r="J473" s="36">
        <f t="shared" si="37"/>
        <v>302.064</v>
      </c>
      <c r="K473" s="36">
        <f t="shared" si="38"/>
        <v>243.37728</v>
      </c>
      <c r="L473" s="36">
        <f t="shared" si="39"/>
        <v>270.4192</v>
      </c>
      <c r="M473" s="41"/>
    </row>
    <row r="474" ht="15" spans="1:13">
      <c r="A474" s="27" t="s">
        <v>158</v>
      </c>
      <c r="B474" s="33" t="s">
        <v>172</v>
      </c>
      <c r="C474" s="29" t="s">
        <v>55</v>
      </c>
      <c r="D474" s="30" t="s">
        <v>22</v>
      </c>
      <c r="E474" s="29" t="s">
        <v>47</v>
      </c>
      <c r="F474" s="34" t="s">
        <v>38</v>
      </c>
      <c r="G474" s="35">
        <f t="shared" si="35"/>
        <v>30.370592648162</v>
      </c>
      <c r="H474" s="36">
        <f t="shared" si="36"/>
        <v>364.356</v>
      </c>
      <c r="I474" s="40">
        <v>404.84</v>
      </c>
      <c r="J474" s="36">
        <f t="shared" si="37"/>
        <v>425.082</v>
      </c>
      <c r="K474" s="36">
        <f t="shared" si="38"/>
        <v>342.49464</v>
      </c>
      <c r="L474" s="36">
        <f t="shared" si="39"/>
        <v>380.5496</v>
      </c>
      <c r="M474" s="41"/>
    </row>
    <row r="475" ht="15" spans="1:13">
      <c r="A475" s="27" t="s">
        <v>158</v>
      </c>
      <c r="B475" s="33" t="s">
        <v>39</v>
      </c>
      <c r="C475" s="29" t="s">
        <v>21</v>
      </c>
      <c r="D475" s="30" t="s">
        <v>22</v>
      </c>
      <c r="E475" s="29" t="s">
        <v>47</v>
      </c>
      <c r="F475" s="34" t="s">
        <v>40</v>
      </c>
      <c r="G475" s="35">
        <f t="shared" si="35"/>
        <v>18.3750937734434</v>
      </c>
      <c r="H475" s="36">
        <f t="shared" si="36"/>
        <v>220.446</v>
      </c>
      <c r="I475" s="40">
        <v>244.94</v>
      </c>
      <c r="J475" s="36">
        <f t="shared" si="37"/>
        <v>257.187</v>
      </c>
      <c r="K475" s="36">
        <f t="shared" si="38"/>
        <v>207.21924</v>
      </c>
      <c r="L475" s="36">
        <f t="shared" si="39"/>
        <v>230.2436</v>
      </c>
      <c r="M475" s="41"/>
    </row>
    <row r="476" ht="15" spans="1:13">
      <c r="A476" s="27" t="s">
        <v>158</v>
      </c>
      <c r="B476" s="33" t="s">
        <v>39</v>
      </c>
      <c r="C476" s="29" t="s">
        <v>41</v>
      </c>
      <c r="D476" s="30" t="s">
        <v>22</v>
      </c>
      <c r="E476" s="29" t="s">
        <v>47</v>
      </c>
      <c r="F476" s="34" t="s">
        <v>40</v>
      </c>
      <c r="G476" s="35">
        <f t="shared" si="35"/>
        <v>21.7051762940735</v>
      </c>
      <c r="H476" s="36">
        <f t="shared" si="36"/>
        <v>260.397</v>
      </c>
      <c r="I476" s="40">
        <v>289.33</v>
      </c>
      <c r="J476" s="36">
        <f t="shared" si="37"/>
        <v>303.7965</v>
      </c>
      <c r="K476" s="36">
        <f t="shared" si="38"/>
        <v>244.77318</v>
      </c>
      <c r="L476" s="36">
        <f t="shared" si="39"/>
        <v>271.9702</v>
      </c>
      <c r="M476" s="41"/>
    </row>
    <row r="477" ht="15" spans="1:13">
      <c r="A477" s="27" t="s">
        <v>158</v>
      </c>
      <c r="B477" s="33" t="s">
        <v>42</v>
      </c>
      <c r="C477" s="29" t="s">
        <v>21</v>
      </c>
      <c r="D477" s="30" t="s">
        <v>22</v>
      </c>
      <c r="E477" s="29" t="s">
        <v>47</v>
      </c>
      <c r="F477" s="34" t="s">
        <v>43</v>
      </c>
      <c r="G477" s="35">
        <f t="shared" si="35"/>
        <v>18.8649662415604</v>
      </c>
      <c r="H477" s="36">
        <f t="shared" si="36"/>
        <v>226.323</v>
      </c>
      <c r="I477" s="40">
        <v>251.47</v>
      </c>
      <c r="J477" s="36">
        <f t="shared" si="37"/>
        <v>264.0435</v>
      </c>
      <c r="K477" s="36">
        <f t="shared" si="38"/>
        <v>212.74362</v>
      </c>
      <c r="L477" s="36">
        <f t="shared" si="39"/>
        <v>236.3818</v>
      </c>
      <c r="M477" s="41"/>
    </row>
    <row r="478" ht="15" spans="1:13">
      <c r="A478" s="27" t="s">
        <v>158</v>
      </c>
      <c r="B478" s="33" t="s">
        <v>88</v>
      </c>
      <c r="C478" s="29" t="s">
        <v>41</v>
      </c>
      <c r="D478" s="30" t="s">
        <v>22</v>
      </c>
      <c r="E478" s="29" t="s">
        <v>47</v>
      </c>
      <c r="F478" s="34" t="s">
        <v>43</v>
      </c>
      <c r="G478" s="35">
        <f t="shared" si="35"/>
        <v>24.1207801950488</v>
      </c>
      <c r="H478" s="36">
        <f t="shared" si="36"/>
        <v>289.377</v>
      </c>
      <c r="I478" s="40">
        <v>321.53</v>
      </c>
      <c r="J478" s="36">
        <f t="shared" si="37"/>
        <v>337.6065</v>
      </c>
      <c r="K478" s="36">
        <f t="shared" si="38"/>
        <v>272.01438</v>
      </c>
      <c r="L478" s="36">
        <f t="shared" si="39"/>
        <v>302.2382</v>
      </c>
      <c r="M478" s="41"/>
    </row>
    <row r="479" ht="15" spans="1:13">
      <c r="A479" s="27" t="s">
        <v>158</v>
      </c>
      <c r="B479" s="33" t="s">
        <v>173</v>
      </c>
      <c r="C479" s="29" t="s">
        <v>55</v>
      </c>
      <c r="D479" s="30" t="s">
        <v>22</v>
      </c>
      <c r="E479" s="29" t="s">
        <v>47</v>
      </c>
      <c r="F479" s="34" t="s">
        <v>43</v>
      </c>
      <c r="G479" s="35">
        <f t="shared" si="35"/>
        <v>36.6841710427607</v>
      </c>
      <c r="H479" s="36">
        <f t="shared" si="36"/>
        <v>440.1</v>
      </c>
      <c r="I479" s="40">
        <v>489</v>
      </c>
      <c r="J479" s="36">
        <f t="shared" si="37"/>
        <v>513.45</v>
      </c>
      <c r="K479" s="36">
        <f t="shared" si="38"/>
        <v>413.694</v>
      </c>
      <c r="L479" s="36">
        <f t="shared" si="39"/>
        <v>459.66</v>
      </c>
      <c r="M479" s="41"/>
    </row>
    <row r="480" ht="15" spans="1:13">
      <c r="A480" s="27" t="s">
        <v>158</v>
      </c>
      <c r="B480" s="33" t="s">
        <v>91</v>
      </c>
      <c r="C480" s="29" t="s">
        <v>21</v>
      </c>
      <c r="D480" s="30" t="s">
        <v>22</v>
      </c>
      <c r="E480" s="29" t="s">
        <v>47</v>
      </c>
      <c r="F480" s="34" t="s">
        <v>90</v>
      </c>
      <c r="G480" s="35">
        <f t="shared" si="35"/>
        <v>20.5888972243061</v>
      </c>
      <c r="H480" s="36">
        <f t="shared" si="36"/>
        <v>247.005</v>
      </c>
      <c r="I480" s="40">
        <v>274.45</v>
      </c>
      <c r="J480" s="36">
        <f t="shared" si="37"/>
        <v>288.1725</v>
      </c>
      <c r="K480" s="36">
        <f t="shared" si="38"/>
        <v>232.1847</v>
      </c>
      <c r="L480" s="36">
        <f t="shared" si="39"/>
        <v>257.983</v>
      </c>
      <c r="M480" s="41"/>
    </row>
    <row r="481" ht="15" spans="1:13">
      <c r="A481" s="27" t="s">
        <v>158</v>
      </c>
      <c r="B481" s="33" t="s">
        <v>91</v>
      </c>
      <c r="C481" s="29" t="s">
        <v>41</v>
      </c>
      <c r="D481" s="30" t="s">
        <v>22</v>
      </c>
      <c r="E481" s="29" t="s">
        <v>47</v>
      </c>
      <c r="F481" s="34" t="s">
        <v>90</v>
      </c>
      <c r="G481" s="35">
        <f t="shared" si="35"/>
        <v>24.8312078019505</v>
      </c>
      <c r="H481" s="36">
        <f t="shared" si="36"/>
        <v>297.9</v>
      </c>
      <c r="I481" s="40">
        <v>331</v>
      </c>
      <c r="J481" s="36">
        <f t="shared" si="37"/>
        <v>347.55</v>
      </c>
      <c r="K481" s="36">
        <f t="shared" si="38"/>
        <v>280.026</v>
      </c>
      <c r="L481" s="36">
        <f t="shared" si="39"/>
        <v>311.14</v>
      </c>
      <c r="M481" s="41"/>
    </row>
    <row r="482" ht="15" spans="1:13">
      <c r="A482" s="27" t="s">
        <v>158</v>
      </c>
      <c r="B482" s="33" t="s">
        <v>20</v>
      </c>
      <c r="C482" s="29" t="s">
        <v>21</v>
      </c>
      <c r="D482" s="30" t="s">
        <v>22</v>
      </c>
      <c r="E482" s="29" t="s">
        <v>47</v>
      </c>
      <c r="F482" s="34" t="s">
        <v>24</v>
      </c>
      <c r="G482" s="35">
        <f t="shared" si="35"/>
        <v>23.0360090022506</v>
      </c>
      <c r="H482" s="36">
        <f t="shared" si="36"/>
        <v>276.363</v>
      </c>
      <c r="I482" s="40">
        <v>307.07</v>
      </c>
      <c r="J482" s="36">
        <f t="shared" si="37"/>
        <v>322.4235</v>
      </c>
      <c r="K482" s="36">
        <f t="shared" si="38"/>
        <v>259.78122</v>
      </c>
      <c r="L482" s="36">
        <f t="shared" si="39"/>
        <v>288.6458</v>
      </c>
      <c r="M482" s="41"/>
    </row>
    <row r="483" ht="15" spans="1:13">
      <c r="A483" s="27" t="s">
        <v>158</v>
      </c>
      <c r="B483" s="33" t="s">
        <v>99</v>
      </c>
      <c r="C483" s="29" t="s">
        <v>41</v>
      </c>
      <c r="D483" s="30" t="s">
        <v>22</v>
      </c>
      <c r="E483" s="29" t="s">
        <v>23</v>
      </c>
      <c r="F483" s="34" t="s">
        <v>101</v>
      </c>
      <c r="G483" s="35">
        <f t="shared" si="35"/>
        <v>31.8957239309827</v>
      </c>
      <c r="H483" s="36">
        <f t="shared" si="36"/>
        <v>382.653</v>
      </c>
      <c r="I483" s="40">
        <v>425.17</v>
      </c>
      <c r="J483" s="36">
        <f t="shared" si="37"/>
        <v>446.4285</v>
      </c>
      <c r="K483" s="36">
        <f t="shared" si="38"/>
        <v>359.69382</v>
      </c>
      <c r="L483" s="36">
        <f t="shared" si="39"/>
        <v>399.6598</v>
      </c>
      <c r="M483" s="41"/>
    </row>
    <row r="484" ht="15" spans="1:13">
      <c r="A484" s="27" t="s">
        <v>158</v>
      </c>
      <c r="B484" s="33" t="s">
        <v>99</v>
      </c>
      <c r="C484" s="29" t="s">
        <v>41</v>
      </c>
      <c r="D484" s="30" t="s">
        <v>22</v>
      </c>
      <c r="E484" s="29" t="s">
        <v>47</v>
      </c>
      <c r="F484" s="34" t="s">
        <v>101</v>
      </c>
      <c r="G484" s="35">
        <f t="shared" si="35"/>
        <v>31.8957239309827</v>
      </c>
      <c r="H484" s="36">
        <f t="shared" si="36"/>
        <v>382.653</v>
      </c>
      <c r="I484" s="40">
        <v>425.17</v>
      </c>
      <c r="J484" s="36">
        <f t="shared" si="37"/>
        <v>446.4285</v>
      </c>
      <c r="K484" s="36">
        <f t="shared" si="38"/>
        <v>359.69382</v>
      </c>
      <c r="L484" s="36">
        <f t="shared" si="39"/>
        <v>399.6598</v>
      </c>
      <c r="M484" s="41"/>
    </row>
    <row r="485" ht="15" spans="1:13">
      <c r="A485" s="27" t="s">
        <v>174</v>
      </c>
      <c r="B485" s="33" t="s">
        <v>45</v>
      </c>
      <c r="C485" s="29" t="s">
        <v>21</v>
      </c>
      <c r="D485" s="30" t="s">
        <v>28</v>
      </c>
      <c r="E485" s="29" t="s">
        <v>47</v>
      </c>
      <c r="F485" s="34" t="s">
        <v>116</v>
      </c>
      <c r="G485" s="35">
        <f t="shared" si="35"/>
        <v>8.84471117779445</v>
      </c>
      <c r="H485" s="36">
        <f t="shared" si="36"/>
        <v>106.11</v>
      </c>
      <c r="I485" s="40">
        <v>117.9</v>
      </c>
      <c r="J485" s="36">
        <f t="shared" si="37"/>
        <v>123.795</v>
      </c>
      <c r="K485" s="36">
        <f t="shared" si="38"/>
        <v>99.7434</v>
      </c>
      <c r="L485" s="36">
        <f t="shared" si="39"/>
        <v>110.826</v>
      </c>
      <c r="M485" s="41"/>
    </row>
    <row r="486" ht="15" spans="1:13">
      <c r="A486" s="27" t="s">
        <v>174</v>
      </c>
      <c r="B486" s="33" t="s">
        <v>115</v>
      </c>
      <c r="C486" s="29" t="s">
        <v>21</v>
      </c>
      <c r="D486" s="30" t="s">
        <v>28</v>
      </c>
      <c r="E486" s="29" t="s">
        <v>47</v>
      </c>
      <c r="F486" s="34" t="s">
        <v>116</v>
      </c>
      <c r="G486" s="35">
        <f t="shared" si="35"/>
        <v>8.90622655663916</v>
      </c>
      <c r="H486" s="36">
        <f t="shared" si="36"/>
        <v>106.848</v>
      </c>
      <c r="I486" s="40">
        <v>118.72</v>
      </c>
      <c r="J486" s="36">
        <f t="shared" si="37"/>
        <v>124.656</v>
      </c>
      <c r="K486" s="36">
        <f t="shared" si="38"/>
        <v>100.43712</v>
      </c>
      <c r="L486" s="36">
        <f t="shared" si="39"/>
        <v>111.5968</v>
      </c>
      <c r="M486" s="41"/>
    </row>
    <row r="487" ht="15" spans="1:13">
      <c r="A487" s="27" t="s">
        <v>174</v>
      </c>
      <c r="B487" s="33" t="s">
        <v>50</v>
      </c>
      <c r="C487" s="29" t="s">
        <v>21</v>
      </c>
      <c r="D487" s="30" t="s">
        <v>28</v>
      </c>
      <c r="E487" s="29" t="s">
        <v>175</v>
      </c>
      <c r="F487" s="34" t="s">
        <v>49</v>
      </c>
      <c r="G487" s="35">
        <f t="shared" si="35"/>
        <v>9.18604651162791</v>
      </c>
      <c r="H487" s="36">
        <f t="shared" si="36"/>
        <v>110.205</v>
      </c>
      <c r="I487" s="40">
        <v>122.45</v>
      </c>
      <c r="J487" s="36">
        <f t="shared" si="37"/>
        <v>128.5725</v>
      </c>
      <c r="K487" s="36">
        <f t="shared" si="38"/>
        <v>103.5927</v>
      </c>
      <c r="L487" s="36">
        <f t="shared" si="39"/>
        <v>115.103</v>
      </c>
      <c r="M487" s="41"/>
    </row>
    <row r="488" ht="15" spans="1:13">
      <c r="A488" s="27" t="s">
        <v>174</v>
      </c>
      <c r="B488" s="33" t="s">
        <v>50</v>
      </c>
      <c r="C488" s="29" t="s">
        <v>41</v>
      </c>
      <c r="D488" s="30" t="s">
        <v>28</v>
      </c>
      <c r="E488" s="29" t="s">
        <v>175</v>
      </c>
      <c r="F488" s="34" t="s">
        <v>49</v>
      </c>
      <c r="G488" s="35">
        <f t="shared" si="35"/>
        <v>13.8949737434359</v>
      </c>
      <c r="H488" s="36">
        <f t="shared" si="36"/>
        <v>166.698</v>
      </c>
      <c r="I488" s="40">
        <v>185.22</v>
      </c>
      <c r="J488" s="36">
        <f t="shared" si="37"/>
        <v>194.481</v>
      </c>
      <c r="K488" s="36">
        <f t="shared" si="38"/>
        <v>156.69612</v>
      </c>
      <c r="L488" s="36">
        <f t="shared" si="39"/>
        <v>174.1068</v>
      </c>
      <c r="M488" s="41"/>
    </row>
    <row r="489" ht="15" spans="1:13">
      <c r="A489" s="27" t="s">
        <v>174</v>
      </c>
      <c r="B489" s="33" t="s">
        <v>50</v>
      </c>
      <c r="C489" s="29" t="s">
        <v>21</v>
      </c>
      <c r="D489" s="30" t="s">
        <v>28</v>
      </c>
      <c r="E489" s="29" t="s">
        <v>176</v>
      </c>
      <c r="F489" s="34" t="s">
        <v>116</v>
      </c>
      <c r="G489" s="35">
        <f t="shared" si="35"/>
        <v>8.76144036009002</v>
      </c>
      <c r="H489" s="36">
        <f t="shared" si="36"/>
        <v>105.111</v>
      </c>
      <c r="I489" s="40">
        <v>116.79</v>
      </c>
      <c r="J489" s="36">
        <f t="shared" si="37"/>
        <v>122.6295</v>
      </c>
      <c r="K489" s="36">
        <f t="shared" si="38"/>
        <v>98.80434</v>
      </c>
      <c r="L489" s="36">
        <f t="shared" si="39"/>
        <v>109.7826</v>
      </c>
      <c r="M489" s="41"/>
    </row>
    <row r="490" ht="15" spans="1:13">
      <c r="A490" s="27" t="s">
        <v>174</v>
      </c>
      <c r="B490" s="33" t="s">
        <v>50</v>
      </c>
      <c r="C490" s="29" t="s">
        <v>55</v>
      </c>
      <c r="D490" s="30" t="s">
        <v>28</v>
      </c>
      <c r="E490" s="29" t="s">
        <v>47</v>
      </c>
      <c r="F490" s="34" t="s">
        <v>51</v>
      </c>
      <c r="G490" s="35">
        <f t="shared" si="35"/>
        <v>23.278319579895</v>
      </c>
      <c r="H490" s="36">
        <f t="shared" si="36"/>
        <v>279.27</v>
      </c>
      <c r="I490" s="40">
        <v>310.3</v>
      </c>
      <c r="J490" s="36">
        <f t="shared" si="37"/>
        <v>325.815</v>
      </c>
      <c r="K490" s="36">
        <f t="shared" si="38"/>
        <v>262.5138</v>
      </c>
      <c r="L490" s="36">
        <f t="shared" si="39"/>
        <v>291.682</v>
      </c>
      <c r="M490" s="41"/>
    </row>
    <row r="491" ht="15" spans="1:13">
      <c r="A491" s="27" t="s">
        <v>174</v>
      </c>
      <c r="B491" s="33" t="s">
        <v>52</v>
      </c>
      <c r="C491" s="29" t="s">
        <v>41</v>
      </c>
      <c r="D491" s="30" t="s">
        <v>28</v>
      </c>
      <c r="E491" s="29" t="s">
        <v>175</v>
      </c>
      <c r="F491" s="34" t="s">
        <v>53</v>
      </c>
      <c r="G491" s="35">
        <f t="shared" si="35"/>
        <v>13.6931732933233</v>
      </c>
      <c r="H491" s="36">
        <f t="shared" si="36"/>
        <v>164.277</v>
      </c>
      <c r="I491" s="40">
        <v>182.53</v>
      </c>
      <c r="J491" s="36">
        <f t="shared" si="37"/>
        <v>191.6565</v>
      </c>
      <c r="K491" s="36">
        <f t="shared" si="38"/>
        <v>154.42038</v>
      </c>
      <c r="L491" s="36">
        <f t="shared" si="39"/>
        <v>171.5782</v>
      </c>
      <c r="M491" s="41"/>
    </row>
    <row r="492" ht="15" spans="1:13">
      <c r="A492" s="27" t="s">
        <v>174</v>
      </c>
      <c r="B492" s="33" t="s">
        <v>156</v>
      </c>
      <c r="C492" s="29" t="s">
        <v>21</v>
      </c>
      <c r="D492" s="30" t="s">
        <v>28</v>
      </c>
      <c r="E492" s="29" t="s">
        <v>175</v>
      </c>
      <c r="F492" s="34" t="s">
        <v>119</v>
      </c>
      <c r="G492" s="35">
        <f t="shared" si="35"/>
        <v>9.38334583645911</v>
      </c>
      <c r="H492" s="36">
        <f t="shared" si="36"/>
        <v>112.572</v>
      </c>
      <c r="I492" s="40">
        <v>125.08</v>
      </c>
      <c r="J492" s="36">
        <f t="shared" si="37"/>
        <v>131.334</v>
      </c>
      <c r="K492" s="36">
        <f t="shared" si="38"/>
        <v>105.81768</v>
      </c>
      <c r="L492" s="36">
        <f t="shared" si="39"/>
        <v>117.5752</v>
      </c>
      <c r="M492" s="41"/>
    </row>
    <row r="493" ht="15" spans="1:13">
      <c r="A493" s="27" t="s">
        <v>174</v>
      </c>
      <c r="B493" s="33" t="s">
        <v>156</v>
      </c>
      <c r="C493" s="29" t="s">
        <v>54</v>
      </c>
      <c r="D493" s="30" t="s">
        <v>28</v>
      </c>
      <c r="E493" s="29" t="s">
        <v>175</v>
      </c>
      <c r="F493" s="34" t="s">
        <v>119</v>
      </c>
      <c r="G493" s="35">
        <f t="shared" si="35"/>
        <v>12.1665416354089</v>
      </c>
      <c r="H493" s="36">
        <f t="shared" si="36"/>
        <v>145.962</v>
      </c>
      <c r="I493" s="40">
        <v>162.18</v>
      </c>
      <c r="J493" s="36">
        <f t="shared" si="37"/>
        <v>170.289</v>
      </c>
      <c r="K493" s="36">
        <f t="shared" si="38"/>
        <v>137.20428</v>
      </c>
      <c r="L493" s="36">
        <f t="shared" si="39"/>
        <v>152.4492</v>
      </c>
      <c r="M493" s="41"/>
    </row>
    <row r="494" ht="15" spans="1:13">
      <c r="A494" s="27" t="s">
        <v>174</v>
      </c>
      <c r="B494" s="33" t="s">
        <v>156</v>
      </c>
      <c r="C494" s="29" t="s">
        <v>41</v>
      </c>
      <c r="D494" s="30" t="s">
        <v>28</v>
      </c>
      <c r="E494" s="29" t="s">
        <v>47</v>
      </c>
      <c r="F494" s="34" t="s">
        <v>119</v>
      </c>
      <c r="G494" s="35">
        <f t="shared" si="35"/>
        <v>13.5858964741185</v>
      </c>
      <c r="H494" s="36">
        <f t="shared" si="36"/>
        <v>162.99</v>
      </c>
      <c r="I494" s="40">
        <v>181.1</v>
      </c>
      <c r="J494" s="36">
        <f t="shared" si="37"/>
        <v>190.155</v>
      </c>
      <c r="K494" s="36">
        <f t="shared" si="38"/>
        <v>153.2106</v>
      </c>
      <c r="L494" s="36">
        <f t="shared" si="39"/>
        <v>170.234</v>
      </c>
      <c r="M494" s="41"/>
    </row>
    <row r="495" ht="15" spans="1:13">
      <c r="A495" s="27" t="s">
        <v>174</v>
      </c>
      <c r="B495" s="33" t="s">
        <v>156</v>
      </c>
      <c r="C495" s="29" t="s">
        <v>41</v>
      </c>
      <c r="D495" s="30" t="s">
        <v>28</v>
      </c>
      <c r="E495" s="29" t="s">
        <v>175</v>
      </c>
      <c r="F495" s="34" t="s">
        <v>119</v>
      </c>
      <c r="G495" s="35">
        <f t="shared" si="35"/>
        <v>13.9084771192798</v>
      </c>
      <c r="H495" s="36">
        <f t="shared" si="36"/>
        <v>166.86</v>
      </c>
      <c r="I495" s="40">
        <v>185.4</v>
      </c>
      <c r="J495" s="36">
        <f t="shared" si="37"/>
        <v>194.67</v>
      </c>
      <c r="K495" s="36">
        <f t="shared" si="38"/>
        <v>156.8484</v>
      </c>
      <c r="L495" s="36">
        <f t="shared" si="39"/>
        <v>174.276</v>
      </c>
      <c r="M495" s="41"/>
    </row>
    <row r="496" ht="15" spans="1:13">
      <c r="A496" s="27" t="s">
        <v>174</v>
      </c>
      <c r="B496" s="33" t="s">
        <v>164</v>
      </c>
      <c r="C496" s="29" t="s">
        <v>21</v>
      </c>
      <c r="D496" s="30" t="s">
        <v>28</v>
      </c>
      <c r="E496" s="29" t="s">
        <v>47</v>
      </c>
      <c r="F496" s="34" t="s">
        <v>53</v>
      </c>
      <c r="G496" s="35">
        <f t="shared" si="35"/>
        <v>9.25206301575394</v>
      </c>
      <c r="H496" s="36">
        <f t="shared" si="36"/>
        <v>110.997</v>
      </c>
      <c r="I496" s="40">
        <v>123.33</v>
      </c>
      <c r="J496" s="36">
        <f t="shared" si="37"/>
        <v>129.4965</v>
      </c>
      <c r="K496" s="36">
        <f t="shared" si="38"/>
        <v>104.33718</v>
      </c>
      <c r="L496" s="36">
        <f t="shared" si="39"/>
        <v>115.9302</v>
      </c>
      <c r="M496" s="41"/>
    </row>
    <row r="497" ht="15" spans="1:13">
      <c r="A497" s="27" t="s">
        <v>174</v>
      </c>
      <c r="B497" s="33" t="s">
        <v>164</v>
      </c>
      <c r="C497" s="29" t="s">
        <v>54</v>
      </c>
      <c r="D497" s="30" t="s">
        <v>28</v>
      </c>
      <c r="E497" s="29" t="s">
        <v>47</v>
      </c>
      <c r="F497" s="34" t="s">
        <v>53</v>
      </c>
      <c r="G497" s="35">
        <f t="shared" si="35"/>
        <v>11.4201050262566</v>
      </c>
      <c r="H497" s="36">
        <f t="shared" si="36"/>
        <v>137.007</v>
      </c>
      <c r="I497" s="40">
        <v>152.23</v>
      </c>
      <c r="J497" s="36">
        <f t="shared" si="37"/>
        <v>159.8415</v>
      </c>
      <c r="K497" s="36">
        <f t="shared" si="38"/>
        <v>128.78658</v>
      </c>
      <c r="L497" s="36">
        <f t="shared" si="39"/>
        <v>143.0962</v>
      </c>
      <c r="M497" s="41"/>
    </row>
    <row r="498" ht="15" spans="1:13">
      <c r="A498" s="27" t="s">
        <v>174</v>
      </c>
      <c r="B498" s="33" t="s">
        <v>164</v>
      </c>
      <c r="C498" s="29" t="s">
        <v>41</v>
      </c>
      <c r="D498" s="30" t="s">
        <v>28</v>
      </c>
      <c r="E498" s="29" t="s">
        <v>47</v>
      </c>
      <c r="F498" s="34" t="s">
        <v>59</v>
      </c>
      <c r="G498" s="35">
        <f t="shared" si="35"/>
        <v>13.9872468117029</v>
      </c>
      <c r="H498" s="36">
        <f t="shared" si="36"/>
        <v>167.805</v>
      </c>
      <c r="I498" s="40">
        <v>186.45</v>
      </c>
      <c r="J498" s="36">
        <f t="shared" si="37"/>
        <v>195.7725</v>
      </c>
      <c r="K498" s="36">
        <f t="shared" si="38"/>
        <v>157.7367</v>
      </c>
      <c r="L498" s="36">
        <f t="shared" si="39"/>
        <v>175.263</v>
      </c>
      <c r="M498" s="41"/>
    </row>
    <row r="499" ht="15" spans="1:13">
      <c r="A499" s="27" t="s">
        <v>174</v>
      </c>
      <c r="B499" s="33" t="s">
        <v>164</v>
      </c>
      <c r="C499" s="29" t="s">
        <v>41</v>
      </c>
      <c r="D499" s="30" t="s">
        <v>28</v>
      </c>
      <c r="E499" s="29" t="s">
        <v>175</v>
      </c>
      <c r="F499" s="34" t="s">
        <v>53</v>
      </c>
      <c r="G499" s="35">
        <f t="shared" si="35"/>
        <v>13.7809452363091</v>
      </c>
      <c r="H499" s="36">
        <f t="shared" si="36"/>
        <v>165.33</v>
      </c>
      <c r="I499" s="40">
        <v>183.7</v>
      </c>
      <c r="J499" s="36">
        <f t="shared" si="37"/>
        <v>192.885</v>
      </c>
      <c r="K499" s="36">
        <f t="shared" si="38"/>
        <v>155.4102</v>
      </c>
      <c r="L499" s="36">
        <f t="shared" si="39"/>
        <v>172.678</v>
      </c>
      <c r="M499" s="41"/>
    </row>
    <row r="500" ht="15" spans="1:13">
      <c r="A500" s="27" t="s">
        <v>174</v>
      </c>
      <c r="B500" s="33" t="s">
        <v>157</v>
      </c>
      <c r="C500" s="29" t="s">
        <v>21</v>
      </c>
      <c r="D500" s="30" t="s">
        <v>28</v>
      </c>
      <c r="E500" s="29" t="s">
        <v>47</v>
      </c>
      <c r="F500" s="34" t="s">
        <v>61</v>
      </c>
      <c r="G500" s="35">
        <f t="shared" si="35"/>
        <v>9.51162790697675</v>
      </c>
      <c r="H500" s="36">
        <f t="shared" si="36"/>
        <v>114.111</v>
      </c>
      <c r="I500" s="40">
        <v>126.79</v>
      </c>
      <c r="J500" s="36">
        <f t="shared" si="37"/>
        <v>133.1295</v>
      </c>
      <c r="K500" s="36">
        <f t="shared" si="38"/>
        <v>107.26434</v>
      </c>
      <c r="L500" s="36">
        <f t="shared" si="39"/>
        <v>119.1826</v>
      </c>
      <c r="M500" s="41"/>
    </row>
    <row r="501" ht="15" spans="1:13">
      <c r="A501" s="27" t="s">
        <v>174</v>
      </c>
      <c r="B501" s="33" t="s">
        <v>157</v>
      </c>
      <c r="C501" s="29" t="s">
        <v>21</v>
      </c>
      <c r="D501" s="30" t="s">
        <v>28</v>
      </c>
      <c r="E501" s="29" t="s">
        <v>175</v>
      </c>
      <c r="F501" s="34" t="s">
        <v>61</v>
      </c>
      <c r="G501" s="35">
        <f t="shared" si="35"/>
        <v>9.92498124531133</v>
      </c>
      <c r="H501" s="36">
        <f t="shared" si="36"/>
        <v>119.07</v>
      </c>
      <c r="I501" s="40">
        <v>132.3</v>
      </c>
      <c r="J501" s="36">
        <f t="shared" si="37"/>
        <v>138.915</v>
      </c>
      <c r="K501" s="36">
        <f t="shared" si="38"/>
        <v>111.9258</v>
      </c>
      <c r="L501" s="36">
        <f t="shared" si="39"/>
        <v>124.362</v>
      </c>
      <c r="M501" s="41"/>
    </row>
    <row r="502" ht="15" spans="1:13">
      <c r="A502" s="27" t="s">
        <v>174</v>
      </c>
      <c r="B502" s="33" t="s">
        <v>157</v>
      </c>
      <c r="C502" s="29" t="s">
        <v>21</v>
      </c>
      <c r="D502" s="30" t="s">
        <v>28</v>
      </c>
      <c r="E502" s="29" t="s">
        <v>47</v>
      </c>
      <c r="F502" s="34" t="s">
        <v>177</v>
      </c>
      <c r="G502" s="35">
        <f t="shared" si="35"/>
        <v>10.9242310577644</v>
      </c>
      <c r="H502" s="36">
        <f t="shared" si="36"/>
        <v>131.058</v>
      </c>
      <c r="I502" s="40">
        <v>145.62</v>
      </c>
      <c r="J502" s="36">
        <f t="shared" si="37"/>
        <v>152.901</v>
      </c>
      <c r="K502" s="36">
        <f t="shared" si="38"/>
        <v>123.19452</v>
      </c>
      <c r="L502" s="36">
        <f t="shared" si="39"/>
        <v>136.8828</v>
      </c>
      <c r="M502" s="41"/>
    </row>
    <row r="503" ht="15" spans="1:13">
      <c r="A503" s="27" t="s">
        <v>174</v>
      </c>
      <c r="B503" s="33" t="s">
        <v>157</v>
      </c>
      <c r="C503" s="29" t="s">
        <v>21</v>
      </c>
      <c r="D503" s="30" t="s">
        <v>28</v>
      </c>
      <c r="E503" s="29" t="s">
        <v>175</v>
      </c>
      <c r="F503" s="34" t="s">
        <v>177</v>
      </c>
      <c r="G503" s="35">
        <f t="shared" si="35"/>
        <v>11.4216054013503</v>
      </c>
      <c r="H503" s="36">
        <f t="shared" si="36"/>
        <v>137.025</v>
      </c>
      <c r="I503" s="40">
        <v>152.25</v>
      </c>
      <c r="J503" s="36">
        <f t="shared" si="37"/>
        <v>159.8625</v>
      </c>
      <c r="K503" s="36">
        <f t="shared" si="38"/>
        <v>128.8035</v>
      </c>
      <c r="L503" s="36">
        <f t="shared" si="39"/>
        <v>143.115</v>
      </c>
      <c r="M503" s="41"/>
    </row>
    <row r="504" ht="15" spans="1:13">
      <c r="A504" s="27" t="s">
        <v>174</v>
      </c>
      <c r="B504" s="33" t="s">
        <v>157</v>
      </c>
      <c r="C504" s="29" t="s">
        <v>54</v>
      </c>
      <c r="D504" s="30" t="s">
        <v>28</v>
      </c>
      <c r="E504" s="29" t="s">
        <v>47</v>
      </c>
      <c r="F504" s="34" t="s">
        <v>61</v>
      </c>
      <c r="G504" s="35">
        <f t="shared" si="35"/>
        <v>11.9264816204051</v>
      </c>
      <c r="H504" s="36">
        <f t="shared" si="36"/>
        <v>143.082</v>
      </c>
      <c r="I504" s="40">
        <v>158.98</v>
      </c>
      <c r="J504" s="36">
        <f t="shared" si="37"/>
        <v>166.929</v>
      </c>
      <c r="K504" s="36">
        <f t="shared" si="38"/>
        <v>134.49708</v>
      </c>
      <c r="L504" s="36">
        <f t="shared" si="39"/>
        <v>149.4412</v>
      </c>
      <c r="M504" s="41"/>
    </row>
    <row r="505" ht="15" spans="1:13">
      <c r="A505" s="27" t="s">
        <v>174</v>
      </c>
      <c r="B505" s="33" t="s">
        <v>157</v>
      </c>
      <c r="C505" s="29" t="s">
        <v>41</v>
      </c>
      <c r="D505" s="30" t="s">
        <v>28</v>
      </c>
      <c r="E505" s="29" t="s">
        <v>175</v>
      </c>
      <c r="F505" s="34" t="s">
        <v>177</v>
      </c>
      <c r="G505" s="35">
        <f t="shared" si="35"/>
        <v>15.4268567141785</v>
      </c>
      <c r="H505" s="36">
        <f t="shared" si="36"/>
        <v>185.076</v>
      </c>
      <c r="I505" s="40">
        <v>205.64</v>
      </c>
      <c r="J505" s="36">
        <f t="shared" si="37"/>
        <v>215.922</v>
      </c>
      <c r="K505" s="36">
        <f t="shared" si="38"/>
        <v>173.97144</v>
      </c>
      <c r="L505" s="36">
        <f t="shared" si="39"/>
        <v>193.3016</v>
      </c>
      <c r="M505" s="41"/>
    </row>
    <row r="506" ht="15" spans="1:13">
      <c r="A506" s="27" t="s">
        <v>174</v>
      </c>
      <c r="B506" s="33" t="s">
        <v>157</v>
      </c>
      <c r="C506" s="29" t="s">
        <v>55</v>
      </c>
      <c r="D506" s="30" t="s">
        <v>28</v>
      </c>
      <c r="E506" s="29" t="s">
        <v>47</v>
      </c>
      <c r="F506" s="34" t="s">
        <v>59</v>
      </c>
      <c r="G506" s="35">
        <f t="shared" si="35"/>
        <v>27.006751687922</v>
      </c>
      <c r="H506" s="36">
        <f t="shared" si="36"/>
        <v>324</v>
      </c>
      <c r="I506" s="40">
        <v>360</v>
      </c>
      <c r="J506" s="36">
        <f t="shared" si="37"/>
        <v>378</v>
      </c>
      <c r="K506" s="36">
        <f t="shared" si="38"/>
        <v>304.56</v>
      </c>
      <c r="L506" s="36">
        <f t="shared" si="39"/>
        <v>338.4</v>
      </c>
      <c r="M506" s="41"/>
    </row>
    <row r="507" ht="15" spans="1:13">
      <c r="A507" s="27" t="s">
        <v>174</v>
      </c>
      <c r="B507" s="33" t="s">
        <v>64</v>
      </c>
      <c r="C507" s="29" t="s">
        <v>21</v>
      </c>
      <c r="D507" s="30" t="s">
        <v>28</v>
      </c>
      <c r="E507" s="29" t="s">
        <v>47</v>
      </c>
      <c r="F507" s="34" t="s">
        <v>29</v>
      </c>
      <c r="G507" s="35">
        <f t="shared" si="35"/>
        <v>11.5206301575394</v>
      </c>
      <c r="H507" s="36">
        <f t="shared" si="36"/>
        <v>138.213</v>
      </c>
      <c r="I507" s="40">
        <v>153.57</v>
      </c>
      <c r="J507" s="36">
        <f t="shared" si="37"/>
        <v>161.2485</v>
      </c>
      <c r="K507" s="36">
        <f t="shared" si="38"/>
        <v>129.92022</v>
      </c>
      <c r="L507" s="36">
        <f t="shared" si="39"/>
        <v>144.3558</v>
      </c>
      <c r="M507" s="41"/>
    </row>
    <row r="508" ht="15" spans="1:13">
      <c r="A508" s="27" t="s">
        <v>174</v>
      </c>
      <c r="B508" s="33" t="s">
        <v>152</v>
      </c>
      <c r="C508" s="29" t="s">
        <v>41</v>
      </c>
      <c r="D508" s="30" t="s">
        <v>28</v>
      </c>
      <c r="E508" s="29" t="s">
        <v>23</v>
      </c>
      <c r="F508" s="34" t="s">
        <v>178</v>
      </c>
      <c r="G508" s="35">
        <f t="shared" si="35"/>
        <v>14.1935483870968</v>
      </c>
      <c r="H508" s="36">
        <f t="shared" si="36"/>
        <v>170.28</v>
      </c>
      <c r="I508" s="40">
        <v>189.2</v>
      </c>
      <c r="J508" s="36">
        <f t="shared" si="37"/>
        <v>198.66</v>
      </c>
      <c r="K508" s="36">
        <f t="shared" si="38"/>
        <v>160.0632</v>
      </c>
      <c r="L508" s="36">
        <f t="shared" si="39"/>
        <v>177.848</v>
      </c>
      <c r="M508" s="41"/>
    </row>
    <row r="509" ht="15" spans="1:13">
      <c r="A509" s="27" t="s">
        <v>174</v>
      </c>
      <c r="B509" s="33" t="s">
        <v>165</v>
      </c>
      <c r="C509" s="29" t="s">
        <v>21</v>
      </c>
      <c r="D509" s="30" t="s">
        <v>28</v>
      </c>
      <c r="E509" s="29" t="s">
        <v>175</v>
      </c>
      <c r="F509" s="34" t="s">
        <v>29</v>
      </c>
      <c r="G509" s="35">
        <f t="shared" si="35"/>
        <v>12.3030757689422</v>
      </c>
      <c r="H509" s="36">
        <f t="shared" si="36"/>
        <v>147.6</v>
      </c>
      <c r="I509" s="40">
        <v>164</v>
      </c>
      <c r="J509" s="36">
        <f t="shared" si="37"/>
        <v>172.2</v>
      </c>
      <c r="K509" s="36">
        <f t="shared" si="38"/>
        <v>138.744</v>
      </c>
      <c r="L509" s="36">
        <f t="shared" si="39"/>
        <v>154.16</v>
      </c>
      <c r="M509" s="41"/>
    </row>
    <row r="510" ht="15" spans="1:13">
      <c r="A510" s="27" t="s">
        <v>174</v>
      </c>
      <c r="B510" s="33" t="s">
        <v>132</v>
      </c>
      <c r="C510" s="29" t="s">
        <v>55</v>
      </c>
      <c r="D510" s="30" t="s">
        <v>28</v>
      </c>
      <c r="E510" s="29" t="s">
        <v>47</v>
      </c>
      <c r="F510" s="34" t="s">
        <v>76</v>
      </c>
      <c r="G510" s="35">
        <f t="shared" si="35"/>
        <v>28.3885971492873</v>
      </c>
      <c r="H510" s="36">
        <f t="shared" si="36"/>
        <v>340.578</v>
      </c>
      <c r="I510" s="40">
        <v>378.42</v>
      </c>
      <c r="J510" s="36">
        <f t="shared" si="37"/>
        <v>397.341</v>
      </c>
      <c r="K510" s="36">
        <f t="shared" si="38"/>
        <v>320.14332</v>
      </c>
      <c r="L510" s="36">
        <f t="shared" si="39"/>
        <v>355.7148</v>
      </c>
      <c r="M510" s="41"/>
    </row>
    <row r="511" ht="15" spans="1:13">
      <c r="A511" s="27" t="s">
        <v>174</v>
      </c>
      <c r="B511" s="33" t="s">
        <v>126</v>
      </c>
      <c r="C511" s="29" t="s">
        <v>21</v>
      </c>
      <c r="D511" s="30" t="s">
        <v>28</v>
      </c>
      <c r="E511" s="29" t="s">
        <v>175</v>
      </c>
      <c r="F511" s="34" t="s">
        <v>32</v>
      </c>
      <c r="G511" s="35">
        <f t="shared" si="35"/>
        <v>14.3668417104276</v>
      </c>
      <c r="H511" s="36">
        <f t="shared" si="36"/>
        <v>172.359</v>
      </c>
      <c r="I511" s="40">
        <v>191.51</v>
      </c>
      <c r="J511" s="36">
        <f t="shared" si="37"/>
        <v>201.0855</v>
      </c>
      <c r="K511" s="36">
        <f t="shared" si="38"/>
        <v>162.01746</v>
      </c>
      <c r="L511" s="36">
        <f t="shared" si="39"/>
        <v>180.0194</v>
      </c>
      <c r="M511" s="41"/>
    </row>
    <row r="512" ht="15" spans="1:13">
      <c r="A512" s="27" t="s">
        <v>174</v>
      </c>
      <c r="B512" s="33" t="s">
        <v>83</v>
      </c>
      <c r="C512" s="29" t="s">
        <v>21</v>
      </c>
      <c r="D512" s="30" t="s">
        <v>28</v>
      </c>
      <c r="E512" s="29" t="s">
        <v>47</v>
      </c>
      <c r="F512" s="1" t="s">
        <v>34</v>
      </c>
      <c r="G512" s="35">
        <f t="shared" si="35"/>
        <v>16.5836459114779</v>
      </c>
      <c r="H512" s="36">
        <f t="shared" si="36"/>
        <v>198.954</v>
      </c>
      <c r="I512" s="40">
        <v>221.06</v>
      </c>
      <c r="J512" s="36">
        <f t="shared" si="37"/>
        <v>232.113</v>
      </c>
      <c r="K512" s="36">
        <f t="shared" si="38"/>
        <v>187.01676</v>
      </c>
      <c r="L512" s="36">
        <f t="shared" si="39"/>
        <v>207.7964</v>
      </c>
      <c r="M512" s="41"/>
    </row>
    <row r="513" ht="15" spans="1:13">
      <c r="A513" s="27" t="s">
        <v>174</v>
      </c>
      <c r="B513" s="33" t="s">
        <v>85</v>
      </c>
      <c r="C513" s="29" t="s">
        <v>21</v>
      </c>
      <c r="D513" s="30" t="s">
        <v>22</v>
      </c>
      <c r="E513" s="29" t="s">
        <v>175</v>
      </c>
      <c r="F513" s="34" t="s">
        <v>36</v>
      </c>
      <c r="G513" s="35">
        <f t="shared" si="35"/>
        <v>17.6999249812453</v>
      </c>
      <c r="H513" s="36">
        <f t="shared" si="36"/>
        <v>212.346</v>
      </c>
      <c r="I513" s="40">
        <v>235.94</v>
      </c>
      <c r="J513" s="36">
        <f t="shared" si="37"/>
        <v>247.737</v>
      </c>
      <c r="K513" s="36">
        <f t="shared" si="38"/>
        <v>199.60524</v>
      </c>
      <c r="L513" s="36">
        <f t="shared" si="39"/>
        <v>221.7836</v>
      </c>
      <c r="M513" s="41"/>
    </row>
    <row r="514" ht="15" spans="1:13">
      <c r="A514" s="27" t="s">
        <v>174</v>
      </c>
      <c r="B514" s="33" t="s">
        <v>170</v>
      </c>
      <c r="C514" s="29" t="s">
        <v>21</v>
      </c>
      <c r="D514" s="37" t="s">
        <v>28</v>
      </c>
      <c r="E514" s="29" t="s">
        <v>175</v>
      </c>
      <c r="F514" s="34" t="s">
        <v>38</v>
      </c>
      <c r="G514" s="35">
        <f t="shared" si="35"/>
        <v>18.7321830457614</v>
      </c>
      <c r="H514" s="36">
        <f t="shared" si="36"/>
        <v>224.73</v>
      </c>
      <c r="I514" s="40">
        <v>249.7</v>
      </c>
      <c r="J514" s="36">
        <f t="shared" si="37"/>
        <v>262.185</v>
      </c>
      <c r="K514" s="36">
        <f t="shared" si="38"/>
        <v>211.2462</v>
      </c>
      <c r="L514" s="36">
        <f t="shared" si="39"/>
        <v>234.718</v>
      </c>
      <c r="M514" s="41"/>
    </row>
    <row r="515" ht="15" spans="1:13">
      <c r="A515" s="27" t="s">
        <v>174</v>
      </c>
      <c r="B515" s="33" t="s">
        <v>92</v>
      </c>
      <c r="C515" s="29" t="s">
        <v>41</v>
      </c>
      <c r="D515" s="30" t="s">
        <v>22</v>
      </c>
      <c r="E515" s="29" t="s">
        <v>175</v>
      </c>
      <c r="F515" s="34" t="s">
        <v>90</v>
      </c>
      <c r="G515" s="35">
        <f t="shared" ref="G515:G578" si="40">I515/13.33</f>
        <v>28.7224306076519</v>
      </c>
      <c r="H515" s="36">
        <f t="shared" ref="H515:H578" si="41">I515*0.9</f>
        <v>344.583</v>
      </c>
      <c r="I515" s="40">
        <v>382.87</v>
      </c>
      <c r="J515" s="36">
        <f t="shared" ref="J515:J578" si="42">I515*1.05</f>
        <v>402.0135</v>
      </c>
      <c r="K515" s="36">
        <f t="shared" ref="K515:K578" si="43">H515*0.94</f>
        <v>323.90802</v>
      </c>
      <c r="L515" s="36">
        <f t="shared" ref="L515:L578" si="44">I515*0.94</f>
        <v>359.8978</v>
      </c>
      <c r="M515" s="41"/>
    </row>
    <row r="516" ht="15" spans="1:13">
      <c r="A516" s="27" t="s">
        <v>179</v>
      </c>
      <c r="B516" s="33" t="s">
        <v>147</v>
      </c>
      <c r="C516" s="29" t="s">
        <v>21</v>
      </c>
      <c r="D516" s="30" t="s">
        <v>28</v>
      </c>
      <c r="E516" s="29" t="s">
        <v>47</v>
      </c>
      <c r="F516" s="34" t="s">
        <v>166</v>
      </c>
      <c r="G516" s="35">
        <f t="shared" si="40"/>
        <v>14.31807951988</v>
      </c>
      <c r="H516" s="36">
        <f t="shared" si="41"/>
        <v>171.774</v>
      </c>
      <c r="I516" s="40">
        <v>190.86</v>
      </c>
      <c r="J516" s="36">
        <f t="shared" si="42"/>
        <v>200.403</v>
      </c>
      <c r="K516" s="36">
        <f t="shared" si="43"/>
        <v>161.46756</v>
      </c>
      <c r="L516" s="36">
        <f t="shared" si="44"/>
        <v>179.4084</v>
      </c>
      <c r="M516" s="41"/>
    </row>
    <row r="517" ht="15" spans="1:13">
      <c r="A517" s="27" t="s">
        <v>179</v>
      </c>
      <c r="B517" s="33" t="s">
        <v>85</v>
      </c>
      <c r="C517" s="29" t="s">
        <v>41</v>
      </c>
      <c r="D517" s="37" t="s">
        <v>28</v>
      </c>
      <c r="E517" s="29" t="s">
        <v>47</v>
      </c>
      <c r="F517" s="34" t="s">
        <v>171</v>
      </c>
      <c r="G517" s="35">
        <f t="shared" si="40"/>
        <v>32.6369092273068</v>
      </c>
      <c r="H517" s="36">
        <f t="shared" si="41"/>
        <v>391.545</v>
      </c>
      <c r="I517" s="40">
        <v>435.05</v>
      </c>
      <c r="J517" s="36">
        <f t="shared" si="42"/>
        <v>456.8025</v>
      </c>
      <c r="K517" s="36">
        <f t="shared" si="43"/>
        <v>368.0523</v>
      </c>
      <c r="L517" s="36">
        <f t="shared" si="44"/>
        <v>408.947</v>
      </c>
      <c r="M517" s="41"/>
    </row>
    <row r="518" ht="15" spans="1:13">
      <c r="A518" s="27" t="s">
        <v>180</v>
      </c>
      <c r="B518" s="33" t="s">
        <v>50</v>
      </c>
      <c r="C518" s="29" t="s">
        <v>41</v>
      </c>
      <c r="D518" s="30" t="s">
        <v>28</v>
      </c>
      <c r="E518" s="29" t="s">
        <v>47</v>
      </c>
      <c r="F518" s="34" t="s">
        <v>51</v>
      </c>
      <c r="G518" s="35">
        <f t="shared" si="40"/>
        <v>15.1005251312828</v>
      </c>
      <c r="H518" s="36">
        <f t="shared" si="41"/>
        <v>181.161</v>
      </c>
      <c r="I518" s="40">
        <v>201.29</v>
      </c>
      <c r="J518" s="36">
        <f t="shared" si="42"/>
        <v>211.3545</v>
      </c>
      <c r="K518" s="36">
        <f t="shared" si="43"/>
        <v>170.29134</v>
      </c>
      <c r="L518" s="36">
        <f t="shared" si="44"/>
        <v>189.2126</v>
      </c>
      <c r="M518" s="41"/>
    </row>
    <row r="519" ht="15" spans="1:13">
      <c r="A519" s="27" t="s">
        <v>180</v>
      </c>
      <c r="B519" s="33" t="s">
        <v>156</v>
      </c>
      <c r="C519" s="29" t="s">
        <v>21</v>
      </c>
      <c r="D519" s="30" t="s">
        <v>28</v>
      </c>
      <c r="E519" s="29" t="s">
        <v>47</v>
      </c>
      <c r="F519" s="34" t="s">
        <v>162</v>
      </c>
      <c r="G519" s="35">
        <f t="shared" si="40"/>
        <v>12.0435108777194</v>
      </c>
      <c r="H519" s="36">
        <f t="shared" si="41"/>
        <v>144.486</v>
      </c>
      <c r="I519" s="40">
        <v>160.54</v>
      </c>
      <c r="J519" s="36">
        <f t="shared" si="42"/>
        <v>168.567</v>
      </c>
      <c r="K519" s="36">
        <f t="shared" si="43"/>
        <v>135.81684</v>
      </c>
      <c r="L519" s="36">
        <f t="shared" si="44"/>
        <v>150.9076</v>
      </c>
      <c r="M519" s="41"/>
    </row>
    <row r="520" ht="15" spans="1:13">
      <c r="A520" s="27" t="s">
        <v>180</v>
      </c>
      <c r="B520" s="33" t="s">
        <v>156</v>
      </c>
      <c r="C520" s="29" t="s">
        <v>54</v>
      </c>
      <c r="D520" s="30" t="s">
        <v>28</v>
      </c>
      <c r="E520" s="29" t="s">
        <v>47</v>
      </c>
      <c r="F520" s="34" t="s">
        <v>162</v>
      </c>
      <c r="G520" s="35">
        <f t="shared" si="40"/>
        <v>14.1312828207052</v>
      </c>
      <c r="H520" s="36">
        <f t="shared" si="41"/>
        <v>169.533</v>
      </c>
      <c r="I520" s="40">
        <v>188.37</v>
      </c>
      <c r="J520" s="36">
        <f t="shared" si="42"/>
        <v>197.7885</v>
      </c>
      <c r="K520" s="36">
        <f t="shared" si="43"/>
        <v>159.36102</v>
      </c>
      <c r="L520" s="36">
        <f t="shared" si="44"/>
        <v>177.0678</v>
      </c>
      <c r="M520" s="41"/>
    </row>
    <row r="521" ht="15" spans="1:13">
      <c r="A521" s="27" t="s">
        <v>180</v>
      </c>
      <c r="B521" s="33" t="s">
        <v>156</v>
      </c>
      <c r="C521" s="29" t="s">
        <v>41</v>
      </c>
      <c r="D521" s="30" t="s">
        <v>28</v>
      </c>
      <c r="E521" s="29" t="s">
        <v>47</v>
      </c>
      <c r="F521" s="34" t="s">
        <v>56</v>
      </c>
      <c r="G521" s="35">
        <f t="shared" si="40"/>
        <v>16.1492873218305</v>
      </c>
      <c r="H521" s="36">
        <f t="shared" si="41"/>
        <v>193.743</v>
      </c>
      <c r="I521" s="40">
        <v>215.27</v>
      </c>
      <c r="J521" s="36">
        <f t="shared" si="42"/>
        <v>226.0335</v>
      </c>
      <c r="K521" s="36">
        <f t="shared" si="43"/>
        <v>182.11842</v>
      </c>
      <c r="L521" s="36">
        <f t="shared" si="44"/>
        <v>202.3538</v>
      </c>
      <c r="M521" s="41"/>
    </row>
    <row r="522" ht="15" spans="1:13">
      <c r="A522" s="27" t="s">
        <v>180</v>
      </c>
      <c r="B522" s="33" t="s">
        <v>156</v>
      </c>
      <c r="C522" s="29" t="s">
        <v>41</v>
      </c>
      <c r="D522" s="30" t="s">
        <v>28</v>
      </c>
      <c r="E522" s="29" t="s">
        <v>47</v>
      </c>
      <c r="F522" s="34" t="s">
        <v>119</v>
      </c>
      <c r="G522" s="35">
        <f t="shared" si="40"/>
        <v>15.781695423856</v>
      </c>
      <c r="H522" s="36">
        <f t="shared" si="41"/>
        <v>189.333</v>
      </c>
      <c r="I522" s="40">
        <v>210.37</v>
      </c>
      <c r="J522" s="36">
        <f t="shared" si="42"/>
        <v>220.8885</v>
      </c>
      <c r="K522" s="36">
        <f t="shared" si="43"/>
        <v>177.97302</v>
      </c>
      <c r="L522" s="36">
        <f t="shared" si="44"/>
        <v>197.7478</v>
      </c>
      <c r="M522" s="41"/>
    </row>
    <row r="523" ht="15" spans="1:13">
      <c r="A523" s="27" t="s">
        <v>180</v>
      </c>
      <c r="B523" s="33" t="s">
        <v>181</v>
      </c>
      <c r="C523" s="29" t="s">
        <v>21</v>
      </c>
      <c r="D523" s="30" t="s">
        <v>28</v>
      </c>
      <c r="E523" s="29" t="s">
        <v>47</v>
      </c>
      <c r="F523" s="34" t="s">
        <v>162</v>
      </c>
      <c r="G523" s="35">
        <f t="shared" si="40"/>
        <v>14.6444111027757</v>
      </c>
      <c r="H523" s="36">
        <f t="shared" si="41"/>
        <v>175.689</v>
      </c>
      <c r="I523" s="40">
        <v>195.21</v>
      </c>
      <c r="J523" s="36">
        <f t="shared" si="42"/>
        <v>204.9705</v>
      </c>
      <c r="K523" s="36">
        <f t="shared" si="43"/>
        <v>165.14766</v>
      </c>
      <c r="L523" s="36">
        <f t="shared" si="44"/>
        <v>183.4974</v>
      </c>
      <c r="M523" s="41"/>
    </row>
    <row r="524" ht="15" spans="1:13">
      <c r="A524" s="27" t="s">
        <v>180</v>
      </c>
      <c r="B524" s="33" t="s">
        <v>181</v>
      </c>
      <c r="C524" s="29" t="s">
        <v>41</v>
      </c>
      <c r="D524" s="30" t="s">
        <v>28</v>
      </c>
      <c r="E524" s="29" t="s">
        <v>47</v>
      </c>
      <c r="F524" s="34" t="s">
        <v>53</v>
      </c>
      <c r="G524" s="35">
        <f t="shared" si="40"/>
        <v>14.4441110277569</v>
      </c>
      <c r="H524" s="36">
        <f t="shared" si="41"/>
        <v>173.286</v>
      </c>
      <c r="I524" s="40">
        <v>192.54</v>
      </c>
      <c r="J524" s="36">
        <f t="shared" si="42"/>
        <v>202.167</v>
      </c>
      <c r="K524" s="36">
        <f t="shared" si="43"/>
        <v>162.88884</v>
      </c>
      <c r="L524" s="36">
        <f t="shared" si="44"/>
        <v>180.9876</v>
      </c>
      <c r="M524" s="41"/>
    </row>
    <row r="525" ht="15" spans="1:13">
      <c r="A525" s="27" t="s">
        <v>180</v>
      </c>
      <c r="B525" s="33" t="s">
        <v>164</v>
      </c>
      <c r="C525" s="29" t="s">
        <v>54</v>
      </c>
      <c r="D525" s="30" t="s">
        <v>28</v>
      </c>
      <c r="E525" s="29" t="s">
        <v>47</v>
      </c>
      <c r="F525" s="34" t="s">
        <v>53</v>
      </c>
      <c r="G525" s="35">
        <f t="shared" si="40"/>
        <v>13.4133533383346</v>
      </c>
      <c r="H525" s="36">
        <f t="shared" si="41"/>
        <v>160.92</v>
      </c>
      <c r="I525" s="40">
        <v>178.8</v>
      </c>
      <c r="J525" s="36">
        <f t="shared" si="42"/>
        <v>187.74</v>
      </c>
      <c r="K525" s="36">
        <f t="shared" si="43"/>
        <v>151.2648</v>
      </c>
      <c r="L525" s="36">
        <f t="shared" si="44"/>
        <v>168.072</v>
      </c>
      <c r="M525" s="41"/>
    </row>
    <row r="526" ht="15" spans="1:13">
      <c r="A526" s="27" t="s">
        <v>180</v>
      </c>
      <c r="B526" s="33" t="s">
        <v>164</v>
      </c>
      <c r="C526" s="29" t="s">
        <v>41</v>
      </c>
      <c r="D526" s="30" t="s">
        <v>28</v>
      </c>
      <c r="E526" s="29" t="s">
        <v>47</v>
      </c>
      <c r="F526" s="34" t="s">
        <v>53</v>
      </c>
      <c r="G526" s="35">
        <f t="shared" si="40"/>
        <v>15.3173293323331</v>
      </c>
      <c r="H526" s="36">
        <f t="shared" si="41"/>
        <v>183.762</v>
      </c>
      <c r="I526" s="40">
        <v>204.18</v>
      </c>
      <c r="J526" s="36">
        <f t="shared" si="42"/>
        <v>214.389</v>
      </c>
      <c r="K526" s="36">
        <f t="shared" si="43"/>
        <v>172.73628</v>
      </c>
      <c r="L526" s="36">
        <f t="shared" si="44"/>
        <v>191.9292</v>
      </c>
      <c r="M526" s="41"/>
    </row>
    <row r="527" ht="15" spans="1:13">
      <c r="A527" s="27" t="s">
        <v>180</v>
      </c>
      <c r="B527" s="33" t="s">
        <v>157</v>
      </c>
      <c r="C527" s="29" t="s">
        <v>41</v>
      </c>
      <c r="D527" s="30" t="s">
        <v>28</v>
      </c>
      <c r="E527" s="29" t="s">
        <v>47</v>
      </c>
      <c r="F527" s="34" t="s">
        <v>59</v>
      </c>
      <c r="G527" s="35">
        <f t="shared" si="40"/>
        <v>16.8567141785446</v>
      </c>
      <c r="H527" s="36">
        <f t="shared" si="41"/>
        <v>202.23</v>
      </c>
      <c r="I527" s="40">
        <v>224.7</v>
      </c>
      <c r="J527" s="36">
        <f t="shared" si="42"/>
        <v>235.935</v>
      </c>
      <c r="K527" s="36">
        <f t="shared" si="43"/>
        <v>190.0962</v>
      </c>
      <c r="L527" s="36">
        <f t="shared" si="44"/>
        <v>211.218</v>
      </c>
      <c r="M527" s="41"/>
    </row>
    <row r="528" ht="15" spans="1:13">
      <c r="A528" s="27" t="s">
        <v>180</v>
      </c>
      <c r="B528" s="33" t="s">
        <v>64</v>
      </c>
      <c r="C528" s="29" t="s">
        <v>55</v>
      </c>
      <c r="D528" s="30" t="s">
        <v>28</v>
      </c>
      <c r="E528" s="29" t="s">
        <v>47</v>
      </c>
      <c r="F528" s="34" t="s">
        <v>178</v>
      </c>
      <c r="G528" s="35">
        <f t="shared" si="40"/>
        <v>27.7569392348087</v>
      </c>
      <c r="H528" s="36">
        <f t="shared" si="41"/>
        <v>333</v>
      </c>
      <c r="I528" s="40">
        <v>370</v>
      </c>
      <c r="J528" s="36">
        <f t="shared" si="42"/>
        <v>388.5</v>
      </c>
      <c r="K528" s="36">
        <f t="shared" si="43"/>
        <v>313.02</v>
      </c>
      <c r="L528" s="36">
        <f t="shared" si="44"/>
        <v>347.8</v>
      </c>
      <c r="M528" s="41"/>
    </row>
    <row r="529" ht="15" spans="1:13">
      <c r="A529" s="27" t="s">
        <v>180</v>
      </c>
      <c r="B529" s="33" t="s">
        <v>165</v>
      </c>
      <c r="C529" s="29" t="s">
        <v>55</v>
      </c>
      <c r="D529" s="30" t="s">
        <v>28</v>
      </c>
      <c r="E529" s="29" t="s">
        <v>23</v>
      </c>
      <c r="F529" s="34" t="s">
        <v>29</v>
      </c>
      <c r="G529" s="35">
        <f t="shared" si="40"/>
        <v>23.8529632408102</v>
      </c>
      <c r="H529" s="36">
        <f t="shared" si="41"/>
        <v>286.164</v>
      </c>
      <c r="I529" s="40">
        <v>317.96</v>
      </c>
      <c r="J529" s="36">
        <f t="shared" si="42"/>
        <v>333.858</v>
      </c>
      <c r="K529" s="36">
        <f t="shared" si="43"/>
        <v>268.99416</v>
      </c>
      <c r="L529" s="36">
        <f t="shared" si="44"/>
        <v>298.8824</v>
      </c>
      <c r="M529" s="41"/>
    </row>
    <row r="530" ht="15" spans="1:13">
      <c r="A530" s="27" t="s">
        <v>180</v>
      </c>
      <c r="B530" s="33" t="s">
        <v>148</v>
      </c>
      <c r="C530" s="29" t="s">
        <v>41</v>
      </c>
      <c r="D530" s="30" t="s">
        <v>28</v>
      </c>
      <c r="E530" s="29" t="s">
        <v>47</v>
      </c>
      <c r="F530" s="34" t="s">
        <v>124</v>
      </c>
      <c r="G530" s="35">
        <f t="shared" si="40"/>
        <v>25.3765941485371</v>
      </c>
      <c r="H530" s="36">
        <f t="shared" si="41"/>
        <v>304.443</v>
      </c>
      <c r="I530" s="40">
        <v>338.27</v>
      </c>
      <c r="J530" s="36">
        <f t="shared" si="42"/>
        <v>355.1835</v>
      </c>
      <c r="K530" s="36">
        <f t="shared" si="43"/>
        <v>286.17642</v>
      </c>
      <c r="L530" s="36">
        <f t="shared" si="44"/>
        <v>317.9738</v>
      </c>
      <c r="M530" s="41"/>
    </row>
    <row r="531" ht="15" spans="1:13">
      <c r="A531" s="27" t="s">
        <v>180</v>
      </c>
      <c r="B531" s="33" t="s">
        <v>182</v>
      </c>
      <c r="C531" s="29" t="s">
        <v>21</v>
      </c>
      <c r="D531" s="30" t="s">
        <v>28</v>
      </c>
      <c r="E531" s="29" t="s">
        <v>23</v>
      </c>
      <c r="F531" s="34" t="s">
        <v>137</v>
      </c>
      <c r="G531" s="35">
        <f t="shared" si="40"/>
        <v>25.6894223555889</v>
      </c>
      <c r="H531" s="36">
        <f t="shared" si="41"/>
        <v>308.196</v>
      </c>
      <c r="I531" s="40">
        <v>342.44</v>
      </c>
      <c r="J531" s="36">
        <f t="shared" si="42"/>
        <v>359.562</v>
      </c>
      <c r="K531" s="36">
        <f t="shared" si="43"/>
        <v>289.70424</v>
      </c>
      <c r="L531" s="36">
        <f t="shared" si="44"/>
        <v>321.8936</v>
      </c>
      <c r="M531" s="41"/>
    </row>
    <row r="532" ht="15" spans="1:13">
      <c r="A532" s="27" t="s">
        <v>183</v>
      </c>
      <c r="B532" s="33" t="s">
        <v>156</v>
      </c>
      <c r="C532" s="29" t="s">
        <v>21</v>
      </c>
      <c r="D532" s="30" t="s">
        <v>28</v>
      </c>
      <c r="E532" s="29" t="s">
        <v>175</v>
      </c>
      <c r="F532" s="34" t="s">
        <v>162</v>
      </c>
      <c r="G532" s="35">
        <f t="shared" si="40"/>
        <v>10.9969992498125</v>
      </c>
      <c r="H532" s="36">
        <f t="shared" si="41"/>
        <v>131.931</v>
      </c>
      <c r="I532" s="40">
        <v>146.59</v>
      </c>
      <c r="J532" s="36">
        <f t="shared" si="42"/>
        <v>153.9195</v>
      </c>
      <c r="K532" s="36">
        <f t="shared" si="43"/>
        <v>124.01514</v>
      </c>
      <c r="L532" s="36">
        <f t="shared" si="44"/>
        <v>137.7946</v>
      </c>
      <c r="M532" s="41"/>
    </row>
    <row r="533" ht="15" spans="1:13">
      <c r="A533" s="27" t="s">
        <v>183</v>
      </c>
      <c r="B533" s="33" t="s">
        <v>156</v>
      </c>
      <c r="C533" s="29" t="s">
        <v>41</v>
      </c>
      <c r="D533" s="30" t="s">
        <v>28</v>
      </c>
      <c r="E533" s="29" t="s">
        <v>175</v>
      </c>
      <c r="F533" s="34" t="s">
        <v>162</v>
      </c>
      <c r="G533" s="35">
        <f t="shared" si="40"/>
        <v>15.3068267066767</v>
      </c>
      <c r="H533" s="36">
        <f t="shared" si="41"/>
        <v>183.636</v>
      </c>
      <c r="I533" s="40">
        <v>204.04</v>
      </c>
      <c r="J533" s="36">
        <f t="shared" si="42"/>
        <v>214.242</v>
      </c>
      <c r="K533" s="36">
        <f t="shared" si="43"/>
        <v>172.61784</v>
      </c>
      <c r="L533" s="36">
        <f t="shared" si="44"/>
        <v>191.7976</v>
      </c>
      <c r="M533" s="41"/>
    </row>
    <row r="534" ht="15" spans="1:13">
      <c r="A534" s="27" t="s">
        <v>183</v>
      </c>
      <c r="B534" s="33" t="s">
        <v>164</v>
      </c>
      <c r="C534" s="29" t="s">
        <v>41</v>
      </c>
      <c r="D534" s="30" t="s">
        <v>28</v>
      </c>
      <c r="E534" s="29" t="s">
        <v>175</v>
      </c>
      <c r="F534" s="34" t="s">
        <v>162</v>
      </c>
      <c r="G534" s="35">
        <f t="shared" si="40"/>
        <v>16.8822205551388</v>
      </c>
      <c r="H534" s="36">
        <f t="shared" si="41"/>
        <v>202.536</v>
      </c>
      <c r="I534" s="40">
        <v>225.04</v>
      </c>
      <c r="J534" s="36">
        <f t="shared" si="42"/>
        <v>236.292</v>
      </c>
      <c r="K534" s="36">
        <f t="shared" si="43"/>
        <v>190.38384</v>
      </c>
      <c r="L534" s="36">
        <f t="shared" si="44"/>
        <v>211.5376</v>
      </c>
      <c r="M534" s="41"/>
    </row>
    <row r="535" ht="15" spans="1:13">
      <c r="A535" s="27" t="s">
        <v>183</v>
      </c>
      <c r="B535" s="33" t="s">
        <v>157</v>
      </c>
      <c r="C535" s="29" t="s">
        <v>41</v>
      </c>
      <c r="D535" s="30" t="s">
        <v>28</v>
      </c>
      <c r="E535" s="29" t="s">
        <v>175</v>
      </c>
      <c r="F535" s="34" t="s">
        <v>59</v>
      </c>
      <c r="G535" s="35">
        <f t="shared" si="40"/>
        <v>16.0615153788447</v>
      </c>
      <c r="H535" s="36">
        <f t="shared" si="41"/>
        <v>192.69</v>
      </c>
      <c r="I535" s="40">
        <v>214.1</v>
      </c>
      <c r="J535" s="36">
        <f t="shared" si="42"/>
        <v>224.805</v>
      </c>
      <c r="K535" s="36">
        <f t="shared" si="43"/>
        <v>181.1286</v>
      </c>
      <c r="L535" s="36">
        <f t="shared" si="44"/>
        <v>201.254</v>
      </c>
      <c r="M535" s="41"/>
    </row>
    <row r="536" ht="15" spans="1:13">
      <c r="A536" s="27" t="s">
        <v>183</v>
      </c>
      <c r="B536" s="33" t="s">
        <v>147</v>
      </c>
      <c r="C536" s="29" t="s">
        <v>41</v>
      </c>
      <c r="D536" s="30" t="s">
        <v>28</v>
      </c>
      <c r="E536" s="29" t="s">
        <v>175</v>
      </c>
      <c r="F536" s="34" t="s">
        <v>166</v>
      </c>
      <c r="G536" s="35">
        <f t="shared" si="40"/>
        <v>17.1537884471118</v>
      </c>
      <c r="H536" s="36">
        <f t="shared" si="41"/>
        <v>205.794</v>
      </c>
      <c r="I536" s="40">
        <v>228.66</v>
      </c>
      <c r="J536" s="36">
        <f t="shared" si="42"/>
        <v>240.093</v>
      </c>
      <c r="K536" s="36">
        <f t="shared" si="43"/>
        <v>193.44636</v>
      </c>
      <c r="L536" s="36">
        <f t="shared" si="44"/>
        <v>214.9404</v>
      </c>
      <c r="M536" s="41"/>
    </row>
    <row r="537" ht="15" spans="1:13">
      <c r="A537" s="27" t="s">
        <v>183</v>
      </c>
      <c r="B537" s="33" t="s">
        <v>148</v>
      </c>
      <c r="C537" s="29" t="s">
        <v>41</v>
      </c>
      <c r="D537" s="30" t="s">
        <v>28</v>
      </c>
      <c r="E537" s="29" t="s">
        <v>175</v>
      </c>
      <c r="F537" s="34" t="s">
        <v>76</v>
      </c>
      <c r="G537" s="35">
        <f t="shared" si="40"/>
        <v>17.9452363090773</v>
      </c>
      <c r="H537" s="36">
        <f t="shared" si="41"/>
        <v>215.289</v>
      </c>
      <c r="I537" s="40">
        <v>239.21</v>
      </c>
      <c r="J537" s="36">
        <f t="shared" si="42"/>
        <v>251.1705</v>
      </c>
      <c r="K537" s="36">
        <f t="shared" si="43"/>
        <v>202.37166</v>
      </c>
      <c r="L537" s="36">
        <f t="shared" si="44"/>
        <v>224.8574</v>
      </c>
      <c r="M537" s="41"/>
    </row>
    <row r="538" ht="15" spans="1:13">
      <c r="A538" s="27" t="s">
        <v>183</v>
      </c>
      <c r="B538" s="33" t="s">
        <v>148</v>
      </c>
      <c r="C538" s="29" t="s">
        <v>41</v>
      </c>
      <c r="D538" s="30" t="s">
        <v>28</v>
      </c>
      <c r="E538" s="29" t="s">
        <v>175</v>
      </c>
      <c r="F538" s="34" t="s">
        <v>143</v>
      </c>
      <c r="G538" s="35">
        <f t="shared" si="40"/>
        <v>20.6571642910728</v>
      </c>
      <c r="H538" s="36">
        <f t="shared" si="41"/>
        <v>247.824</v>
      </c>
      <c r="I538" s="40">
        <v>275.36</v>
      </c>
      <c r="J538" s="36">
        <f t="shared" si="42"/>
        <v>289.128</v>
      </c>
      <c r="K538" s="36">
        <f t="shared" si="43"/>
        <v>232.95456</v>
      </c>
      <c r="L538" s="36">
        <f t="shared" si="44"/>
        <v>258.8384</v>
      </c>
      <c r="M538" s="41"/>
    </row>
    <row r="539" ht="15" spans="1:13">
      <c r="A539" s="27" t="s">
        <v>183</v>
      </c>
      <c r="B539" s="33" t="s">
        <v>184</v>
      </c>
      <c r="C539" s="29" t="s">
        <v>41</v>
      </c>
      <c r="D539" s="30" t="s">
        <v>22</v>
      </c>
      <c r="E539" s="29" t="s">
        <v>175</v>
      </c>
      <c r="F539" s="34" t="s">
        <v>185</v>
      </c>
      <c r="G539" s="35">
        <f t="shared" si="40"/>
        <v>33.0855213803451</v>
      </c>
      <c r="H539" s="36">
        <f t="shared" si="41"/>
        <v>396.927</v>
      </c>
      <c r="I539" s="40">
        <v>441.03</v>
      </c>
      <c r="J539" s="36">
        <f t="shared" si="42"/>
        <v>463.0815</v>
      </c>
      <c r="K539" s="36">
        <f t="shared" si="43"/>
        <v>373.11138</v>
      </c>
      <c r="L539" s="36">
        <f t="shared" si="44"/>
        <v>414.5682</v>
      </c>
      <c r="M539" s="41"/>
    </row>
    <row r="540" ht="15" spans="1:13">
      <c r="A540" s="27" t="s">
        <v>186</v>
      </c>
      <c r="B540" s="33" t="s">
        <v>50</v>
      </c>
      <c r="C540" s="29" t="s">
        <v>121</v>
      </c>
      <c r="D540" s="30" t="s">
        <v>28</v>
      </c>
      <c r="E540" s="29" t="s">
        <v>47</v>
      </c>
      <c r="F540" s="34" t="s">
        <v>116</v>
      </c>
      <c r="G540" s="35">
        <f t="shared" si="40"/>
        <v>21.1425356339085</v>
      </c>
      <c r="H540" s="36">
        <f t="shared" si="41"/>
        <v>253.647</v>
      </c>
      <c r="I540" s="40">
        <v>281.83</v>
      </c>
      <c r="J540" s="36">
        <f t="shared" si="42"/>
        <v>295.9215</v>
      </c>
      <c r="K540" s="36">
        <f t="shared" si="43"/>
        <v>238.42818</v>
      </c>
      <c r="L540" s="36">
        <f t="shared" si="44"/>
        <v>264.9202</v>
      </c>
      <c r="M540" s="41"/>
    </row>
    <row r="541" ht="15" spans="1:13">
      <c r="A541" s="27" t="s">
        <v>186</v>
      </c>
      <c r="B541" s="33" t="s">
        <v>50</v>
      </c>
      <c r="C541" s="29" t="s">
        <v>55</v>
      </c>
      <c r="D541" s="30" t="s">
        <v>28</v>
      </c>
      <c r="E541" s="29" t="s">
        <v>47</v>
      </c>
      <c r="F541" s="34" t="s">
        <v>51</v>
      </c>
      <c r="G541" s="35">
        <f t="shared" si="40"/>
        <v>26.4621155288822</v>
      </c>
      <c r="H541" s="36">
        <f t="shared" si="41"/>
        <v>317.466</v>
      </c>
      <c r="I541" s="40">
        <v>352.74</v>
      </c>
      <c r="J541" s="36">
        <f t="shared" si="42"/>
        <v>370.377</v>
      </c>
      <c r="K541" s="36">
        <f t="shared" si="43"/>
        <v>298.41804</v>
      </c>
      <c r="L541" s="36">
        <f t="shared" si="44"/>
        <v>331.5756</v>
      </c>
      <c r="M541" s="41"/>
    </row>
    <row r="542" ht="15" spans="1:13">
      <c r="A542" s="27" t="s">
        <v>186</v>
      </c>
      <c r="B542" s="33" t="s">
        <v>156</v>
      </c>
      <c r="C542" s="29" t="s">
        <v>21</v>
      </c>
      <c r="D542" s="30" t="s">
        <v>28</v>
      </c>
      <c r="E542" s="29" t="s">
        <v>47</v>
      </c>
      <c r="F542" s="34" t="s">
        <v>162</v>
      </c>
      <c r="G542" s="35">
        <f t="shared" si="40"/>
        <v>12.768192048012</v>
      </c>
      <c r="H542" s="36">
        <f t="shared" si="41"/>
        <v>153.18</v>
      </c>
      <c r="I542" s="40">
        <v>170.2</v>
      </c>
      <c r="J542" s="36">
        <f t="shared" si="42"/>
        <v>178.71</v>
      </c>
      <c r="K542" s="36">
        <f t="shared" si="43"/>
        <v>143.9892</v>
      </c>
      <c r="L542" s="36">
        <f t="shared" si="44"/>
        <v>159.988</v>
      </c>
      <c r="M542" s="41"/>
    </row>
    <row r="543" ht="15" spans="1:13">
      <c r="A543" s="27" t="s">
        <v>186</v>
      </c>
      <c r="B543" s="33" t="s">
        <v>156</v>
      </c>
      <c r="C543" s="29" t="s">
        <v>41</v>
      </c>
      <c r="D543" s="30" t="s">
        <v>28</v>
      </c>
      <c r="E543" s="29" t="s">
        <v>47</v>
      </c>
      <c r="F543" s="34" t="s">
        <v>162</v>
      </c>
      <c r="G543" s="35">
        <f t="shared" si="40"/>
        <v>16.6234058514629</v>
      </c>
      <c r="H543" s="36">
        <f t="shared" si="41"/>
        <v>199.431</v>
      </c>
      <c r="I543" s="40">
        <v>221.59</v>
      </c>
      <c r="J543" s="36">
        <f t="shared" si="42"/>
        <v>232.6695</v>
      </c>
      <c r="K543" s="36">
        <f t="shared" si="43"/>
        <v>187.46514</v>
      </c>
      <c r="L543" s="36">
        <f t="shared" si="44"/>
        <v>208.2946</v>
      </c>
      <c r="M543" s="41"/>
    </row>
    <row r="544" ht="15" spans="1:13">
      <c r="A544" s="27" t="s">
        <v>186</v>
      </c>
      <c r="B544" s="33" t="s">
        <v>156</v>
      </c>
      <c r="C544" s="29" t="s">
        <v>41</v>
      </c>
      <c r="D544" s="30" t="s">
        <v>28</v>
      </c>
      <c r="E544" s="29" t="s">
        <v>175</v>
      </c>
      <c r="F544" s="34" t="s">
        <v>162</v>
      </c>
      <c r="G544" s="35">
        <f t="shared" si="40"/>
        <v>17.9729932483121</v>
      </c>
      <c r="H544" s="36">
        <f t="shared" si="41"/>
        <v>215.622</v>
      </c>
      <c r="I544" s="40">
        <v>239.58</v>
      </c>
      <c r="J544" s="36">
        <f t="shared" si="42"/>
        <v>251.559</v>
      </c>
      <c r="K544" s="36">
        <f t="shared" si="43"/>
        <v>202.68468</v>
      </c>
      <c r="L544" s="36">
        <f t="shared" si="44"/>
        <v>225.2052</v>
      </c>
      <c r="M544" s="41"/>
    </row>
    <row r="545" ht="15" spans="1:13">
      <c r="A545" s="27" t="s">
        <v>186</v>
      </c>
      <c r="B545" s="33" t="s">
        <v>181</v>
      </c>
      <c r="C545" s="29" t="s">
        <v>41</v>
      </c>
      <c r="D545" s="30" t="s">
        <v>28</v>
      </c>
      <c r="E545" s="29" t="s">
        <v>47</v>
      </c>
      <c r="F545" s="34" t="s">
        <v>162</v>
      </c>
      <c r="G545" s="35">
        <f t="shared" si="40"/>
        <v>25.6534133533383</v>
      </c>
      <c r="H545" s="36">
        <f t="shared" si="41"/>
        <v>307.764</v>
      </c>
      <c r="I545" s="40">
        <v>341.96</v>
      </c>
      <c r="J545" s="36">
        <f t="shared" si="42"/>
        <v>359.058</v>
      </c>
      <c r="K545" s="36">
        <f t="shared" si="43"/>
        <v>289.29816</v>
      </c>
      <c r="L545" s="36">
        <f t="shared" si="44"/>
        <v>321.4424</v>
      </c>
      <c r="M545" s="41"/>
    </row>
    <row r="546" ht="15" spans="1:13">
      <c r="A546" s="27" t="s">
        <v>186</v>
      </c>
      <c r="B546" s="33" t="s">
        <v>164</v>
      </c>
      <c r="C546" s="29" t="s">
        <v>21</v>
      </c>
      <c r="D546" s="30" t="s">
        <v>28</v>
      </c>
      <c r="E546" s="29" t="s">
        <v>47</v>
      </c>
      <c r="F546" s="34" t="s">
        <v>53</v>
      </c>
      <c r="G546" s="35">
        <f t="shared" si="40"/>
        <v>12.0540135033758</v>
      </c>
      <c r="H546" s="36">
        <f t="shared" si="41"/>
        <v>144.612</v>
      </c>
      <c r="I546" s="40">
        <v>160.68</v>
      </c>
      <c r="J546" s="36">
        <f t="shared" si="42"/>
        <v>168.714</v>
      </c>
      <c r="K546" s="36">
        <f t="shared" si="43"/>
        <v>135.93528</v>
      </c>
      <c r="L546" s="36">
        <f t="shared" si="44"/>
        <v>151.0392</v>
      </c>
      <c r="M546" s="41"/>
    </row>
    <row r="547" ht="15" spans="1:13">
      <c r="A547" s="27" t="s">
        <v>186</v>
      </c>
      <c r="B547" s="33" t="s">
        <v>164</v>
      </c>
      <c r="C547" s="29" t="s">
        <v>41</v>
      </c>
      <c r="D547" s="30" t="s">
        <v>28</v>
      </c>
      <c r="E547" s="29" t="s">
        <v>47</v>
      </c>
      <c r="F547" s="34" t="s">
        <v>53</v>
      </c>
      <c r="G547" s="35">
        <f t="shared" si="40"/>
        <v>16.5701425356339</v>
      </c>
      <c r="H547" s="36">
        <f t="shared" si="41"/>
        <v>198.792</v>
      </c>
      <c r="I547" s="40">
        <v>220.88</v>
      </c>
      <c r="J547" s="36">
        <f t="shared" si="42"/>
        <v>231.924</v>
      </c>
      <c r="K547" s="36">
        <f t="shared" si="43"/>
        <v>186.86448</v>
      </c>
      <c r="L547" s="36">
        <f t="shared" si="44"/>
        <v>207.6272</v>
      </c>
      <c r="M547" s="41"/>
    </row>
    <row r="548" ht="15" spans="1:13">
      <c r="A548" s="27" t="s">
        <v>186</v>
      </c>
      <c r="B548" s="33" t="s">
        <v>164</v>
      </c>
      <c r="C548" s="29" t="s">
        <v>41</v>
      </c>
      <c r="D548" s="30" t="s">
        <v>28</v>
      </c>
      <c r="E548" s="29" t="s">
        <v>47</v>
      </c>
      <c r="F548" s="34" t="s">
        <v>59</v>
      </c>
      <c r="G548" s="35">
        <f t="shared" si="40"/>
        <v>16.0735183795949</v>
      </c>
      <c r="H548" s="36">
        <f t="shared" si="41"/>
        <v>192.834</v>
      </c>
      <c r="I548" s="40">
        <v>214.26</v>
      </c>
      <c r="J548" s="36">
        <f t="shared" si="42"/>
        <v>224.973</v>
      </c>
      <c r="K548" s="36">
        <f t="shared" si="43"/>
        <v>181.26396</v>
      </c>
      <c r="L548" s="36">
        <f t="shared" si="44"/>
        <v>201.4044</v>
      </c>
      <c r="M548" s="41"/>
    </row>
    <row r="549" ht="15" spans="1:13">
      <c r="A549" s="27" t="s">
        <v>186</v>
      </c>
      <c r="B549" s="33" t="s">
        <v>164</v>
      </c>
      <c r="C549" s="29" t="s">
        <v>41</v>
      </c>
      <c r="D549" s="30" t="s">
        <v>28</v>
      </c>
      <c r="E549" s="29" t="s">
        <v>175</v>
      </c>
      <c r="F549" s="34" t="s">
        <v>53</v>
      </c>
      <c r="G549" s="35">
        <f t="shared" si="40"/>
        <v>16.3930982745686</v>
      </c>
      <c r="H549" s="36">
        <f t="shared" si="41"/>
        <v>196.668</v>
      </c>
      <c r="I549" s="40">
        <v>218.52</v>
      </c>
      <c r="J549" s="36">
        <f t="shared" si="42"/>
        <v>229.446</v>
      </c>
      <c r="K549" s="36">
        <f t="shared" si="43"/>
        <v>184.86792</v>
      </c>
      <c r="L549" s="36">
        <f t="shared" si="44"/>
        <v>205.4088</v>
      </c>
      <c r="M549" s="41"/>
    </row>
    <row r="550" ht="15" spans="1:13">
      <c r="A550" s="27" t="s">
        <v>186</v>
      </c>
      <c r="B550" s="33" t="s">
        <v>157</v>
      </c>
      <c r="C550" s="29" t="s">
        <v>21</v>
      </c>
      <c r="D550" s="30" t="s">
        <v>28</v>
      </c>
      <c r="E550" s="29" t="s">
        <v>47</v>
      </c>
      <c r="F550" s="34" t="s">
        <v>177</v>
      </c>
      <c r="G550" s="35">
        <f t="shared" si="40"/>
        <v>13.503375843961</v>
      </c>
      <c r="H550" s="36">
        <f t="shared" si="41"/>
        <v>162</v>
      </c>
      <c r="I550" s="40">
        <v>180</v>
      </c>
      <c r="J550" s="36">
        <f t="shared" si="42"/>
        <v>189</v>
      </c>
      <c r="K550" s="36">
        <f t="shared" si="43"/>
        <v>152.28</v>
      </c>
      <c r="L550" s="36">
        <f t="shared" si="44"/>
        <v>169.2</v>
      </c>
      <c r="M550" s="41"/>
    </row>
    <row r="551" ht="15" spans="1:13">
      <c r="A551" s="27" t="s">
        <v>186</v>
      </c>
      <c r="B551" s="33" t="s">
        <v>157</v>
      </c>
      <c r="C551" s="29" t="s">
        <v>54</v>
      </c>
      <c r="D551" s="30" t="s">
        <v>28</v>
      </c>
      <c r="E551" s="29" t="s">
        <v>47</v>
      </c>
      <c r="F551" s="34" t="s">
        <v>59</v>
      </c>
      <c r="G551" s="35">
        <f t="shared" si="40"/>
        <v>15.5513878469617</v>
      </c>
      <c r="H551" s="36">
        <f t="shared" si="41"/>
        <v>186.57</v>
      </c>
      <c r="I551" s="40">
        <v>207.3</v>
      </c>
      <c r="J551" s="36">
        <f t="shared" si="42"/>
        <v>217.665</v>
      </c>
      <c r="K551" s="36">
        <f t="shared" si="43"/>
        <v>175.3758</v>
      </c>
      <c r="L551" s="36">
        <f t="shared" si="44"/>
        <v>194.862</v>
      </c>
      <c r="M551" s="41"/>
    </row>
    <row r="552" ht="15" spans="1:13">
      <c r="A552" s="27" t="s">
        <v>186</v>
      </c>
      <c r="B552" s="33" t="s">
        <v>157</v>
      </c>
      <c r="C552" s="29" t="s">
        <v>41</v>
      </c>
      <c r="D552" s="30" t="s">
        <v>28</v>
      </c>
      <c r="E552" s="29" t="s">
        <v>47</v>
      </c>
      <c r="F552" s="34" t="s">
        <v>59</v>
      </c>
      <c r="G552" s="35">
        <f t="shared" si="40"/>
        <v>17.6399099774944</v>
      </c>
      <c r="H552" s="36">
        <f t="shared" si="41"/>
        <v>211.626</v>
      </c>
      <c r="I552" s="40">
        <v>235.14</v>
      </c>
      <c r="J552" s="36">
        <f t="shared" si="42"/>
        <v>246.897</v>
      </c>
      <c r="K552" s="36">
        <f t="shared" si="43"/>
        <v>198.92844</v>
      </c>
      <c r="L552" s="36">
        <f t="shared" si="44"/>
        <v>221.0316</v>
      </c>
      <c r="M552" s="41"/>
    </row>
    <row r="553" ht="15" spans="1:13">
      <c r="A553" s="27" t="s">
        <v>186</v>
      </c>
      <c r="B553" s="33" t="s">
        <v>152</v>
      </c>
      <c r="C553" s="29" t="s">
        <v>21</v>
      </c>
      <c r="D553" s="30" t="s">
        <v>28</v>
      </c>
      <c r="E553" s="29" t="s">
        <v>47</v>
      </c>
      <c r="F553" s="34" t="s">
        <v>178</v>
      </c>
      <c r="G553" s="35">
        <f t="shared" si="40"/>
        <v>14.4786196549137</v>
      </c>
      <c r="H553" s="36">
        <f t="shared" si="41"/>
        <v>173.7</v>
      </c>
      <c r="I553" s="40">
        <v>193</v>
      </c>
      <c r="J553" s="36">
        <f t="shared" si="42"/>
        <v>202.65</v>
      </c>
      <c r="K553" s="36">
        <f t="shared" si="43"/>
        <v>163.278</v>
      </c>
      <c r="L553" s="36">
        <f t="shared" si="44"/>
        <v>181.42</v>
      </c>
      <c r="M553" s="41"/>
    </row>
    <row r="554" ht="15" spans="1:13">
      <c r="A554" s="27" t="s">
        <v>186</v>
      </c>
      <c r="B554" s="33" t="s">
        <v>165</v>
      </c>
      <c r="C554" s="29" t="s">
        <v>41</v>
      </c>
      <c r="D554" s="30" t="s">
        <v>28</v>
      </c>
      <c r="E554" s="29" t="s">
        <v>47</v>
      </c>
      <c r="F554" s="34" t="s">
        <v>29</v>
      </c>
      <c r="G554" s="35">
        <f t="shared" si="40"/>
        <v>19.0840210052513</v>
      </c>
      <c r="H554" s="36">
        <f t="shared" si="41"/>
        <v>228.951</v>
      </c>
      <c r="I554" s="40">
        <v>254.39</v>
      </c>
      <c r="J554" s="36">
        <f t="shared" si="42"/>
        <v>267.1095</v>
      </c>
      <c r="K554" s="36">
        <f t="shared" si="43"/>
        <v>215.21394</v>
      </c>
      <c r="L554" s="36">
        <f t="shared" si="44"/>
        <v>239.1266</v>
      </c>
      <c r="M554" s="41"/>
    </row>
    <row r="555" ht="15" spans="1:13">
      <c r="A555" s="27" t="s">
        <v>186</v>
      </c>
      <c r="B555" s="33" t="s">
        <v>147</v>
      </c>
      <c r="C555" s="29" t="s">
        <v>41</v>
      </c>
      <c r="D555" s="30" t="s">
        <v>28</v>
      </c>
      <c r="E555" s="29" t="s">
        <v>47</v>
      </c>
      <c r="F555" s="34" t="s">
        <v>166</v>
      </c>
      <c r="G555" s="35">
        <f t="shared" si="40"/>
        <v>22.4268567141785</v>
      </c>
      <c r="H555" s="36">
        <f t="shared" si="41"/>
        <v>269.055</v>
      </c>
      <c r="I555" s="40">
        <v>298.95</v>
      </c>
      <c r="J555" s="36">
        <f t="shared" si="42"/>
        <v>313.8975</v>
      </c>
      <c r="K555" s="36">
        <f t="shared" si="43"/>
        <v>252.9117</v>
      </c>
      <c r="L555" s="36">
        <f t="shared" si="44"/>
        <v>281.013</v>
      </c>
      <c r="M555" s="41"/>
    </row>
    <row r="556" ht="15" spans="1:13">
      <c r="A556" s="27" t="s">
        <v>186</v>
      </c>
      <c r="B556" s="33" t="s">
        <v>147</v>
      </c>
      <c r="C556" s="29" t="s">
        <v>121</v>
      </c>
      <c r="D556" s="30" t="s">
        <v>28</v>
      </c>
      <c r="E556" s="29" t="s">
        <v>47</v>
      </c>
      <c r="F556" s="34" t="s">
        <v>187</v>
      </c>
      <c r="G556" s="35">
        <f t="shared" si="40"/>
        <v>24.245311327832</v>
      </c>
      <c r="H556" s="36">
        <f t="shared" si="41"/>
        <v>290.871</v>
      </c>
      <c r="I556" s="40">
        <v>323.19</v>
      </c>
      <c r="J556" s="36">
        <f t="shared" si="42"/>
        <v>339.3495</v>
      </c>
      <c r="K556" s="36">
        <f t="shared" si="43"/>
        <v>273.41874</v>
      </c>
      <c r="L556" s="36">
        <f t="shared" si="44"/>
        <v>303.7986</v>
      </c>
      <c r="M556" s="41"/>
    </row>
    <row r="557" ht="15" spans="1:13">
      <c r="A557" s="27" t="s">
        <v>186</v>
      </c>
      <c r="B557" s="33" t="s">
        <v>148</v>
      </c>
      <c r="C557" s="29" t="s">
        <v>41</v>
      </c>
      <c r="D557" s="30" t="s">
        <v>28</v>
      </c>
      <c r="E557" s="29" t="s">
        <v>175</v>
      </c>
      <c r="F557" s="34" t="s">
        <v>143</v>
      </c>
      <c r="G557" s="35">
        <f t="shared" si="40"/>
        <v>27.8199549887472</v>
      </c>
      <c r="H557" s="36">
        <f t="shared" si="41"/>
        <v>333.756</v>
      </c>
      <c r="I557" s="40">
        <v>370.84</v>
      </c>
      <c r="J557" s="36">
        <f t="shared" si="42"/>
        <v>389.382</v>
      </c>
      <c r="K557" s="36">
        <f t="shared" si="43"/>
        <v>313.73064</v>
      </c>
      <c r="L557" s="36">
        <f t="shared" si="44"/>
        <v>348.5896</v>
      </c>
      <c r="M557" s="41"/>
    </row>
    <row r="558" ht="15" spans="1:13">
      <c r="A558" s="27" t="s">
        <v>186</v>
      </c>
      <c r="B558" s="33" t="s">
        <v>148</v>
      </c>
      <c r="C558" s="29" t="s">
        <v>41</v>
      </c>
      <c r="D558" s="30" t="s">
        <v>28</v>
      </c>
      <c r="E558" s="29" t="s">
        <v>47</v>
      </c>
      <c r="F558" s="34" t="s">
        <v>143</v>
      </c>
      <c r="G558" s="35">
        <f t="shared" si="40"/>
        <v>29.7539384846212</v>
      </c>
      <c r="H558" s="36">
        <f t="shared" si="41"/>
        <v>356.958</v>
      </c>
      <c r="I558" s="40">
        <v>396.62</v>
      </c>
      <c r="J558" s="36">
        <f t="shared" si="42"/>
        <v>416.451</v>
      </c>
      <c r="K558" s="36">
        <f t="shared" si="43"/>
        <v>335.54052</v>
      </c>
      <c r="L558" s="36">
        <f t="shared" si="44"/>
        <v>372.8228</v>
      </c>
      <c r="M558" s="41"/>
    </row>
    <row r="559" ht="15" spans="1:13">
      <c r="A559" s="27" t="s">
        <v>186</v>
      </c>
      <c r="B559" s="33" t="s">
        <v>188</v>
      </c>
      <c r="C559" s="29" t="s">
        <v>41</v>
      </c>
      <c r="D559" s="30" t="s">
        <v>28</v>
      </c>
      <c r="E559" s="29" t="s">
        <v>47</v>
      </c>
      <c r="F559" s="34" t="s">
        <v>143</v>
      </c>
      <c r="G559" s="35">
        <f t="shared" si="40"/>
        <v>28.8447111777944</v>
      </c>
      <c r="H559" s="36">
        <f t="shared" si="41"/>
        <v>346.05</v>
      </c>
      <c r="I559" s="40">
        <v>384.5</v>
      </c>
      <c r="J559" s="36">
        <f t="shared" si="42"/>
        <v>403.725</v>
      </c>
      <c r="K559" s="36">
        <f t="shared" si="43"/>
        <v>325.287</v>
      </c>
      <c r="L559" s="36">
        <f t="shared" si="44"/>
        <v>361.43</v>
      </c>
      <c r="M559" s="41"/>
    </row>
    <row r="560" ht="15" spans="1:13">
      <c r="A560" s="27" t="s">
        <v>186</v>
      </c>
      <c r="B560" s="33" t="s">
        <v>37</v>
      </c>
      <c r="C560" s="29" t="s">
        <v>21</v>
      </c>
      <c r="D560" s="30" t="s">
        <v>22</v>
      </c>
      <c r="E560" s="29" t="s">
        <v>47</v>
      </c>
      <c r="F560" s="34" t="s">
        <v>171</v>
      </c>
      <c r="G560" s="35">
        <f t="shared" si="40"/>
        <v>33.3600900225056</v>
      </c>
      <c r="H560" s="36">
        <f t="shared" si="41"/>
        <v>400.221</v>
      </c>
      <c r="I560" s="40">
        <v>444.69</v>
      </c>
      <c r="J560" s="36">
        <f t="shared" si="42"/>
        <v>466.9245</v>
      </c>
      <c r="K560" s="36">
        <f t="shared" si="43"/>
        <v>376.20774</v>
      </c>
      <c r="L560" s="36">
        <f t="shared" si="44"/>
        <v>418.0086</v>
      </c>
      <c r="M560" s="41"/>
    </row>
    <row r="561" ht="15" spans="1:13">
      <c r="A561" s="27" t="s">
        <v>186</v>
      </c>
      <c r="B561" s="33" t="s">
        <v>20</v>
      </c>
      <c r="C561" s="29" t="s">
        <v>41</v>
      </c>
      <c r="D561" s="30" t="s">
        <v>22</v>
      </c>
      <c r="E561" s="29" t="s">
        <v>47</v>
      </c>
      <c r="F561" s="34" t="s">
        <v>189</v>
      </c>
      <c r="G561" s="35">
        <f t="shared" si="40"/>
        <v>43.112528132033</v>
      </c>
      <c r="H561" s="36">
        <f t="shared" si="41"/>
        <v>517.221</v>
      </c>
      <c r="I561" s="40">
        <v>574.69</v>
      </c>
      <c r="J561" s="36">
        <f t="shared" si="42"/>
        <v>603.4245</v>
      </c>
      <c r="K561" s="36">
        <f t="shared" si="43"/>
        <v>486.18774</v>
      </c>
      <c r="L561" s="36">
        <f t="shared" si="44"/>
        <v>540.2086</v>
      </c>
      <c r="M561" s="41"/>
    </row>
    <row r="562" ht="15" spans="1:13">
      <c r="A562" s="27" t="s">
        <v>190</v>
      </c>
      <c r="B562" s="33" t="s">
        <v>151</v>
      </c>
      <c r="C562" s="29" t="s">
        <v>21</v>
      </c>
      <c r="D562" s="30" t="s">
        <v>28</v>
      </c>
      <c r="E562" s="29" t="s">
        <v>191</v>
      </c>
      <c r="F562" s="34" t="s">
        <v>46</v>
      </c>
      <c r="G562" s="35">
        <f t="shared" si="40"/>
        <v>12.0720180045011</v>
      </c>
      <c r="H562" s="36">
        <f t="shared" si="41"/>
        <v>144.828</v>
      </c>
      <c r="I562" s="40">
        <v>160.92</v>
      </c>
      <c r="J562" s="36">
        <f t="shared" si="42"/>
        <v>168.966</v>
      </c>
      <c r="K562" s="36">
        <f t="shared" si="43"/>
        <v>136.13832</v>
      </c>
      <c r="L562" s="36">
        <f t="shared" si="44"/>
        <v>151.2648</v>
      </c>
      <c r="M562" s="41"/>
    </row>
    <row r="563" ht="15" spans="1:13">
      <c r="A563" s="27" t="s">
        <v>190</v>
      </c>
      <c r="B563" s="33" t="s">
        <v>192</v>
      </c>
      <c r="C563" s="29" t="s">
        <v>121</v>
      </c>
      <c r="D563" s="30" t="s">
        <v>28</v>
      </c>
      <c r="E563" s="29" t="s">
        <v>193</v>
      </c>
      <c r="F563" s="34" t="s">
        <v>116</v>
      </c>
      <c r="G563" s="35">
        <f t="shared" si="40"/>
        <v>23.105776444111</v>
      </c>
      <c r="H563" s="36">
        <f t="shared" si="41"/>
        <v>277.2</v>
      </c>
      <c r="I563" s="40">
        <v>308</v>
      </c>
      <c r="J563" s="36">
        <f t="shared" si="42"/>
        <v>323.4</v>
      </c>
      <c r="K563" s="36">
        <f t="shared" si="43"/>
        <v>260.568</v>
      </c>
      <c r="L563" s="36">
        <f t="shared" si="44"/>
        <v>289.52</v>
      </c>
      <c r="M563" s="41"/>
    </row>
    <row r="564" ht="15" spans="1:13">
      <c r="A564" s="27" t="s">
        <v>190</v>
      </c>
      <c r="B564" s="33" t="s">
        <v>52</v>
      </c>
      <c r="C564" s="29" t="s">
        <v>41</v>
      </c>
      <c r="D564" s="30" t="s">
        <v>28</v>
      </c>
      <c r="E564" s="29" t="s">
        <v>191</v>
      </c>
      <c r="F564" s="34" t="s">
        <v>119</v>
      </c>
      <c r="G564" s="35">
        <f t="shared" si="40"/>
        <v>19.0172543135784</v>
      </c>
      <c r="H564" s="36">
        <f t="shared" si="41"/>
        <v>228.15</v>
      </c>
      <c r="I564" s="40">
        <v>253.5</v>
      </c>
      <c r="J564" s="36">
        <f t="shared" si="42"/>
        <v>266.175</v>
      </c>
      <c r="K564" s="36">
        <f t="shared" si="43"/>
        <v>214.461</v>
      </c>
      <c r="L564" s="36">
        <f t="shared" si="44"/>
        <v>238.29</v>
      </c>
      <c r="M564" s="41"/>
    </row>
    <row r="565" ht="15" spans="1:13">
      <c r="A565" s="27" t="s">
        <v>194</v>
      </c>
      <c r="B565" s="33" t="s">
        <v>50</v>
      </c>
      <c r="C565" s="29" t="s">
        <v>21</v>
      </c>
      <c r="D565" s="30" t="s">
        <v>28</v>
      </c>
      <c r="E565" s="29" t="s">
        <v>191</v>
      </c>
      <c r="F565" s="34" t="s">
        <v>116</v>
      </c>
      <c r="G565" s="35">
        <f t="shared" si="40"/>
        <v>12.7891972993248</v>
      </c>
      <c r="H565" s="36">
        <f t="shared" si="41"/>
        <v>153.432</v>
      </c>
      <c r="I565" s="40">
        <v>170.48</v>
      </c>
      <c r="J565" s="36">
        <f t="shared" si="42"/>
        <v>179.004</v>
      </c>
      <c r="K565" s="36">
        <f t="shared" si="43"/>
        <v>144.22608</v>
      </c>
      <c r="L565" s="36">
        <f t="shared" si="44"/>
        <v>160.2512</v>
      </c>
      <c r="M565" s="41"/>
    </row>
    <row r="566" ht="15" spans="1:13">
      <c r="A566" s="27" t="s">
        <v>194</v>
      </c>
      <c r="B566" s="33" t="s">
        <v>156</v>
      </c>
      <c r="C566" s="29" t="s">
        <v>21</v>
      </c>
      <c r="D566" s="30" t="s">
        <v>28</v>
      </c>
      <c r="E566" s="29" t="s">
        <v>191</v>
      </c>
      <c r="F566" s="34" t="s">
        <v>195</v>
      </c>
      <c r="G566" s="35">
        <f t="shared" si="40"/>
        <v>15.8559639909978</v>
      </c>
      <c r="H566" s="36">
        <f t="shared" si="41"/>
        <v>190.224</v>
      </c>
      <c r="I566" s="40">
        <v>211.36</v>
      </c>
      <c r="J566" s="36">
        <f t="shared" si="42"/>
        <v>221.928</v>
      </c>
      <c r="K566" s="36">
        <f t="shared" si="43"/>
        <v>178.81056</v>
      </c>
      <c r="L566" s="36">
        <f t="shared" si="44"/>
        <v>198.6784</v>
      </c>
      <c r="M566" s="41"/>
    </row>
    <row r="567" ht="15" spans="1:13">
      <c r="A567" s="27" t="s">
        <v>194</v>
      </c>
      <c r="B567" s="33" t="s">
        <v>164</v>
      </c>
      <c r="C567" s="29" t="s">
        <v>21</v>
      </c>
      <c r="D567" s="30" t="s">
        <v>28</v>
      </c>
      <c r="E567" s="29" t="s">
        <v>191</v>
      </c>
      <c r="F567" s="34" t="s">
        <v>177</v>
      </c>
      <c r="G567" s="35">
        <f t="shared" si="40"/>
        <v>15.5776444111028</v>
      </c>
      <c r="H567" s="36">
        <f t="shared" si="41"/>
        <v>186.885</v>
      </c>
      <c r="I567" s="40">
        <v>207.65</v>
      </c>
      <c r="J567" s="36">
        <f t="shared" si="42"/>
        <v>218.0325</v>
      </c>
      <c r="K567" s="36">
        <f t="shared" si="43"/>
        <v>175.6719</v>
      </c>
      <c r="L567" s="36">
        <f t="shared" si="44"/>
        <v>195.191</v>
      </c>
      <c r="M567" s="41"/>
    </row>
    <row r="568" ht="15" spans="1:13">
      <c r="A568" s="27" t="s">
        <v>194</v>
      </c>
      <c r="B568" s="33" t="s">
        <v>164</v>
      </c>
      <c r="C568" s="29" t="s">
        <v>41</v>
      </c>
      <c r="D568" s="30" t="s">
        <v>28</v>
      </c>
      <c r="E568" s="29" t="s">
        <v>191</v>
      </c>
      <c r="F568" s="34" t="s">
        <v>59</v>
      </c>
      <c r="G568" s="35">
        <f t="shared" si="40"/>
        <v>21.6309077269317</v>
      </c>
      <c r="H568" s="36">
        <f t="shared" si="41"/>
        <v>259.506</v>
      </c>
      <c r="I568" s="40">
        <v>288.34</v>
      </c>
      <c r="J568" s="36">
        <f t="shared" si="42"/>
        <v>302.757</v>
      </c>
      <c r="K568" s="36">
        <f t="shared" si="43"/>
        <v>243.93564</v>
      </c>
      <c r="L568" s="36">
        <f t="shared" si="44"/>
        <v>271.0396</v>
      </c>
      <c r="M568" s="41"/>
    </row>
    <row r="569" ht="15" spans="1:13">
      <c r="A569" s="27" t="s">
        <v>194</v>
      </c>
      <c r="B569" s="33" t="s">
        <v>157</v>
      </c>
      <c r="C569" s="29" t="s">
        <v>21</v>
      </c>
      <c r="D569" s="30" t="s">
        <v>28</v>
      </c>
      <c r="E569" s="29" t="s">
        <v>191</v>
      </c>
      <c r="F569" s="34" t="s">
        <v>177</v>
      </c>
      <c r="G569" s="35">
        <f t="shared" si="40"/>
        <v>17.5146286571643</v>
      </c>
      <c r="H569" s="36">
        <f t="shared" si="41"/>
        <v>210.123</v>
      </c>
      <c r="I569" s="40">
        <v>233.47</v>
      </c>
      <c r="J569" s="36">
        <f t="shared" si="42"/>
        <v>245.1435</v>
      </c>
      <c r="K569" s="36">
        <f t="shared" si="43"/>
        <v>197.51562</v>
      </c>
      <c r="L569" s="36">
        <f t="shared" si="44"/>
        <v>219.4618</v>
      </c>
      <c r="M569" s="41"/>
    </row>
    <row r="570" ht="15" spans="1:13">
      <c r="A570" s="27" t="s">
        <v>194</v>
      </c>
      <c r="B570" s="33" t="s">
        <v>196</v>
      </c>
      <c r="C570" s="29" t="s">
        <v>41</v>
      </c>
      <c r="D570" s="30" t="s">
        <v>28</v>
      </c>
      <c r="E570" s="29" t="s">
        <v>191</v>
      </c>
      <c r="F570" s="34" t="s">
        <v>177</v>
      </c>
      <c r="G570" s="35">
        <f t="shared" si="40"/>
        <v>24.8117029257314</v>
      </c>
      <c r="H570" s="36">
        <f t="shared" si="41"/>
        <v>297.666</v>
      </c>
      <c r="I570" s="40">
        <v>330.74</v>
      </c>
      <c r="J570" s="36">
        <f t="shared" si="42"/>
        <v>347.277</v>
      </c>
      <c r="K570" s="36">
        <f t="shared" si="43"/>
        <v>279.80604</v>
      </c>
      <c r="L570" s="36">
        <f t="shared" si="44"/>
        <v>310.8956</v>
      </c>
      <c r="M570" s="41"/>
    </row>
    <row r="571" ht="15" spans="1:13">
      <c r="A571" s="27" t="s">
        <v>194</v>
      </c>
      <c r="B571" s="33" t="s">
        <v>152</v>
      </c>
      <c r="C571" s="29" t="s">
        <v>21</v>
      </c>
      <c r="D571" s="30" t="s">
        <v>28</v>
      </c>
      <c r="E571" s="29" t="s">
        <v>191</v>
      </c>
      <c r="F571" s="34" t="s">
        <v>178</v>
      </c>
      <c r="G571" s="35">
        <f t="shared" si="40"/>
        <v>18.9744936234059</v>
      </c>
      <c r="H571" s="36">
        <f t="shared" si="41"/>
        <v>227.637</v>
      </c>
      <c r="I571" s="40">
        <v>252.93</v>
      </c>
      <c r="J571" s="36">
        <f t="shared" si="42"/>
        <v>265.5765</v>
      </c>
      <c r="K571" s="36">
        <f t="shared" si="43"/>
        <v>213.97878</v>
      </c>
      <c r="L571" s="36">
        <f t="shared" si="44"/>
        <v>237.7542</v>
      </c>
      <c r="M571" s="41"/>
    </row>
    <row r="572" ht="15" spans="1:13">
      <c r="A572" s="27" t="s">
        <v>194</v>
      </c>
      <c r="B572" s="33" t="s">
        <v>148</v>
      </c>
      <c r="C572" s="29" t="s">
        <v>21</v>
      </c>
      <c r="D572" s="30" t="s">
        <v>28</v>
      </c>
      <c r="E572" s="29" t="s">
        <v>191</v>
      </c>
      <c r="F572" s="34" t="s">
        <v>143</v>
      </c>
      <c r="G572" s="35">
        <f t="shared" si="40"/>
        <v>28.589647411853</v>
      </c>
      <c r="H572" s="36">
        <f t="shared" si="41"/>
        <v>342.99</v>
      </c>
      <c r="I572" s="40">
        <v>381.1</v>
      </c>
      <c r="J572" s="36">
        <f t="shared" si="42"/>
        <v>400.155</v>
      </c>
      <c r="K572" s="36">
        <f t="shared" si="43"/>
        <v>322.4106</v>
      </c>
      <c r="L572" s="36">
        <f t="shared" si="44"/>
        <v>358.234</v>
      </c>
      <c r="M572" s="41"/>
    </row>
    <row r="573" ht="15" spans="1:13">
      <c r="A573" s="27" t="s">
        <v>197</v>
      </c>
      <c r="B573" s="33" t="s">
        <v>140</v>
      </c>
      <c r="C573" s="29" t="s">
        <v>21</v>
      </c>
      <c r="D573" s="30" t="s">
        <v>28</v>
      </c>
      <c r="E573" s="29" t="s">
        <v>47</v>
      </c>
      <c r="F573" s="34" t="s">
        <v>198</v>
      </c>
      <c r="G573" s="35">
        <f t="shared" si="40"/>
        <v>9.09977494373593</v>
      </c>
      <c r="H573" s="36">
        <f t="shared" si="41"/>
        <v>109.17</v>
      </c>
      <c r="I573" s="40">
        <v>121.3</v>
      </c>
      <c r="J573" s="36">
        <f t="shared" si="42"/>
        <v>127.365</v>
      </c>
      <c r="K573" s="36">
        <f t="shared" si="43"/>
        <v>102.6198</v>
      </c>
      <c r="L573" s="36">
        <f t="shared" si="44"/>
        <v>114.022</v>
      </c>
      <c r="M573" s="41"/>
    </row>
    <row r="574" ht="15" spans="1:13">
      <c r="A574" s="27" t="s">
        <v>197</v>
      </c>
      <c r="B574" s="33" t="s">
        <v>140</v>
      </c>
      <c r="C574" s="29" t="s">
        <v>21</v>
      </c>
      <c r="D574" s="30" t="s">
        <v>28</v>
      </c>
      <c r="E574" s="29" t="s">
        <v>175</v>
      </c>
      <c r="F574" s="34" t="s">
        <v>198</v>
      </c>
      <c r="G574" s="35">
        <f t="shared" si="40"/>
        <v>9.76744186046512</v>
      </c>
      <c r="H574" s="36">
        <f t="shared" si="41"/>
        <v>117.18</v>
      </c>
      <c r="I574" s="40">
        <v>130.2</v>
      </c>
      <c r="J574" s="36">
        <f t="shared" si="42"/>
        <v>136.71</v>
      </c>
      <c r="K574" s="36">
        <f t="shared" si="43"/>
        <v>110.1492</v>
      </c>
      <c r="L574" s="36">
        <f t="shared" si="44"/>
        <v>122.388</v>
      </c>
      <c r="M574" s="41"/>
    </row>
    <row r="575" ht="15" spans="1:13">
      <c r="A575" s="27" t="s">
        <v>197</v>
      </c>
      <c r="B575" s="33" t="s">
        <v>140</v>
      </c>
      <c r="C575" s="29" t="s">
        <v>21</v>
      </c>
      <c r="D575" s="30" t="s">
        <v>28</v>
      </c>
      <c r="E575" s="29" t="s">
        <v>191</v>
      </c>
      <c r="F575" s="34" t="s">
        <v>46</v>
      </c>
      <c r="G575" s="35">
        <f t="shared" si="40"/>
        <v>12.3030757689422</v>
      </c>
      <c r="H575" s="36">
        <f t="shared" si="41"/>
        <v>147.6</v>
      </c>
      <c r="I575" s="40">
        <v>164</v>
      </c>
      <c r="J575" s="36">
        <f t="shared" si="42"/>
        <v>172.2</v>
      </c>
      <c r="K575" s="36">
        <f t="shared" si="43"/>
        <v>138.744</v>
      </c>
      <c r="L575" s="36">
        <f t="shared" si="44"/>
        <v>154.16</v>
      </c>
      <c r="M575" s="41"/>
    </row>
    <row r="576" ht="15" spans="1:13">
      <c r="A576" s="27" t="s">
        <v>197</v>
      </c>
      <c r="B576" s="33" t="s">
        <v>140</v>
      </c>
      <c r="C576" s="29" t="s">
        <v>41</v>
      </c>
      <c r="D576" s="30" t="s">
        <v>28</v>
      </c>
      <c r="E576" s="29" t="s">
        <v>175</v>
      </c>
      <c r="F576" s="34" t="s">
        <v>198</v>
      </c>
      <c r="G576" s="35">
        <f t="shared" si="40"/>
        <v>15.927231807952</v>
      </c>
      <c r="H576" s="36">
        <f t="shared" si="41"/>
        <v>191.079</v>
      </c>
      <c r="I576" s="40">
        <v>212.31</v>
      </c>
      <c r="J576" s="36">
        <f t="shared" si="42"/>
        <v>222.9255</v>
      </c>
      <c r="K576" s="36">
        <f t="shared" si="43"/>
        <v>179.61426</v>
      </c>
      <c r="L576" s="36">
        <f t="shared" si="44"/>
        <v>199.5714</v>
      </c>
      <c r="M576" s="41"/>
    </row>
    <row r="577" ht="15" spans="1:13">
      <c r="A577" s="27" t="s">
        <v>197</v>
      </c>
      <c r="B577" s="33" t="s">
        <v>115</v>
      </c>
      <c r="C577" s="29" t="s">
        <v>21</v>
      </c>
      <c r="D577" s="30" t="s">
        <v>28</v>
      </c>
      <c r="E577" s="29" t="s">
        <v>47</v>
      </c>
      <c r="F577" s="34" t="s">
        <v>116</v>
      </c>
      <c r="G577" s="35">
        <f t="shared" si="40"/>
        <v>11.1027756939235</v>
      </c>
      <c r="H577" s="36">
        <f t="shared" si="41"/>
        <v>133.2</v>
      </c>
      <c r="I577" s="40">
        <v>148</v>
      </c>
      <c r="J577" s="36">
        <f t="shared" si="42"/>
        <v>155.4</v>
      </c>
      <c r="K577" s="36">
        <f t="shared" si="43"/>
        <v>125.208</v>
      </c>
      <c r="L577" s="36">
        <f t="shared" si="44"/>
        <v>139.12</v>
      </c>
      <c r="M577" s="41"/>
    </row>
    <row r="578" ht="15" spans="1:13">
      <c r="A578" s="27" t="s">
        <v>197</v>
      </c>
      <c r="B578" s="33" t="s">
        <v>50</v>
      </c>
      <c r="C578" s="29" t="s">
        <v>21</v>
      </c>
      <c r="D578" s="30" t="s">
        <v>28</v>
      </c>
      <c r="E578" s="29" t="s">
        <v>175</v>
      </c>
      <c r="F578" s="34" t="s">
        <v>116</v>
      </c>
      <c r="G578" s="35">
        <f t="shared" si="40"/>
        <v>11.3900975243811</v>
      </c>
      <c r="H578" s="36">
        <f t="shared" si="41"/>
        <v>136.647</v>
      </c>
      <c r="I578" s="40">
        <v>151.83</v>
      </c>
      <c r="J578" s="36">
        <f t="shared" si="42"/>
        <v>159.4215</v>
      </c>
      <c r="K578" s="36">
        <f t="shared" si="43"/>
        <v>128.44818</v>
      </c>
      <c r="L578" s="36">
        <f t="shared" si="44"/>
        <v>142.7202</v>
      </c>
      <c r="M578" s="41"/>
    </row>
    <row r="579" ht="15" spans="1:13">
      <c r="A579" s="27" t="s">
        <v>197</v>
      </c>
      <c r="B579" s="33" t="s">
        <v>50</v>
      </c>
      <c r="C579" s="29" t="s">
        <v>54</v>
      </c>
      <c r="D579" s="30" t="s">
        <v>28</v>
      </c>
      <c r="E579" s="29" t="s">
        <v>175</v>
      </c>
      <c r="F579" s="34" t="s">
        <v>116</v>
      </c>
      <c r="G579" s="35">
        <f t="shared" ref="G579:G642" si="45">I579/13.33</f>
        <v>13.8994748687172</v>
      </c>
      <c r="H579" s="36">
        <f t="shared" ref="H579:H642" si="46">I579*0.9</f>
        <v>166.752</v>
      </c>
      <c r="I579" s="40">
        <v>185.28</v>
      </c>
      <c r="J579" s="36">
        <f t="shared" ref="J579:J642" si="47">I579*1.05</f>
        <v>194.544</v>
      </c>
      <c r="K579" s="36">
        <f t="shared" ref="K579:K642" si="48">H579*0.94</f>
        <v>156.74688</v>
      </c>
      <c r="L579" s="36">
        <f t="shared" ref="L579:L642" si="49">I579*0.94</f>
        <v>174.1632</v>
      </c>
      <c r="M579" s="41"/>
    </row>
    <row r="580" ht="15" spans="1:13">
      <c r="A580" s="27" t="s">
        <v>197</v>
      </c>
      <c r="B580" s="33" t="s">
        <v>50</v>
      </c>
      <c r="C580" s="29" t="s">
        <v>41</v>
      </c>
      <c r="D580" s="30" t="s">
        <v>28</v>
      </c>
      <c r="E580" s="29" t="s">
        <v>47</v>
      </c>
      <c r="F580" s="34" t="s">
        <v>116</v>
      </c>
      <c r="G580" s="35">
        <f t="shared" si="45"/>
        <v>14.4088522130533</v>
      </c>
      <c r="H580" s="36">
        <f t="shared" si="46"/>
        <v>172.863</v>
      </c>
      <c r="I580" s="40">
        <v>192.07</v>
      </c>
      <c r="J580" s="36">
        <f t="shared" si="47"/>
        <v>201.6735</v>
      </c>
      <c r="K580" s="36">
        <f t="shared" si="48"/>
        <v>162.49122</v>
      </c>
      <c r="L580" s="36">
        <f t="shared" si="49"/>
        <v>180.5458</v>
      </c>
      <c r="M580" s="41"/>
    </row>
    <row r="581" ht="15" spans="1:13">
      <c r="A581" s="27" t="s">
        <v>197</v>
      </c>
      <c r="B581" s="33" t="s">
        <v>50</v>
      </c>
      <c r="C581" s="29" t="s">
        <v>121</v>
      </c>
      <c r="D581" s="30" t="s">
        <v>28</v>
      </c>
      <c r="E581" s="29" t="s">
        <v>199</v>
      </c>
      <c r="F581" s="34" t="s">
        <v>116</v>
      </c>
      <c r="G581" s="35">
        <f t="shared" si="45"/>
        <v>21.4433608402101</v>
      </c>
      <c r="H581" s="36">
        <f t="shared" si="46"/>
        <v>257.256</v>
      </c>
      <c r="I581" s="40">
        <v>285.84</v>
      </c>
      <c r="J581" s="36">
        <f t="shared" si="47"/>
        <v>300.132</v>
      </c>
      <c r="K581" s="36">
        <f t="shared" si="48"/>
        <v>241.82064</v>
      </c>
      <c r="L581" s="36">
        <f t="shared" si="49"/>
        <v>268.6896</v>
      </c>
      <c r="M581" s="41"/>
    </row>
    <row r="582" ht="15" spans="1:13">
      <c r="A582" s="27" t="s">
        <v>197</v>
      </c>
      <c r="B582" s="33" t="s">
        <v>50</v>
      </c>
      <c r="C582" s="29" t="s">
        <v>55</v>
      </c>
      <c r="D582" s="30" t="s">
        <v>28</v>
      </c>
      <c r="E582" s="29" t="s">
        <v>47</v>
      </c>
      <c r="F582" s="34" t="s">
        <v>116</v>
      </c>
      <c r="G582" s="35">
        <f t="shared" si="45"/>
        <v>27.105776444111</v>
      </c>
      <c r="H582" s="36">
        <f t="shared" si="46"/>
        <v>325.188</v>
      </c>
      <c r="I582" s="40">
        <v>361.32</v>
      </c>
      <c r="J582" s="36">
        <f t="shared" si="47"/>
        <v>379.386</v>
      </c>
      <c r="K582" s="36">
        <f t="shared" si="48"/>
        <v>305.67672</v>
      </c>
      <c r="L582" s="36">
        <f t="shared" si="49"/>
        <v>339.6408</v>
      </c>
      <c r="M582" s="41"/>
    </row>
    <row r="583" ht="15" spans="1:13">
      <c r="A583" s="27" t="s">
        <v>197</v>
      </c>
      <c r="B583" s="33" t="s">
        <v>192</v>
      </c>
      <c r="C583" s="29" t="s">
        <v>41</v>
      </c>
      <c r="D583" s="30" t="s">
        <v>28</v>
      </c>
      <c r="E583" s="29" t="s">
        <v>47</v>
      </c>
      <c r="F583" s="34" t="s">
        <v>116</v>
      </c>
      <c r="G583" s="35">
        <f t="shared" si="45"/>
        <v>16.0697674418605</v>
      </c>
      <c r="H583" s="36">
        <f t="shared" si="46"/>
        <v>192.789</v>
      </c>
      <c r="I583" s="40">
        <v>214.21</v>
      </c>
      <c r="J583" s="36">
        <f t="shared" si="47"/>
        <v>224.9205</v>
      </c>
      <c r="K583" s="36">
        <f t="shared" si="48"/>
        <v>181.22166</v>
      </c>
      <c r="L583" s="36">
        <f t="shared" si="49"/>
        <v>201.3574</v>
      </c>
      <c r="M583" s="41"/>
    </row>
    <row r="584" ht="15" spans="1:13">
      <c r="A584" s="27" t="s">
        <v>197</v>
      </c>
      <c r="B584" s="33" t="s">
        <v>192</v>
      </c>
      <c r="C584" s="29" t="s">
        <v>121</v>
      </c>
      <c r="D584" s="30" t="s">
        <v>28</v>
      </c>
      <c r="E584" s="1" t="s">
        <v>200</v>
      </c>
      <c r="F584" s="34" t="s">
        <v>116</v>
      </c>
      <c r="G584" s="35">
        <f t="shared" si="45"/>
        <v>21.8754688672168</v>
      </c>
      <c r="H584" s="36">
        <f t="shared" si="46"/>
        <v>262.44</v>
      </c>
      <c r="I584" s="40">
        <v>291.6</v>
      </c>
      <c r="J584" s="36">
        <f t="shared" si="47"/>
        <v>306.18</v>
      </c>
      <c r="K584" s="36">
        <f t="shared" si="48"/>
        <v>246.6936</v>
      </c>
      <c r="L584" s="36">
        <f t="shared" si="49"/>
        <v>274.104</v>
      </c>
      <c r="M584" s="41"/>
    </row>
    <row r="585" ht="15" spans="1:13">
      <c r="A585" s="27" t="s">
        <v>197</v>
      </c>
      <c r="B585" s="33" t="s">
        <v>52</v>
      </c>
      <c r="C585" s="29" t="s">
        <v>41</v>
      </c>
      <c r="D585" s="30" t="s">
        <v>28</v>
      </c>
      <c r="E585" s="29" t="s">
        <v>176</v>
      </c>
      <c r="F585" s="34" t="s">
        <v>119</v>
      </c>
      <c r="G585" s="35">
        <f t="shared" si="45"/>
        <v>17.735183795949</v>
      </c>
      <c r="H585" s="36">
        <f t="shared" si="46"/>
        <v>212.769</v>
      </c>
      <c r="I585" s="40">
        <v>236.41</v>
      </c>
      <c r="J585" s="36">
        <f t="shared" si="47"/>
        <v>248.2305</v>
      </c>
      <c r="K585" s="36">
        <f t="shared" si="48"/>
        <v>200.00286</v>
      </c>
      <c r="L585" s="36">
        <f t="shared" si="49"/>
        <v>222.2254</v>
      </c>
      <c r="M585" s="41"/>
    </row>
    <row r="586" ht="15" spans="1:13">
      <c r="A586" s="27" t="s">
        <v>197</v>
      </c>
      <c r="B586" s="33" t="s">
        <v>156</v>
      </c>
      <c r="C586" s="29" t="s">
        <v>21</v>
      </c>
      <c r="D586" s="30" t="s">
        <v>28</v>
      </c>
      <c r="E586" s="29" t="s">
        <v>175</v>
      </c>
      <c r="F586" s="34" t="s">
        <v>195</v>
      </c>
      <c r="G586" s="35">
        <f t="shared" si="45"/>
        <v>13.4486121530383</v>
      </c>
      <c r="H586" s="36">
        <f t="shared" si="46"/>
        <v>161.343</v>
      </c>
      <c r="I586" s="40">
        <v>179.27</v>
      </c>
      <c r="J586" s="36">
        <f t="shared" si="47"/>
        <v>188.2335</v>
      </c>
      <c r="K586" s="36">
        <f t="shared" si="48"/>
        <v>151.66242</v>
      </c>
      <c r="L586" s="36">
        <f t="shared" si="49"/>
        <v>168.5138</v>
      </c>
      <c r="M586" s="41"/>
    </row>
    <row r="587" ht="15" spans="1:13">
      <c r="A587" s="27" t="s">
        <v>197</v>
      </c>
      <c r="B587" s="33" t="s">
        <v>156</v>
      </c>
      <c r="C587" s="29" t="s">
        <v>54</v>
      </c>
      <c r="D587" s="30" t="s">
        <v>28</v>
      </c>
      <c r="E587" s="29" t="s">
        <v>175</v>
      </c>
      <c r="F587" s="34" t="s">
        <v>195</v>
      </c>
      <c r="G587" s="35">
        <f t="shared" si="45"/>
        <v>16.3893473368342</v>
      </c>
      <c r="H587" s="36">
        <f t="shared" si="46"/>
        <v>196.623</v>
      </c>
      <c r="I587" s="40">
        <v>218.47</v>
      </c>
      <c r="J587" s="36">
        <f t="shared" si="47"/>
        <v>229.3935</v>
      </c>
      <c r="K587" s="36">
        <f t="shared" si="48"/>
        <v>184.82562</v>
      </c>
      <c r="L587" s="36">
        <f t="shared" si="49"/>
        <v>205.3618</v>
      </c>
      <c r="M587" s="41"/>
    </row>
    <row r="588" ht="15" spans="1:13">
      <c r="A588" s="27" t="s">
        <v>197</v>
      </c>
      <c r="B588" s="33" t="s">
        <v>156</v>
      </c>
      <c r="C588" s="29" t="s">
        <v>41</v>
      </c>
      <c r="D588" s="30" t="s">
        <v>28</v>
      </c>
      <c r="E588" s="29" t="s">
        <v>47</v>
      </c>
      <c r="F588" s="34" t="s">
        <v>51</v>
      </c>
      <c r="G588" s="35">
        <f t="shared" si="45"/>
        <v>19.5048762190548</v>
      </c>
      <c r="H588" s="36">
        <f t="shared" si="46"/>
        <v>234</v>
      </c>
      <c r="I588" s="40">
        <v>260</v>
      </c>
      <c r="J588" s="36">
        <f t="shared" si="47"/>
        <v>273</v>
      </c>
      <c r="K588" s="36">
        <f t="shared" si="48"/>
        <v>219.96</v>
      </c>
      <c r="L588" s="36">
        <f t="shared" si="49"/>
        <v>244.4</v>
      </c>
      <c r="M588" s="41"/>
    </row>
    <row r="589" ht="15" spans="1:13">
      <c r="A589" s="27" t="s">
        <v>197</v>
      </c>
      <c r="B589" s="33" t="s">
        <v>156</v>
      </c>
      <c r="C589" s="29" t="s">
        <v>41</v>
      </c>
      <c r="D589" s="30" t="s">
        <v>28</v>
      </c>
      <c r="E589" s="29" t="s">
        <v>175</v>
      </c>
      <c r="F589" s="34" t="s">
        <v>116</v>
      </c>
      <c r="G589" s="35">
        <f t="shared" si="45"/>
        <v>17.8109527381845</v>
      </c>
      <c r="H589" s="36">
        <f t="shared" si="46"/>
        <v>213.678</v>
      </c>
      <c r="I589" s="40">
        <v>237.42</v>
      </c>
      <c r="J589" s="36">
        <f t="shared" si="47"/>
        <v>249.291</v>
      </c>
      <c r="K589" s="36">
        <f t="shared" si="48"/>
        <v>200.85732</v>
      </c>
      <c r="L589" s="36">
        <f t="shared" si="49"/>
        <v>223.1748</v>
      </c>
      <c r="M589" s="41"/>
    </row>
    <row r="590" ht="15" spans="1:13">
      <c r="A590" s="27" t="s">
        <v>197</v>
      </c>
      <c r="B590" s="33" t="s">
        <v>156</v>
      </c>
      <c r="C590" s="29" t="s">
        <v>41</v>
      </c>
      <c r="D590" s="30" t="s">
        <v>28</v>
      </c>
      <c r="E590" s="29" t="s">
        <v>175</v>
      </c>
      <c r="F590" s="34" t="s">
        <v>195</v>
      </c>
      <c r="G590" s="35">
        <f t="shared" si="45"/>
        <v>18.8327081770443</v>
      </c>
      <c r="H590" s="36">
        <f t="shared" si="46"/>
        <v>225.936</v>
      </c>
      <c r="I590" s="40">
        <v>251.04</v>
      </c>
      <c r="J590" s="36">
        <f t="shared" si="47"/>
        <v>263.592</v>
      </c>
      <c r="K590" s="36">
        <f t="shared" si="48"/>
        <v>212.37984</v>
      </c>
      <c r="L590" s="36">
        <f t="shared" si="49"/>
        <v>235.9776</v>
      </c>
      <c r="M590" s="41"/>
    </row>
    <row r="591" ht="15" spans="1:13">
      <c r="A591" s="27" t="s">
        <v>197</v>
      </c>
      <c r="B591" s="33" t="s">
        <v>156</v>
      </c>
      <c r="C591" s="29" t="s">
        <v>41</v>
      </c>
      <c r="D591" s="30" t="s">
        <v>28</v>
      </c>
      <c r="E591" s="29" t="s">
        <v>201</v>
      </c>
      <c r="F591" s="34" t="s">
        <v>116</v>
      </c>
      <c r="G591" s="35">
        <f t="shared" si="45"/>
        <v>18.7066766691673</v>
      </c>
      <c r="H591" s="36">
        <f t="shared" si="46"/>
        <v>224.424</v>
      </c>
      <c r="I591" s="40">
        <v>249.36</v>
      </c>
      <c r="J591" s="36">
        <f t="shared" si="47"/>
        <v>261.828</v>
      </c>
      <c r="K591" s="36">
        <f t="shared" si="48"/>
        <v>210.95856</v>
      </c>
      <c r="L591" s="36">
        <f t="shared" si="49"/>
        <v>234.3984</v>
      </c>
      <c r="M591" s="41"/>
    </row>
    <row r="592" ht="15" spans="1:13">
      <c r="A592" s="27" t="s">
        <v>197</v>
      </c>
      <c r="B592" s="33" t="s">
        <v>156</v>
      </c>
      <c r="C592" s="29" t="s">
        <v>41</v>
      </c>
      <c r="D592" s="30" t="s">
        <v>28</v>
      </c>
      <c r="E592" s="29" t="s">
        <v>201</v>
      </c>
      <c r="F592" s="34" t="s">
        <v>195</v>
      </c>
      <c r="G592" s="35">
        <f t="shared" si="45"/>
        <v>20.5153788447112</v>
      </c>
      <c r="H592" s="36">
        <f t="shared" si="46"/>
        <v>246.123</v>
      </c>
      <c r="I592" s="40">
        <v>273.47</v>
      </c>
      <c r="J592" s="36">
        <f t="shared" si="47"/>
        <v>287.1435</v>
      </c>
      <c r="K592" s="36">
        <f t="shared" si="48"/>
        <v>231.35562</v>
      </c>
      <c r="L592" s="36">
        <f t="shared" si="49"/>
        <v>257.0618</v>
      </c>
      <c r="M592" s="41"/>
    </row>
    <row r="593" ht="15" spans="1:13">
      <c r="A593" s="27" t="s">
        <v>197</v>
      </c>
      <c r="B593" s="33" t="s">
        <v>156</v>
      </c>
      <c r="C593" s="29" t="s">
        <v>121</v>
      </c>
      <c r="D593" s="30" t="s">
        <v>28</v>
      </c>
      <c r="E593" s="29" t="s">
        <v>199</v>
      </c>
      <c r="F593" s="34" t="s">
        <v>195</v>
      </c>
      <c r="G593" s="35">
        <f t="shared" si="45"/>
        <v>24.1357839459865</v>
      </c>
      <c r="H593" s="36">
        <f t="shared" si="46"/>
        <v>289.557</v>
      </c>
      <c r="I593" s="40">
        <v>321.73</v>
      </c>
      <c r="J593" s="36">
        <f t="shared" si="47"/>
        <v>337.8165</v>
      </c>
      <c r="K593" s="36">
        <f t="shared" si="48"/>
        <v>272.18358</v>
      </c>
      <c r="L593" s="36">
        <f t="shared" si="49"/>
        <v>302.4262</v>
      </c>
      <c r="M593" s="41"/>
    </row>
    <row r="594" ht="15" spans="1:13">
      <c r="A594" s="27" t="s">
        <v>197</v>
      </c>
      <c r="B594" s="33" t="s">
        <v>156</v>
      </c>
      <c r="C594" s="29" t="s">
        <v>121</v>
      </c>
      <c r="D594" s="30" t="s">
        <v>28</v>
      </c>
      <c r="E594" s="29" t="s">
        <v>199</v>
      </c>
      <c r="F594" s="34" t="s">
        <v>202</v>
      </c>
      <c r="G594" s="35">
        <f t="shared" si="45"/>
        <v>21.0712678169542</v>
      </c>
      <c r="H594" s="36">
        <f t="shared" si="46"/>
        <v>252.792</v>
      </c>
      <c r="I594" s="40">
        <v>280.88</v>
      </c>
      <c r="J594" s="36">
        <f t="shared" si="47"/>
        <v>294.924</v>
      </c>
      <c r="K594" s="36">
        <f t="shared" si="48"/>
        <v>237.62448</v>
      </c>
      <c r="L594" s="36">
        <f t="shared" si="49"/>
        <v>264.0272</v>
      </c>
      <c r="M594" s="41"/>
    </row>
    <row r="595" ht="15" spans="1:13">
      <c r="A595" s="27" t="s">
        <v>197</v>
      </c>
      <c r="B595" s="33" t="s">
        <v>156</v>
      </c>
      <c r="C595" s="29" t="s">
        <v>55</v>
      </c>
      <c r="D595" s="30" t="s">
        <v>28</v>
      </c>
      <c r="E595" s="29" t="s">
        <v>47</v>
      </c>
      <c r="F595" s="34" t="s">
        <v>195</v>
      </c>
      <c r="G595" s="35">
        <f t="shared" si="45"/>
        <v>29.3248312078019</v>
      </c>
      <c r="H595" s="36">
        <f t="shared" si="46"/>
        <v>351.81</v>
      </c>
      <c r="I595" s="40">
        <v>390.9</v>
      </c>
      <c r="J595" s="36">
        <f t="shared" si="47"/>
        <v>410.445</v>
      </c>
      <c r="K595" s="36">
        <f t="shared" si="48"/>
        <v>330.7014</v>
      </c>
      <c r="L595" s="36">
        <f t="shared" si="49"/>
        <v>367.446</v>
      </c>
      <c r="M595" s="41"/>
    </row>
    <row r="596" ht="15" spans="1:13">
      <c r="A596" s="27" t="s">
        <v>197</v>
      </c>
      <c r="B596" s="33" t="s">
        <v>156</v>
      </c>
      <c r="C596" s="29" t="s">
        <v>55</v>
      </c>
      <c r="D596" s="30" t="s">
        <v>28</v>
      </c>
      <c r="E596" s="29" t="s">
        <v>47</v>
      </c>
      <c r="F596" s="34" t="s">
        <v>202</v>
      </c>
      <c r="G596" s="35">
        <f t="shared" si="45"/>
        <v>27.4921230307577</v>
      </c>
      <c r="H596" s="36">
        <f t="shared" si="46"/>
        <v>329.823</v>
      </c>
      <c r="I596" s="40">
        <v>366.47</v>
      </c>
      <c r="J596" s="36">
        <f t="shared" si="47"/>
        <v>384.7935</v>
      </c>
      <c r="K596" s="36">
        <f t="shared" si="48"/>
        <v>310.03362</v>
      </c>
      <c r="L596" s="36">
        <f t="shared" si="49"/>
        <v>344.4818</v>
      </c>
      <c r="M596" s="41"/>
    </row>
    <row r="597" ht="15" spans="1:13">
      <c r="A597" s="27" t="s">
        <v>197</v>
      </c>
      <c r="B597" s="33" t="s">
        <v>57</v>
      </c>
      <c r="C597" s="29" t="s">
        <v>21</v>
      </c>
      <c r="D597" s="30" t="s">
        <v>28</v>
      </c>
      <c r="E597" s="29" t="s">
        <v>175</v>
      </c>
      <c r="F597" s="34" t="s">
        <v>195</v>
      </c>
      <c r="G597" s="35">
        <f t="shared" si="45"/>
        <v>12.4531132783196</v>
      </c>
      <c r="H597" s="36">
        <f t="shared" si="46"/>
        <v>149.4</v>
      </c>
      <c r="I597" s="40">
        <v>166</v>
      </c>
      <c r="J597" s="36">
        <f t="shared" si="47"/>
        <v>174.3</v>
      </c>
      <c r="K597" s="36">
        <f t="shared" si="48"/>
        <v>140.436</v>
      </c>
      <c r="L597" s="36">
        <f t="shared" si="49"/>
        <v>156.04</v>
      </c>
      <c r="M597" s="41"/>
    </row>
    <row r="598" ht="15" spans="1:13">
      <c r="A598" s="27" t="s">
        <v>197</v>
      </c>
      <c r="B598" s="33" t="s">
        <v>57</v>
      </c>
      <c r="C598" s="29" t="s">
        <v>203</v>
      </c>
      <c r="D598" s="30" t="s">
        <v>28</v>
      </c>
      <c r="E598" s="29" t="s">
        <v>199</v>
      </c>
      <c r="F598" s="34" t="s">
        <v>195</v>
      </c>
      <c r="G598" s="35">
        <f t="shared" si="45"/>
        <v>19.8799699924981</v>
      </c>
      <c r="H598" s="36">
        <f t="shared" si="46"/>
        <v>238.5</v>
      </c>
      <c r="I598" s="40">
        <v>265</v>
      </c>
      <c r="J598" s="36">
        <f t="shared" si="47"/>
        <v>278.25</v>
      </c>
      <c r="K598" s="36">
        <f t="shared" si="48"/>
        <v>224.19</v>
      </c>
      <c r="L598" s="36">
        <f t="shared" si="49"/>
        <v>249.1</v>
      </c>
      <c r="M598" s="41"/>
    </row>
    <row r="599" ht="15" spans="1:13">
      <c r="A599" s="27" t="s">
        <v>197</v>
      </c>
      <c r="B599" s="33" t="s">
        <v>164</v>
      </c>
      <c r="C599" s="29" t="s">
        <v>21</v>
      </c>
      <c r="D599" s="30" t="s">
        <v>28</v>
      </c>
      <c r="E599" s="29" t="s">
        <v>175</v>
      </c>
      <c r="F599" s="34" t="s">
        <v>177</v>
      </c>
      <c r="G599" s="35">
        <f t="shared" si="45"/>
        <v>13.5453863465866</v>
      </c>
      <c r="H599" s="36">
        <f t="shared" si="46"/>
        <v>162.504</v>
      </c>
      <c r="I599" s="40">
        <v>180.56</v>
      </c>
      <c r="J599" s="36">
        <f t="shared" si="47"/>
        <v>189.588</v>
      </c>
      <c r="K599" s="36">
        <f t="shared" si="48"/>
        <v>152.75376</v>
      </c>
      <c r="L599" s="36">
        <f t="shared" si="49"/>
        <v>169.7264</v>
      </c>
      <c r="M599" s="41"/>
    </row>
    <row r="600" ht="15" spans="1:13">
      <c r="A600" s="27" t="s">
        <v>197</v>
      </c>
      <c r="B600" s="33" t="s">
        <v>164</v>
      </c>
      <c r="C600" s="29" t="s">
        <v>54</v>
      </c>
      <c r="D600" s="30" t="s">
        <v>28</v>
      </c>
      <c r="E600" s="29" t="s">
        <v>175</v>
      </c>
      <c r="F600" s="34" t="s">
        <v>177</v>
      </c>
      <c r="G600" s="35">
        <f t="shared" si="45"/>
        <v>15.390847711928</v>
      </c>
      <c r="H600" s="36">
        <f t="shared" si="46"/>
        <v>184.644</v>
      </c>
      <c r="I600" s="40">
        <v>205.16</v>
      </c>
      <c r="J600" s="36">
        <f t="shared" si="47"/>
        <v>215.418</v>
      </c>
      <c r="K600" s="36">
        <f t="shared" si="48"/>
        <v>173.56536</v>
      </c>
      <c r="L600" s="36">
        <f t="shared" si="49"/>
        <v>192.8504</v>
      </c>
      <c r="M600" s="41"/>
    </row>
    <row r="601" ht="15" spans="1:13">
      <c r="A601" s="27" t="s">
        <v>197</v>
      </c>
      <c r="B601" s="33" t="s">
        <v>164</v>
      </c>
      <c r="C601" s="29" t="s">
        <v>41</v>
      </c>
      <c r="D601" s="30" t="s">
        <v>28</v>
      </c>
      <c r="E601" s="29" t="s">
        <v>47</v>
      </c>
      <c r="F601" s="34" t="s">
        <v>53</v>
      </c>
      <c r="G601" s="35">
        <f t="shared" si="45"/>
        <v>16.8522130532633</v>
      </c>
      <c r="H601" s="36">
        <f t="shared" si="46"/>
        <v>202.176</v>
      </c>
      <c r="I601" s="40">
        <v>224.64</v>
      </c>
      <c r="J601" s="36">
        <f t="shared" si="47"/>
        <v>235.872</v>
      </c>
      <c r="K601" s="36">
        <f t="shared" si="48"/>
        <v>190.04544</v>
      </c>
      <c r="L601" s="36">
        <f t="shared" si="49"/>
        <v>211.1616</v>
      </c>
      <c r="M601" s="41"/>
    </row>
    <row r="602" ht="15" spans="1:13">
      <c r="A602" s="27" t="s">
        <v>197</v>
      </c>
      <c r="B602" s="33" t="s">
        <v>164</v>
      </c>
      <c r="C602" s="29" t="s">
        <v>41</v>
      </c>
      <c r="D602" s="30" t="s">
        <v>28</v>
      </c>
      <c r="E602" s="29" t="s">
        <v>175</v>
      </c>
      <c r="F602" s="34" t="s">
        <v>177</v>
      </c>
      <c r="G602" s="35">
        <f t="shared" si="45"/>
        <v>19.3075768942236</v>
      </c>
      <c r="H602" s="36">
        <f t="shared" si="46"/>
        <v>231.633</v>
      </c>
      <c r="I602" s="40">
        <v>257.37</v>
      </c>
      <c r="J602" s="36">
        <f t="shared" si="47"/>
        <v>270.2385</v>
      </c>
      <c r="K602" s="36">
        <f t="shared" si="48"/>
        <v>217.73502</v>
      </c>
      <c r="L602" s="36">
        <f t="shared" si="49"/>
        <v>241.9278</v>
      </c>
      <c r="M602" s="41"/>
    </row>
    <row r="603" ht="15" spans="1:13">
      <c r="A603" s="27" t="s">
        <v>197</v>
      </c>
      <c r="B603" s="33" t="s">
        <v>164</v>
      </c>
      <c r="C603" s="29" t="s">
        <v>41</v>
      </c>
      <c r="D603" s="30" t="s">
        <v>28</v>
      </c>
      <c r="E603" s="29" t="s">
        <v>175</v>
      </c>
      <c r="F603" s="34" t="s">
        <v>53</v>
      </c>
      <c r="G603" s="35">
        <f t="shared" si="45"/>
        <v>18.1020255063766</v>
      </c>
      <c r="H603" s="36">
        <f t="shared" si="46"/>
        <v>217.17</v>
      </c>
      <c r="I603" s="40">
        <v>241.3</v>
      </c>
      <c r="J603" s="36">
        <f t="shared" si="47"/>
        <v>253.365</v>
      </c>
      <c r="K603" s="36">
        <f t="shared" si="48"/>
        <v>204.1398</v>
      </c>
      <c r="L603" s="36">
        <f t="shared" si="49"/>
        <v>226.822</v>
      </c>
      <c r="M603" s="41"/>
    </row>
    <row r="604" ht="15" spans="1:13">
      <c r="A604" s="27" t="s">
        <v>197</v>
      </c>
      <c r="B604" s="33" t="s">
        <v>164</v>
      </c>
      <c r="C604" s="29" t="s">
        <v>55</v>
      </c>
      <c r="D604" s="30" t="s">
        <v>28</v>
      </c>
      <c r="E604" s="29" t="s">
        <v>47</v>
      </c>
      <c r="F604" s="34" t="s">
        <v>53</v>
      </c>
      <c r="G604" s="35">
        <f t="shared" si="45"/>
        <v>28.033008252063</v>
      </c>
      <c r="H604" s="36">
        <f t="shared" si="46"/>
        <v>336.312</v>
      </c>
      <c r="I604" s="40">
        <v>373.68</v>
      </c>
      <c r="J604" s="36">
        <f t="shared" si="47"/>
        <v>392.364</v>
      </c>
      <c r="K604" s="36">
        <f t="shared" si="48"/>
        <v>316.13328</v>
      </c>
      <c r="L604" s="36">
        <f t="shared" si="49"/>
        <v>351.2592</v>
      </c>
      <c r="M604" s="41"/>
    </row>
    <row r="605" ht="15" spans="1:13">
      <c r="A605" s="27" t="s">
        <v>197</v>
      </c>
      <c r="B605" s="33" t="s">
        <v>58</v>
      </c>
      <c r="C605" s="29" t="s">
        <v>41</v>
      </c>
      <c r="D605" s="30" t="s">
        <v>28</v>
      </c>
      <c r="E605" s="29" t="s">
        <v>191</v>
      </c>
      <c r="F605" s="34" t="s">
        <v>53</v>
      </c>
      <c r="G605" s="35">
        <f t="shared" si="45"/>
        <v>22.5056264066016</v>
      </c>
      <c r="H605" s="36">
        <f t="shared" si="46"/>
        <v>270</v>
      </c>
      <c r="I605" s="40">
        <v>300</v>
      </c>
      <c r="J605" s="36">
        <f t="shared" si="47"/>
        <v>315</v>
      </c>
      <c r="K605" s="36">
        <f t="shared" si="48"/>
        <v>253.8</v>
      </c>
      <c r="L605" s="36">
        <f t="shared" si="49"/>
        <v>282</v>
      </c>
      <c r="M605" s="41"/>
    </row>
    <row r="606" ht="15" spans="1:13">
      <c r="A606" s="27" t="s">
        <v>197</v>
      </c>
      <c r="B606" s="33" t="s">
        <v>157</v>
      </c>
      <c r="C606" s="29" t="s">
        <v>21</v>
      </c>
      <c r="D606" s="30" t="s">
        <v>28</v>
      </c>
      <c r="E606" s="29" t="s">
        <v>23</v>
      </c>
      <c r="F606" s="34" t="s">
        <v>177</v>
      </c>
      <c r="G606" s="35">
        <f t="shared" si="45"/>
        <v>13.8649662415604</v>
      </c>
      <c r="H606" s="36">
        <f t="shared" si="46"/>
        <v>166.338</v>
      </c>
      <c r="I606" s="40">
        <v>184.82</v>
      </c>
      <c r="J606" s="36">
        <f t="shared" si="47"/>
        <v>194.061</v>
      </c>
      <c r="K606" s="36">
        <f t="shared" si="48"/>
        <v>156.35772</v>
      </c>
      <c r="L606" s="36">
        <f t="shared" si="49"/>
        <v>173.7308</v>
      </c>
      <c r="M606" s="41"/>
    </row>
    <row r="607" ht="15" spans="1:13">
      <c r="A607" s="27" t="s">
        <v>197</v>
      </c>
      <c r="B607" s="33" t="s">
        <v>157</v>
      </c>
      <c r="C607" s="29" t="s">
        <v>21</v>
      </c>
      <c r="D607" s="30" t="s">
        <v>28</v>
      </c>
      <c r="E607" s="29" t="s">
        <v>175</v>
      </c>
      <c r="F607" s="34" t="s">
        <v>177</v>
      </c>
      <c r="G607" s="35">
        <f t="shared" si="45"/>
        <v>14.2535633908477</v>
      </c>
      <c r="H607" s="36">
        <f t="shared" si="46"/>
        <v>171</v>
      </c>
      <c r="I607" s="40">
        <v>190</v>
      </c>
      <c r="J607" s="36">
        <f t="shared" si="47"/>
        <v>199.5</v>
      </c>
      <c r="K607" s="36">
        <f t="shared" si="48"/>
        <v>160.74</v>
      </c>
      <c r="L607" s="36">
        <f t="shared" si="49"/>
        <v>178.6</v>
      </c>
      <c r="M607" s="41"/>
    </row>
    <row r="608" ht="15" spans="1:13">
      <c r="A608" s="27" t="s">
        <v>197</v>
      </c>
      <c r="B608" s="33" t="s">
        <v>157</v>
      </c>
      <c r="C608" s="29" t="s">
        <v>55</v>
      </c>
      <c r="D608" s="30" t="s">
        <v>28</v>
      </c>
      <c r="E608" s="29" t="s">
        <v>47</v>
      </c>
      <c r="F608" s="34" t="s">
        <v>59</v>
      </c>
      <c r="G608" s="35">
        <f t="shared" si="45"/>
        <v>28.7051762940735</v>
      </c>
      <c r="H608" s="36">
        <f t="shared" si="46"/>
        <v>344.376</v>
      </c>
      <c r="I608" s="40">
        <v>382.64</v>
      </c>
      <c r="J608" s="36">
        <f t="shared" si="47"/>
        <v>401.772</v>
      </c>
      <c r="K608" s="36">
        <f t="shared" si="48"/>
        <v>323.71344</v>
      </c>
      <c r="L608" s="36">
        <f t="shared" si="49"/>
        <v>359.6816</v>
      </c>
      <c r="M608" s="41"/>
    </row>
    <row r="609" ht="15" spans="1:13">
      <c r="A609" s="27" t="s">
        <v>197</v>
      </c>
      <c r="B609" s="33" t="s">
        <v>152</v>
      </c>
      <c r="C609" s="29" t="s">
        <v>41</v>
      </c>
      <c r="D609" s="30" t="s">
        <v>28</v>
      </c>
      <c r="E609" s="29" t="s">
        <v>175</v>
      </c>
      <c r="F609" s="34" t="s">
        <v>178</v>
      </c>
      <c r="G609" s="35">
        <f t="shared" si="45"/>
        <v>21.2273068267067</v>
      </c>
      <c r="H609" s="36">
        <f t="shared" si="46"/>
        <v>254.664</v>
      </c>
      <c r="I609" s="40">
        <v>282.96</v>
      </c>
      <c r="J609" s="36">
        <f t="shared" si="47"/>
        <v>297.108</v>
      </c>
      <c r="K609" s="36">
        <f t="shared" si="48"/>
        <v>239.38416</v>
      </c>
      <c r="L609" s="36">
        <f t="shared" si="49"/>
        <v>265.9824</v>
      </c>
      <c r="M609" s="41"/>
    </row>
    <row r="610" ht="15" spans="1:13">
      <c r="A610" s="27" t="s">
        <v>197</v>
      </c>
      <c r="B610" s="33" t="s">
        <v>26</v>
      </c>
      <c r="C610" s="29" t="s">
        <v>41</v>
      </c>
      <c r="D610" s="30" t="s">
        <v>28</v>
      </c>
      <c r="E610" s="29" t="s">
        <v>47</v>
      </c>
      <c r="F610" s="34" t="s">
        <v>29</v>
      </c>
      <c r="G610" s="35">
        <f t="shared" si="45"/>
        <v>19.9549887471868</v>
      </c>
      <c r="H610" s="36">
        <f t="shared" si="46"/>
        <v>239.4</v>
      </c>
      <c r="I610" s="40">
        <v>266</v>
      </c>
      <c r="J610" s="36">
        <f t="shared" si="47"/>
        <v>279.3</v>
      </c>
      <c r="K610" s="36">
        <f t="shared" si="48"/>
        <v>225.036</v>
      </c>
      <c r="L610" s="36">
        <f t="shared" si="49"/>
        <v>250.04</v>
      </c>
      <c r="M610" s="41"/>
    </row>
    <row r="611" ht="15" spans="1:13">
      <c r="A611" s="27" t="s">
        <v>197</v>
      </c>
      <c r="B611" s="33" t="s">
        <v>165</v>
      </c>
      <c r="C611" s="29" t="s">
        <v>41</v>
      </c>
      <c r="D611" s="30" t="s">
        <v>28</v>
      </c>
      <c r="E611" s="29" t="s">
        <v>47</v>
      </c>
      <c r="F611" s="34" t="s">
        <v>29</v>
      </c>
      <c r="G611" s="35">
        <f t="shared" si="45"/>
        <v>20.0120030007502</v>
      </c>
      <c r="H611" s="36">
        <f t="shared" si="46"/>
        <v>240.084</v>
      </c>
      <c r="I611" s="40">
        <v>266.76</v>
      </c>
      <c r="J611" s="36">
        <f t="shared" si="47"/>
        <v>280.098</v>
      </c>
      <c r="K611" s="36">
        <f t="shared" si="48"/>
        <v>225.67896</v>
      </c>
      <c r="L611" s="36">
        <f t="shared" si="49"/>
        <v>250.7544</v>
      </c>
      <c r="M611" s="41"/>
    </row>
    <row r="612" ht="15" spans="1:13">
      <c r="A612" s="27" t="s">
        <v>197</v>
      </c>
      <c r="B612" s="33" t="s">
        <v>165</v>
      </c>
      <c r="C612" s="29" t="s">
        <v>41</v>
      </c>
      <c r="D612" s="30" t="s">
        <v>28</v>
      </c>
      <c r="E612" s="29" t="s">
        <v>175</v>
      </c>
      <c r="F612" s="34" t="s">
        <v>29</v>
      </c>
      <c r="G612" s="35">
        <f t="shared" si="45"/>
        <v>21.794448612153</v>
      </c>
      <c r="H612" s="36">
        <f t="shared" si="46"/>
        <v>261.468</v>
      </c>
      <c r="I612" s="40">
        <v>290.52</v>
      </c>
      <c r="J612" s="36">
        <f t="shared" si="47"/>
        <v>305.046</v>
      </c>
      <c r="K612" s="36">
        <f t="shared" si="48"/>
        <v>245.77992</v>
      </c>
      <c r="L612" s="36">
        <f t="shared" si="49"/>
        <v>273.0888</v>
      </c>
      <c r="M612" s="41"/>
    </row>
    <row r="613" ht="15" spans="1:13">
      <c r="A613" s="27" t="s">
        <v>197</v>
      </c>
      <c r="B613" s="33" t="s">
        <v>165</v>
      </c>
      <c r="C613" s="29" t="s">
        <v>55</v>
      </c>
      <c r="D613" s="30" t="s">
        <v>28</v>
      </c>
      <c r="E613" s="29" t="s">
        <v>47</v>
      </c>
      <c r="F613" s="34" t="s">
        <v>29</v>
      </c>
      <c r="G613" s="35">
        <f t="shared" si="45"/>
        <v>32.0840210052513</v>
      </c>
      <c r="H613" s="36">
        <f t="shared" si="46"/>
        <v>384.912</v>
      </c>
      <c r="I613" s="40">
        <v>427.68</v>
      </c>
      <c r="J613" s="36">
        <f t="shared" si="47"/>
        <v>449.064</v>
      </c>
      <c r="K613" s="36">
        <f t="shared" si="48"/>
        <v>361.81728</v>
      </c>
      <c r="L613" s="36">
        <f t="shared" si="49"/>
        <v>402.0192</v>
      </c>
      <c r="M613" s="41"/>
    </row>
    <row r="614" ht="15" spans="1:13">
      <c r="A614" s="27" t="s">
        <v>197</v>
      </c>
      <c r="B614" s="33" t="s">
        <v>153</v>
      </c>
      <c r="C614" s="29" t="s">
        <v>41</v>
      </c>
      <c r="D614" s="30" t="s">
        <v>28</v>
      </c>
      <c r="E614" s="29" t="s">
        <v>47</v>
      </c>
      <c r="F614" s="34" t="s">
        <v>204</v>
      </c>
      <c r="G614" s="35">
        <f t="shared" si="45"/>
        <v>29.6324081020255</v>
      </c>
      <c r="H614" s="36">
        <f t="shared" si="46"/>
        <v>355.5</v>
      </c>
      <c r="I614" s="40">
        <v>395</v>
      </c>
      <c r="J614" s="36">
        <f t="shared" si="47"/>
        <v>414.75</v>
      </c>
      <c r="K614" s="36">
        <f t="shared" si="48"/>
        <v>334.17</v>
      </c>
      <c r="L614" s="36">
        <f t="shared" si="49"/>
        <v>371.3</v>
      </c>
      <c r="M614" s="41"/>
    </row>
    <row r="615" ht="15" spans="1:13">
      <c r="A615" s="27" t="s">
        <v>197</v>
      </c>
      <c r="B615" s="33" t="s">
        <v>205</v>
      </c>
      <c r="C615" s="29" t="s">
        <v>21</v>
      </c>
      <c r="D615" s="30" t="s">
        <v>28</v>
      </c>
      <c r="E615" s="29" t="s">
        <v>175</v>
      </c>
      <c r="F615" s="34" t="s">
        <v>137</v>
      </c>
      <c r="G615" s="35">
        <f t="shared" si="45"/>
        <v>30.7576894223556</v>
      </c>
      <c r="H615" s="36">
        <f t="shared" si="46"/>
        <v>369</v>
      </c>
      <c r="I615" s="40">
        <v>410</v>
      </c>
      <c r="J615" s="36">
        <f t="shared" si="47"/>
        <v>430.5</v>
      </c>
      <c r="K615" s="36">
        <f t="shared" si="48"/>
        <v>346.86</v>
      </c>
      <c r="L615" s="36">
        <f t="shared" si="49"/>
        <v>385.4</v>
      </c>
      <c r="M615" s="41"/>
    </row>
    <row r="616" ht="15" spans="1:13">
      <c r="A616" s="27" t="s">
        <v>197</v>
      </c>
      <c r="B616" s="33" t="s">
        <v>206</v>
      </c>
      <c r="C616" s="29" t="s">
        <v>21</v>
      </c>
      <c r="D616" s="30" t="s">
        <v>28</v>
      </c>
      <c r="E616" s="29" t="s">
        <v>175</v>
      </c>
      <c r="F616" s="34" t="s">
        <v>207</v>
      </c>
      <c r="G616" s="35">
        <f t="shared" si="45"/>
        <v>32.60240060015</v>
      </c>
      <c r="H616" s="36">
        <f t="shared" si="46"/>
        <v>391.131</v>
      </c>
      <c r="I616" s="40">
        <v>434.59</v>
      </c>
      <c r="J616" s="36">
        <f t="shared" si="47"/>
        <v>456.3195</v>
      </c>
      <c r="K616" s="36">
        <f t="shared" si="48"/>
        <v>367.66314</v>
      </c>
      <c r="L616" s="36">
        <f t="shared" si="49"/>
        <v>408.5146</v>
      </c>
      <c r="M616" s="41"/>
    </row>
    <row r="617" ht="15" spans="1:13">
      <c r="A617" s="27" t="s">
        <v>197</v>
      </c>
      <c r="B617" s="33" t="s">
        <v>37</v>
      </c>
      <c r="C617" s="29" t="s">
        <v>21</v>
      </c>
      <c r="D617" s="30" t="s">
        <v>22</v>
      </c>
      <c r="E617" s="29" t="s">
        <v>175</v>
      </c>
      <c r="F617" s="34" t="s">
        <v>171</v>
      </c>
      <c r="G617" s="35">
        <f t="shared" si="45"/>
        <v>37.9827456864216</v>
      </c>
      <c r="H617" s="36">
        <f t="shared" si="46"/>
        <v>455.679</v>
      </c>
      <c r="I617" s="40">
        <v>506.31</v>
      </c>
      <c r="J617" s="36">
        <f t="shared" si="47"/>
        <v>531.6255</v>
      </c>
      <c r="K617" s="36">
        <f t="shared" si="48"/>
        <v>428.33826</v>
      </c>
      <c r="L617" s="36">
        <f t="shared" si="49"/>
        <v>475.9314</v>
      </c>
      <c r="M617" s="41"/>
    </row>
    <row r="618" ht="15" spans="1:13">
      <c r="A618" s="27" t="s">
        <v>197</v>
      </c>
      <c r="B618" s="33" t="s">
        <v>208</v>
      </c>
      <c r="C618" s="29" t="s">
        <v>21</v>
      </c>
      <c r="D618" s="37" t="s">
        <v>28</v>
      </c>
      <c r="E618" s="29" t="s">
        <v>47</v>
      </c>
      <c r="F618" s="34" t="s">
        <v>171</v>
      </c>
      <c r="G618" s="35">
        <f t="shared" si="45"/>
        <v>38.8597149287322</v>
      </c>
      <c r="H618" s="36">
        <f t="shared" si="46"/>
        <v>466.2</v>
      </c>
      <c r="I618" s="40">
        <v>518</v>
      </c>
      <c r="J618" s="36">
        <f t="shared" si="47"/>
        <v>543.9</v>
      </c>
      <c r="K618" s="36">
        <f t="shared" si="48"/>
        <v>438.228</v>
      </c>
      <c r="L618" s="36">
        <f t="shared" si="49"/>
        <v>486.92</v>
      </c>
      <c r="M618" s="41"/>
    </row>
    <row r="619" ht="15" spans="1:13">
      <c r="A619" s="27" t="s">
        <v>197</v>
      </c>
      <c r="B619" s="33" t="s">
        <v>87</v>
      </c>
      <c r="C619" s="29" t="s">
        <v>41</v>
      </c>
      <c r="D619" s="30" t="s">
        <v>22</v>
      </c>
      <c r="E619" s="29" t="s">
        <v>175</v>
      </c>
      <c r="F619" s="34" t="s">
        <v>171</v>
      </c>
      <c r="G619" s="35">
        <f t="shared" si="45"/>
        <v>45.6519129782446</v>
      </c>
      <c r="H619" s="36">
        <f t="shared" si="46"/>
        <v>547.686</v>
      </c>
      <c r="I619" s="40">
        <v>608.54</v>
      </c>
      <c r="J619" s="36">
        <f t="shared" si="47"/>
        <v>638.967</v>
      </c>
      <c r="K619" s="36">
        <f t="shared" si="48"/>
        <v>514.82484</v>
      </c>
      <c r="L619" s="36">
        <f t="shared" si="49"/>
        <v>572.0276</v>
      </c>
      <c r="M619" s="41"/>
    </row>
    <row r="620" ht="15" spans="1:13">
      <c r="A620" s="27" t="s">
        <v>197</v>
      </c>
      <c r="B620" s="33" t="s">
        <v>20</v>
      </c>
      <c r="C620" s="29" t="s">
        <v>41</v>
      </c>
      <c r="D620" s="30" t="s">
        <v>22</v>
      </c>
      <c r="E620" s="29" t="s">
        <v>47</v>
      </c>
      <c r="F620" s="34" t="s">
        <v>189</v>
      </c>
      <c r="G620" s="35">
        <f t="shared" si="45"/>
        <v>61.2153038259565</v>
      </c>
      <c r="H620" s="36">
        <f t="shared" si="46"/>
        <v>734.4</v>
      </c>
      <c r="I620" s="40">
        <v>816</v>
      </c>
      <c r="J620" s="36">
        <f t="shared" si="47"/>
        <v>856.8</v>
      </c>
      <c r="K620" s="36">
        <f t="shared" si="48"/>
        <v>690.336</v>
      </c>
      <c r="L620" s="36">
        <f t="shared" si="49"/>
        <v>767.04</v>
      </c>
      <c r="M620" s="41"/>
    </row>
    <row r="621" ht="15" spans="1:13">
      <c r="A621" s="27" t="s">
        <v>209</v>
      </c>
      <c r="B621" s="33" t="s">
        <v>48</v>
      </c>
      <c r="C621" s="29" t="s">
        <v>55</v>
      </c>
      <c r="D621" s="30" t="s">
        <v>28</v>
      </c>
      <c r="E621" s="29" t="s">
        <v>47</v>
      </c>
      <c r="F621" s="34" t="s">
        <v>116</v>
      </c>
      <c r="G621" s="35">
        <f t="shared" si="45"/>
        <v>30.3870967741935</v>
      </c>
      <c r="H621" s="36">
        <f t="shared" si="46"/>
        <v>364.554</v>
      </c>
      <c r="I621" s="40">
        <v>405.06</v>
      </c>
      <c r="J621" s="36">
        <f t="shared" si="47"/>
        <v>425.313</v>
      </c>
      <c r="K621" s="36">
        <f t="shared" si="48"/>
        <v>342.68076</v>
      </c>
      <c r="L621" s="36">
        <f t="shared" si="49"/>
        <v>380.7564</v>
      </c>
      <c r="M621" s="41"/>
    </row>
    <row r="622" ht="15" spans="1:13">
      <c r="A622" s="27" t="s">
        <v>209</v>
      </c>
      <c r="B622" s="33" t="s">
        <v>50</v>
      </c>
      <c r="C622" s="29" t="s">
        <v>41</v>
      </c>
      <c r="D622" s="30" t="s">
        <v>28</v>
      </c>
      <c r="E622" s="29" t="s">
        <v>47</v>
      </c>
      <c r="F622" s="34" t="s">
        <v>116</v>
      </c>
      <c r="G622" s="35">
        <f t="shared" si="45"/>
        <v>19.7299324831208</v>
      </c>
      <c r="H622" s="36">
        <f t="shared" si="46"/>
        <v>236.7</v>
      </c>
      <c r="I622" s="40">
        <v>263</v>
      </c>
      <c r="J622" s="36">
        <f t="shared" si="47"/>
        <v>276.15</v>
      </c>
      <c r="K622" s="36">
        <f t="shared" si="48"/>
        <v>222.498</v>
      </c>
      <c r="L622" s="36">
        <f t="shared" si="49"/>
        <v>247.22</v>
      </c>
      <c r="M622" s="41"/>
    </row>
    <row r="623" ht="15" spans="1:13">
      <c r="A623" s="27" t="s">
        <v>209</v>
      </c>
      <c r="B623" s="33" t="s">
        <v>52</v>
      </c>
      <c r="C623" s="29" t="s">
        <v>21</v>
      </c>
      <c r="D623" s="30" t="s">
        <v>28</v>
      </c>
      <c r="E623" s="29" t="s">
        <v>176</v>
      </c>
      <c r="F623" s="34" t="s">
        <v>116</v>
      </c>
      <c r="G623" s="35">
        <f t="shared" si="45"/>
        <v>14.6286571642911</v>
      </c>
      <c r="H623" s="36">
        <f t="shared" si="46"/>
        <v>175.5</v>
      </c>
      <c r="I623" s="40">
        <v>195</v>
      </c>
      <c r="J623" s="36">
        <f t="shared" si="47"/>
        <v>204.75</v>
      </c>
      <c r="K623" s="36">
        <f t="shared" si="48"/>
        <v>164.97</v>
      </c>
      <c r="L623" s="36">
        <f t="shared" si="49"/>
        <v>183.3</v>
      </c>
      <c r="M623" s="41"/>
    </row>
    <row r="624" ht="15" spans="1:13">
      <c r="A624" s="27" t="s">
        <v>209</v>
      </c>
      <c r="B624" s="33" t="s">
        <v>156</v>
      </c>
      <c r="C624" s="29" t="s">
        <v>41</v>
      </c>
      <c r="D624" s="30" t="s">
        <v>28</v>
      </c>
      <c r="E624" s="29" t="s">
        <v>175</v>
      </c>
      <c r="F624" s="34" t="s">
        <v>116</v>
      </c>
      <c r="G624" s="35">
        <f t="shared" si="45"/>
        <v>20.1170292573143</v>
      </c>
      <c r="H624" s="36">
        <f t="shared" si="46"/>
        <v>241.344</v>
      </c>
      <c r="I624" s="40">
        <v>268.16</v>
      </c>
      <c r="J624" s="36">
        <f t="shared" si="47"/>
        <v>281.568</v>
      </c>
      <c r="K624" s="36">
        <f t="shared" si="48"/>
        <v>226.86336</v>
      </c>
      <c r="L624" s="36">
        <f t="shared" si="49"/>
        <v>252.0704</v>
      </c>
      <c r="M624" s="41"/>
    </row>
    <row r="625" ht="15" spans="1:13">
      <c r="A625" s="27" t="s">
        <v>209</v>
      </c>
      <c r="B625" s="33" t="s">
        <v>57</v>
      </c>
      <c r="C625" s="29" t="s">
        <v>121</v>
      </c>
      <c r="D625" s="30" t="s">
        <v>28</v>
      </c>
      <c r="E625" s="29" t="s">
        <v>47</v>
      </c>
      <c r="F625" s="34" t="s">
        <v>202</v>
      </c>
      <c r="G625" s="35">
        <f t="shared" si="45"/>
        <v>34.6586646661665</v>
      </c>
      <c r="H625" s="36">
        <f t="shared" si="46"/>
        <v>415.8</v>
      </c>
      <c r="I625" s="40">
        <v>462</v>
      </c>
      <c r="J625" s="36">
        <f t="shared" si="47"/>
        <v>485.1</v>
      </c>
      <c r="K625" s="36">
        <f t="shared" si="48"/>
        <v>390.852</v>
      </c>
      <c r="L625" s="36">
        <f t="shared" si="49"/>
        <v>434.28</v>
      </c>
      <c r="M625" s="41"/>
    </row>
    <row r="626" ht="15" spans="1:13">
      <c r="A626" s="27" t="s">
        <v>209</v>
      </c>
      <c r="B626" s="33" t="s">
        <v>57</v>
      </c>
      <c r="C626" s="29" t="s">
        <v>55</v>
      </c>
      <c r="D626" s="30" t="s">
        <v>28</v>
      </c>
      <c r="E626" s="29" t="s">
        <v>47</v>
      </c>
      <c r="F626" s="34" t="s">
        <v>202</v>
      </c>
      <c r="G626" s="35">
        <f t="shared" si="45"/>
        <v>41.2603150787697</v>
      </c>
      <c r="H626" s="36">
        <f t="shared" si="46"/>
        <v>495</v>
      </c>
      <c r="I626" s="40">
        <v>550</v>
      </c>
      <c r="J626" s="36">
        <f t="shared" si="47"/>
        <v>577.5</v>
      </c>
      <c r="K626" s="36">
        <f t="shared" si="48"/>
        <v>465.3</v>
      </c>
      <c r="L626" s="36">
        <f t="shared" si="49"/>
        <v>517</v>
      </c>
      <c r="M626" s="41"/>
    </row>
    <row r="627" ht="15" spans="1:13">
      <c r="A627" s="27" t="s">
        <v>209</v>
      </c>
      <c r="B627" s="33" t="s">
        <v>157</v>
      </c>
      <c r="C627" s="29" t="s">
        <v>21</v>
      </c>
      <c r="D627" s="30" t="s">
        <v>28</v>
      </c>
      <c r="E627" s="29" t="s">
        <v>47</v>
      </c>
      <c r="F627" s="34" t="s">
        <v>177</v>
      </c>
      <c r="G627" s="35">
        <f t="shared" si="45"/>
        <v>26.8567141785446</v>
      </c>
      <c r="H627" s="36">
        <f t="shared" si="46"/>
        <v>322.2</v>
      </c>
      <c r="I627" s="40">
        <v>358</v>
      </c>
      <c r="J627" s="36">
        <f t="shared" si="47"/>
        <v>375.9</v>
      </c>
      <c r="K627" s="36">
        <f t="shared" si="48"/>
        <v>302.868</v>
      </c>
      <c r="L627" s="36">
        <f t="shared" si="49"/>
        <v>336.52</v>
      </c>
      <c r="M627" s="41"/>
    </row>
    <row r="628" ht="15" spans="1:13">
      <c r="A628" s="27" t="s">
        <v>209</v>
      </c>
      <c r="B628" s="33" t="s">
        <v>164</v>
      </c>
      <c r="C628" s="29" t="s">
        <v>41</v>
      </c>
      <c r="D628" s="30" t="s">
        <v>28</v>
      </c>
      <c r="E628" s="42" t="s">
        <v>210</v>
      </c>
      <c r="F628" s="34" t="s">
        <v>195</v>
      </c>
      <c r="G628" s="35">
        <f t="shared" si="45"/>
        <v>37.5093773443361</v>
      </c>
      <c r="H628" s="36">
        <f t="shared" si="46"/>
        <v>450</v>
      </c>
      <c r="I628" s="40">
        <v>500</v>
      </c>
      <c r="J628" s="36">
        <f t="shared" si="47"/>
        <v>525</v>
      </c>
      <c r="K628" s="36">
        <f t="shared" si="48"/>
        <v>423</v>
      </c>
      <c r="L628" s="36">
        <f t="shared" si="49"/>
        <v>470</v>
      </c>
      <c r="M628" s="41"/>
    </row>
    <row r="629" ht="15" spans="1:13">
      <c r="A629" s="27" t="s">
        <v>209</v>
      </c>
      <c r="B629" s="33" t="s">
        <v>164</v>
      </c>
      <c r="C629" s="29" t="s">
        <v>121</v>
      </c>
      <c r="D629" s="30" t="s">
        <v>28</v>
      </c>
      <c r="E629" s="42" t="s">
        <v>211</v>
      </c>
      <c r="F629" s="34" t="s">
        <v>195</v>
      </c>
      <c r="G629" s="35">
        <f t="shared" si="45"/>
        <v>39.9099774943736</v>
      </c>
      <c r="H629" s="36">
        <f t="shared" si="46"/>
        <v>478.8</v>
      </c>
      <c r="I629" s="40">
        <v>532</v>
      </c>
      <c r="J629" s="36">
        <f t="shared" si="47"/>
        <v>558.6</v>
      </c>
      <c r="K629" s="36">
        <f t="shared" si="48"/>
        <v>450.072</v>
      </c>
      <c r="L629" s="36">
        <f t="shared" si="49"/>
        <v>500.08</v>
      </c>
      <c r="M629" s="41"/>
    </row>
    <row r="630" ht="15" spans="1:13">
      <c r="A630" s="27" t="s">
        <v>209</v>
      </c>
      <c r="B630" s="33" t="s">
        <v>165</v>
      </c>
      <c r="C630" s="29" t="s">
        <v>55</v>
      </c>
      <c r="D630" s="30" t="s">
        <v>28</v>
      </c>
      <c r="E630" s="29" t="s">
        <v>47</v>
      </c>
      <c r="F630" s="34" t="s">
        <v>29</v>
      </c>
      <c r="G630" s="35">
        <f t="shared" si="45"/>
        <v>40.2100525131283</v>
      </c>
      <c r="H630" s="36">
        <f t="shared" si="46"/>
        <v>482.4</v>
      </c>
      <c r="I630" s="40">
        <v>536</v>
      </c>
      <c r="J630" s="36">
        <f t="shared" si="47"/>
        <v>562.8</v>
      </c>
      <c r="K630" s="36">
        <f t="shared" si="48"/>
        <v>453.456</v>
      </c>
      <c r="L630" s="36">
        <f t="shared" si="49"/>
        <v>503.84</v>
      </c>
      <c r="M630" s="41"/>
    </row>
    <row r="631" ht="15" spans="1:13">
      <c r="A631" s="27" t="s">
        <v>212</v>
      </c>
      <c r="B631" s="33" t="s">
        <v>48</v>
      </c>
      <c r="C631" s="29" t="s">
        <v>21</v>
      </c>
      <c r="D631" s="30" t="s">
        <v>28</v>
      </c>
      <c r="E631" s="29" t="s">
        <v>176</v>
      </c>
      <c r="F631" s="34" t="s">
        <v>116</v>
      </c>
      <c r="G631" s="35">
        <f t="shared" si="45"/>
        <v>14.8537134283571</v>
      </c>
      <c r="H631" s="36">
        <f t="shared" si="46"/>
        <v>178.2</v>
      </c>
      <c r="I631" s="40">
        <v>198</v>
      </c>
      <c r="J631" s="36">
        <f t="shared" si="47"/>
        <v>207.9</v>
      </c>
      <c r="K631" s="36">
        <f t="shared" si="48"/>
        <v>167.508</v>
      </c>
      <c r="L631" s="36">
        <f t="shared" si="49"/>
        <v>186.12</v>
      </c>
      <c r="M631" s="41"/>
    </row>
    <row r="632" ht="15" spans="1:13">
      <c r="A632" s="27" t="s">
        <v>212</v>
      </c>
      <c r="B632" s="33" t="s">
        <v>50</v>
      </c>
      <c r="C632" s="29" t="s">
        <v>55</v>
      </c>
      <c r="D632" s="30" t="s">
        <v>28</v>
      </c>
      <c r="E632" s="29" t="s">
        <v>47</v>
      </c>
      <c r="F632" s="34" t="s">
        <v>116</v>
      </c>
      <c r="G632" s="35">
        <f t="shared" si="45"/>
        <v>36.7591897974494</v>
      </c>
      <c r="H632" s="36">
        <f t="shared" si="46"/>
        <v>441</v>
      </c>
      <c r="I632" s="40">
        <v>490</v>
      </c>
      <c r="J632" s="36">
        <f t="shared" si="47"/>
        <v>514.5</v>
      </c>
      <c r="K632" s="36">
        <f t="shared" si="48"/>
        <v>414.54</v>
      </c>
      <c r="L632" s="36">
        <f t="shared" si="49"/>
        <v>460.6</v>
      </c>
      <c r="M632" s="41"/>
    </row>
    <row r="633" ht="15" spans="1:13">
      <c r="A633" s="27" t="s">
        <v>212</v>
      </c>
      <c r="B633" s="33" t="s">
        <v>156</v>
      </c>
      <c r="C633" s="29" t="s">
        <v>41</v>
      </c>
      <c r="D633" s="30" t="s">
        <v>28</v>
      </c>
      <c r="E633" s="29" t="s">
        <v>176</v>
      </c>
      <c r="F633" s="34" t="s">
        <v>195</v>
      </c>
      <c r="G633" s="35">
        <f t="shared" si="45"/>
        <v>27.456864216054</v>
      </c>
      <c r="H633" s="36">
        <f t="shared" si="46"/>
        <v>329.4</v>
      </c>
      <c r="I633" s="40">
        <v>366</v>
      </c>
      <c r="J633" s="36">
        <f t="shared" si="47"/>
        <v>384.3</v>
      </c>
      <c r="K633" s="36">
        <f t="shared" si="48"/>
        <v>309.636</v>
      </c>
      <c r="L633" s="36">
        <f t="shared" si="49"/>
        <v>344.04</v>
      </c>
      <c r="M633" s="41"/>
    </row>
    <row r="634" ht="15" spans="1:13">
      <c r="A634" s="27" t="s">
        <v>212</v>
      </c>
      <c r="B634" s="33" t="s">
        <v>26</v>
      </c>
      <c r="C634" s="29" t="s">
        <v>203</v>
      </c>
      <c r="D634" s="30" t="s">
        <v>28</v>
      </c>
      <c r="E634" s="1" t="s">
        <v>211</v>
      </c>
      <c r="F634" s="34" t="s">
        <v>29</v>
      </c>
      <c r="G634" s="35">
        <f t="shared" si="45"/>
        <v>36.384096024006</v>
      </c>
      <c r="H634" s="36">
        <f t="shared" si="46"/>
        <v>436.5</v>
      </c>
      <c r="I634" s="40">
        <v>485</v>
      </c>
      <c r="J634" s="36">
        <f t="shared" si="47"/>
        <v>509.25</v>
      </c>
      <c r="K634" s="36">
        <f t="shared" si="48"/>
        <v>410.31</v>
      </c>
      <c r="L634" s="36">
        <f t="shared" si="49"/>
        <v>455.9</v>
      </c>
      <c r="M634" s="41"/>
    </row>
    <row r="635" ht="15" spans="1:13">
      <c r="A635" s="27" t="s">
        <v>212</v>
      </c>
      <c r="B635" s="33" t="s">
        <v>165</v>
      </c>
      <c r="C635" s="29" t="s">
        <v>54</v>
      </c>
      <c r="D635" s="30" t="s">
        <v>28</v>
      </c>
      <c r="E635" s="29" t="s">
        <v>176</v>
      </c>
      <c r="F635" s="34" t="s">
        <v>29</v>
      </c>
      <c r="G635" s="35">
        <f t="shared" si="45"/>
        <v>24.6061515378845</v>
      </c>
      <c r="H635" s="36">
        <f t="shared" si="46"/>
        <v>295.2</v>
      </c>
      <c r="I635" s="40">
        <v>328</v>
      </c>
      <c r="J635" s="36">
        <f t="shared" si="47"/>
        <v>344.4</v>
      </c>
      <c r="K635" s="36">
        <f t="shared" si="48"/>
        <v>277.488</v>
      </c>
      <c r="L635" s="36">
        <f t="shared" si="49"/>
        <v>308.32</v>
      </c>
      <c r="M635" s="41"/>
    </row>
    <row r="636" ht="15" spans="1:13">
      <c r="A636" s="27" t="s">
        <v>212</v>
      </c>
      <c r="B636" s="33" t="s">
        <v>167</v>
      </c>
      <c r="C636" s="29" t="s">
        <v>55</v>
      </c>
      <c r="D636" s="30" t="s">
        <v>28</v>
      </c>
      <c r="E636" s="29" t="s">
        <v>47</v>
      </c>
      <c r="F636" s="34" t="s">
        <v>166</v>
      </c>
      <c r="G636" s="35">
        <f t="shared" si="45"/>
        <v>43.1357839459865</v>
      </c>
      <c r="H636" s="36">
        <f t="shared" si="46"/>
        <v>517.5</v>
      </c>
      <c r="I636" s="40">
        <v>575</v>
      </c>
      <c r="J636" s="36">
        <f t="shared" si="47"/>
        <v>603.75</v>
      </c>
      <c r="K636" s="36">
        <f t="shared" si="48"/>
        <v>486.45</v>
      </c>
      <c r="L636" s="36">
        <f t="shared" si="49"/>
        <v>540.5</v>
      </c>
      <c r="M636" s="41"/>
    </row>
    <row r="637" ht="15" spans="1:13">
      <c r="A637" s="27" t="s">
        <v>213</v>
      </c>
      <c r="B637" s="33" t="s">
        <v>151</v>
      </c>
      <c r="C637" s="29" t="s">
        <v>55</v>
      </c>
      <c r="D637" s="30" t="s">
        <v>28</v>
      </c>
      <c r="E637" s="29" t="s">
        <v>47</v>
      </c>
      <c r="F637" s="34" t="s">
        <v>198</v>
      </c>
      <c r="G637" s="35">
        <f t="shared" si="45"/>
        <v>39.6099024756189</v>
      </c>
      <c r="H637" s="36">
        <f t="shared" si="46"/>
        <v>475.2</v>
      </c>
      <c r="I637" s="40">
        <v>528</v>
      </c>
      <c r="J637" s="36">
        <f t="shared" si="47"/>
        <v>554.4</v>
      </c>
      <c r="K637" s="36">
        <f t="shared" si="48"/>
        <v>446.688</v>
      </c>
      <c r="L637" s="36">
        <f t="shared" si="49"/>
        <v>496.32</v>
      </c>
      <c r="M637" s="41"/>
    </row>
    <row r="638" ht="15" spans="1:13">
      <c r="A638" s="27" t="s">
        <v>213</v>
      </c>
      <c r="B638" s="33" t="s">
        <v>48</v>
      </c>
      <c r="C638" s="29" t="s">
        <v>21</v>
      </c>
      <c r="D638" s="30" t="s">
        <v>28</v>
      </c>
      <c r="E638" s="29" t="s">
        <v>210</v>
      </c>
      <c r="F638" s="34" t="s">
        <v>116</v>
      </c>
      <c r="G638" s="35">
        <f t="shared" si="45"/>
        <v>23.6309077269317</v>
      </c>
      <c r="H638" s="36">
        <f t="shared" si="46"/>
        <v>283.5</v>
      </c>
      <c r="I638" s="40">
        <v>315</v>
      </c>
      <c r="J638" s="36">
        <f t="shared" si="47"/>
        <v>330.75</v>
      </c>
      <c r="K638" s="36">
        <f t="shared" si="48"/>
        <v>266.49</v>
      </c>
      <c r="L638" s="36">
        <f t="shared" si="49"/>
        <v>296.1</v>
      </c>
      <c r="M638" s="41"/>
    </row>
    <row r="639" ht="15" spans="1:13">
      <c r="A639" s="27" t="s">
        <v>213</v>
      </c>
      <c r="B639" s="33" t="s">
        <v>48</v>
      </c>
      <c r="C639" s="29" t="s">
        <v>54</v>
      </c>
      <c r="D639" s="30" t="s">
        <v>28</v>
      </c>
      <c r="E639" s="29" t="s">
        <v>191</v>
      </c>
      <c r="F639" s="34" t="s">
        <v>116</v>
      </c>
      <c r="G639" s="35">
        <f t="shared" si="45"/>
        <v>24.1560390097524</v>
      </c>
      <c r="H639" s="36">
        <f t="shared" si="46"/>
        <v>289.8</v>
      </c>
      <c r="I639" s="40">
        <v>322</v>
      </c>
      <c r="J639" s="36">
        <f t="shared" si="47"/>
        <v>338.1</v>
      </c>
      <c r="K639" s="36">
        <f t="shared" si="48"/>
        <v>272.412</v>
      </c>
      <c r="L639" s="36">
        <f t="shared" si="49"/>
        <v>302.68</v>
      </c>
      <c r="M639" s="41"/>
    </row>
    <row r="640" ht="15" spans="1:13">
      <c r="A640" s="27" t="s">
        <v>213</v>
      </c>
      <c r="B640" s="33" t="s">
        <v>48</v>
      </c>
      <c r="C640" s="29" t="s">
        <v>41</v>
      </c>
      <c r="D640" s="30" t="s">
        <v>28</v>
      </c>
      <c r="E640" s="29" t="s">
        <v>191</v>
      </c>
      <c r="F640" s="34" t="s">
        <v>116</v>
      </c>
      <c r="G640" s="35">
        <f t="shared" si="45"/>
        <v>27.6069017254314</v>
      </c>
      <c r="H640" s="36">
        <f t="shared" si="46"/>
        <v>331.2</v>
      </c>
      <c r="I640" s="40">
        <v>368</v>
      </c>
      <c r="J640" s="36">
        <f t="shared" si="47"/>
        <v>386.4</v>
      </c>
      <c r="K640" s="36">
        <f t="shared" si="48"/>
        <v>311.328</v>
      </c>
      <c r="L640" s="36">
        <f t="shared" si="49"/>
        <v>345.92</v>
      </c>
      <c r="M640" s="41"/>
    </row>
    <row r="641" ht="15" spans="1:13">
      <c r="A641" s="27" t="s">
        <v>213</v>
      </c>
      <c r="B641" s="33" t="s">
        <v>50</v>
      </c>
      <c r="C641" s="29" t="s">
        <v>21</v>
      </c>
      <c r="D641" s="30" t="s">
        <v>28</v>
      </c>
      <c r="E641" s="29" t="s">
        <v>176</v>
      </c>
      <c r="F641" s="34" t="s">
        <v>116</v>
      </c>
      <c r="G641" s="35">
        <f t="shared" si="45"/>
        <v>17.9654913728432</v>
      </c>
      <c r="H641" s="36">
        <f t="shared" si="46"/>
        <v>215.532</v>
      </c>
      <c r="I641" s="40">
        <v>239.48</v>
      </c>
      <c r="J641" s="36">
        <f t="shared" si="47"/>
        <v>251.454</v>
      </c>
      <c r="K641" s="36">
        <f t="shared" si="48"/>
        <v>202.60008</v>
      </c>
      <c r="L641" s="36">
        <f t="shared" si="49"/>
        <v>225.1112</v>
      </c>
      <c r="M641" s="41"/>
    </row>
    <row r="642" ht="15" spans="1:13">
      <c r="A642" s="27" t="s">
        <v>213</v>
      </c>
      <c r="B642" s="33" t="s">
        <v>50</v>
      </c>
      <c r="C642" s="29" t="s">
        <v>21</v>
      </c>
      <c r="D642" s="30" t="s">
        <v>28</v>
      </c>
      <c r="E642" s="29" t="s">
        <v>191</v>
      </c>
      <c r="F642" s="34" t="s">
        <v>116</v>
      </c>
      <c r="G642" s="35">
        <f t="shared" si="45"/>
        <v>20.2550637659415</v>
      </c>
      <c r="H642" s="36">
        <f t="shared" si="46"/>
        <v>243</v>
      </c>
      <c r="I642" s="40">
        <v>270</v>
      </c>
      <c r="J642" s="36">
        <f t="shared" si="47"/>
        <v>283.5</v>
      </c>
      <c r="K642" s="36">
        <f t="shared" si="48"/>
        <v>228.42</v>
      </c>
      <c r="L642" s="36">
        <f t="shared" si="49"/>
        <v>253.8</v>
      </c>
      <c r="M642" s="41"/>
    </row>
    <row r="643" ht="15" spans="1:13">
      <c r="A643" s="27" t="s">
        <v>213</v>
      </c>
      <c r="B643" s="33" t="s">
        <v>50</v>
      </c>
      <c r="C643" s="29" t="s">
        <v>41</v>
      </c>
      <c r="D643" s="30" t="s">
        <v>28</v>
      </c>
      <c r="E643" s="29" t="s">
        <v>176</v>
      </c>
      <c r="F643" s="34" t="s">
        <v>116</v>
      </c>
      <c r="G643" s="35">
        <f t="shared" ref="G643:G661" si="50">I643/13.33</f>
        <v>24.4478619654914</v>
      </c>
      <c r="H643" s="36">
        <f t="shared" ref="H643:H661" si="51">I643*0.9</f>
        <v>293.301</v>
      </c>
      <c r="I643" s="40">
        <v>325.89</v>
      </c>
      <c r="J643" s="36">
        <f t="shared" ref="J643:J661" si="52">I643*1.05</f>
        <v>342.1845</v>
      </c>
      <c r="K643" s="36">
        <f t="shared" ref="K643:K661" si="53">H643*0.94</f>
        <v>275.70294</v>
      </c>
      <c r="L643" s="36">
        <f t="shared" ref="L643:L661" si="54">I643*0.94</f>
        <v>306.3366</v>
      </c>
      <c r="M643" s="41"/>
    </row>
    <row r="644" ht="15" spans="1:13">
      <c r="A644" s="27" t="s">
        <v>213</v>
      </c>
      <c r="B644" s="33" t="s">
        <v>50</v>
      </c>
      <c r="C644" s="29" t="s">
        <v>41</v>
      </c>
      <c r="D644" s="30" t="s">
        <v>28</v>
      </c>
      <c r="E644" s="29" t="s">
        <v>210</v>
      </c>
      <c r="F644" s="34" t="s">
        <v>116</v>
      </c>
      <c r="G644" s="35">
        <f t="shared" si="50"/>
        <v>28.5071267816954</v>
      </c>
      <c r="H644" s="36">
        <f t="shared" si="51"/>
        <v>342</v>
      </c>
      <c r="I644" s="40">
        <v>380</v>
      </c>
      <c r="J644" s="36">
        <f t="shared" si="52"/>
        <v>399</v>
      </c>
      <c r="K644" s="36">
        <f t="shared" si="53"/>
        <v>321.48</v>
      </c>
      <c r="L644" s="36">
        <f t="shared" si="54"/>
        <v>357.2</v>
      </c>
      <c r="M644" s="41"/>
    </row>
    <row r="645" ht="15" spans="1:13">
      <c r="A645" s="27" t="s">
        <v>213</v>
      </c>
      <c r="B645" s="33" t="s">
        <v>156</v>
      </c>
      <c r="C645" s="29" t="s">
        <v>21</v>
      </c>
      <c r="D645" s="30" t="s">
        <v>28</v>
      </c>
      <c r="E645" s="29" t="s">
        <v>176</v>
      </c>
      <c r="F645" s="34" t="s">
        <v>195</v>
      </c>
      <c r="G645" s="35">
        <f t="shared" si="50"/>
        <v>25.8454613653413</v>
      </c>
      <c r="H645" s="36">
        <f t="shared" si="51"/>
        <v>310.068</v>
      </c>
      <c r="I645" s="40">
        <v>344.52</v>
      </c>
      <c r="J645" s="36">
        <f t="shared" si="52"/>
        <v>361.746</v>
      </c>
      <c r="K645" s="36">
        <f t="shared" si="53"/>
        <v>291.46392</v>
      </c>
      <c r="L645" s="36">
        <f t="shared" si="54"/>
        <v>323.8488</v>
      </c>
      <c r="M645" s="41"/>
    </row>
    <row r="646" ht="15" spans="1:13">
      <c r="A646" s="27" t="s">
        <v>213</v>
      </c>
      <c r="B646" s="33" t="s">
        <v>156</v>
      </c>
      <c r="C646" s="29" t="s">
        <v>55</v>
      </c>
      <c r="D646" s="30" t="s">
        <v>28</v>
      </c>
      <c r="E646" s="29" t="s">
        <v>47</v>
      </c>
      <c r="F646" s="34" t="s">
        <v>195</v>
      </c>
      <c r="G646" s="35">
        <f t="shared" si="50"/>
        <v>41.7981995498875</v>
      </c>
      <c r="H646" s="36">
        <f t="shared" si="51"/>
        <v>501.453</v>
      </c>
      <c r="I646" s="40">
        <v>557.17</v>
      </c>
      <c r="J646" s="36">
        <f t="shared" si="52"/>
        <v>585.0285</v>
      </c>
      <c r="K646" s="36">
        <f t="shared" si="53"/>
        <v>471.36582</v>
      </c>
      <c r="L646" s="36">
        <f t="shared" si="54"/>
        <v>523.7398</v>
      </c>
      <c r="M646" s="41"/>
    </row>
    <row r="647" ht="15" spans="1:13">
      <c r="A647" s="27" t="s">
        <v>213</v>
      </c>
      <c r="B647" s="33" t="s">
        <v>164</v>
      </c>
      <c r="C647" s="29" t="s">
        <v>21</v>
      </c>
      <c r="D647" s="30" t="s">
        <v>28</v>
      </c>
      <c r="E647" s="29" t="s">
        <v>176</v>
      </c>
      <c r="F647" s="34" t="s">
        <v>177</v>
      </c>
      <c r="G647" s="35">
        <f t="shared" si="50"/>
        <v>25.2213053263316</v>
      </c>
      <c r="H647" s="36">
        <f t="shared" si="51"/>
        <v>302.58</v>
      </c>
      <c r="I647" s="40">
        <v>336.2</v>
      </c>
      <c r="J647" s="36">
        <f t="shared" si="52"/>
        <v>353.01</v>
      </c>
      <c r="K647" s="36">
        <f t="shared" si="53"/>
        <v>284.4252</v>
      </c>
      <c r="L647" s="36">
        <f t="shared" si="54"/>
        <v>316.028</v>
      </c>
      <c r="M647" s="41"/>
    </row>
    <row r="648" ht="15" spans="1:13">
      <c r="A648" s="27" t="s">
        <v>213</v>
      </c>
      <c r="B648" s="33" t="s">
        <v>157</v>
      </c>
      <c r="C648" s="29" t="s">
        <v>21</v>
      </c>
      <c r="D648" s="30" t="s">
        <v>28</v>
      </c>
      <c r="E648" s="29" t="s">
        <v>176</v>
      </c>
      <c r="F648" s="34" t="s">
        <v>177</v>
      </c>
      <c r="G648" s="35">
        <f t="shared" si="50"/>
        <v>32.6736684171043</v>
      </c>
      <c r="H648" s="36">
        <f t="shared" si="51"/>
        <v>391.986</v>
      </c>
      <c r="I648" s="40">
        <v>435.54</v>
      </c>
      <c r="J648" s="36">
        <f t="shared" si="52"/>
        <v>457.317</v>
      </c>
      <c r="K648" s="36">
        <f t="shared" si="53"/>
        <v>368.46684</v>
      </c>
      <c r="L648" s="36">
        <f t="shared" si="54"/>
        <v>409.4076</v>
      </c>
      <c r="M648" s="41"/>
    </row>
    <row r="649" ht="15" spans="1:13">
      <c r="A649" s="27" t="s">
        <v>213</v>
      </c>
      <c r="B649" s="33" t="s">
        <v>152</v>
      </c>
      <c r="C649" s="29" t="s">
        <v>21</v>
      </c>
      <c r="D649" s="30" t="s">
        <v>28</v>
      </c>
      <c r="E649" s="29" t="s">
        <v>176</v>
      </c>
      <c r="F649" s="34" t="s">
        <v>178</v>
      </c>
      <c r="G649" s="35">
        <f t="shared" si="50"/>
        <v>35.887471867967</v>
      </c>
      <c r="H649" s="36">
        <f t="shared" si="51"/>
        <v>430.542</v>
      </c>
      <c r="I649" s="40">
        <v>478.38</v>
      </c>
      <c r="J649" s="36">
        <f t="shared" si="52"/>
        <v>502.299</v>
      </c>
      <c r="K649" s="36">
        <f t="shared" si="53"/>
        <v>404.70948</v>
      </c>
      <c r="L649" s="36">
        <f t="shared" si="54"/>
        <v>449.6772</v>
      </c>
      <c r="M649" s="41"/>
    </row>
    <row r="650" ht="15" spans="1:13">
      <c r="A650" s="27" t="s">
        <v>213</v>
      </c>
      <c r="B650" s="33" t="s">
        <v>165</v>
      </c>
      <c r="C650" s="29" t="s">
        <v>21</v>
      </c>
      <c r="D650" s="30" t="s">
        <v>28</v>
      </c>
      <c r="E650" s="29" t="s">
        <v>191</v>
      </c>
      <c r="F650" s="44" t="s">
        <v>29</v>
      </c>
      <c r="G650" s="35">
        <f t="shared" si="50"/>
        <v>28.9572393098275</v>
      </c>
      <c r="H650" s="36">
        <f t="shared" si="51"/>
        <v>347.4</v>
      </c>
      <c r="I650" s="40">
        <v>386</v>
      </c>
      <c r="J650" s="36">
        <f t="shared" si="52"/>
        <v>405.3</v>
      </c>
      <c r="K650" s="36">
        <f t="shared" si="53"/>
        <v>326.556</v>
      </c>
      <c r="L650" s="36">
        <f t="shared" si="54"/>
        <v>362.84</v>
      </c>
      <c r="M650" s="41"/>
    </row>
    <row r="651" ht="15" spans="1:13">
      <c r="A651" s="27" t="s">
        <v>213</v>
      </c>
      <c r="B651" s="33" t="s">
        <v>85</v>
      </c>
      <c r="C651" s="29" t="s">
        <v>21</v>
      </c>
      <c r="D651" s="30" t="s">
        <v>28</v>
      </c>
      <c r="E651" s="29" t="s">
        <v>191</v>
      </c>
      <c r="F651" s="44" t="s">
        <v>207</v>
      </c>
      <c r="G651" s="35">
        <f t="shared" si="50"/>
        <v>76.2190547636909</v>
      </c>
      <c r="H651" s="36">
        <f t="shared" si="51"/>
        <v>914.4</v>
      </c>
      <c r="I651" s="40">
        <v>1016</v>
      </c>
      <c r="J651" s="36">
        <f t="shared" si="52"/>
        <v>1066.8</v>
      </c>
      <c r="K651" s="36">
        <f t="shared" si="53"/>
        <v>859.536</v>
      </c>
      <c r="L651" s="36">
        <f t="shared" si="54"/>
        <v>955.04</v>
      </c>
      <c r="M651" s="41"/>
    </row>
    <row r="652" ht="15" spans="1:13">
      <c r="A652" s="27" t="s">
        <v>214</v>
      </c>
      <c r="B652" s="33" t="s">
        <v>58</v>
      </c>
      <c r="C652" s="29" t="s">
        <v>21</v>
      </c>
      <c r="D652" s="30" t="s">
        <v>28</v>
      </c>
      <c r="E652" s="29" t="s">
        <v>210</v>
      </c>
      <c r="F652" s="34" t="s">
        <v>177</v>
      </c>
      <c r="G652" s="35">
        <f t="shared" si="50"/>
        <v>20.0390097524381</v>
      </c>
      <c r="H652" s="36">
        <f t="shared" si="51"/>
        <v>240.408</v>
      </c>
      <c r="I652" s="40">
        <v>267.12</v>
      </c>
      <c r="J652" s="36">
        <f t="shared" si="52"/>
        <v>280.476</v>
      </c>
      <c r="K652" s="36">
        <f t="shared" si="53"/>
        <v>225.98352</v>
      </c>
      <c r="L652" s="36">
        <f t="shared" si="54"/>
        <v>251.0928</v>
      </c>
      <c r="M652" s="41"/>
    </row>
    <row r="653" ht="15" spans="1:13">
      <c r="A653" s="27" t="s">
        <v>215</v>
      </c>
      <c r="B653" s="33" t="s">
        <v>50</v>
      </c>
      <c r="C653" s="29" t="s">
        <v>21</v>
      </c>
      <c r="D653" s="30" t="s">
        <v>28</v>
      </c>
      <c r="E653" s="29" t="s">
        <v>216</v>
      </c>
      <c r="F653" s="34" t="s">
        <v>116</v>
      </c>
      <c r="G653" s="35">
        <f t="shared" si="50"/>
        <v>34.1335333833458</v>
      </c>
      <c r="H653" s="36">
        <f t="shared" si="51"/>
        <v>409.5</v>
      </c>
      <c r="I653" s="40">
        <v>455</v>
      </c>
      <c r="J653" s="36">
        <f t="shared" si="52"/>
        <v>477.75</v>
      </c>
      <c r="K653" s="36">
        <f t="shared" si="53"/>
        <v>384.93</v>
      </c>
      <c r="L653" s="36">
        <f t="shared" si="54"/>
        <v>427.7</v>
      </c>
      <c r="M653" s="41"/>
    </row>
    <row r="654" ht="15" spans="1:13">
      <c r="A654" s="27" t="s">
        <v>215</v>
      </c>
      <c r="B654" s="33" t="s">
        <v>50</v>
      </c>
      <c r="C654" s="29" t="s">
        <v>41</v>
      </c>
      <c r="D654" s="30" t="s">
        <v>28</v>
      </c>
      <c r="E654" s="29" t="s">
        <v>216</v>
      </c>
      <c r="F654" s="34" t="s">
        <v>116</v>
      </c>
      <c r="G654" s="35">
        <f t="shared" si="50"/>
        <v>45.6114028507127</v>
      </c>
      <c r="H654" s="36">
        <f t="shared" si="51"/>
        <v>547.2</v>
      </c>
      <c r="I654" s="40">
        <v>608</v>
      </c>
      <c r="J654" s="36">
        <f t="shared" si="52"/>
        <v>638.4</v>
      </c>
      <c r="K654" s="36">
        <f t="shared" si="53"/>
        <v>514.368</v>
      </c>
      <c r="L654" s="36">
        <f t="shared" si="54"/>
        <v>571.52</v>
      </c>
      <c r="M654" s="41"/>
    </row>
    <row r="655" ht="15" spans="1:13">
      <c r="A655" s="27" t="s">
        <v>215</v>
      </c>
      <c r="B655" s="33" t="s">
        <v>156</v>
      </c>
      <c r="C655" s="29" t="s">
        <v>21</v>
      </c>
      <c r="D655" s="30" t="s">
        <v>28</v>
      </c>
      <c r="E655" s="29" t="s">
        <v>216</v>
      </c>
      <c r="F655" s="34" t="s">
        <v>195</v>
      </c>
      <c r="G655" s="35">
        <f t="shared" si="50"/>
        <v>51.7629407351838</v>
      </c>
      <c r="H655" s="36">
        <f t="shared" si="51"/>
        <v>621</v>
      </c>
      <c r="I655" s="40">
        <v>690</v>
      </c>
      <c r="J655" s="36">
        <f t="shared" si="52"/>
        <v>724.5</v>
      </c>
      <c r="K655" s="36">
        <f t="shared" si="53"/>
        <v>583.74</v>
      </c>
      <c r="L655" s="36">
        <f t="shared" si="54"/>
        <v>648.6</v>
      </c>
      <c r="M655" s="41"/>
    </row>
    <row r="656" ht="15" spans="1:13">
      <c r="A656" s="27" t="s">
        <v>215</v>
      </c>
      <c r="B656" s="33" t="s">
        <v>156</v>
      </c>
      <c r="C656" s="29" t="s">
        <v>41</v>
      </c>
      <c r="D656" s="30" t="s">
        <v>28</v>
      </c>
      <c r="E656" s="29" t="s">
        <v>216</v>
      </c>
      <c r="F656" s="34" t="s">
        <v>195</v>
      </c>
      <c r="G656" s="35">
        <f t="shared" si="50"/>
        <v>62.1155288822206</v>
      </c>
      <c r="H656" s="36">
        <f t="shared" si="51"/>
        <v>745.2</v>
      </c>
      <c r="I656" s="40">
        <v>828</v>
      </c>
      <c r="J656" s="36">
        <f t="shared" si="52"/>
        <v>869.4</v>
      </c>
      <c r="K656" s="36">
        <f t="shared" si="53"/>
        <v>700.488</v>
      </c>
      <c r="L656" s="36">
        <f t="shared" si="54"/>
        <v>778.32</v>
      </c>
      <c r="M656" s="41"/>
    </row>
    <row r="657" ht="15" spans="1:13">
      <c r="A657" s="27" t="s">
        <v>215</v>
      </c>
      <c r="B657" s="33" t="s">
        <v>164</v>
      </c>
      <c r="C657" s="29" t="s">
        <v>21</v>
      </c>
      <c r="D657" s="30" t="s">
        <v>28</v>
      </c>
      <c r="E657" s="29" t="s">
        <v>216</v>
      </c>
      <c r="F657" s="34" t="s">
        <v>177</v>
      </c>
      <c r="G657" s="35">
        <f t="shared" si="50"/>
        <v>46.1365341335334</v>
      </c>
      <c r="H657" s="36">
        <f t="shared" si="51"/>
        <v>553.5</v>
      </c>
      <c r="I657" s="40">
        <v>615</v>
      </c>
      <c r="J657" s="36">
        <f t="shared" si="52"/>
        <v>645.75</v>
      </c>
      <c r="K657" s="36">
        <f t="shared" si="53"/>
        <v>520.29</v>
      </c>
      <c r="L657" s="36">
        <f t="shared" si="54"/>
        <v>578.1</v>
      </c>
      <c r="M657" s="41"/>
    </row>
    <row r="658" ht="15" spans="1:13">
      <c r="A658" s="27" t="s">
        <v>215</v>
      </c>
      <c r="B658" s="33" t="s">
        <v>164</v>
      </c>
      <c r="C658" s="29" t="s">
        <v>55</v>
      </c>
      <c r="D658" s="30" t="s">
        <v>28</v>
      </c>
      <c r="E658" s="29" t="s">
        <v>47</v>
      </c>
      <c r="F658" s="34" t="s">
        <v>177</v>
      </c>
      <c r="G658" s="35">
        <f t="shared" si="50"/>
        <v>61.8904726181545</v>
      </c>
      <c r="H658" s="36">
        <f t="shared" si="51"/>
        <v>742.5</v>
      </c>
      <c r="I658" s="40">
        <v>825</v>
      </c>
      <c r="J658" s="36">
        <f t="shared" si="52"/>
        <v>866.25</v>
      </c>
      <c r="K658" s="36">
        <f t="shared" si="53"/>
        <v>697.95</v>
      </c>
      <c r="L658" s="36">
        <f t="shared" si="54"/>
        <v>775.5</v>
      </c>
      <c r="M658" s="41"/>
    </row>
    <row r="659" ht="15" spans="1:13">
      <c r="A659" s="27" t="s">
        <v>215</v>
      </c>
      <c r="B659" s="33" t="s">
        <v>157</v>
      </c>
      <c r="C659" s="29" t="s">
        <v>21</v>
      </c>
      <c r="D659" s="30" t="s">
        <v>28</v>
      </c>
      <c r="E659" s="29" t="s">
        <v>216</v>
      </c>
      <c r="F659" s="34" t="s">
        <v>177</v>
      </c>
      <c r="G659" s="35">
        <f t="shared" si="50"/>
        <v>50.7126781695424</v>
      </c>
      <c r="H659" s="36">
        <f t="shared" si="51"/>
        <v>608.4</v>
      </c>
      <c r="I659" s="40">
        <v>676</v>
      </c>
      <c r="J659" s="36">
        <f t="shared" si="52"/>
        <v>709.8</v>
      </c>
      <c r="K659" s="36">
        <f t="shared" si="53"/>
        <v>571.896</v>
      </c>
      <c r="L659" s="36">
        <f t="shared" si="54"/>
        <v>635.44</v>
      </c>
      <c r="M659" s="41"/>
    </row>
    <row r="660" ht="15" spans="1:13">
      <c r="A660" s="27" t="s">
        <v>215</v>
      </c>
      <c r="B660" s="33" t="s">
        <v>196</v>
      </c>
      <c r="C660" s="29" t="s">
        <v>21</v>
      </c>
      <c r="D660" s="30" t="s">
        <v>28</v>
      </c>
      <c r="E660" s="29" t="s">
        <v>216</v>
      </c>
      <c r="F660" s="34" t="s">
        <v>177</v>
      </c>
      <c r="G660" s="35">
        <f t="shared" si="50"/>
        <v>60.4651162790698</v>
      </c>
      <c r="H660" s="36">
        <f t="shared" si="51"/>
        <v>725.4</v>
      </c>
      <c r="I660" s="40">
        <v>806</v>
      </c>
      <c r="J660" s="36">
        <f t="shared" si="52"/>
        <v>846.3</v>
      </c>
      <c r="K660" s="36">
        <f t="shared" si="53"/>
        <v>681.876</v>
      </c>
      <c r="L660" s="36">
        <f t="shared" si="54"/>
        <v>757.64</v>
      </c>
      <c r="M660" s="41"/>
    </row>
    <row r="661" ht="15" spans="1:13">
      <c r="A661" s="27" t="s">
        <v>217</v>
      </c>
      <c r="B661" s="33" t="s">
        <v>140</v>
      </c>
      <c r="C661" s="29" t="s">
        <v>21</v>
      </c>
      <c r="D661" s="30" t="s">
        <v>28</v>
      </c>
      <c r="E661" s="29" t="s">
        <v>47</v>
      </c>
      <c r="F661" s="34" t="s">
        <v>116</v>
      </c>
      <c r="G661" s="35">
        <f t="shared" si="50"/>
        <v>13.053263315829</v>
      </c>
      <c r="H661" s="36">
        <f t="shared" si="51"/>
        <v>156.6</v>
      </c>
      <c r="I661" s="40">
        <v>174</v>
      </c>
      <c r="J661" s="36">
        <f t="shared" si="52"/>
        <v>182.7</v>
      </c>
      <c r="K661" s="36">
        <f t="shared" si="53"/>
        <v>147.204</v>
      </c>
      <c r="L661" s="36">
        <f t="shared" si="54"/>
        <v>163.56</v>
      </c>
      <c r="M661" s="41"/>
    </row>
    <row r="662" ht="15.6" spans="12:13">
      <c r="L662" s="18"/>
      <c r="M662" s="18"/>
    </row>
    <row r="663" ht="15.6" spans="12:13">
      <c r="L663" s="18"/>
      <c r="M663" s="18"/>
    </row>
    <row r="664" ht="15.6" spans="1:13">
      <c r="A664" s="18" t="s">
        <v>218</v>
      </c>
      <c r="B664" s="18"/>
      <c r="C664" s="18"/>
      <c r="D664" s="18"/>
      <c r="E664" s="18"/>
      <c r="F664" s="18"/>
      <c r="G664" s="18"/>
      <c r="H664" s="18"/>
      <c r="J664" s="18"/>
      <c r="K664" s="18"/>
      <c r="L664" s="18"/>
      <c r="M664" s="18"/>
    </row>
    <row r="665" ht="15.6" spans="1:13">
      <c r="A665" s="18" t="s">
        <v>219</v>
      </c>
      <c r="B665" s="18"/>
      <c r="C665" s="18"/>
      <c r="D665" s="18"/>
      <c r="E665" s="18"/>
      <c r="F665" s="18"/>
      <c r="G665" s="18"/>
      <c r="H665" s="18"/>
      <c r="J665" s="18"/>
      <c r="K665" s="18"/>
      <c r="L665" s="18"/>
      <c r="M665" s="18"/>
    </row>
    <row r="666" ht="15.6" spans="1:13">
      <c r="A666" s="18" t="s">
        <v>220</v>
      </c>
      <c r="B666" s="18"/>
      <c r="C666" s="18"/>
      <c r="D666" s="18"/>
      <c r="E666" s="18"/>
      <c r="F666" s="18"/>
      <c r="G666" s="18"/>
      <c r="H666" s="18"/>
      <c r="J666" s="18"/>
      <c r="K666" s="18"/>
      <c r="L666" s="18"/>
      <c r="M666" s="18"/>
    </row>
    <row r="667" ht="15.6" spans="12:13">
      <c r="L667" s="18"/>
      <c r="M667" s="18"/>
    </row>
    <row r="668" ht="15.6" spans="12:13">
      <c r="L668" s="18"/>
      <c r="M668" s="18"/>
    </row>
    <row r="669" ht="15.6" spans="12:13">
      <c r="L669" s="18"/>
      <c r="M669" s="18"/>
    </row>
    <row r="670" ht="15.6" spans="12:13">
      <c r="L670" s="18"/>
      <c r="M670" s="18"/>
    </row>
    <row r="671" ht="15.6" spans="12:13">
      <c r="L671" s="18"/>
      <c r="M671" s="45"/>
    </row>
  </sheetData>
  <autoFilter xmlns:etc="http://www.wps.cn/officeDocument/2017/etCustomData" ref="A2:M667" etc:filterBottomFollowUsedRange="0">
    <extLst/>
  </autoFilter>
  <mergeCells count="1">
    <mergeCell ref="G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3"/>
  <sheetViews>
    <sheetView workbookViewId="0">
      <selection activeCell="D13" sqref="D13"/>
    </sheetView>
  </sheetViews>
  <sheetFormatPr defaultColWidth="8.88888888888889" defaultRowHeight="14.4"/>
  <cols>
    <col min="1" max="1" width="18.8888888888889" style="1" customWidth="1"/>
    <col min="2" max="5" width="8.77777777777778" style="1" customWidth="1"/>
    <col min="6" max="6" width="8.77777777777778" style="2" customWidth="1"/>
    <col min="7" max="7" width="8.77777777777778" style="1" customWidth="1"/>
    <col min="8" max="8" width="11.8888888888889" style="1" customWidth="1"/>
    <col min="9" max="9" width="14.1111111111111" style="1" customWidth="1"/>
  </cols>
  <sheetData>
    <row r="1" ht="28.2" spans="1:9">
      <c r="A1" s="3" t="s">
        <v>221</v>
      </c>
      <c r="B1" s="3" t="s">
        <v>222</v>
      </c>
      <c r="C1" s="3" t="s">
        <v>223</v>
      </c>
      <c r="D1" s="3"/>
      <c r="E1" s="3" t="s">
        <v>224</v>
      </c>
      <c r="F1" s="4" t="s">
        <v>225</v>
      </c>
      <c r="G1" s="5"/>
      <c r="H1" s="4"/>
      <c r="I1" s="4"/>
    </row>
    <row r="2" ht="27.6" spans="1:9">
      <c r="A2" s="6" t="s">
        <v>226</v>
      </c>
      <c r="B2" s="6" t="s">
        <v>227</v>
      </c>
      <c r="C2" s="6" t="s">
        <v>228</v>
      </c>
      <c r="D2" s="6" t="s">
        <v>228</v>
      </c>
      <c r="E2" s="6" t="s">
        <v>229</v>
      </c>
      <c r="F2" s="7" t="s">
        <v>230</v>
      </c>
      <c r="G2" s="8" t="s">
        <v>231</v>
      </c>
      <c r="H2" s="9" t="s">
        <v>232</v>
      </c>
      <c r="I2" s="9" t="s">
        <v>18</v>
      </c>
    </row>
    <row r="3" spans="1:9">
      <c r="A3" s="10" t="s">
        <v>233</v>
      </c>
      <c r="B3" s="11">
        <v>7628</v>
      </c>
      <c r="C3" s="12" t="s">
        <v>234</v>
      </c>
      <c r="D3" s="13">
        <v>0.48</v>
      </c>
      <c r="E3" s="14">
        <v>150</v>
      </c>
      <c r="F3" s="15">
        <f t="shared" ref="F3:F66" si="0">G3/13.12</f>
        <v>1.7515243902439</v>
      </c>
      <c r="G3" s="16">
        <v>22.98</v>
      </c>
      <c r="H3" s="17">
        <f t="shared" ref="H3:H66" si="1">G3*E3</f>
        <v>3447</v>
      </c>
      <c r="I3" s="13"/>
    </row>
    <row r="4" spans="1:9">
      <c r="A4" s="10" t="s">
        <v>235</v>
      </c>
      <c r="B4" s="11">
        <v>7628</v>
      </c>
      <c r="C4" s="12" t="s">
        <v>236</v>
      </c>
      <c r="D4" s="13">
        <v>0.43</v>
      </c>
      <c r="E4" s="14">
        <v>150</v>
      </c>
      <c r="F4" s="15">
        <f t="shared" si="0"/>
        <v>1.67225609756098</v>
      </c>
      <c r="G4" s="16">
        <v>21.94</v>
      </c>
      <c r="H4" s="17">
        <f t="shared" si="1"/>
        <v>3291</v>
      </c>
      <c r="I4" s="13"/>
    </row>
    <row r="5" spans="1:9">
      <c r="A5" s="10" t="s">
        <v>235</v>
      </c>
      <c r="B5" s="11">
        <v>7628</v>
      </c>
      <c r="C5" s="12" t="s">
        <v>237</v>
      </c>
      <c r="D5" s="13">
        <v>0.44</v>
      </c>
      <c r="E5" s="14">
        <v>150</v>
      </c>
      <c r="F5" s="15">
        <f t="shared" si="0"/>
        <v>1.67225609756098</v>
      </c>
      <c r="G5" s="16">
        <v>21.94</v>
      </c>
      <c r="H5" s="17">
        <f t="shared" si="1"/>
        <v>3291</v>
      </c>
      <c r="I5" s="13"/>
    </row>
    <row r="6" spans="1:9">
      <c r="A6" s="10" t="s">
        <v>235</v>
      </c>
      <c r="B6" s="11">
        <v>7628</v>
      </c>
      <c r="C6" s="12" t="s">
        <v>238</v>
      </c>
      <c r="D6" s="13">
        <v>0.45</v>
      </c>
      <c r="E6" s="14">
        <v>150</v>
      </c>
      <c r="F6" s="15">
        <f t="shared" si="0"/>
        <v>1.73628048780488</v>
      </c>
      <c r="G6" s="16">
        <v>22.78</v>
      </c>
      <c r="H6" s="17">
        <f t="shared" si="1"/>
        <v>3417</v>
      </c>
      <c r="I6" s="13"/>
    </row>
    <row r="7" spans="1:9">
      <c r="A7" s="10" t="s">
        <v>235</v>
      </c>
      <c r="B7" s="11">
        <v>7628</v>
      </c>
      <c r="C7" s="12" t="s">
        <v>239</v>
      </c>
      <c r="D7" s="13">
        <v>0.46</v>
      </c>
      <c r="E7" s="14">
        <v>150</v>
      </c>
      <c r="F7" s="15">
        <f t="shared" si="0"/>
        <v>1.7515243902439</v>
      </c>
      <c r="G7" s="16">
        <v>22.98</v>
      </c>
      <c r="H7" s="17">
        <f t="shared" si="1"/>
        <v>3447</v>
      </c>
      <c r="I7" s="13"/>
    </row>
    <row r="8" spans="1:9">
      <c r="A8" s="10" t="s">
        <v>235</v>
      </c>
      <c r="B8" s="11">
        <v>7628</v>
      </c>
      <c r="C8" s="12" t="s">
        <v>240</v>
      </c>
      <c r="D8" s="13">
        <v>0.47</v>
      </c>
      <c r="E8" s="14">
        <v>150</v>
      </c>
      <c r="F8" s="15">
        <f t="shared" si="0"/>
        <v>1.77057926829268</v>
      </c>
      <c r="G8" s="16">
        <v>23.23</v>
      </c>
      <c r="H8" s="17">
        <f t="shared" si="1"/>
        <v>3484.5</v>
      </c>
      <c r="I8" s="13"/>
    </row>
    <row r="9" spans="1:9">
      <c r="A9" s="10" t="s">
        <v>235</v>
      </c>
      <c r="B9" s="11">
        <v>7628</v>
      </c>
      <c r="C9" s="12" t="s">
        <v>234</v>
      </c>
      <c r="D9" s="13">
        <v>0.48</v>
      </c>
      <c r="E9" s="14">
        <v>150</v>
      </c>
      <c r="F9" s="15">
        <f t="shared" si="0"/>
        <v>1.77057926829268</v>
      </c>
      <c r="G9" s="16">
        <v>23.23</v>
      </c>
      <c r="H9" s="17">
        <f t="shared" si="1"/>
        <v>3484.5</v>
      </c>
      <c r="I9" s="13"/>
    </row>
    <row r="10" spans="1:9">
      <c r="A10" s="10" t="s">
        <v>235</v>
      </c>
      <c r="B10" s="11">
        <v>7628</v>
      </c>
      <c r="C10" s="12" t="s">
        <v>241</v>
      </c>
      <c r="D10" s="13">
        <v>0.49</v>
      </c>
      <c r="E10" s="14">
        <v>150</v>
      </c>
      <c r="F10" s="15">
        <f t="shared" si="0"/>
        <v>1.8155487804878</v>
      </c>
      <c r="G10" s="16">
        <v>23.82</v>
      </c>
      <c r="H10" s="17">
        <f t="shared" si="1"/>
        <v>3573</v>
      </c>
      <c r="I10" s="13"/>
    </row>
    <row r="11" spans="1:9">
      <c r="A11" s="10" t="s">
        <v>235</v>
      </c>
      <c r="B11" s="11">
        <v>7628</v>
      </c>
      <c r="C11" s="12" t="s">
        <v>242</v>
      </c>
      <c r="D11" s="13">
        <v>0.5</v>
      </c>
      <c r="E11" s="14">
        <v>150</v>
      </c>
      <c r="F11" s="15">
        <f t="shared" si="0"/>
        <v>1.80030487804878</v>
      </c>
      <c r="G11" s="16">
        <v>23.62</v>
      </c>
      <c r="H11" s="17">
        <f t="shared" si="1"/>
        <v>3543</v>
      </c>
      <c r="I11" s="13"/>
    </row>
    <row r="12" spans="1:9">
      <c r="A12" s="10" t="s">
        <v>235</v>
      </c>
      <c r="B12" s="11">
        <v>7628</v>
      </c>
      <c r="C12" s="12" t="s">
        <v>243</v>
      </c>
      <c r="D12" s="13">
        <v>0.52</v>
      </c>
      <c r="E12" s="14">
        <v>150</v>
      </c>
      <c r="F12" s="15">
        <f t="shared" si="0"/>
        <v>1.8719512195122</v>
      </c>
      <c r="G12" s="16">
        <v>24.56</v>
      </c>
      <c r="H12" s="17">
        <f t="shared" si="1"/>
        <v>3684</v>
      </c>
      <c r="I12" s="13"/>
    </row>
    <row r="13" spans="1:9">
      <c r="A13" s="10" t="s">
        <v>235</v>
      </c>
      <c r="B13" s="11">
        <v>3313</v>
      </c>
      <c r="C13" s="12" t="s">
        <v>244</v>
      </c>
      <c r="D13" s="13">
        <v>0.57</v>
      </c>
      <c r="E13" s="14">
        <v>300</v>
      </c>
      <c r="F13" s="15">
        <f t="shared" si="0"/>
        <v>1.82545731707317</v>
      </c>
      <c r="G13" s="16">
        <v>23.95</v>
      </c>
      <c r="H13" s="17">
        <f t="shared" si="1"/>
        <v>7185</v>
      </c>
      <c r="I13" s="13"/>
    </row>
    <row r="14" spans="1:9">
      <c r="A14" s="10" t="s">
        <v>235</v>
      </c>
      <c r="B14" s="11">
        <v>3313</v>
      </c>
      <c r="C14" s="12" t="s">
        <v>245</v>
      </c>
      <c r="D14" s="13">
        <v>0.59</v>
      </c>
      <c r="E14" s="14">
        <v>300</v>
      </c>
      <c r="F14" s="15">
        <f t="shared" si="0"/>
        <v>1.97789634146341</v>
      </c>
      <c r="G14" s="16">
        <v>25.95</v>
      </c>
      <c r="H14" s="17">
        <f t="shared" si="1"/>
        <v>7785</v>
      </c>
      <c r="I14" s="13"/>
    </row>
    <row r="15" spans="1:9">
      <c r="A15" s="10" t="s">
        <v>235</v>
      </c>
      <c r="B15" s="11">
        <v>3313</v>
      </c>
      <c r="C15" s="12" t="s">
        <v>246</v>
      </c>
      <c r="D15" s="13">
        <v>0.6</v>
      </c>
      <c r="E15" s="14">
        <v>300</v>
      </c>
      <c r="F15" s="15">
        <f t="shared" si="0"/>
        <v>1.91844512195122</v>
      </c>
      <c r="G15" s="16">
        <v>25.17</v>
      </c>
      <c r="H15" s="17">
        <f t="shared" si="1"/>
        <v>7551</v>
      </c>
      <c r="I15" s="13"/>
    </row>
    <row r="16" spans="1:9">
      <c r="A16" s="10" t="s">
        <v>235</v>
      </c>
      <c r="B16" s="11">
        <v>3313</v>
      </c>
      <c r="C16" s="12" t="s">
        <v>247</v>
      </c>
      <c r="D16" s="13">
        <v>0.61</v>
      </c>
      <c r="E16" s="14">
        <v>300</v>
      </c>
      <c r="F16" s="15">
        <f t="shared" si="0"/>
        <v>1.9717987804878</v>
      </c>
      <c r="G16" s="16">
        <v>25.87</v>
      </c>
      <c r="H16" s="17">
        <f t="shared" si="1"/>
        <v>7761</v>
      </c>
      <c r="I16" s="13"/>
    </row>
    <row r="17" spans="1:9">
      <c r="A17" s="10" t="s">
        <v>235</v>
      </c>
      <c r="B17" s="11">
        <v>2313</v>
      </c>
      <c r="C17" s="12" t="s">
        <v>245</v>
      </c>
      <c r="D17" s="13">
        <v>0.59</v>
      </c>
      <c r="E17" s="14">
        <v>300</v>
      </c>
      <c r="F17" s="15">
        <f t="shared" si="0"/>
        <v>1.86890243902439</v>
      </c>
      <c r="G17" s="16">
        <v>24.52</v>
      </c>
      <c r="H17" s="17">
        <f t="shared" si="1"/>
        <v>7356</v>
      </c>
      <c r="I17" s="13"/>
    </row>
    <row r="18" spans="1:9">
      <c r="A18" s="10" t="s">
        <v>235</v>
      </c>
      <c r="B18" s="11">
        <v>2116</v>
      </c>
      <c r="C18" s="12" t="s">
        <v>248</v>
      </c>
      <c r="D18" s="13">
        <v>0.53</v>
      </c>
      <c r="E18" s="14">
        <v>250</v>
      </c>
      <c r="F18" s="15">
        <f t="shared" si="0"/>
        <v>1.76676829268293</v>
      </c>
      <c r="G18" s="16">
        <v>23.18</v>
      </c>
      <c r="H18" s="17">
        <f t="shared" si="1"/>
        <v>5795</v>
      </c>
      <c r="I18" s="13"/>
    </row>
    <row r="19" spans="1:9">
      <c r="A19" s="10" t="s">
        <v>235</v>
      </c>
      <c r="B19" s="11">
        <v>2116</v>
      </c>
      <c r="C19" s="12" t="s">
        <v>249</v>
      </c>
      <c r="D19" s="13">
        <v>0.54</v>
      </c>
      <c r="E19" s="14">
        <v>250</v>
      </c>
      <c r="F19" s="15">
        <f t="shared" si="0"/>
        <v>1.78201219512195</v>
      </c>
      <c r="G19" s="16">
        <v>23.38</v>
      </c>
      <c r="H19" s="17">
        <f t="shared" si="1"/>
        <v>5845</v>
      </c>
      <c r="I19" s="13"/>
    </row>
    <row r="20" spans="1:9">
      <c r="A20" s="10" t="s">
        <v>235</v>
      </c>
      <c r="B20" s="11">
        <v>2116</v>
      </c>
      <c r="C20" s="12" t="s">
        <v>250</v>
      </c>
      <c r="D20" s="13">
        <v>0.55</v>
      </c>
      <c r="E20" s="14">
        <v>250</v>
      </c>
      <c r="F20" s="15">
        <f t="shared" si="0"/>
        <v>1.78201219512195</v>
      </c>
      <c r="G20" s="16">
        <v>23.38</v>
      </c>
      <c r="H20" s="17">
        <f t="shared" si="1"/>
        <v>5845</v>
      </c>
      <c r="I20" s="13"/>
    </row>
    <row r="21" spans="1:9">
      <c r="A21" s="10" t="s">
        <v>235</v>
      </c>
      <c r="B21" s="11">
        <v>2116</v>
      </c>
      <c r="C21" s="12" t="s">
        <v>251</v>
      </c>
      <c r="D21" s="13">
        <v>0.56</v>
      </c>
      <c r="E21" s="14">
        <v>250</v>
      </c>
      <c r="F21" s="15">
        <f t="shared" si="0"/>
        <v>1.78506097560976</v>
      </c>
      <c r="G21" s="16">
        <v>23.42</v>
      </c>
      <c r="H21" s="17">
        <f t="shared" si="1"/>
        <v>5855</v>
      </c>
      <c r="I21" s="13"/>
    </row>
    <row r="22" spans="1:9">
      <c r="A22" s="10" t="s">
        <v>235</v>
      </c>
      <c r="B22" s="11">
        <v>2116</v>
      </c>
      <c r="C22" s="12" t="s">
        <v>244</v>
      </c>
      <c r="D22" s="13">
        <v>0.57</v>
      </c>
      <c r="E22" s="14">
        <v>250</v>
      </c>
      <c r="F22" s="15">
        <f t="shared" si="0"/>
        <v>1.84908536585366</v>
      </c>
      <c r="G22" s="16">
        <v>24.26</v>
      </c>
      <c r="H22" s="17">
        <f t="shared" si="1"/>
        <v>6065</v>
      </c>
      <c r="I22" s="13"/>
    </row>
    <row r="23" spans="1:9">
      <c r="A23" s="10" t="s">
        <v>235</v>
      </c>
      <c r="B23" s="11">
        <v>2116</v>
      </c>
      <c r="C23" s="12" t="s">
        <v>252</v>
      </c>
      <c r="D23" s="13">
        <v>0.58</v>
      </c>
      <c r="E23" s="14">
        <v>250</v>
      </c>
      <c r="F23" s="15">
        <f t="shared" si="0"/>
        <v>1.8765243902439</v>
      </c>
      <c r="G23" s="16">
        <v>24.62</v>
      </c>
      <c r="H23" s="17">
        <f t="shared" si="1"/>
        <v>6155</v>
      </c>
      <c r="I23" s="13"/>
    </row>
    <row r="24" spans="1:9">
      <c r="A24" s="10" t="s">
        <v>235</v>
      </c>
      <c r="B24" s="11">
        <v>2116</v>
      </c>
      <c r="C24" s="12" t="s">
        <v>245</v>
      </c>
      <c r="D24" s="13">
        <v>0.59</v>
      </c>
      <c r="E24" s="14">
        <v>250</v>
      </c>
      <c r="F24" s="15">
        <f t="shared" si="0"/>
        <v>1.8765243902439</v>
      </c>
      <c r="G24" s="16">
        <v>24.62</v>
      </c>
      <c r="H24" s="17">
        <f t="shared" si="1"/>
        <v>6155</v>
      </c>
      <c r="I24" s="13"/>
    </row>
    <row r="25" spans="1:9">
      <c r="A25" s="10" t="s">
        <v>235</v>
      </c>
      <c r="B25" s="11">
        <v>2116</v>
      </c>
      <c r="C25" s="12" t="s">
        <v>246</v>
      </c>
      <c r="D25" s="13">
        <v>0.6</v>
      </c>
      <c r="E25" s="14">
        <v>250</v>
      </c>
      <c r="F25" s="15">
        <f t="shared" si="0"/>
        <v>1.96951219512195</v>
      </c>
      <c r="G25" s="16">
        <v>25.84</v>
      </c>
      <c r="H25" s="17">
        <f t="shared" si="1"/>
        <v>6460</v>
      </c>
      <c r="I25" s="13"/>
    </row>
    <row r="26" spans="1:9">
      <c r="A26" s="10" t="s">
        <v>235</v>
      </c>
      <c r="B26" s="11">
        <v>2116</v>
      </c>
      <c r="C26" s="12" t="s">
        <v>247</v>
      </c>
      <c r="D26" s="13">
        <v>0.61</v>
      </c>
      <c r="E26" s="14">
        <v>250</v>
      </c>
      <c r="F26" s="15">
        <f t="shared" si="0"/>
        <v>1.96951219512195</v>
      </c>
      <c r="G26" s="16">
        <v>25.84</v>
      </c>
      <c r="H26" s="17">
        <f t="shared" si="1"/>
        <v>6460</v>
      </c>
      <c r="I26" s="13"/>
    </row>
    <row r="27" spans="1:9">
      <c r="A27" s="10" t="s">
        <v>235</v>
      </c>
      <c r="B27" s="11">
        <v>1080</v>
      </c>
      <c r="C27" s="12" t="s">
        <v>253</v>
      </c>
      <c r="D27" s="13">
        <v>0.62</v>
      </c>
      <c r="E27" s="14">
        <v>300</v>
      </c>
      <c r="F27" s="15">
        <f t="shared" si="0"/>
        <v>1.79115853658537</v>
      </c>
      <c r="G27" s="16">
        <v>23.5</v>
      </c>
      <c r="H27" s="17">
        <f t="shared" si="1"/>
        <v>7050</v>
      </c>
      <c r="I27" s="13"/>
    </row>
    <row r="28" spans="1:9">
      <c r="A28" s="10" t="s">
        <v>235</v>
      </c>
      <c r="B28" s="11">
        <v>1080</v>
      </c>
      <c r="C28" s="12" t="s">
        <v>254</v>
      </c>
      <c r="D28" s="13">
        <v>0.63</v>
      </c>
      <c r="E28" s="14">
        <v>300</v>
      </c>
      <c r="F28" s="15">
        <f t="shared" si="0"/>
        <v>1.79115853658537</v>
      </c>
      <c r="G28" s="16">
        <v>23.5</v>
      </c>
      <c r="H28" s="17">
        <f t="shared" si="1"/>
        <v>7050</v>
      </c>
      <c r="I28" s="13"/>
    </row>
    <row r="29" spans="1:9">
      <c r="A29" s="10" t="s">
        <v>235</v>
      </c>
      <c r="B29" s="11">
        <v>1080</v>
      </c>
      <c r="C29" s="12" t="s">
        <v>255</v>
      </c>
      <c r="D29" s="13">
        <v>0.64</v>
      </c>
      <c r="E29" s="14">
        <v>300</v>
      </c>
      <c r="F29" s="15">
        <f t="shared" si="0"/>
        <v>1.78734756097561</v>
      </c>
      <c r="G29" s="16">
        <v>23.45</v>
      </c>
      <c r="H29" s="17">
        <f t="shared" si="1"/>
        <v>7035</v>
      </c>
      <c r="I29" s="13"/>
    </row>
    <row r="30" spans="1:9">
      <c r="A30" s="10" t="s">
        <v>235</v>
      </c>
      <c r="B30" s="11">
        <v>1080</v>
      </c>
      <c r="C30" s="12" t="s">
        <v>256</v>
      </c>
      <c r="D30" s="13">
        <v>0.65</v>
      </c>
      <c r="E30" s="14">
        <v>300</v>
      </c>
      <c r="F30" s="15">
        <f t="shared" si="0"/>
        <v>1.79420731707317</v>
      </c>
      <c r="G30" s="16">
        <v>23.54</v>
      </c>
      <c r="H30" s="17">
        <f t="shared" si="1"/>
        <v>7062</v>
      </c>
      <c r="I30" s="13"/>
    </row>
    <row r="31" spans="1:9">
      <c r="A31" s="10" t="s">
        <v>235</v>
      </c>
      <c r="B31" s="11">
        <v>1080</v>
      </c>
      <c r="C31" s="12" t="s">
        <v>257</v>
      </c>
      <c r="D31" s="13">
        <v>0.66</v>
      </c>
      <c r="E31" s="14">
        <v>300</v>
      </c>
      <c r="F31" s="15">
        <f t="shared" si="0"/>
        <v>1.79496951219512</v>
      </c>
      <c r="G31" s="16">
        <v>23.55</v>
      </c>
      <c r="H31" s="17">
        <f t="shared" si="1"/>
        <v>7065</v>
      </c>
      <c r="I31" s="13"/>
    </row>
    <row r="32" spans="1:9">
      <c r="A32" s="10" t="s">
        <v>235</v>
      </c>
      <c r="B32" s="11">
        <v>1080</v>
      </c>
      <c r="C32" s="12" t="s">
        <v>258</v>
      </c>
      <c r="D32" s="13">
        <v>0.67</v>
      </c>
      <c r="E32" s="14">
        <v>300</v>
      </c>
      <c r="F32" s="15">
        <f t="shared" si="0"/>
        <v>1.80030487804878</v>
      </c>
      <c r="G32" s="16">
        <v>23.62</v>
      </c>
      <c r="H32" s="17">
        <f t="shared" si="1"/>
        <v>7086</v>
      </c>
      <c r="I32" s="13"/>
    </row>
    <row r="33" spans="1:9">
      <c r="A33" s="10" t="s">
        <v>235</v>
      </c>
      <c r="B33" s="11">
        <v>1080</v>
      </c>
      <c r="C33" s="12" t="s">
        <v>259</v>
      </c>
      <c r="D33" s="13">
        <v>0.68</v>
      </c>
      <c r="E33" s="14">
        <v>300</v>
      </c>
      <c r="F33" s="15">
        <f t="shared" si="0"/>
        <v>1.81173780487805</v>
      </c>
      <c r="G33" s="16">
        <v>23.77</v>
      </c>
      <c r="H33" s="17">
        <f t="shared" si="1"/>
        <v>7131</v>
      </c>
      <c r="I33" s="13"/>
    </row>
    <row r="34" spans="1:9">
      <c r="A34" s="10" t="s">
        <v>235</v>
      </c>
      <c r="B34" s="11">
        <v>1080</v>
      </c>
      <c r="C34" s="12" t="s">
        <v>260</v>
      </c>
      <c r="D34" s="13">
        <v>0.69</v>
      </c>
      <c r="E34" s="14">
        <v>300</v>
      </c>
      <c r="F34" s="15">
        <f t="shared" si="0"/>
        <v>1.8765243902439</v>
      </c>
      <c r="G34" s="16">
        <v>24.62</v>
      </c>
      <c r="H34" s="17">
        <f t="shared" si="1"/>
        <v>7386</v>
      </c>
      <c r="I34" s="13"/>
    </row>
    <row r="35" spans="1:9">
      <c r="A35" s="10" t="s">
        <v>235</v>
      </c>
      <c r="B35" s="11">
        <v>1080</v>
      </c>
      <c r="C35" s="12" t="s">
        <v>261</v>
      </c>
      <c r="D35" s="13">
        <v>0.7</v>
      </c>
      <c r="E35" s="14">
        <v>300</v>
      </c>
      <c r="F35" s="15">
        <f t="shared" si="0"/>
        <v>1.89329268292683</v>
      </c>
      <c r="G35" s="16">
        <v>24.84</v>
      </c>
      <c r="H35" s="17">
        <f t="shared" si="1"/>
        <v>7452</v>
      </c>
      <c r="I35" s="13"/>
    </row>
    <row r="36" spans="1:9">
      <c r="A36" s="10" t="s">
        <v>235</v>
      </c>
      <c r="B36" s="11">
        <v>1080</v>
      </c>
      <c r="C36" s="12" t="s">
        <v>262</v>
      </c>
      <c r="D36" s="13">
        <v>0.71</v>
      </c>
      <c r="E36" s="14">
        <v>300</v>
      </c>
      <c r="F36" s="15">
        <f t="shared" si="0"/>
        <v>1.93978658536585</v>
      </c>
      <c r="G36" s="16">
        <v>25.45</v>
      </c>
      <c r="H36" s="17">
        <f t="shared" si="1"/>
        <v>7635</v>
      </c>
      <c r="I36" s="13"/>
    </row>
    <row r="37" spans="1:9">
      <c r="A37" s="10" t="s">
        <v>235</v>
      </c>
      <c r="B37" s="11">
        <v>106</v>
      </c>
      <c r="C37" s="12" t="s">
        <v>261</v>
      </c>
      <c r="D37" s="13">
        <v>0.7</v>
      </c>
      <c r="E37" s="14">
        <v>300</v>
      </c>
      <c r="F37" s="15">
        <f t="shared" si="0"/>
        <v>1.71417682926829</v>
      </c>
      <c r="G37" s="16">
        <v>22.49</v>
      </c>
      <c r="H37" s="17">
        <f t="shared" si="1"/>
        <v>6747</v>
      </c>
      <c r="I37" s="13"/>
    </row>
    <row r="38" spans="1:9">
      <c r="A38" s="10" t="s">
        <v>235</v>
      </c>
      <c r="B38" s="11">
        <v>106</v>
      </c>
      <c r="C38" s="12" t="s">
        <v>262</v>
      </c>
      <c r="D38" s="13">
        <v>0.71</v>
      </c>
      <c r="E38" s="14">
        <v>300</v>
      </c>
      <c r="F38" s="15">
        <f t="shared" si="0"/>
        <v>1.71417682926829</v>
      </c>
      <c r="G38" s="16">
        <v>22.49</v>
      </c>
      <c r="H38" s="17">
        <f t="shared" si="1"/>
        <v>6747</v>
      </c>
      <c r="I38" s="13"/>
    </row>
    <row r="39" spans="1:9">
      <c r="A39" s="10" t="s">
        <v>235</v>
      </c>
      <c r="B39" s="11">
        <v>106</v>
      </c>
      <c r="C39" s="12" t="s">
        <v>263</v>
      </c>
      <c r="D39" s="13">
        <v>0.72</v>
      </c>
      <c r="E39" s="14">
        <v>300</v>
      </c>
      <c r="F39" s="15">
        <f t="shared" si="0"/>
        <v>1.75685975609756</v>
      </c>
      <c r="G39" s="16">
        <v>23.05</v>
      </c>
      <c r="H39" s="17">
        <f t="shared" si="1"/>
        <v>6915</v>
      </c>
      <c r="I39" s="13"/>
    </row>
    <row r="40" spans="1:9">
      <c r="A40" s="10" t="s">
        <v>235</v>
      </c>
      <c r="B40" s="11">
        <v>106</v>
      </c>
      <c r="C40" s="12" t="s">
        <v>264</v>
      </c>
      <c r="D40" s="13">
        <v>0.73</v>
      </c>
      <c r="E40" s="14">
        <v>300</v>
      </c>
      <c r="F40" s="15">
        <f t="shared" si="0"/>
        <v>1.75685975609756</v>
      </c>
      <c r="G40" s="16">
        <v>23.05</v>
      </c>
      <c r="H40" s="17">
        <f t="shared" si="1"/>
        <v>6915</v>
      </c>
      <c r="I40" s="13"/>
    </row>
    <row r="41" spans="1:9">
      <c r="A41" s="10" t="s">
        <v>235</v>
      </c>
      <c r="B41" s="11">
        <v>106</v>
      </c>
      <c r="C41" s="12" t="s">
        <v>265</v>
      </c>
      <c r="D41" s="13">
        <v>0.74</v>
      </c>
      <c r="E41" s="14">
        <v>300</v>
      </c>
      <c r="F41" s="15">
        <f t="shared" si="0"/>
        <v>1.79039634146341</v>
      </c>
      <c r="G41" s="16">
        <v>23.49</v>
      </c>
      <c r="H41" s="17">
        <f t="shared" si="1"/>
        <v>7047</v>
      </c>
      <c r="I41" s="13"/>
    </row>
    <row r="42" spans="1:9">
      <c r="A42" s="10" t="s">
        <v>235</v>
      </c>
      <c r="B42" s="11">
        <v>106</v>
      </c>
      <c r="C42" s="12" t="s">
        <v>266</v>
      </c>
      <c r="D42" s="13">
        <v>0.75</v>
      </c>
      <c r="E42" s="14">
        <v>300</v>
      </c>
      <c r="F42" s="15">
        <f t="shared" si="0"/>
        <v>1.79039634146341</v>
      </c>
      <c r="G42" s="16">
        <v>23.49</v>
      </c>
      <c r="H42" s="17">
        <f t="shared" si="1"/>
        <v>7047</v>
      </c>
      <c r="I42" s="13"/>
    </row>
    <row r="43" spans="1:9">
      <c r="A43" s="10" t="s">
        <v>235</v>
      </c>
      <c r="B43" s="11">
        <v>106</v>
      </c>
      <c r="C43" s="12" t="s">
        <v>267</v>
      </c>
      <c r="D43" s="13">
        <v>0.76</v>
      </c>
      <c r="E43" s="14">
        <v>300</v>
      </c>
      <c r="F43" s="15">
        <f t="shared" si="0"/>
        <v>1.80182926829268</v>
      </c>
      <c r="G43" s="16">
        <v>23.64</v>
      </c>
      <c r="H43" s="17">
        <f t="shared" si="1"/>
        <v>7092</v>
      </c>
      <c r="I43" s="13"/>
    </row>
    <row r="44" spans="1:9">
      <c r="A44" s="10" t="s">
        <v>235</v>
      </c>
      <c r="B44" s="11">
        <v>106</v>
      </c>
      <c r="C44" s="12" t="s">
        <v>268</v>
      </c>
      <c r="D44" s="13">
        <v>0.77</v>
      </c>
      <c r="E44" s="14">
        <v>300</v>
      </c>
      <c r="F44" s="15">
        <f t="shared" si="0"/>
        <v>1.81935975609756</v>
      </c>
      <c r="G44" s="16">
        <v>23.87</v>
      </c>
      <c r="H44" s="17">
        <f t="shared" si="1"/>
        <v>7161</v>
      </c>
      <c r="I44" s="13"/>
    </row>
    <row r="45" spans="1:9">
      <c r="A45" s="10" t="s">
        <v>235</v>
      </c>
      <c r="B45" s="11">
        <v>106</v>
      </c>
      <c r="C45" s="12" t="s">
        <v>269</v>
      </c>
      <c r="D45" s="13">
        <v>0.78</v>
      </c>
      <c r="E45" s="14">
        <v>300</v>
      </c>
      <c r="F45" s="15">
        <f t="shared" si="0"/>
        <v>1.83612804878049</v>
      </c>
      <c r="G45" s="16">
        <v>24.09</v>
      </c>
      <c r="H45" s="17">
        <f t="shared" si="1"/>
        <v>7227</v>
      </c>
      <c r="I45" s="13"/>
    </row>
    <row r="46" spans="1:9">
      <c r="A46" s="10" t="s">
        <v>235</v>
      </c>
      <c r="B46" s="11">
        <v>1506</v>
      </c>
      <c r="C46" s="12" t="s">
        <v>239</v>
      </c>
      <c r="D46" s="13">
        <v>0.46</v>
      </c>
      <c r="E46" s="14">
        <v>150</v>
      </c>
      <c r="F46" s="15">
        <f t="shared" si="0"/>
        <v>2.04192073170732</v>
      </c>
      <c r="G46" s="16">
        <v>26.79</v>
      </c>
      <c r="H46" s="17">
        <f t="shared" si="1"/>
        <v>4018.5</v>
      </c>
      <c r="I46" s="13"/>
    </row>
    <row r="47" spans="1:9">
      <c r="A47" s="10" t="s">
        <v>235</v>
      </c>
      <c r="B47" s="11">
        <v>1506</v>
      </c>
      <c r="C47" s="12" t="s">
        <v>240</v>
      </c>
      <c r="D47" s="13">
        <v>0.47</v>
      </c>
      <c r="E47" s="14">
        <v>150</v>
      </c>
      <c r="F47" s="15">
        <f t="shared" si="0"/>
        <v>2.15853658536585</v>
      </c>
      <c r="G47" s="16">
        <v>28.32</v>
      </c>
      <c r="H47" s="17">
        <f t="shared" si="1"/>
        <v>4248</v>
      </c>
      <c r="I47" s="13"/>
    </row>
    <row r="48" spans="1:9">
      <c r="A48" s="10" t="s">
        <v>235</v>
      </c>
      <c r="B48" s="11">
        <v>1506</v>
      </c>
      <c r="C48" s="12" t="s">
        <v>242</v>
      </c>
      <c r="D48" s="13">
        <v>0.5</v>
      </c>
      <c r="E48" s="14">
        <v>150</v>
      </c>
      <c r="F48" s="15">
        <f t="shared" si="0"/>
        <v>2.23551829268293</v>
      </c>
      <c r="G48" s="16">
        <v>29.33</v>
      </c>
      <c r="H48" s="17">
        <f t="shared" si="1"/>
        <v>4399.5</v>
      </c>
      <c r="I48" s="13"/>
    </row>
    <row r="49" spans="1:9">
      <c r="A49" s="10" t="s">
        <v>235</v>
      </c>
      <c r="B49" s="11">
        <v>1506</v>
      </c>
      <c r="C49" s="12" t="s">
        <v>243</v>
      </c>
      <c r="D49" s="13">
        <v>0.52</v>
      </c>
      <c r="E49" s="14">
        <v>150</v>
      </c>
      <c r="F49" s="15">
        <f t="shared" si="0"/>
        <v>2.28125</v>
      </c>
      <c r="G49" s="16">
        <v>29.93</v>
      </c>
      <c r="H49" s="17">
        <f t="shared" si="1"/>
        <v>4489.5</v>
      </c>
      <c r="I49" s="13"/>
    </row>
    <row r="50" spans="1:9">
      <c r="A50" s="10" t="s">
        <v>270</v>
      </c>
      <c r="B50" s="11">
        <v>7628</v>
      </c>
      <c r="C50" s="12" t="s">
        <v>238</v>
      </c>
      <c r="D50" s="13">
        <v>0.45</v>
      </c>
      <c r="E50" s="14">
        <v>150</v>
      </c>
      <c r="F50" s="15">
        <f t="shared" si="0"/>
        <v>1.78582317073171</v>
      </c>
      <c r="G50" s="16">
        <v>23.43</v>
      </c>
      <c r="H50" s="17">
        <f t="shared" si="1"/>
        <v>3514.5</v>
      </c>
      <c r="I50" s="13"/>
    </row>
    <row r="51" spans="1:9">
      <c r="A51" s="10" t="s">
        <v>270</v>
      </c>
      <c r="B51" s="11">
        <v>7628</v>
      </c>
      <c r="C51" s="12" t="s">
        <v>239</v>
      </c>
      <c r="D51" s="13">
        <v>0.46</v>
      </c>
      <c r="E51" s="14">
        <v>150</v>
      </c>
      <c r="F51" s="15">
        <f t="shared" si="0"/>
        <v>1.78658536585366</v>
      </c>
      <c r="G51" s="16">
        <v>23.44</v>
      </c>
      <c r="H51" s="17">
        <f t="shared" si="1"/>
        <v>3516</v>
      </c>
      <c r="I51" s="13"/>
    </row>
    <row r="52" spans="1:9">
      <c r="A52" s="10" t="s">
        <v>270</v>
      </c>
      <c r="B52" s="11">
        <v>7628</v>
      </c>
      <c r="C52" s="12" t="s">
        <v>240</v>
      </c>
      <c r="D52" s="13">
        <v>0.47</v>
      </c>
      <c r="E52" s="14">
        <v>150</v>
      </c>
      <c r="F52" s="15">
        <f t="shared" si="0"/>
        <v>1.78658536585366</v>
      </c>
      <c r="G52" s="16">
        <v>23.44</v>
      </c>
      <c r="H52" s="17">
        <f t="shared" si="1"/>
        <v>3516</v>
      </c>
      <c r="I52" s="13" t="s">
        <v>271</v>
      </c>
    </row>
    <row r="53" spans="1:9">
      <c r="A53" s="10" t="s">
        <v>270</v>
      </c>
      <c r="B53" s="11">
        <v>7628</v>
      </c>
      <c r="C53" s="12" t="s">
        <v>241</v>
      </c>
      <c r="D53" s="13">
        <v>0.49</v>
      </c>
      <c r="E53" s="14">
        <v>150</v>
      </c>
      <c r="F53" s="15">
        <f t="shared" si="0"/>
        <v>1.83384146341463</v>
      </c>
      <c r="G53" s="16">
        <v>24.06</v>
      </c>
      <c r="H53" s="17">
        <f t="shared" si="1"/>
        <v>3609</v>
      </c>
      <c r="I53" s="13"/>
    </row>
    <row r="54" spans="1:9">
      <c r="A54" s="10" t="s">
        <v>270</v>
      </c>
      <c r="B54" s="11">
        <v>7628</v>
      </c>
      <c r="C54" s="12" t="s">
        <v>242</v>
      </c>
      <c r="D54" s="13">
        <v>0.5</v>
      </c>
      <c r="E54" s="14">
        <v>150</v>
      </c>
      <c r="F54" s="15">
        <f t="shared" si="0"/>
        <v>1.82393292682927</v>
      </c>
      <c r="G54" s="16">
        <v>23.93</v>
      </c>
      <c r="H54" s="17">
        <f t="shared" si="1"/>
        <v>3589.5</v>
      </c>
      <c r="I54" s="13"/>
    </row>
    <row r="55" spans="1:9">
      <c r="A55" s="10" t="s">
        <v>270</v>
      </c>
      <c r="B55" s="11">
        <v>7628</v>
      </c>
      <c r="C55" s="12" t="s">
        <v>272</v>
      </c>
      <c r="D55" s="13">
        <v>0.51</v>
      </c>
      <c r="E55" s="14">
        <v>150</v>
      </c>
      <c r="F55" s="15">
        <f t="shared" si="0"/>
        <v>1.90701219512195</v>
      </c>
      <c r="G55" s="16">
        <v>25.02</v>
      </c>
      <c r="H55" s="17">
        <f t="shared" si="1"/>
        <v>3753</v>
      </c>
      <c r="I55" s="13"/>
    </row>
    <row r="56" spans="1:9">
      <c r="A56" s="10" t="s">
        <v>270</v>
      </c>
      <c r="B56" s="11">
        <v>2116</v>
      </c>
      <c r="C56" s="12" t="s">
        <v>243</v>
      </c>
      <c r="D56" s="13">
        <v>0.52</v>
      </c>
      <c r="E56" s="14">
        <v>250</v>
      </c>
      <c r="F56" s="15">
        <f t="shared" si="0"/>
        <v>1.7797256097561</v>
      </c>
      <c r="G56" s="16">
        <v>23.35</v>
      </c>
      <c r="H56" s="17">
        <f t="shared" si="1"/>
        <v>5837.5</v>
      </c>
      <c r="I56" s="13"/>
    </row>
    <row r="57" spans="1:9">
      <c r="A57" s="10" t="s">
        <v>270</v>
      </c>
      <c r="B57" s="11">
        <v>2116</v>
      </c>
      <c r="C57" s="12" t="s">
        <v>248</v>
      </c>
      <c r="D57" s="13">
        <v>0.53</v>
      </c>
      <c r="E57" s="14">
        <v>250</v>
      </c>
      <c r="F57" s="15">
        <f t="shared" si="0"/>
        <v>1.7797256097561</v>
      </c>
      <c r="G57" s="16">
        <v>23.35</v>
      </c>
      <c r="H57" s="17">
        <f t="shared" si="1"/>
        <v>5837.5</v>
      </c>
      <c r="I57" s="13"/>
    </row>
    <row r="58" spans="1:9">
      <c r="A58" s="10" t="s">
        <v>270</v>
      </c>
      <c r="B58" s="11">
        <v>2116</v>
      </c>
      <c r="C58" s="12" t="s">
        <v>249</v>
      </c>
      <c r="D58" s="13">
        <v>0.54</v>
      </c>
      <c r="E58" s="14">
        <v>250</v>
      </c>
      <c r="F58" s="15">
        <f t="shared" si="0"/>
        <v>1.78658536585366</v>
      </c>
      <c r="G58" s="16">
        <v>23.44</v>
      </c>
      <c r="H58" s="17">
        <f t="shared" si="1"/>
        <v>5860</v>
      </c>
      <c r="I58" s="13"/>
    </row>
    <row r="59" spans="1:9">
      <c r="A59" s="10" t="s">
        <v>270</v>
      </c>
      <c r="B59" s="11">
        <v>2116</v>
      </c>
      <c r="C59" s="12" t="s">
        <v>250</v>
      </c>
      <c r="D59" s="13">
        <v>0.55</v>
      </c>
      <c r="E59" s="14">
        <v>250</v>
      </c>
      <c r="F59" s="15">
        <f t="shared" si="0"/>
        <v>1.78658536585366</v>
      </c>
      <c r="G59" s="16">
        <v>23.44</v>
      </c>
      <c r="H59" s="17">
        <f t="shared" si="1"/>
        <v>5860</v>
      </c>
      <c r="I59" s="13"/>
    </row>
    <row r="60" spans="1:9">
      <c r="A60" s="10" t="s">
        <v>270</v>
      </c>
      <c r="B60" s="11">
        <v>2116</v>
      </c>
      <c r="C60" s="12" t="s">
        <v>251</v>
      </c>
      <c r="D60" s="13">
        <v>0.56</v>
      </c>
      <c r="E60" s="14">
        <v>250</v>
      </c>
      <c r="F60" s="15">
        <f t="shared" si="0"/>
        <v>1.78734756097561</v>
      </c>
      <c r="G60" s="16">
        <v>23.45</v>
      </c>
      <c r="H60" s="17">
        <f t="shared" si="1"/>
        <v>5862.5</v>
      </c>
      <c r="I60" s="13"/>
    </row>
    <row r="61" spans="1:9">
      <c r="A61" s="10" t="s">
        <v>270</v>
      </c>
      <c r="B61" s="11">
        <v>2116</v>
      </c>
      <c r="C61" s="12" t="s">
        <v>244</v>
      </c>
      <c r="D61" s="13">
        <v>0.57</v>
      </c>
      <c r="E61" s="14">
        <v>250</v>
      </c>
      <c r="F61" s="15">
        <f t="shared" si="0"/>
        <v>1.87728658536585</v>
      </c>
      <c r="G61" s="16">
        <v>24.63</v>
      </c>
      <c r="H61" s="17">
        <f t="shared" si="1"/>
        <v>6157.5</v>
      </c>
      <c r="I61" s="13"/>
    </row>
    <row r="62" spans="1:9">
      <c r="A62" s="10" t="s">
        <v>270</v>
      </c>
      <c r="B62" s="11">
        <v>2116</v>
      </c>
      <c r="C62" s="12" t="s">
        <v>252</v>
      </c>
      <c r="D62" s="13">
        <v>0.58</v>
      </c>
      <c r="E62" s="14">
        <v>250</v>
      </c>
      <c r="F62" s="15">
        <f t="shared" si="0"/>
        <v>1.93216463414634</v>
      </c>
      <c r="G62" s="16">
        <v>25.35</v>
      </c>
      <c r="H62" s="17">
        <f t="shared" si="1"/>
        <v>6337.5</v>
      </c>
      <c r="I62" s="13"/>
    </row>
    <row r="63" spans="1:9">
      <c r="A63" s="10" t="s">
        <v>270</v>
      </c>
      <c r="B63" s="11">
        <v>2116</v>
      </c>
      <c r="C63" s="12" t="s">
        <v>245</v>
      </c>
      <c r="D63" s="13">
        <v>0.59</v>
      </c>
      <c r="E63" s="14">
        <v>250</v>
      </c>
      <c r="F63" s="15">
        <f t="shared" si="0"/>
        <v>1.93368902439024</v>
      </c>
      <c r="G63" s="16">
        <v>25.37</v>
      </c>
      <c r="H63" s="17">
        <f t="shared" si="1"/>
        <v>6342.5</v>
      </c>
      <c r="I63" s="13"/>
    </row>
    <row r="64" spans="1:9">
      <c r="A64" s="10" t="s">
        <v>270</v>
      </c>
      <c r="B64" s="11">
        <v>2116</v>
      </c>
      <c r="C64" s="12" t="s">
        <v>246</v>
      </c>
      <c r="D64" s="13">
        <v>0.6</v>
      </c>
      <c r="E64" s="14">
        <v>250</v>
      </c>
      <c r="F64" s="15">
        <f t="shared" si="0"/>
        <v>1.9359756097561</v>
      </c>
      <c r="G64" s="16">
        <v>25.4</v>
      </c>
      <c r="H64" s="17">
        <f t="shared" si="1"/>
        <v>6350</v>
      </c>
      <c r="I64" s="13"/>
    </row>
    <row r="65" spans="1:9">
      <c r="A65" s="10" t="s">
        <v>270</v>
      </c>
      <c r="B65" s="11">
        <v>2116</v>
      </c>
      <c r="C65" s="12" t="s">
        <v>247</v>
      </c>
      <c r="D65" s="13">
        <v>0.61</v>
      </c>
      <c r="E65" s="14">
        <v>250</v>
      </c>
      <c r="F65" s="15">
        <f t="shared" si="0"/>
        <v>2.01829268292683</v>
      </c>
      <c r="G65" s="16">
        <v>26.48</v>
      </c>
      <c r="H65" s="17">
        <f t="shared" si="1"/>
        <v>6620</v>
      </c>
      <c r="I65" s="13"/>
    </row>
    <row r="66" spans="1:9">
      <c r="A66" s="10" t="s">
        <v>270</v>
      </c>
      <c r="B66" s="11">
        <v>2313</v>
      </c>
      <c r="C66" s="12" t="s">
        <v>251</v>
      </c>
      <c r="D66" s="13">
        <v>0.56</v>
      </c>
      <c r="E66" s="14">
        <v>300</v>
      </c>
      <c r="F66" s="15">
        <f t="shared" si="0"/>
        <v>1.85823170731707</v>
      </c>
      <c r="G66" s="16">
        <v>24.38</v>
      </c>
      <c r="H66" s="17">
        <f t="shared" si="1"/>
        <v>7314</v>
      </c>
      <c r="I66" s="13"/>
    </row>
    <row r="67" spans="1:9">
      <c r="A67" s="10" t="s">
        <v>270</v>
      </c>
      <c r="B67" s="11">
        <v>2313</v>
      </c>
      <c r="C67" s="12" t="s">
        <v>244</v>
      </c>
      <c r="D67" s="13">
        <v>0.57</v>
      </c>
      <c r="E67" s="14">
        <v>300</v>
      </c>
      <c r="F67" s="15">
        <f t="shared" ref="F67:F130" si="2">G67/13.12</f>
        <v>1.875</v>
      </c>
      <c r="G67" s="16">
        <v>24.6</v>
      </c>
      <c r="H67" s="17">
        <f t="shared" ref="H67:H130" si="3">G67*E67</f>
        <v>7380</v>
      </c>
      <c r="I67" s="13"/>
    </row>
    <row r="68" spans="1:9">
      <c r="A68" s="10" t="s">
        <v>270</v>
      </c>
      <c r="B68" s="11">
        <v>2313</v>
      </c>
      <c r="C68" s="12" t="s">
        <v>252</v>
      </c>
      <c r="D68" s="13">
        <v>0.58</v>
      </c>
      <c r="E68" s="14">
        <v>300</v>
      </c>
      <c r="F68" s="15">
        <f t="shared" si="2"/>
        <v>1.85823170731707</v>
      </c>
      <c r="G68" s="16">
        <v>24.38</v>
      </c>
      <c r="H68" s="17">
        <f t="shared" si="3"/>
        <v>7314</v>
      </c>
      <c r="I68" s="13"/>
    </row>
    <row r="69" spans="1:9">
      <c r="A69" s="10" t="s">
        <v>270</v>
      </c>
      <c r="B69" s="11">
        <v>2313</v>
      </c>
      <c r="C69" s="12" t="s">
        <v>245</v>
      </c>
      <c r="D69" s="13">
        <v>0.59</v>
      </c>
      <c r="E69" s="14">
        <v>300</v>
      </c>
      <c r="F69" s="15">
        <f t="shared" si="2"/>
        <v>1.85823170731707</v>
      </c>
      <c r="G69" s="16">
        <v>24.38</v>
      </c>
      <c r="H69" s="17">
        <f t="shared" si="3"/>
        <v>7314</v>
      </c>
      <c r="I69" s="13"/>
    </row>
    <row r="70" spans="1:9">
      <c r="A70" s="10" t="s">
        <v>270</v>
      </c>
      <c r="B70" s="11">
        <v>1080</v>
      </c>
      <c r="C70" s="12" t="s">
        <v>255</v>
      </c>
      <c r="D70" s="13">
        <v>0.64</v>
      </c>
      <c r="E70" s="14">
        <v>300</v>
      </c>
      <c r="F70" s="15">
        <f t="shared" si="2"/>
        <v>1.7782012195122</v>
      </c>
      <c r="G70" s="16">
        <v>23.33</v>
      </c>
      <c r="H70" s="17">
        <f t="shared" si="3"/>
        <v>6999</v>
      </c>
      <c r="I70" s="13"/>
    </row>
    <row r="71" spans="1:9">
      <c r="A71" s="10" t="s">
        <v>270</v>
      </c>
      <c r="B71" s="11">
        <v>1080</v>
      </c>
      <c r="C71" s="12" t="s">
        <v>256</v>
      </c>
      <c r="D71" s="13">
        <v>0.65</v>
      </c>
      <c r="E71" s="14">
        <v>300</v>
      </c>
      <c r="F71" s="15">
        <f t="shared" si="2"/>
        <v>1.7782012195122</v>
      </c>
      <c r="G71" s="16">
        <v>23.33</v>
      </c>
      <c r="H71" s="17">
        <f t="shared" si="3"/>
        <v>6999</v>
      </c>
      <c r="I71" s="13"/>
    </row>
    <row r="72" spans="1:9">
      <c r="A72" s="10" t="s">
        <v>270</v>
      </c>
      <c r="B72" s="11">
        <v>1080</v>
      </c>
      <c r="C72" s="12" t="s">
        <v>257</v>
      </c>
      <c r="D72" s="13">
        <v>0.66</v>
      </c>
      <c r="E72" s="14">
        <v>300</v>
      </c>
      <c r="F72" s="15">
        <f t="shared" si="2"/>
        <v>1.77896341463415</v>
      </c>
      <c r="G72" s="16">
        <v>23.34</v>
      </c>
      <c r="H72" s="17">
        <f t="shared" si="3"/>
        <v>7002</v>
      </c>
      <c r="I72" s="13"/>
    </row>
    <row r="73" spans="1:9">
      <c r="A73" s="10" t="s">
        <v>270</v>
      </c>
      <c r="B73" s="11">
        <v>1080</v>
      </c>
      <c r="C73" s="12" t="s">
        <v>258</v>
      </c>
      <c r="D73" s="13">
        <v>0.67</v>
      </c>
      <c r="E73" s="14">
        <v>300</v>
      </c>
      <c r="F73" s="15">
        <f t="shared" si="2"/>
        <v>1.7797256097561</v>
      </c>
      <c r="G73" s="16">
        <v>23.35</v>
      </c>
      <c r="H73" s="17">
        <f t="shared" si="3"/>
        <v>7005</v>
      </c>
      <c r="I73" s="13"/>
    </row>
    <row r="74" spans="1:9">
      <c r="A74" s="10" t="s">
        <v>270</v>
      </c>
      <c r="B74" s="11">
        <v>1080</v>
      </c>
      <c r="C74" s="12" t="s">
        <v>259</v>
      </c>
      <c r="D74" s="13">
        <v>0.68</v>
      </c>
      <c r="E74" s="14">
        <v>300</v>
      </c>
      <c r="F74" s="15">
        <f t="shared" si="2"/>
        <v>1.78048780487805</v>
      </c>
      <c r="G74" s="16">
        <v>23.36</v>
      </c>
      <c r="H74" s="17">
        <f t="shared" si="3"/>
        <v>7008</v>
      </c>
      <c r="I74" s="13"/>
    </row>
    <row r="75" spans="1:9">
      <c r="A75" s="10" t="s">
        <v>270</v>
      </c>
      <c r="B75" s="11">
        <v>1080</v>
      </c>
      <c r="C75" s="12" t="s">
        <v>260</v>
      </c>
      <c r="D75" s="13">
        <v>0.69</v>
      </c>
      <c r="E75" s="14">
        <v>300</v>
      </c>
      <c r="F75" s="15">
        <f t="shared" si="2"/>
        <v>1.92378048780488</v>
      </c>
      <c r="G75" s="16">
        <v>25.24</v>
      </c>
      <c r="H75" s="17">
        <f t="shared" si="3"/>
        <v>7572</v>
      </c>
      <c r="I75" s="13"/>
    </row>
    <row r="76" spans="1:9">
      <c r="A76" s="10" t="s">
        <v>270</v>
      </c>
      <c r="B76" s="11">
        <v>1080</v>
      </c>
      <c r="C76" s="12" t="s">
        <v>261</v>
      </c>
      <c r="D76" s="13">
        <v>0.7</v>
      </c>
      <c r="E76" s="14">
        <v>300</v>
      </c>
      <c r="F76" s="15">
        <f t="shared" si="2"/>
        <v>1.92301829268293</v>
      </c>
      <c r="G76" s="16">
        <v>25.23</v>
      </c>
      <c r="H76" s="17">
        <f t="shared" si="3"/>
        <v>7569</v>
      </c>
      <c r="I76" s="13"/>
    </row>
    <row r="77" spans="1:9">
      <c r="A77" s="10" t="s">
        <v>270</v>
      </c>
      <c r="B77" s="11">
        <v>1080</v>
      </c>
      <c r="C77" s="12" t="s">
        <v>262</v>
      </c>
      <c r="D77" s="13">
        <v>0.71</v>
      </c>
      <c r="E77" s="14">
        <v>300</v>
      </c>
      <c r="F77" s="15">
        <f t="shared" si="2"/>
        <v>1.92301829268293</v>
      </c>
      <c r="G77" s="16">
        <v>25.23</v>
      </c>
      <c r="H77" s="17">
        <f t="shared" si="3"/>
        <v>7569</v>
      </c>
      <c r="I77" s="13"/>
    </row>
    <row r="78" spans="1:9">
      <c r="A78" s="10" t="s">
        <v>270</v>
      </c>
      <c r="B78" s="11">
        <v>1027</v>
      </c>
      <c r="C78" s="12" t="s">
        <v>265</v>
      </c>
      <c r="D78" s="13">
        <v>0.74</v>
      </c>
      <c r="E78" s="14">
        <v>300</v>
      </c>
      <c r="F78" s="15">
        <f t="shared" si="2"/>
        <v>3.46036585365854</v>
      </c>
      <c r="G78" s="16">
        <v>45.4</v>
      </c>
      <c r="H78" s="17">
        <f t="shared" si="3"/>
        <v>13620</v>
      </c>
      <c r="I78" s="13"/>
    </row>
    <row r="79" spans="1:9">
      <c r="A79" s="10" t="s">
        <v>270</v>
      </c>
      <c r="B79" s="11">
        <v>106</v>
      </c>
      <c r="C79" s="12" t="s">
        <v>264</v>
      </c>
      <c r="D79" s="13">
        <v>0.73</v>
      </c>
      <c r="E79" s="14">
        <v>300</v>
      </c>
      <c r="F79" s="15">
        <f t="shared" si="2"/>
        <v>1.73628048780488</v>
      </c>
      <c r="G79" s="16">
        <v>22.78</v>
      </c>
      <c r="H79" s="17">
        <f t="shared" si="3"/>
        <v>6834</v>
      </c>
      <c r="I79" s="13"/>
    </row>
    <row r="80" spans="1:9">
      <c r="A80" s="10" t="s">
        <v>270</v>
      </c>
      <c r="B80" s="11">
        <v>106</v>
      </c>
      <c r="C80" s="12" t="s">
        <v>266</v>
      </c>
      <c r="D80" s="13">
        <v>0.75</v>
      </c>
      <c r="E80" s="14">
        <v>300</v>
      </c>
      <c r="F80" s="15">
        <f t="shared" si="2"/>
        <v>1.79039634146341</v>
      </c>
      <c r="G80" s="16">
        <v>23.49</v>
      </c>
      <c r="H80" s="17">
        <f t="shared" si="3"/>
        <v>7047</v>
      </c>
      <c r="I80" s="13"/>
    </row>
    <row r="81" spans="1:9">
      <c r="A81" s="10" t="s">
        <v>270</v>
      </c>
      <c r="B81" s="11">
        <v>106</v>
      </c>
      <c r="C81" s="12" t="s">
        <v>267</v>
      </c>
      <c r="D81" s="13">
        <v>0.76</v>
      </c>
      <c r="E81" s="14">
        <v>300</v>
      </c>
      <c r="F81" s="15">
        <f t="shared" si="2"/>
        <v>1.8467987804878</v>
      </c>
      <c r="G81" s="16">
        <v>24.23</v>
      </c>
      <c r="H81" s="17">
        <f t="shared" si="3"/>
        <v>7269</v>
      </c>
      <c r="I81" s="13"/>
    </row>
    <row r="82" spans="1:9">
      <c r="A82" s="10" t="s">
        <v>270</v>
      </c>
      <c r="B82" s="11">
        <v>106</v>
      </c>
      <c r="C82" s="12" t="s">
        <v>269</v>
      </c>
      <c r="D82" s="13">
        <v>0.78</v>
      </c>
      <c r="E82" s="14">
        <v>300</v>
      </c>
      <c r="F82" s="15">
        <f t="shared" si="2"/>
        <v>1.92301829268293</v>
      </c>
      <c r="G82" s="16">
        <v>25.23</v>
      </c>
      <c r="H82" s="17">
        <f t="shared" si="3"/>
        <v>7569</v>
      </c>
      <c r="I82" s="13"/>
    </row>
    <row r="83" spans="1:9">
      <c r="A83" s="10" t="s">
        <v>270</v>
      </c>
      <c r="B83" s="11">
        <v>3313</v>
      </c>
      <c r="C83" s="12" t="s">
        <v>252</v>
      </c>
      <c r="D83" s="13">
        <v>0.58</v>
      </c>
      <c r="E83" s="14">
        <v>300</v>
      </c>
      <c r="F83" s="15">
        <f t="shared" si="2"/>
        <v>2.02743902439024</v>
      </c>
      <c r="G83" s="16">
        <v>26.6</v>
      </c>
      <c r="H83" s="17">
        <f t="shared" si="3"/>
        <v>7980</v>
      </c>
      <c r="I83" s="13"/>
    </row>
    <row r="84" spans="1:9">
      <c r="A84" s="10" t="s">
        <v>273</v>
      </c>
      <c r="B84" s="11" t="s">
        <v>274</v>
      </c>
      <c r="C84" s="12" t="s">
        <v>255</v>
      </c>
      <c r="D84" s="13">
        <v>0.64</v>
      </c>
      <c r="E84" s="14" t="s">
        <v>275</v>
      </c>
      <c r="F84" s="15">
        <f t="shared" si="2"/>
        <v>1.93673780487805</v>
      </c>
      <c r="G84" s="16">
        <v>25.41</v>
      </c>
      <c r="H84" s="17">
        <f t="shared" si="3"/>
        <v>7623</v>
      </c>
      <c r="I84" s="13"/>
    </row>
    <row r="85" spans="1:9">
      <c r="A85" s="10" t="s">
        <v>273</v>
      </c>
      <c r="B85" s="11" t="s">
        <v>274</v>
      </c>
      <c r="C85" s="12" t="s">
        <v>259</v>
      </c>
      <c r="D85" s="13">
        <v>0.68</v>
      </c>
      <c r="E85" s="14" t="s">
        <v>275</v>
      </c>
      <c r="F85" s="15">
        <f t="shared" si="2"/>
        <v>1.97560975609756</v>
      </c>
      <c r="G85" s="16">
        <v>25.92</v>
      </c>
      <c r="H85" s="17">
        <f t="shared" si="3"/>
        <v>7776</v>
      </c>
      <c r="I85" s="13"/>
    </row>
    <row r="86" spans="1:9">
      <c r="A86" s="10" t="s">
        <v>273</v>
      </c>
      <c r="B86" s="11" t="s">
        <v>274</v>
      </c>
      <c r="C86" s="12" t="s">
        <v>261</v>
      </c>
      <c r="D86" s="13">
        <v>0.7</v>
      </c>
      <c r="E86" s="14" t="s">
        <v>275</v>
      </c>
      <c r="F86" s="15">
        <f t="shared" si="2"/>
        <v>2.00914634146341</v>
      </c>
      <c r="G86" s="16">
        <v>26.36</v>
      </c>
      <c r="H86" s="17">
        <f t="shared" si="3"/>
        <v>7908</v>
      </c>
      <c r="I86" s="13"/>
    </row>
    <row r="87" spans="1:9">
      <c r="A87" s="10" t="s">
        <v>273</v>
      </c>
      <c r="B87" s="11" t="s">
        <v>276</v>
      </c>
      <c r="C87" s="12" t="s">
        <v>249</v>
      </c>
      <c r="D87" s="13">
        <v>0.54</v>
      </c>
      <c r="E87" s="14" t="s">
        <v>277</v>
      </c>
      <c r="F87" s="15">
        <f t="shared" si="2"/>
        <v>1.875</v>
      </c>
      <c r="G87" s="16">
        <v>24.6</v>
      </c>
      <c r="H87" s="17">
        <f t="shared" si="3"/>
        <v>6150</v>
      </c>
      <c r="I87" s="13"/>
    </row>
    <row r="88" spans="1:9">
      <c r="A88" s="10" t="s">
        <v>273</v>
      </c>
      <c r="B88" s="11" t="s">
        <v>276</v>
      </c>
      <c r="C88" s="12" t="s">
        <v>251</v>
      </c>
      <c r="D88" s="13">
        <v>0.56</v>
      </c>
      <c r="E88" s="14" t="s">
        <v>277</v>
      </c>
      <c r="F88" s="15">
        <f t="shared" si="2"/>
        <v>1.89100609756098</v>
      </c>
      <c r="G88" s="16">
        <v>24.81</v>
      </c>
      <c r="H88" s="17">
        <f t="shared" si="3"/>
        <v>6202.5</v>
      </c>
      <c r="I88" s="13"/>
    </row>
    <row r="89" spans="1:9">
      <c r="A89" s="10" t="s">
        <v>273</v>
      </c>
      <c r="B89" s="11" t="s">
        <v>276</v>
      </c>
      <c r="C89" s="12" t="s">
        <v>252</v>
      </c>
      <c r="D89" s="13">
        <v>0.58</v>
      </c>
      <c r="E89" s="14" t="s">
        <v>277</v>
      </c>
      <c r="F89" s="15">
        <f t="shared" si="2"/>
        <v>1.89329268292683</v>
      </c>
      <c r="G89" s="16">
        <v>24.84</v>
      </c>
      <c r="H89" s="17">
        <f t="shared" si="3"/>
        <v>6210</v>
      </c>
      <c r="I89" s="13"/>
    </row>
    <row r="90" spans="1:9">
      <c r="A90" s="10" t="s">
        <v>273</v>
      </c>
      <c r="B90" s="11" t="s">
        <v>276</v>
      </c>
      <c r="C90" s="12" t="s">
        <v>245</v>
      </c>
      <c r="D90" s="13">
        <v>0.59</v>
      </c>
      <c r="E90" s="14" t="s">
        <v>277</v>
      </c>
      <c r="F90" s="15">
        <f t="shared" si="2"/>
        <v>1.90167682926829</v>
      </c>
      <c r="G90" s="16">
        <v>24.95</v>
      </c>
      <c r="H90" s="17">
        <f t="shared" si="3"/>
        <v>6237.5</v>
      </c>
      <c r="I90" s="13"/>
    </row>
    <row r="91" spans="1:9">
      <c r="A91" s="10" t="s">
        <v>273</v>
      </c>
      <c r="B91" s="11" t="s">
        <v>278</v>
      </c>
      <c r="C91" s="12" t="s">
        <v>238</v>
      </c>
      <c r="D91" s="13">
        <v>0.45</v>
      </c>
      <c r="E91" s="14" t="s">
        <v>279</v>
      </c>
      <c r="F91" s="15">
        <f t="shared" si="2"/>
        <v>1.79954268292683</v>
      </c>
      <c r="G91" s="16">
        <v>23.61</v>
      </c>
      <c r="H91" s="17">
        <f t="shared" si="3"/>
        <v>3541.5</v>
      </c>
      <c r="I91" s="13"/>
    </row>
    <row r="92" spans="1:9">
      <c r="A92" s="10" t="s">
        <v>273</v>
      </c>
      <c r="B92" s="11" t="s">
        <v>278</v>
      </c>
      <c r="C92" s="12" t="s">
        <v>234</v>
      </c>
      <c r="D92" s="13">
        <v>0.48</v>
      </c>
      <c r="E92" s="14" t="s">
        <v>279</v>
      </c>
      <c r="F92" s="15">
        <f t="shared" si="2"/>
        <v>1.98780487804878</v>
      </c>
      <c r="G92" s="16">
        <v>26.08</v>
      </c>
      <c r="H92" s="17">
        <f t="shared" si="3"/>
        <v>3912</v>
      </c>
      <c r="I92" s="13"/>
    </row>
    <row r="93" spans="1:9">
      <c r="A93" s="10" t="s">
        <v>273</v>
      </c>
      <c r="B93" s="11" t="s">
        <v>278</v>
      </c>
      <c r="C93" s="12" t="s">
        <v>242</v>
      </c>
      <c r="D93" s="13">
        <v>0.5</v>
      </c>
      <c r="E93" s="14" t="s">
        <v>279</v>
      </c>
      <c r="F93" s="15">
        <f t="shared" si="2"/>
        <v>2.00838414634146</v>
      </c>
      <c r="G93" s="16">
        <v>26.35</v>
      </c>
      <c r="H93" s="17">
        <f t="shared" si="3"/>
        <v>3952.5</v>
      </c>
      <c r="I93" s="13"/>
    </row>
    <row r="94" spans="1:9">
      <c r="A94" s="10" t="s">
        <v>273</v>
      </c>
      <c r="B94" s="11" t="s">
        <v>278</v>
      </c>
      <c r="C94" s="12" t="s">
        <v>243</v>
      </c>
      <c r="D94" s="13">
        <v>0.52</v>
      </c>
      <c r="E94" s="14" t="s">
        <v>279</v>
      </c>
      <c r="F94" s="15">
        <f t="shared" si="2"/>
        <v>2.00838414634146</v>
      </c>
      <c r="G94" s="16">
        <v>26.35</v>
      </c>
      <c r="H94" s="17">
        <f t="shared" si="3"/>
        <v>3952.5</v>
      </c>
      <c r="I94" s="13"/>
    </row>
    <row r="95" spans="1:9">
      <c r="A95" s="10" t="s">
        <v>280</v>
      </c>
      <c r="B95" s="11">
        <v>2116</v>
      </c>
      <c r="C95" s="12" t="s">
        <v>245</v>
      </c>
      <c r="D95" s="13">
        <v>0.59</v>
      </c>
      <c r="E95" s="14">
        <v>250</v>
      </c>
      <c r="F95" s="15">
        <f t="shared" si="2"/>
        <v>1.86814024390244</v>
      </c>
      <c r="G95" s="16">
        <v>24.51</v>
      </c>
      <c r="H95" s="17">
        <f t="shared" si="3"/>
        <v>6127.5</v>
      </c>
      <c r="I95" s="13"/>
    </row>
    <row r="96" spans="1:9">
      <c r="A96" s="10" t="s">
        <v>280</v>
      </c>
      <c r="B96" s="11">
        <v>2116</v>
      </c>
      <c r="C96" s="12" t="s">
        <v>247</v>
      </c>
      <c r="D96" s="13">
        <v>0.61</v>
      </c>
      <c r="E96" s="14">
        <v>250</v>
      </c>
      <c r="F96" s="15">
        <f t="shared" si="2"/>
        <v>1.93292682926829</v>
      </c>
      <c r="G96" s="16">
        <v>25.36</v>
      </c>
      <c r="H96" s="17">
        <f t="shared" si="3"/>
        <v>6340</v>
      </c>
      <c r="I96" s="13"/>
    </row>
    <row r="97" spans="1:9">
      <c r="A97" s="10" t="s">
        <v>280</v>
      </c>
      <c r="B97" s="11">
        <v>1080</v>
      </c>
      <c r="C97" s="12" t="s">
        <v>259</v>
      </c>
      <c r="D97" s="13">
        <v>0.68</v>
      </c>
      <c r="E97" s="14">
        <v>300</v>
      </c>
      <c r="F97" s="15">
        <f t="shared" si="2"/>
        <v>1.76600609756098</v>
      </c>
      <c r="G97" s="16">
        <v>23.17</v>
      </c>
      <c r="H97" s="17">
        <f t="shared" si="3"/>
        <v>6951</v>
      </c>
      <c r="I97" s="13"/>
    </row>
    <row r="98" spans="1:9">
      <c r="A98" s="10" t="s">
        <v>280</v>
      </c>
      <c r="B98" s="11">
        <v>1080</v>
      </c>
      <c r="C98" s="12" t="s">
        <v>262</v>
      </c>
      <c r="D98" s="13">
        <v>0.71</v>
      </c>
      <c r="E98" s="14">
        <v>300</v>
      </c>
      <c r="F98" s="15">
        <f t="shared" si="2"/>
        <v>1.88414634146341</v>
      </c>
      <c r="G98" s="16">
        <v>24.72</v>
      </c>
      <c r="H98" s="17">
        <f t="shared" si="3"/>
        <v>7416</v>
      </c>
      <c r="I98" s="13"/>
    </row>
    <row r="99" spans="1:9">
      <c r="A99" s="10" t="s">
        <v>280</v>
      </c>
      <c r="B99" s="11">
        <v>106</v>
      </c>
      <c r="C99" s="12" t="s">
        <v>269</v>
      </c>
      <c r="D99" s="13">
        <v>0.78</v>
      </c>
      <c r="E99" s="14">
        <v>300</v>
      </c>
      <c r="F99" s="15">
        <f t="shared" si="2"/>
        <v>1.88567073170732</v>
      </c>
      <c r="G99" s="16">
        <v>24.74</v>
      </c>
      <c r="H99" s="17">
        <f t="shared" si="3"/>
        <v>7422</v>
      </c>
      <c r="I99" s="13"/>
    </row>
    <row r="100" spans="1:9">
      <c r="A100" s="10" t="s">
        <v>281</v>
      </c>
      <c r="B100" s="11">
        <v>106</v>
      </c>
      <c r="C100" s="12" t="s">
        <v>269</v>
      </c>
      <c r="D100" s="13">
        <v>0.78</v>
      </c>
      <c r="E100" s="14">
        <v>300</v>
      </c>
      <c r="F100" s="15">
        <f t="shared" si="2"/>
        <v>1.8780487804878</v>
      </c>
      <c r="G100" s="16">
        <v>24.64</v>
      </c>
      <c r="H100" s="17">
        <f t="shared" si="3"/>
        <v>7392</v>
      </c>
      <c r="I100" s="13"/>
    </row>
    <row r="101" spans="1:9">
      <c r="A101" s="10" t="s">
        <v>281</v>
      </c>
      <c r="B101" s="11">
        <v>1080</v>
      </c>
      <c r="C101" s="12" t="s">
        <v>255</v>
      </c>
      <c r="D101" s="13">
        <v>0.64</v>
      </c>
      <c r="E101" s="14">
        <v>300</v>
      </c>
      <c r="F101" s="15">
        <f t="shared" si="2"/>
        <v>1.80259146341463</v>
      </c>
      <c r="G101" s="16">
        <v>23.65</v>
      </c>
      <c r="H101" s="17">
        <f t="shared" si="3"/>
        <v>7095</v>
      </c>
      <c r="I101" s="13"/>
    </row>
    <row r="102" spans="1:9">
      <c r="A102" s="10" t="s">
        <v>281</v>
      </c>
      <c r="B102" s="11">
        <v>1080</v>
      </c>
      <c r="C102" s="12" t="s">
        <v>256</v>
      </c>
      <c r="D102" s="13">
        <v>0.65</v>
      </c>
      <c r="E102" s="14">
        <v>300</v>
      </c>
      <c r="F102" s="15">
        <f t="shared" si="2"/>
        <v>1.80259146341463</v>
      </c>
      <c r="G102" s="16">
        <v>23.65</v>
      </c>
      <c r="H102" s="17">
        <f t="shared" si="3"/>
        <v>7095</v>
      </c>
      <c r="I102" s="13"/>
    </row>
    <row r="103" spans="1:9">
      <c r="A103" s="10" t="s">
        <v>281</v>
      </c>
      <c r="B103" s="11">
        <v>1080</v>
      </c>
      <c r="C103" s="12" t="s">
        <v>258</v>
      </c>
      <c r="D103" s="13">
        <v>0.67</v>
      </c>
      <c r="E103" s="14">
        <v>300</v>
      </c>
      <c r="F103" s="15">
        <f t="shared" si="2"/>
        <v>1.88643292682927</v>
      </c>
      <c r="G103" s="16">
        <v>24.75</v>
      </c>
      <c r="H103" s="17">
        <f t="shared" si="3"/>
        <v>7425</v>
      </c>
      <c r="I103" s="13"/>
    </row>
    <row r="104" spans="1:9">
      <c r="A104" s="10" t="s">
        <v>281</v>
      </c>
      <c r="B104" s="11">
        <v>1080</v>
      </c>
      <c r="C104" s="12" t="s">
        <v>259</v>
      </c>
      <c r="D104" s="13">
        <v>0.68</v>
      </c>
      <c r="E104" s="14">
        <v>300</v>
      </c>
      <c r="F104" s="15">
        <f t="shared" si="2"/>
        <v>1.92835365853659</v>
      </c>
      <c r="G104" s="16">
        <v>25.3</v>
      </c>
      <c r="H104" s="17">
        <f t="shared" si="3"/>
        <v>7590</v>
      </c>
      <c r="I104" s="13"/>
    </row>
    <row r="105" spans="1:9">
      <c r="A105" s="10" t="s">
        <v>281</v>
      </c>
      <c r="B105" s="11">
        <v>2116</v>
      </c>
      <c r="C105" s="12" t="s">
        <v>251</v>
      </c>
      <c r="D105" s="13">
        <v>0.56</v>
      </c>
      <c r="E105" s="14">
        <v>200</v>
      </c>
      <c r="F105" s="15">
        <f t="shared" si="2"/>
        <v>1.84451219512195</v>
      </c>
      <c r="G105" s="16">
        <v>24.2</v>
      </c>
      <c r="H105" s="17">
        <f t="shared" si="3"/>
        <v>4840</v>
      </c>
      <c r="I105" s="13"/>
    </row>
    <row r="106" spans="1:9">
      <c r="A106" s="10" t="s">
        <v>281</v>
      </c>
      <c r="B106" s="11">
        <v>7628</v>
      </c>
      <c r="C106" s="12" t="s">
        <v>241</v>
      </c>
      <c r="D106" s="13">
        <v>0.49</v>
      </c>
      <c r="E106" s="14">
        <v>300</v>
      </c>
      <c r="F106" s="15">
        <f t="shared" si="2"/>
        <v>1.88643292682927</v>
      </c>
      <c r="G106" s="16">
        <v>24.75</v>
      </c>
      <c r="H106" s="17">
        <f t="shared" si="3"/>
        <v>7425</v>
      </c>
      <c r="I106" s="13"/>
    </row>
    <row r="107" spans="1:9">
      <c r="A107" s="10" t="s">
        <v>282</v>
      </c>
      <c r="B107" s="11">
        <v>1080</v>
      </c>
      <c r="C107" s="12" t="s">
        <v>259</v>
      </c>
      <c r="D107" s="13">
        <v>0.68</v>
      </c>
      <c r="E107" s="14">
        <v>300</v>
      </c>
      <c r="F107" s="15">
        <f t="shared" si="2"/>
        <v>1.8765243902439</v>
      </c>
      <c r="G107" s="16">
        <v>24.62</v>
      </c>
      <c r="H107" s="17">
        <f t="shared" si="3"/>
        <v>7386</v>
      </c>
      <c r="I107" s="13"/>
    </row>
    <row r="108" spans="1:9">
      <c r="A108" s="10" t="s">
        <v>283</v>
      </c>
      <c r="B108" s="11">
        <v>7628</v>
      </c>
      <c r="C108" s="12" t="s">
        <v>236</v>
      </c>
      <c r="D108" s="13">
        <v>0.43</v>
      </c>
      <c r="E108" s="14">
        <v>150</v>
      </c>
      <c r="F108" s="15">
        <f t="shared" si="2"/>
        <v>1.89100609756098</v>
      </c>
      <c r="G108" s="16">
        <v>24.81</v>
      </c>
      <c r="H108" s="17">
        <f t="shared" si="3"/>
        <v>3721.5</v>
      </c>
      <c r="I108" s="13"/>
    </row>
    <row r="109" spans="1:9">
      <c r="A109" s="10" t="s">
        <v>283</v>
      </c>
      <c r="B109" s="11">
        <v>7628</v>
      </c>
      <c r="C109" s="12" t="s">
        <v>237</v>
      </c>
      <c r="D109" s="13">
        <v>0.44</v>
      </c>
      <c r="E109" s="14">
        <v>150</v>
      </c>
      <c r="F109" s="15">
        <f t="shared" si="2"/>
        <v>1.89100609756098</v>
      </c>
      <c r="G109" s="16">
        <v>24.81</v>
      </c>
      <c r="H109" s="17">
        <f t="shared" si="3"/>
        <v>3721.5</v>
      </c>
      <c r="I109" s="13"/>
    </row>
    <row r="110" spans="1:9">
      <c r="A110" s="10" t="s">
        <v>283</v>
      </c>
      <c r="B110" s="11">
        <v>7628</v>
      </c>
      <c r="C110" s="12" t="s">
        <v>238</v>
      </c>
      <c r="D110" s="13">
        <v>0.45</v>
      </c>
      <c r="E110" s="14">
        <v>150</v>
      </c>
      <c r="F110" s="15">
        <f t="shared" si="2"/>
        <v>2.01371951219512</v>
      </c>
      <c r="G110" s="16">
        <v>26.42</v>
      </c>
      <c r="H110" s="17">
        <f t="shared" si="3"/>
        <v>3963</v>
      </c>
      <c r="I110" s="13"/>
    </row>
    <row r="111" spans="1:9">
      <c r="A111" s="10" t="s">
        <v>283</v>
      </c>
      <c r="B111" s="11">
        <v>7628</v>
      </c>
      <c r="C111" s="12" t="s">
        <v>239</v>
      </c>
      <c r="D111" s="13">
        <v>0.46</v>
      </c>
      <c r="E111" s="14">
        <v>150</v>
      </c>
      <c r="F111" s="15">
        <f t="shared" si="2"/>
        <v>2.01371951219512</v>
      </c>
      <c r="G111" s="16">
        <v>26.42</v>
      </c>
      <c r="H111" s="17">
        <f t="shared" si="3"/>
        <v>3963</v>
      </c>
      <c r="I111" s="13"/>
    </row>
    <row r="112" spans="1:9">
      <c r="A112" s="10" t="s">
        <v>283</v>
      </c>
      <c r="B112" s="11">
        <v>7628</v>
      </c>
      <c r="C112" s="12" t="s">
        <v>240</v>
      </c>
      <c r="D112" s="13">
        <v>0.47</v>
      </c>
      <c r="E112" s="14">
        <v>150</v>
      </c>
      <c r="F112" s="15">
        <f t="shared" si="2"/>
        <v>2.04039634146341</v>
      </c>
      <c r="G112" s="16">
        <v>26.77</v>
      </c>
      <c r="H112" s="17">
        <f t="shared" si="3"/>
        <v>4015.5</v>
      </c>
      <c r="I112" s="13"/>
    </row>
    <row r="113" spans="1:9">
      <c r="A113" s="10" t="s">
        <v>283</v>
      </c>
      <c r="B113" s="11">
        <v>7628</v>
      </c>
      <c r="C113" s="12" t="s">
        <v>234</v>
      </c>
      <c r="D113" s="13">
        <v>0.48</v>
      </c>
      <c r="E113" s="14">
        <v>150</v>
      </c>
      <c r="F113" s="15">
        <f t="shared" si="2"/>
        <v>2.04039634146341</v>
      </c>
      <c r="G113" s="16">
        <v>26.77</v>
      </c>
      <c r="H113" s="17">
        <f t="shared" si="3"/>
        <v>4015.5</v>
      </c>
      <c r="I113" s="13"/>
    </row>
    <row r="114" spans="1:9">
      <c r="A114" s="10" t="s">
        <v>283</v>
      </c>
      <c r="B114" s="11">
        <v>7628</v>
      </c>
      <c r="C114" s="12" t="s">
        <v>241</v>
      </c>
      <c r="D114" s="13">
        <v>0.49</v>
      </c>
      <c r="E114" s="14">
        <v>150</v>
      </c>
      <c r="F114" s="15">
        <f t="shared" si="2"/>
        <v>2.08536585365854</v>
      </c>
      <c r="G114" s="16">
        <v>27.36</v>
      </c>
      <c r="H114" s="17">
        <f t="shared" si="3"/>
        <v>4104</v>
      </c>
      <c r="I114" s="13"/>
    </row>
    <row r="115" spans="1:9">
      <c r="A115" s="10" t="s">
        <v>283</v>
      </c>
      <c r="B115" s="11">
        <v>7628</v>
      </c>
      <c r="C115" s="12" t="s">
        <v>242</v>
      </c>
      <c r="D115" s="13">
        <v>0.5</v>
      </c>
      <c r="E115" s="14">
        <v>150</v>
      </c>
      <c r="F115" s="15">
        <f t="shared" si="2"/>
        <v>2.08917682926829</v>
      </c>
      <c r="G115" s="16">
        <v>27.41</v>
      </c>
      <c r="H115" s="17">
        <f t="shared" si="3"/>
        <v>4111.5</v>
      </c>
      <c r="I115" s="13"/>
    </row>
    <row r="116" spans="1:9">
      <c r="A116" s="10" t="s">
        <v>283</v>
      </c>
      <c r="B116" s="11">
        <v>7628</v>
      </c>
      <c r="C116" s="12" t="s">
        <v>243</v>
      </c>
      <c r="D116" s="13">
        <v>0.52</v>
      </c>
      <c r="E116" s="14">
        <v>150</v>
      </c>
      <c r="F116" s="15">
        <f t="shared" si="2"/>
        <v>2.15625</v>
      </c>
      <c r="G116" s="16">
        <v>28.29</v>
      </c>
      <c r="H116" s="17">
        <f t="shared" si="3"/>
        <v>4243.5</v>
      </c>
      <c r="I116" s="13"/>
    </row>
    <row r="117" spans="1:9">
      <c r="A117" s="10" t="s">
        <v>283</v>
      </c>
      <c r="B117" s="11">
        <v>2116</v>
      </c>
      <c r="C117" s="12" t="s">
        <v>248</v>
      </c>
      <c r="D117" s="13">
        <v>0.53</v>
      </c>
      <c r="E117" s="14">
        <v>250</v>
      </c>
      <c r="F117" s="15">
        <f t="shared" si="2"/>
        <v>1.94817073170732</v>
      </c>
      <c r="G117" s="16">
        <v>25.56</v>
      </c>
      <c r="H117" s="17">
        <f t="shared" si="3"/>
        <v>6390</v>
      </c>
      <c r="I117" s="13"/>
    </row>
    <row r="118" spans="1:9">
      <c r="A118" s="10" t="s">
        <v>283</v>
      </c>
      <c r="B118" s="11">
        <v>2116</v>
      </c>
      <c r="C118" s="12" t="s">
        <v>249</v>
      </c>
      <c r="D118" s="13">
        <v>0.54</v>
      </c>
      <c r="E118" s="14">
        <v>250</v>
      </c>
      <c r="F118" s="15">
        <f t="shared" si="2"/>
        <v>1.96036585365854</v>
      </c>
      <c r="G118" s="16">
        <v>25.72</v>
      </c>
      <c r="H118" s="17">
        <f t="shared" si="3"/>
        <v>6430</v>
      </c>
      <c r="I118" s="13"/>
    </row>
    <row r="119" spans="1:9">
      <c r="A119" s="10" t="s">
        <v>283</v>
      </c>
      <c r="B119" s="11">
        <v>2116</v>
      </c>
      <c r="C119" s="12" t="s">
        <v>250</v>
      </c>
      <c r="D119" s="13">
        <v>0.55</v>
      </c>
      <c r="E119" s="14">
        <v>250</v>
      </c>
      <c r="F119" s="15">
        <f t="shared" si="2"/>
        <v>1.96036585365854</v>
      </c>
      <c r="G119" s="16">
        <v>25.72</v>
      </c>
      <c r="H119" s="17">
        <f t="shared" si="3"/>
        <v>6430</v>
      </c>
      <c r="I119" s="13"/>
    </row>
    <row r="120" spans="1:9">
      <c r="A120" s="10" t="s">
        <v>283</v>
      </c>
      <c r="B120" s="11">
        <v>2116</v>
      </c>
      <c r="C120" s="12" t="s">
        <v>251</v>
      </c>
      <c r="D120" s="13">
        <v>0.56</v>
      </c>
      <c r="E120" s="14">
        <v>250</v>
      </c>
      <c r="F120" s="15">
        <f t="shared" si="2"/>
        <v>1.97256097560976</v>
      </c>
      <c r="G120" s="16">
        <v>25.88</v>
      </c>
      <c r="H120" s="17">
        <f t="shared" si="3"/>
        <v>6470</v>
      </c>
      <c r="I120" s="13"/>
    </row>
    <row r="121" spans="1:9">
      <c r="A121" s="10" t="s">
        <v>283</v>
      </c>
      <c r="B121" s="11">
        <v>2116</v>
      </c>
      <c r="C121" s="12" t="s">
        <v>244</v>
      </c>
      <c r="D121" s="13">
        <v>0.57</v>
      </c>
      <c r="E121" s="14">
        <v>250</v>
      </c>
      <c r="F121" s="15">
        <f t="shared" si="2"/>
        <v>2.02667682926829</v>
      </c>
      <c r="G121" s="16">
        <v>26.59</v>
      </c>
      <c r="H121" s="17">
        <f t="shared" si="3"/>
        <v>6647.5</v>
      </c>
      <c r="I121" s="13"/>
    </row>
    <row r="122" spans="1:9">
      <c r="A122" s="10" t="s">
        <v>283</v>
      </c>
      <c r="B122" s="11">
        <v>2116</v>
      </c>
      <c r="C122" s="12" t="s">
        <v>252</v>
      </c>
      <c r="D122" s="13">
        <v>0.58</v>
      </c>
      <c r="E122" s="14">
        <v>250</v>
      </c>
      <c r="F122" s="15">
        <f t="shared" si="2"/>
        <v>2.12576219512195</v>
      </c>
      <c r="G122" s="16">
        <v>27.89</v>
      </c>
      <c r="H122" s="17">
        <f t="shared" si="3"/>
        <v>6972.5</v>
      </c>
      <c r="I122" s="13"/>
    </row>
    <row r="123" spans="1:9">
      <c r="A123" s="10" t="s">
        <v>283</v>
      </c>
      <c r="B123" s="11">
        <v>2116</v>
      </c>
      <c r="C123" s="12" t="s">
        <v>245</v>
      </c>
      <c r="D123" s="13">
        <v>0.59</v>
      </c>
      <c r="E123" s="14">
        <v>250</v>
      </c>
      <c r="F123" s="15">
        <f t="shared" si="2"/>
        <v>2.12576219512195</v>
      </c>
      <c r="G123" s="16">
        <v>27.89</v>
      </c>
      <c r="H123" s="17">
        <f t="shared" si="3"/>
        <v>6972.5</v>
      </c>
      <c r="I123" s="13"/>
    </row>
    <row r="124" spans="1:9">
      <c r="A124" s="10" t="s">
        <v>283</v>
      </c>
      <c r="B124" s="11">
        <v>3313</v>
      </c>
      <c r="C124" s="12" t="s">
        <v>244</v>
      </c>
      <c r="D124" s="13">
        <v>0.57</v>
      </c>
      <c r="E124" s="14">
        <v>300</v>
      </c>
      <c r="F124" s="15">
        <f t="shared" si="2"/>
        <v>2.11051829268293</v>
      </c>
      <c r="G124" s="16">
        <v>27.69</v>
      </c>
      <c r="H124" s="17">
        <f t="shared" si="3"/>
        <v>8307</v>
      </c>
      <c r="I124" s="13"/>
    </row>
    <row r="125" spans="1:9">
      <c r="A125" s="10" t="s">
        <v>283</v>
      </c>
      <c r="B125" s="11">
        <v>1080</v>
      </c>
      <c r="C125" s="12" t="s">
        <v>253</v>
      </c>
      <c r="D125" s="13">
        <v>0.62</v>
      </c>
      <c r="E125" s="14">
        <v>300</v>
      </c>
      <c r="F125" s="15">
        <f t="shared" si="2"/>
        <v>1.88643292682927</v>
      </c>
      <c r="G125" s="16">
        <v>24.75</v>
      </c>
      <c r="H125" s="17">
        <f t="shared" si="3"/>
        <v>7425</v>
      </c>
      <c r="I125" s="13"/>
    </row>
    <row r="126" spans="1:9">
      <c r="A126" s="10" t="s">
        <v>283</v>
      </c>
      <c r="B126" s="11">
        <v>1080</v>
      </c>
      <c r="C126" s="12" t="s">
        <v>254</v>
      </c>
      <c r="D126" s="13">
        <v>0.63</v>
      </c>
      <c r="E126" s="14">
        <v>300</v>
      </c>
      <c r="F126" s="15">
        <f t="shared" si="2"/>
        <v>1.88643292682927</v>
      </c>
      <c r="G126" s="16">
        <v>24.75</v>
      </c>
      <c r="H126" s="17">
        <f t="shared" si="3"/>
        <v>7425</v>
      </c>
      <c r="I126" s="13"/>
    </row>
    <row r="127" spans="1:9">
      <c r="A127" s="10" t="s">
        <v>283</v>
      </c>
      <c r="B127" s="11">
        <v>1080</v>
      </c>
      <c r="C127" s="12" t="s">
        <v>255</v>
      </c>
      <c r="D127" s="13">
        <v>0.64</v>
      </c>
      <c r="E127" s="14">
        <v>300</v>
      </c>
      <c r="F127" s="15">
        <f t="shared" si="2"/>
        <v>1.89481707317073</v>
      </c>
      <c r="G127" s="16">
        <v>24.86</v>
      </c>
      <c r="H127" s="17">
        <f t="shared" si="3"/>
        <v>7458</v>
      </c>
      <c r="I127" s="13"/>
    </row>
    <row r="128" spans="1:9">
      <c r="A128" s="10" t="s">
        <v>283</v>
      </c>
      <c r="B128" s="11">
        <v>1080</v>
      </c>
      <c r="C128" s="12" t="s">
        <v>256</v>
      </c>
      <c r="D128" s="13">
        <v>0.65</v>
      </c>
      <c r="E128" s="14">
        <v>300</v>
      </c>
      <c r="F128" s="15">
        <f t="shared" si="2"/>
        <v>1.89481707317073</v>
      </c>
      <c r="G128" s="16">
        <v>24.86</v>
      </c>
      <c r="H128" s="17">
        <f t="shared" si="3"/>
        <v>7458</v>
      </c>
      <c r="I128" s="13"/>
    </row>
    <row r="129" spans="1:9">
      <c r="A129" s="10" t="s">
        <v>283</v>
      </c>
      <c r="B129" s="11">
        <v>1080</v>
      </c>
      <c r="C129" s="12" t="s">
        <v>257</v>
      </c>
      <c r="D129" s="13">
        <v>0.66</v>
      </c>
      <c r="E129" s="14">
        <v>300</v>
      </c>
      <c r="F129" s="15">
        <f t="shared" si="2"/>
        <v>1.87728658536585</v>
      </c>
      <c r="G129" s="16">
        <v>24.63</v>
      </c>
      <c r="H129" s="17">
        <f t="shared" si="3"/>
        <v>7389</v>
      </c>
      <c r="I129" s="13"/>
    </row>
    <row r="130" spans="1:9">
      <c r="A130" s="10" t="s">
        <v>283</v>
      </c>
      <c r="B130" s="11">
        <v>1080</v>
      </c>
      <c r="C130" s="12" t="s">
        <v>258</v>
      </c>
      <c r="D130" s="13">
        <v>0.67</v>
      </c>
      <c r="E130" s="14">
        <v>300</v>
      </c>
      <c r="F130" s="15">
        <f t="shared" si="2"/>
        <v>1.91158536585366</v>
      </c>
      <c r="G130" s="16">
        <v>25.08</v>
      </c>
      <c r="H130" s="17">
        <f t="shared" si="3"/>
        <v>7524</v>
      </c>
      <c r="I130" s="13"/>
    </row>
    <row r="131" spans="1:9">
      <c r="A131" s="10" t="s">
        <v>283</v>
      </c>
      <c r="B131" s="11">
        <v>1080</v>
      </c>
      <c r="C131" s="12" t="s">
        <v>259</v>
      </c>
      <c r="D131" s="13">
        <v>0.68</v>
      </c>
      <c r="E131" s="14">
        <v>300</v>
      </c>
      <c r="F131" s="15">
        <f t="shared" ref="F131:F194" si="4">G131/13.12</f>
        <v>1.9092987804878</v>
      </c>
      <c r="G131" s="16">
        <v>25.05</v>
      </c>
      <c r="H131" s="17">
        <f t="shared" ref="H131:H147" si="5">G131*E131</f>
        <v>7515</v>
      </c>
      <c r="I131" s="13"/>
    </row>
    <row r="132" spans="1:9">
      <c r="A132" s="10" t="s">
        <v>283</v>
      </c>
      <c r="B132" s="11">
        <v>1080</v>
      </c>
      <c r="C132" s="12" t="s">
        <v>260</v>
      </c>
      <c r="D132" s="13">
        <v>0.69</v>
      </c>
      <c r="E132" s="14">
        <v>300</v>
      </c>
      <c r="F132" s="15">
        <f t="shared" si="4"/>
        <v>2.01219512195122</v>
      </c>
      <c r="G132" s="16">
        <v>26.4</v>
      </c>
      <c r="H132" s="17">
        <f t="shared" si="5"/>
        <v>7920</v>
      </c>
      <c r="I132" s="13"/>
    </row>
    <row r="133" spans="1:9">
      <c r="A133" s="10" t="s">
        <v>283</v>
      </c>
      <c r="B133" s="11">
        <v>1080</v>
      </c>
      <c r="C133" s="12" t="s">
        <v>261</v>
      </c>
      <c r="D133" s="13">
        <v>0.7</v>
      </c>
      <c r="E133" s="14">
        <v>300</v>
      </c>
      <c r="F133" s="15">
        <f t="shared" si="4"/>
        <v>2.01448170731707</v>
      </c>
      <c r="G133" s="16">
        <v>26.43</v>
      </c>
      <c r="H133" s="17">
        <f t="shared" si="5"/>
        <v>7929</v>
      </c>
      <c r="I133" s="13"/>
    </row>
    <row r="134" spans="1:9">
      <c r="A134" s="10" t="s">
        <v>283</v>
      </c>
      <c r="B134" s="11">
        <v>106</v>
      </c>
      <c r="C134" s="12" t="s">
        <v>261</v>
      </c>
      <c r="D134" s="13">
        <v>0.7</v>
      </c>
      <c r="E134" s="14">
        <v>300</v>
      </c>
      <c r="F134" s="15">
        <f t="shared" si="4"/>
        <v>1.73399390243902</v>
      </c>
      <c r="G134" s="16">
        <v>22.75</v>
      </c>
      <c r="H134" s="17">
        <f t="shared" si="5"/>
        <v>6825</v>
      </c>
      <c r="I134" s="13"/>
    </row>
    <row r="135" spans="1:9">
      <c r="A135" s="10" t="s">
        <v>283</v>
      </c>
      <c r="B135" s="11">
        <v>106</v>
      </c>
      <c r="C135" s="12" t="s">
        <v>262</v>
      </c>
      <c r="D135" s="13">
        <v>0.71</v>
      </c>
      <c r="E135" s="14">
        <v>300</v>
      </c>
      <c r="F135" s="15">
        <f t="shared" si="4"/>
        <v>1.82698170731707</v>
      </c>
      <c r="G135" s="16">
        <v>23.97</v>
      </c>
      <c r="H135" s="17">
        <f t="shared" si="5"/>
        <v>7191</v>
      </c>
      <c r="I135" s="13"/>
    </row>
    <row r="136" spans="1:9">
      <c r="A136" s="10" t="s">
        <v>283</v>
      </c>
      <c r="B136" s="11">
        <v>106</v>
      </c>
      <c r="C136" s="12" t="s">
        <v>263</v>
      </c>
      <c r="D136" s="13">
        <v>0.72</v>
      </c>
      <c r="E136" s="14">
        <v>300</v>
      </c>
      <c r="F136" s="15">
        <f t="shared" si="4"/>
        <v>1.85060975609756</v>
      </c>
      <c r="G136" s="16">
        <v>24.28</v>
      </c>
      <c r="H136" s="17">
        <f t="shared" si="5"/>
        <v>7284</v>
      </c>
      <c r="I136" s="13"/>
    </row>
    <row r="137" spans="1:9">
      <c r="A137" s="10" t="s">
        <v>283</v>
      </c>
      <c r="B137" s="11">
        <v>106</v>
      </c>
      <c r="C137" s="12" t="s">
        <v>264</v>
      </c>
      <c r="D137" s="13">
        <v>0.73</v>
      </c>
      <c r="E137" s="14">
        <v>300</v>
      </c>
      <c r="F137" s="15">
        <f t="shared" si="4"/>
        <v>1.85060975609756</v>
      </c>
      <c r="G137" s="16">
        <v>24.28</v>
      </c>
      <c r="H137" s="17">
        <f t="shared" si="5"/>
        <v>7284</v>
      </c>
      <c r="I137" s="13"/>
    </row>
    <row r="138" spans="1:9">
      <c r="A138" s="10" t="s">
        <v>283</v>
      </c>
      <c r="B138" s="11">
        <v>106</v>
      </c>
      <c r="C138" s="12" t="s">
        <v>265</v>
      </c>
      <c r="D138" s="13">
        <v>0.74</v>
      </c>
      <c r="E138" s="14">
        <v>300</v>
      </c>
      <c r="F138" s="15">
        <f t="shared" si="4"/>
        <v>1.89100609756098</v>
      </c>
      <c r="G138" s="16">
        <v>24.81</v>
      </c>
      <c r="H138" s="17">
        <f t="shared" si="5"/>
        <v>7443</v>
      </c>
      <c r="I138" s="13"/>
    </row>
    <row r="139" spans="1:9">
      <c r="A139" s="10" t="s">
        <v>283</v>
      </c>
      <c r="B139" s="11">
        <v>106</v>
      </c>
      <c r="C139" s="12" t="s">
        <v>266</v>
      </c>
      <c r="D139" s="13">
        <v>0.75</v>
      </c>
      <c r="E139" s="14">
        <v>300</v>
      </c>
      <c r="F139" s="15">
        <f t="shared" si="4"/>
        <v>1.89100609756098</v>
      </c>
      <c r="G139" s="16">
        <v>24.81</v>
      </c>
      <c r="H139" s="17">
        <f t="shared" si="5"/>
        <v>7443</v>
      </c>
      <c r="I139" s="13"/>
    </row>
    <row r="140" spans="1:9">
      <c r="A140" s="10" t="s">
        <v>283</v>
      </c>
      <c r="B140" s="11">
        <v>106</v>
      </c>
      <c r="C140" s="12" t="s">
        <v>267</v>
      </c>
      <c r="D140" s="13">
        <v>0.76</v>
      </c>
      <c r="E140" s="14">
        <v>300</v>
      </c>
      <c r="F140" s="15">
        <f t="shared" si="4"/>
        <v>1.89329268292683</v>
      </c>
      <c r="G140" s="16">
        <v>24.84</v>
      </c>
      <c r="H140" s="17">
        <f t="shared" si="5"/>
        <v>7452</v>
      </c>
      <c r="I140" s="13"/>
    </row>
    <row r="141" spans="1:9">
      <c r="A141" s="10" t="s">
        <v>283</v>
      </c>
      <c r="B141" s="11">
        <v>106</v>
      </c>
      <c r="C141" s="12" t="s">
        <v>268</v>
      </c>
      <c r="D141" s="13">
        <v>0.77</v>
      </c>
      <c r="E141" s="14">
        <v>300</v>
      </c>
      <c r="F141" s="15">
        <f t="shared" si="4"/>
        <v>1.96493902439024</v>
      </c>
      <c r="G141" s="16">
        <v>25.78</v>
      </c>
      <c r="H141" s="17">
        <f t="shared" si="5"/>
        <v>7734</v>
      </c>
      <c r="I141" s="13"/>
    </row>
    <row r="142" spans="1:9">
      <c r="A142" s="10" t="s">
        <v>283</v>
      </c>
      <c r="B142" s="11">
        <v>106</v>
      </c>
      <c r="C142" s="12" t="s">
        <v>269</v>
      </c>
      <c r="D142" s="13">
        <v>0.78</v>
      </c>
      <c r="E142" s="14">
        <v>300</v>
      </c>
      <c r="F142" s="15">
        <f t="shared" si="4"/>
        <v>1.94740853658537</v>
      </c>
      <c r="G142" s="16">
        <v>25.55</v>
      </c>
      <c r="H142" s="17">
        <f t="shared" si="5"/>
        <v>7665</v>
      </c>
      <c r="I142" s="13"/>
    </row>
    <row r="143" spans="1:9">
      <c r="A143" s="10" t="s">
        <v>283</v>
      </c>
      <c r="B143" s="11">
        <v>1067</v>
      </c>
      <c r="C143" s="12" t="s">
        <v>262</v>
      </c>
      <c r="D143" s="13">
        <v>0.71</v>
      </c>
      <c r="E143" s="14">
        <v>300</v>
      </c>
      <c r="F143" s="15">
        <f t="shared" si="4"/>
        <v>1.89329268292683</v>
      </c>
      <c r="G143" s="16">
        <v>24.84</v>
      </c>
      <c r="H143" s="17">
        <f t="shared" si="5"/>
        <v>7452</v>
      </c>
      <c r="I143" s="13"/>
    </row>
    <row r="144" spans="1:9">
      <c r="A144" s="10" t="s">
        <v>283</v>
      </c>
      <c r="B144" s="11">
        <v>1067</v>
      </c>
      <c r="C144" s="12" t="s">
        <v>265</v>
      </c>
      <c r="D144" s="13">
        <v>0.74</v>
      </c>
      <c r="E144" s="14">
        <v>300</v>
      </c>
      <c r="F144" s="15">
        <f t="shared" si="4"/>
        <v>2.04039634146341</v>
      </c>
      <c r="G144" s="16">
        <v>26.77</v>
      </c>
      <c r="H144" s="17">
        <f t="shared" si="5"/>
        <v>8031</v>
      </c>
      <c r="I144" s="13"/>
    </row>
    <row r="145" spans="1:9">
      <c r="A145" s="10" t="s">
        <v>283</v>
      </c>
      <c r="B145" s="11">
        <v>1067</v>
      </c>
      <c r="C145" s="12" t="s">
        <v>266</v>
      </c>
      <c r="D145" s="13">
        <v>0.75</v>
      </c>
      <c r="E145" s="14">
        <v>300</v>
      </c>
      <c r="F145" s="15">
        <f t="shared" si="4"/>
        <v>2.0922256097561</v>
      </c>
      <c r="G145" s="16">
        <v>27.45</v>
      </c>
      <c r="H145" s="17">
        <f t="shared" si="5"/>
        <v>8235</v>
      </c>
      <c r="I145" s="13"/>
    </row>
    <row r="146" spans="1:9">
      <c r="A146" s="10" t="s">
        <v>283</v>
      </c>
      <c r="B146" s="11">
        <v>1067</v>
      </c>
      <c r="C146" s="12" t="s">
        <v>267</v>
      </c>
      <c r="D146" s="13">
        <v>0.76</v>
      </c>
      <c r="E146" s="14">
        <v>300</v>
      </c>
      <c r="F146" s="15">
        <f t="shared" si="4"/>
        <v>2.10823170731707</v>
      </c>
      <c r="G146" s="16">
        <v>27.66</v>
      </c>
      <c r="H146" s="17">
        <f t="shared" si="5"/>
        <v>8298</v>
      </c>
      <c r="I146" s="13"/>
    </row>
    <row r="147" spans="1:9">
      <c r="A147" s="10" t="s">
        <v>283</v>
      </c>
      <c r="B147" s="11">
        <v>1078</v>
      </c>
      <c r="C147" s="12" t="s">
        <v>256</v>
      </c>
      <c r="D147" s="13">
        <v>0.65</v>
      </c>
      <c r="E147" s="14">
        <v>300</v>
      </c>
      <c r="F147" s="15">
        <f t="shared" si="4"/>
        <v>2.02515243902439</v>
      </c>
      <c r="G147" s="16">
        <v>26.57</v>
      </c>
      <c r="H147" s="17">
        <f t="shared" si="5"/>
        <v>7971</v>
      </c>
      <c r="I147" s="13"/>
    </row>
    <row r="148" spans="1:9">
      <c r="A148" s="10" t="s">
        <v>284</v>
      </c>
      <c r="B148" s="11">
        <v>106</v>
      </c>
      <c r="C148" s="12" t="s">
        <v>267</v>
      </c>
      <c r="D148" s="13">
        <v>0.76</v>
      </c>
      <c r="E148" s="14">
        <v>300</v>
      </c>
      <c r="F148" s="15">
        <f t="shared" si="4"/>
        <v>2.01448170731707</v>
      </c>
      <c r="G148" s="16">
        <v>26.43</v>
      </c>
      <c r="H148" s="17">
        <f t="shared" ref="H148:H154" si="6">E148*G148</f>
        <v>7929</v>
      </c>
      <c r="I148" s="13"/>
    </row>
    <row r="149" spans="1:9">
      <c r="A149" s="10" t="s">
        <v>284</v>
      </c>
      <c r="B149" s="11">
        <v>1067</v>
      </c>
      <c r="C149" s="12" t="s">
        <v>265</v>
      </c>
      <c r="D149" s="13">
        <v>0.74</v>
      </c>
      <c r="E149" s="14">
        <v>300</v>
      </c>
      <c r="F149" s="15">
        <f t="shared" si="4"/>
        <v>2.02667682926829</v>
      </c>
      <c r="G149" s="16">
        <v>26.59</v>
      </c>
      <c r="H149" s="17">
        <f t="shared" si="6"/>
        <v>7977</v>
      </c>
      <c r="I149" s="13"/>
    </row>
    <row r="150" spans="1:9">
      <c r="A150" s="10" t="s">
        <v>284</v>
      </c>
      <c r="B150" s="11" t="s">
        <v>274</v>
      </c>
      <c r="C150" s="12" t="s">
        <v>255</v>
      </c>
      <c r="D150" s="13">
        <v>0.64</v>
      </c>
      <c r="E150" s="14">
        <v>300</v>
      </c>
      <c r="F150" s="15">
        <f t="shared" si="4"/>
        <v>1.95121951219512</v>
      </c>
      <c r="G150" s="16">
        <v>25.6</v>
      </c>
      <c r="H150" s="17">
        <f t="shared" si="6"/>
        <v>7680</v>
      </c>
      <c r="I150" s="13"/>
    </row>
    <row r="151" spans="1:9">
      <c r="A151" s="10" t="s">
        <v>284</v>
      </c>
      <c r="B151" s="11" t="s">
        <v>274</v>
      </c>
      <c r="C151" s="12" t="s">
        <v>257</v>
      </c>
      <c r="D151" s="13">
        <v>0.66</v>
      </c>
      <c r="E151" s="14">
        <v>300</v>
      </c>
      <c r="F151" s="15">
        <f t="shared" si="4"/>
        <v>2.00457317073171</v>
      </c>
      <c r="G151" s="16">
        <v>26.3</v>
      </c>
      <c r="H151" s="17">
        <f t="shared" si="6"/>
        <v>7890</v>
      </c>
      <c r="I151" s="13"/>
    </row>
    <row r="152" spans="1:9">
      <c r="A152" s="10" t="s">
        <v>284</v>
      </c>
      <c r="B152" s="11" t="s">
        <v>274</v>
      </c>
      <c r="C152" s="12" t="s">
        <v>259</v>
      </c>
      <c r="D152" s="13">
        <v>0.68</v>
      </c>
      <c r="E152" s="14">
        <v>300</v>
      </c>
      <c r="F152" s="15">
        <f t="shared" si="4"/>
        <v>2.05411585365854</v>
      </c>
      <c r="G152" s="16">
        <v>26.95</v>
      </c>
      <c r="H152" s="17">
        <f t="shared" si="6"/>
        <v>8085</v>
      </c>
      <c r="I152" s="13"/>
    </row>
    <row r="153" spans="1:9">
      <c r="A153" s="10" t="s">
        <v>284</v>
      </c>
      <c r="B153" s="11" t="s">
        <v>274</v>
      </c>
      <c r="C153" s="12" t="s">
        <v>261</v>
      </c>
      <c r="D153" s="13">
        <v>0.7</v>
      </c>
      <c r="E153" s="14">
        <v>300</v>
      </c>
      <c r="F153" s="15">
        <f t="shared" si="4"/>
        <v>2.17987804878049</v>
      </c>
      <c r="G153" s="16">
        <v>28.6</v>
      </c>
      <c r="H153" s="17">
        <f t="shared" si="6"/>
        <v>8580</v>
      </c>
      <c r="I153" s="13"/>
    </row>
    <row r="154" spans="1:9">
      <c r="A154" s="10" t="s">
        <v>284</v>
      </c>
      <c r="B154" s="11">
        <v>2116</v>
      </c>
      <c r="C154" s="12" t="s">
        <v>246</v>
      </c>
      <c r="D154" s="13">
        <v>0.6</v>
      </c>
      <c r="E154" s="14">
        <v>250</v>
      </c>
      <c r="F154" s="15">
        <f t="shared" si="4"/>
        <v>2.73551829268293</v>
      </c>
      <c r="G154" s="16">
        <v>35.89</v>
      </c>
      <c r="H154" s="17">
        <f t="shared" si="6"/>
        <v>8972.5</v>
      </c>
      <c r="I154" s="13"/>
    </row>
    <row r="155" spans="1:9">
      <c r="A155" s="10" t="s">
        <v>284</v>
      </c>
      <c r="B155" s="11">
        <v>7628</v>
      </c>
      <c r="C155" s="12" t="s">
        <v>242</v>
      </c>
      <c r="D155" s="13">
        <v>0.5</v>
      </c>
      <c r="E155" s="14">
        <v>150</v>
      </c>
      <c r="F155" s="15">
        <f t="shared" si="4"/>
        <v>2.4657012195122</v>
      </c>
      <c r="G155" s="16">
        <v>32.35</v>
      </c>
      <c r="H155" s="17">
        <f t="shared" ref="H155:H159" si="7">G155*E155</f>
        <v>4852.5</v>
      </c>
      <c r="I155" s="13"/>
    </row>
    <row r="156" spans="1:9">
      <c r="A156" s="10" t="s">
        <v>285</v>
      </c>
      <c r="B156" s="11">
        <v>1027</v>
      </c>
      <c r="C156" s="12" t="s">
        <v>267</v>
      </c>
      <c r="D156" s="13">
        <v>0.76</v>
      </c>
      <c r="E156" s="14">
        <v>300</v>
      </c>
      <c r="F156" s="15">
        <f t="shared" si="4"/>
        <v>4.02439024390244</v>
      </c>
      <c r="G156" s="16">
        <v>52.8</v>
      </c>
      <c r="H156" s="17">
        <f t="shared" si="7"/>
        <v>15840</v>
      </c>
      <c r="I156" s="13"/>
    </row>
    <row r="157" spans="1:9">
      <c r="A157" s="10" t="s">
        <v>285</v>
      </c>
      <c r="B157" s="11">
        <v>1037</v>
      </c>
      <c r="C157" s="12" t="s">
        <v>261</v>
      </c>
      <c r="D157" s="13">
        <v>0.7</v>
      </c>
      <c r="E157" s="14">
        <v>300</v>
      </c>
      <c r="F157" s="15">
        <f t="shared" si="4"/>
        <v>2.26905487804878</v>
      </c>
      <c r="G157" s="16">
        <v>29.77</v>
      </c>
      <c r="H157" s="17">
        <f t="shared" si="7"/>
        <v>8931</v>
      </c>
      <c r="I157" s="13"/>
    </row>
    <row r="158" spans="1:9">
      <c r="A158" s="10" t="s">
        <v>285</v>
      </c>
      <c r="B158" s="11">
        <v>1037</v>
      </c>
      <c r="C158" s="12" t="s">
        <v>263</v>
      </c>
      <c r="D158" s="13">
        <v>0.72</v>
      </c>
      <c r="E158" s="14">
        <v>300</v>
      </c>
      <c r="F158" s="15">
        <f t="shared" si="4"/>
        <v>2.26905487804878</v>
      </c>
      <c r="G158" s="16">
        <v>29.77</v>
      </c>
      <c r="H158" s="17">
        <f t="shared" si="7"/>
        <v>8931</v>
      </c>
      <c r="I158" s="13"/>
    </row>
    <row r="159" spans="1:9">
      <c r="A159" s="10" t="s">
        <v>285</v>
      </c>
      <c r="B159" s="11">
        <v>1067</v>
      </c>
      <c r="C159" s="12" t="s">
        <v>263</v>
      </c>
      <c r="D159" s="13">
        <v>0.72</v>
      </c>
      <c r="E159" s="14">
        <v>300</v>
      </c>
      <c r="F159" s="15">
        <f t="shared" si="4"/>
        <v>1.85213414634146</v>
      </c>
      <c r="G159" s="16">
        <v>24.3</v>
      </c>
      <c r="H159" s="17">
        <f t="shared" si="7"/>
        <v>7290</v>
      </c>
      <c r="I159" s="13"/>
    </row>
    <row r="160" spans="1:9">
      <c r="A160" s="10" t="s">
        <v>286</v>
      </c>
      <c r="B160" s="11">
        <v>106</v>
      </c>
      <c r="C160" s="12" t="s">
        <v>265</v>
      </c>
      <c r="D160" s="13">
        <v>0.74</v>
      </c>
      <c r="E160" s="14">
        <v>300</v>
      </c>
      <c r="F160" s="15">
        <f t="shared" si="4"/>
        <v>2.10060975609756</v>
      </c>
      <c r="G160" s="16">
        <v>27.56</v>
      </c>
      <c r="H160" s="17">
        <f t="shared" ref="H160:H165" si="8">E160*G160</f>
        <v>8268</v>
      </c>
      <c r="I160" s="13"/>
    </row>
    <row r="161" spans="1:9">
      <c r="A161" s="10" t="s">
        <v>286</v>
      </c>
      <c r="B161" s="11">
        <v>106</v>
      </c>
      <c r="C161" s="12" t="s">
        <v>267</v>
      </c>
      <c r="D161" s="13">
        <v>0.76</v>
      </c>
      <c r="E161" s="14">
        <v>300</v>
      </c>
      <c r="F161" s="15">
        <f t="shared" si="4"/>
        <v>2.10060975609756</v>
      </c>
      <c r="G161" s="16">
        <v>27.56</v>
      </c>
      <c r="H161" s="17">
        <f t="shared" si="8"/>
        <v>8268</v>
      </c>
      <c r="I161" s="13"/>
    </row>
    <row r="162" spans="1:9">
      <c r="A162" s="10" t="s">
        <v>286</v>
      </c>
      <c r="B162" s="11">
        <v>1027</v>
      </c>
      <c r="C162" s="12" t="s">
        <v>263</v>
      </c>
      <c r="D162" s="13">
        <v>0.72</v>
      </c>
      <c r="E162" s="14">
        <v>300</v>
      </c>
      <c r="F162" s="15">
        <f t="shared" si="4"/>
        <v>2.74390243902439</v>
      </c>
      <c r="G162" s="16">
        <v>36</v>
      </c>
      <c r="H162" s="17">
        <f t="shared" si="8"/>
        <v>10800</v>
      </c>
      <c r="I162" s="13"/>
    </row>
    <row r="163" spans="1:9">
      <c r="A163" s="10" t="s">
        <v>286</v>
      </c>
      <c r="B163" s="11">
        <v>1027</v>
      </c>
      <c r="C163" s="12" t="s">
        <v>265</v>
      </c>
      <c r="D163" s="13">
        <v>0.74</v>
      </c>
      <c r="E163" s="14">
        <v>300</v>
      </c>
      <c r="F163" s="15">
        <f t="shared" si="4"/>
        <v>2.76219512195122</v>
      </c>
      <c r="G163" s="16">
        <v>36.24</v>
      </c>
      <c r="H163" s="17">
        <f t="shared" si="8"/>
        <v>10872</v>
      </c>
      <c r="I163" s="13"/>
    </row>
    <row r="164" spans="1:9">
      <c r="A164" s="10" t="s">
        <v>286</v>
      </c>
      <c r="B164" s="11">
        <v>1067</v>
      </c>
      <c r="C164" s="12" t="s">
        <v>260</v>
      </c>
      <c r="D164" s="13">
        <v>0.69</v>
      </c>
      <c r="E164" s="14">
        <v>300</v>
      </c>
      <c r="F164" s="15">
        <f t="shared" si="4"/>
        <v>2.02515243902439</v>
      </c>
      <c r="G164" s="16">
        <v>26.57</v>
      </c>
      <c r="H164" s="17">
        <f t="shared" si="8"/>
        <v>7971</v>
      </c>
      <c r="I164" s="13"/>
    </row>
    <row r="165" spans="1:9">
      <c r="A165" s="10" t="s">
        <v>286</v>
      </c>
      <c r="B165" s="11">
        <v>1067</v>
      </c>
      <c r="C165" s="12" t="s">
        <v>265</v>
      </c>
      <c r="D165" s="13">
        <v>0.74</v>
      </c>
      <c r="E165" s="14">
        <v>300</v>
      </c>
      <c r="F165" s="15">
        <f t="shared" si="4"/>
        <v>2.16615853658537</v>
      </c>
      <c r="G165" s="16">
        <v>28.42</v>
      </c>
      <c r="H165" s="17">
        <f t="shared" si="8"/>
        <v>8526</v>
      </c>
      <c r="I165" s="13"/>
    </row>
    <row r="166" spans="1:9">
      <c r="A166" s="10" t="s">
        <v>286</v>
      </c>
      <c r="B166" s="11">
        <v>1078</v>
      </c>
      <c r="C166" s="12" t="s">
        <v>261</v>
      </c>
      <c r="D166" s="13">
        <v>0.7</v>
      </c>
      <c r="E166" s="14">
        <v>300</v>
      </c>
      <c r="F166" s="15">
        <f t="shared" si="4"/>
        <v>2.39024390243902</v>
      </c>
      <c r="G166" s="16">
        <v>31.36</v>
      </c>
      <c r="H166" s="17">
        <f>G166*E166</f>
        <v>9408</v>
      </c>
      <c r="I166" s="13"/>
    </row>
    <row r="167" spans="1:9">
      <c r="A167" s="10" t="s">
        <v>286</v>
      </c>
      <c r="B167" s="11">
        <v>1080</v>
      </c>
      <c r="C167" s="12" t="s">
        <v>255</v>
      </c>
      <c r="D167" s="13">
        <v>0.64</v>
      </c>
      <c r="E167" s="14">
        <v>300</v>
      </c>
      <c r="F167" s="15">
        <f t="shared" si="4"/>
        <v>1.7827743902439</v>
      </c>
      <c r="G167" s="16">
        <v>23.39</v>
      </c>
      <c r="H167" s="17">
        <f t="shared" ref="H167:H201" si="9">E167*G167</f>
        <v>7017</v>
      </c>
      <c r="I167" s="13"/>
    </row>
    <row r="168" spans="1:9">
      <c r="A168" s="10" t="s">
        <v>286</v>
      </c>
      <c r="B168" s="11">
        <v>1080</v>
      </c>
      <c r="C168" s="12" t="s">
        <v>256</v>
      </c>
      <c r="D168" s="13">
        <v>0.66</v>
      </c>
      <c r="E168" s="14">
        <v>300</v>
      </c>
      <c r="F168" s="15">
        <f t="shared" si="4"/>
        <v>2.0625</v>
      </c>
      <c r="G168" s="16">
        <v>27.06</v>
      </c>
      <c r="H168" s="17">
        <f t="shared" si="9"/>
        <v>8118</v>
      </c>
      <c r="I168" s="13"/>
    </row>
    <row r="169" spans="1:9">
      <c r="A169" s="10" t="s">
        <v>286</v>
      </c>
      <c r="B169" s="11">
        <v>1080</v>
      </c>
      <c r="C169" s="12" t="s">
        <v>257</v>
      </c>
      <c r="D169" s="13">
        <v>0.66</v>
      </c>
      <c r="E169" s="14">
        <v>300</v>
      </c>
      <c r="F169" s="15">
        <f t="shared" si="4"/>
        <v>2.17378048780488</v>
      </c>
      <c r="G169" s="16">
        <v>28.52</v>
      </c>
      <c r="H169" s="17">
        <f t="shared" si="9"/>
        <v>8556</v>
      </c>
      <c r="I169" s="13"/>
    </row>
    <row r="170" spans="1:9">
      <c r="A170" s="10" t="s">
        <v>286</v>
      </c>
      <c r="B170" s="11">
        <v>1080</v>
      </c>
      <c r="C170" s="12" t="s">
        <v>259</v>
      </c>
      <c r="D170" s="13">
        <v>0.68</v>
      </c>
      <c r="E170" s="14">
        <v>300</v>
      </c>
      <c r="F170" s="15">
        <f t="shared" si="4"/>
        <v>2.29344512195122</v>
      </c>
      <c r="G170" s="16">
        <v>30.09</v>
      </c>
      <c r="H170" s="17">
        <f t="shared" si="9"/>
        <v>9027</v>
      </c>
      <c r="I170" s="13"/>
    </row>
    <row r="171" spans="1:9">
      <c r="A171" s="10" t="s">
        <v>286</v>
      </c>
      <c r="B171" s="11">
        <v>1080</v>
      </c>
      <c r="C171" s="12" t="s">
        <v>263</v>
      </c>
      <c r="D171" s="13">
        <v>0.72</v>
      </c>
      <c r="E171" s="14">
        <v>300</v>
      </c>
      <c r="F171" s="15">
        <f t="shared" si="4"/>
        <v>2.63033536585366</v>
      </c>
      <c r="G171" s="16">
        <v>34.51</v>
      </c>
      <c r="H171" s="17">
        <f t="shared" si="9"/>
        <v>10353</v>
      </c>
      <c r="I171" s="13"/>
    </row>
    <row r="172" spans="1:9">
      <c r="A172" s="10" t="s">
        <v>286</v>
      </c>
      <c r="B172" s="11">
        <v>2116</v>
      </c>
      <c r="C172" s="12" t="s">
        <v>251</v>
      </c>
      <c r="D172" s="13">
        <v>0.56</v>
      </c>
      <c r="E172" s="14">
        <v>250</v>
      </c>
      <c r="F172" s="15">
        <f t="shared" si="4"/>
        <v>1.9657012195122</v>
      </c>
      <c r="G172" s="16">
        <v>25.79</v>
      </c>
      <c r="H172" s="17">
        <f t="shared" si="9"/>
        <v>6447.5</v>
      </c>
      <c r="I172" s="13"/>
    </row>
    <row r="173" spans="1:9">
      <c r="A173" s="10" t="s">
        <v>286</v>
      </c>
      <c r="B173" s="11">
        <v>2116</v>
      </c>
      <c r="C173" s="12" t="s">
        <v>252</v>
      </c>
      <c r="D173" s="13">
        <v>0.58</v>
      </c>
      <c r="E173" s="14">
        <v>250</v>
      </c>
      <c r="F173" s="15">
        <f t="shared" si="4"/>
        <v>2.00762195121951</v>
      </c>
      <c r="G173" s="16">
        <v>26.34</v>
      </c>
      <c r="H173" s="17">
        <f t="shared" si="9"/>
        <v>6585</v>
      </c>
      <c r="I173" s="13"/>
    </row>
    <row r="174" spans="1:9">
      <c r="A174" s="10" t="s">
        <v>286</v>
      </c>
      <c r="B174" s="11">
        <v>2116</v>
      </c>
      <c r="C174" s="12" t="s">
        <v>246</v>
      </c>
      <c r="D174" s="13">
        <v>0.6</v>
      </c>
      <c r="E174" s="14">
        <v>250</v>
      </c>
      <c r="F174" s="15">
        <f t="shared" si="4"/>
        <v>2.28125</v>
      </c>
      <c r="G174" s="16">
        <v>29.93</v>
      </c>
      <c r="H174" s="17">
        <f t="shared" si="9"/>
        <v>7482.5</v>
      </c>
      <c r="I174" s="13"/>
    </row>
    <row r="175" spans="1:9">
      <c r="A175" s="10" t="s">
        <v>287</v>
      </c>
      <c r="B175" s="11">
        <v>1080</v>
      </c>
      <c r="C175" s="12" t="s">
        <v>254</v>
      </c>
      <c r="D175" s="13">
        <v>0.63</v>
      </c>
      <c r="E175" s="14">
        <v>300</v>
      </c>
      <c r="F175" s="15">
        <f t="shared" si="4"/>
        <v>2.33384146341463</v>
      </c>
      <c r="G175" s="16">
        <v>30.62</v>
      </c>
      <c r="H175" s="17">
        <f t="shared" si="9"/>
        <v>9186</v>
      </c>
      <c r="I175" s="13"/>
    </row>
    <row r="176" spans="1:9">
      <c r="A176" s="10" t="s">
        <v>287</v>
      </c>
      <c r="B176" s="11">
        <v>1080</v>
      </c>
      <c r="C176" s="12" t="s">
        <v>256</v>
      </c>
      <c r="D176" s="13">
        <v>0.65</v>
      </c>
      <c r="E176" s="14">
        <v>300</v>
      </c>
      <c r="F176" s="15">
        <f t="shared" si="4"/>
        <v>2.39939024390244</v>
      </c>
      <c r="G176" s="16">
        <v>31.48</v>
      </c>
      <c r="H176" s="17">
        <f t="shared" si="9"/>
        <v>9444</v>
      </c>
      <c r="I176" s="13"/>
    </row>
    <row r="177" spans="1:9">
      <c r="A177" s="10" t="s">
        <v>287</v>
      </c>
      <c r="B177" s="11">
        <v>1080</v>
      </c>
      <c r="C177" s="12" t="s">
        <v>257</v>
      </c>
      <c r="D177" s="13">
        <v>0.66</v>
      </c>
      <c r="E177" s="14">
        <v>300</v>
      </c>
      <c r="F177" s="15">
        <f t="shared" si="4"/>
        <v>2.43978658536585</v>
      </c>
      <c r="G177" s="16">
        <v>32.01</v>
      </c>
      <c r="H177" s="17">
        <f t="shared" si="9"/>
        <v>9603</v>
      </c>
      <c r="I177" s="13"/>
    </row>
    <row r="178" spans="1:9">
      <c r="A178" s="10" t="s">
        <v>287</v>
      </c>
      <c r="B178" s="11">
        <v>1080</v>
      </c>
      <c r="C178" s="12" t="s">
        <v>258</v>
      </c>
      <c r="D178" s="13">
        <v>0.67</v>
      </c>
      <c r="E178" s="14">
        <v>300</v>
      </c>
      <c r="F178" s="15">
        <f t="shared" si="4"/>
        <v>2.44969512195122</v>
      </c>
      <c r="G178" s="16">
        <v>32.14</v>
      </c>
      <c r="H178" s="17">
        <f t="shared" si="9"/>
        <v>9642</v>
      </c>
      <c r="I178" s="13"/>
    </row>
    <row r="179" spans="1:9">
      <c r="A179" s="10" t="s">
        <v>287</v>
      </c>
      <c r="B179" s="11">
        <v>1080</v>
      </c>
      <c r="C179" s="12" t="s">
        <v>259</v>
      </c>
      <c r="D179" s="13">
        <v>0.68</v>
      </c>
      <c r="E179" s="14">
        <v>300</v>
      </c>
      <c r="F179" s="15">
        <f t="shared" si="4"/>
        <v>2.49466463414634</v>
      </c>
      <c r="G179" s="16">
        <v>32.73</v>
      </c>
      <c r="H179" s="17">
        <f t="shared" si="9"/>
        <v>9819</v>
      </c>
      <c r="I179" s="13"/>
    </row>
    <row r="180" spans="1:9">
      <c r="A180" s="10" t="s">
        <v>287</v>
      </c>
      <c r="B180" s="11">
        <v>1080</v>
      </c>
      <c r="C180" s="12" t="s">
        <v>261</v>
      </c>
      <c r="D180" s="13">
        <v>0.7</v>
      </c>
      <c r="E180" s="14">
        <v>300</v>
      </c>
      <c r="F180" s="15">
        <f t="shared" si="4"/>
        <v>2.76448170731707</v>
      </c>
      <c r="G180" s="16">
        <v>36.27</v>
      </c>
      <c r="H180" s="17">
        <f t="shared" si="9"/>
        <v>10881</v>
      </c>
      <c r="I180" s="13"/>
    </row>
    <row r="181" spans="1:9">
      <c r="A181" s="10" t="s">
        <v>287</v>
      </c>
      <c r="B181" s="11">
        <v>1080</v>
      </c>
      <c r="C181" s="12" t="s">
        <v>263</v>
      </c>
      <c r="D181" s="13">
        <v>0.72</v>
      </c>
      <c r="E181" s="14">
        <v>300</v>
      </c>
      <c r="F181" s="15">
        <f t="shared" si="4"/>
        <v>2.84832317073171</v>
      </c>
      <c r="G181" s="16">
        <v>37.37</v>
      </c>
      <c r="H181" s="17">
        <f t="shared" si="9"/>
        <v>11211</v>
      </c>
      <c r="I181" s="13"/>
    </row>
    <row r="182" spans="1:9">
      <c r="A182" s="10" t="s">
        <v>287</v>
      </c>
      <c r="B182" s="11">
        <v>2116</v>
      </c>
      <c r="C182" s="12" t="s">
        <v>248</v>
      </c>
      <c r="D182" s="13">
        <v>0.53</v>
      </c>
      <c r="E182" s="14">
        <v>250</v>
      </c>
      <c r="F182" s="15">
        <f t="shared" si="4"/>
        <v>2.59375</v>
      </c>
      <c r="G182" s="16">
        <v>34.03</v>
      </c>
      <c r="H182" s="17">
        <f t="shared" si="9"/>
        <v>8507.5</v>
      </c>
      <c r="I182" s="13"/>
    </row>
    <row r="183" spans="1:9">
      <c r="A183" s="10" t="s">
        <v>287</v>
      </c>
      <c r="B183" s="11">
        <v>2116</v>
      </c>
      <c r="C183" s="12" t="s">
        <v>250</v>
      </c>
      <c r="D183" s="13">
        <v>0.55</v>
      </c>
      <c r="E183" s="14">
        <v>250</v>
      </c>
      <c r="F183" s="15">
        <f t="shared" si="4"/>
        <v>2.83536585365854</v>
      </c>
      <c r="G183" s="16">
        <v>37.2</v>
      </c>
      <c r="H183" s="17">
        <f t="shared" si="9"/>
        <v>9300</v>
      </c>
      <c r="I183" s="13"/>
    </row>
    <row r="184" spans="1:9">
      <c r="A184" s="10" t="s">
        <v>287</v>
      </c>
      <c r="B184" s="11">
        <v>2116</v>
      </c>
      <c r="C184" s="12" t="s">
        <v>244</v>
      </c>
      <c r="D184" s="13">
        <v>0.57</v>
      </c>
      <c r="E184" s="14">
        <v>250</v>
      </c>
      <c r="F184" s="15">
        <f t="shared" si="4"/>
        <v>2.80106707317073</v>
      </c>
      <c r="G184" s="16">
        <v>36.75</v>
      </c>
      <c r="H184" s="17">
        <f t="shared" si="9"/>
        <v>9187.5</v>
      </c>
      <c r="I184" s="13"/>
    </row>
    <row r="185" spans="1:9">
      <c r="A185" s="10" t="s">
        <v>287</v>
      </c>
      <c r="B185" s="11">
        <v>2116</v>
      </c>
      <c r="C185" s="12" t="s">
        <v>246</v>
      </c>
      <c r="D185" s="13">
        <v>0.6</v>
      </c>
      <c r="E185" s="14">
        <v>250</v>
      </c>
      <c r="F185" s="15">
        <f t="shared" si="4"/>
        <v>2.96341463414634</v>
      </c>
      <c r="G185" s="16">
        <v>38.88</v>
      </c>
      <c r="H185" s="17">
        <f t="shared" si="9"/>
        <v>9720</v>
      </c>
      <c r="I185" s="13"/>
    </row>
    <row r="186" spans="1:9">
      <c r="A186" s="10" t="s">
        <v>287</v>
      </c>
      <c r="B186" s="11">
        <v>3313</v>
      </c>
      <c r="C186" s="12" t="s">
        <v>251</v>
      </c>
      <c r="D186" s="13">
        <v>0.56</v>
      </c>
      <c r="E186" s="14">
        <v>300</v>
      </c>
      <c r="F186" s="15">
        <f t="shared" si="4"/>
        <v>2.58536585365854</v>
      </c>
      <c r="G186" s="16">
        <v>33.92</v>
      </c>
      <c r="H186" s="17">
        <f t="shared" si="9"/>
        <v>10176</v>
      </c>
      <c r="I186" s="13"/>
    </row>
    <row r="187" spans="1:9">
      <c r="A187" s="10" t="s">
        <v>287</v>
      </c>
      <c r="B187" s="11">
        <v>3313</v>
      </c>
      <c r="C187" s="12" t="s">
        <v>252</v>
      </c>
      <c r="D187" s="13">
        <v>0.58</v>
      </c>
      <c r="E187" s="14">
        <v>300</v>
      </c>
      <c r="F187" s="15">
        <f t="shared" si="4"/>
        <v>2.59908536585366</v>
      </c>
      <c r="G187" s="16">
        <v>34.1</v>
      </c>
      <c r="H187" s="17">
        <f t="shared" si="9"/>
        <v>10230</v>
      </c>
      <c r="I187" s="13"/>
    </row>
    <row r="188" spans="1:9">
      <c r="A188" s="10" t="s">
        <v>287</v>
      </c>
      <c r="B188" s="11">
        <v>3313</v>
      </c>
      <c r="C188" s="12" t="s">
        <v>253</v>
      </c>
      <c r="D188" s="13">
        <v>0.62</v>
      </c>
      <c r="E188" s="14">
        <v>300</v>
      </c>
      <c r="F188" s="15">
        <f t="shared" si="4"/>
        <v>2.80487804878049</v>
      </c>
      <c r="G188" s="16">
        <v>36.8</v>
      </c>
      <c r="H188" s="17">
        <f t="shared" si="9"/>
        <v>11040</v>
      </c>
      <c r="I188" s="13"/>
    </row>
    <row r="189" spans="1:9">
      <c r="A189" s="10" t="s">
        <v>287</v>
      </c>
      <c r="B189" s="11">
        <v>7628</v>
      </c>
      <c r="C189" s="12" t="s">
        <v>236</v>
      </c>
      <c r="D189" s="13">
        <v>0.43</v>
      </c>
      <c r="E189" s="14">
        <v>150</v>
      </c>
      <c r="F189" s="15">
        <f t="shared" si="4"/>
        <v>2.70579268292683</v>
      </c>
      <c r="G189" s="16">
        <v>35.5</v>
      </c>
      <c r="H189" s="17">
        <f t="shared" si="9"/>
        <v>5325</v>
      </c>
      <c r="I189" s="13"/>
    </row>
    <row r="190" spans="1:9">
      <c r="A190" s="10" t="s">
        <v>287</v>
      </c>
      <c r="B190" s="11">
        <v>7628</v>
      </c>
      <c r="C190" s="12" t="s">
        <v>239</v>
      </c>
      <c r="D190" s="13">
        <v>0.46</v>
      </c>
      <c r="E190" s="14">
        <v>150</v>
      </c>
      <c r="F190" s="15">
        <f t="shared" si="4"/>
        <v>2.83003048780488</v>
      </c>
      <c r="G190" s="16">
        <v>37.13</v>
      </c>
      <c r="H190" s="17">
        <f t="shared" si="9"/>
        <v>5569.5</v>
      </c>
      <c r="I190" s="13"/>
    </row>
    <row r="191" spans="1:9">
      <c r="A191" s="10" t="s">
        <v>287</v>
      </c>
      <c r="B191" s="11">
        <v>7628</v>
      </c>
      <c r="C191" s="12" t="s">
        <v>241</v>
      </c>
      <c r="D191" s="13">
        <v>0.49</v>
      </c>
      <c r="E191" s="14">
        <v>150</v>
      </c>
      <c r="F191" s="15">
        <f t="shared" si="4"/>
        <v>3.13871951219512</v>
      </c>
      <c r="G191" s="16">
        <v>41.18</v>
      </c>
      <c r="H191" s="17">
        <f t="shared" si="9"/>
        <v>6177</v>
      </c>
      <c r="I191" s="13"/>
    </row>
    <row r="192" spans="1:9">
      <c r="A192" s="10" t="s">
        <v>287</v>
      </c>
      <c r="B192" s="11">
        <v>106</v>
      </c>
      <c r="C192" s="12" t="s">
        <v>263</v>
      </c>
      <c r="D192" s="13">
        <v>0.72</v>
      </c>
      <c r="E192" s="14">
        <v>300</v>
      </c>
      <c r="F192" s="15">
        <f t="shared" si="4"/>
        <v>2.27515243902439</v>
      </c>
      <c r="G192" s="16">
        <v>29.85</v>
      </c>
      <c r="H192" s="17">
        <f t="shared" si="9"/>
        <v>8955</v>
      </c>
      <c r="I192" s="13"/>
    </row>
    <row r="193" spans="1:9">
      <c r="A193" s="10" t="s">
        <v>287</v>
      </c>
      <c r="B193" s="11">
        <v>106</v>
      </c>
      <c r="C193" s="12" t="s">
        <v>265</v>
      </c>
      <c r="D193" s="13">
        <v>0.74</v>
      </c>
      <c r="E193" s="14">
        <v>300</v>
      </c>
      <c r="F193" s="15">
        <f t="shared" si="4"/>
        <v>2.46417682926829</v>
      </c>
      <c r="G193" s="16">
        <v>32.33</v>
      </c>
      <c r="H193" s="17">
        <f t="shared" si="9"/>
        <v>9699</v>
      </c>
      <c r="I193" s="13"/>
    </row>
    <row r="194" spans="1:9">
      <c r="A194" s="10" t="s">
        <v>287</v>
      </c>
      <c r="B194" s="11">
        <v>106</v>
      </c>
      <c r="C194" s="12" t="s">
        <v>266</v>
      </c>
      <c r="D194" s="13">
        <v>0.75</v>
      </c>
      <c r="E194" s="14">
        <v>300</v>
      </c>
      <c r="F194" s="15">
        <f t="shared" si="4"/>
        <v>2.50914634146341</v>
      </c>
      <c r="G194" s="16">
        <v>32.92</v>
      </c>
      <c r="H194" s="17">
        <f t="shared" si="9"/>
        <v>9876</v>
      </c>
      <c r="I194" s="13"/>
    </row>
    <row r="195" spans="1:9">
      <c r="A195" s="10" t="s">
        <v>287</v>
      </c>
      <c r="B195" s="11">
        <v>1067</v>
      </c>
      <c r="C195" s="12" t="s">
        <v>263</v>
      </c>
      <c r="D195" s="13">
        <v>0.75</v>
      </c>
      <c r="E195" s="14">
        <v>300</v>
      </c>
      <c r="F195" s="15">
        <f t="shared" ref="F195:F258" si="10">G195/13.12</f>
        <v>2.45731707317073</v>
      </c>
      <c r="G195" s="16">
        <v>32.24</v>
      </c>
      <c r="H195" s="17">
        <f t="shared" si="9"/>
        <v>9672</v>
      </c>
      <c r="I195" s="13"/>
    </row>
    <row r="196" spans="1:9">
      <c r="A196" s="10" t="s">
        <v>287</v>
      </c>
      <c r="B196" s="11">
        <v>1067</v>
      </c>
      <c r="C196" s="12" t="s">
        <v>266</v>
      </c>
      <c r="D196" s="13">
        <v>0.75</v>
      </c>
      <c r="E196" s="14">
        <v>300</v>
      </c>
      <c r="F196" s="15">
        <f t="shared" si="10"/>
        <v>2.49618902439024</v>
      </c>
      <c r="G196" s="16">
        <v>32.75</v>
      </c>
      <c r="H196" s="17">
        <f t="shared" si="9"/>
        <v>9825</v>
      </c>
      <c r="I196" s="13"/>
    </row>
    <row r="197" spans="1:9">
      <c r="A197" s="10" t="s">
        <v>287</v>
      </c>
      <c r="B197" s="11">
        <v>1067</v>
      </c>
      <c r="C197" s="12" t="s">
        <v>268</v>
      </c>
      <c r="D197" s="13">
        <v>0.77</v>
      </c>
      <c r="E197" s="14">
        <v>300</v>
      </c>
      <c r="F197" s="15">
        <f t="shared" si="10"/>
        <v>2.6577743902439</v>
      </c>
      <c r="G197" s="16">
        <v>34.87</v>
      </c>
      <c r="H197" s="17">
        <f t="shared" si="9"/>
        <v>10461</v>
      </c>
      <c r="I197" s="13"/>
    </row>
    <row r="198" spans="1:9">
      <c r="A198" s="10" t="s">
        <v>287</v>
      </c>
      <c r="B198" s="11">
        <v>1027</v>
      </c>
      <c r="C198" s="12" t="s">
        <v>261</v>
      </c>
      <c r="D198" s="13">
        <v>0.7</v>
      </c>
      <c r="E198" s="14">
        <v>300</v>
      </c>
      <c r="F198" s="15">
        <f t="shared" si="10"/>
        <v>4.06326219512195</v>
      </c>
      <c r="G198" s="16">
        <v>53.31</v>
      </c>
      <c r="H198" s="17">
        <f t="shared" si="9"/>
        <v>15993</v>
      </c>
      <c r="I198" s="13"/>
    </row>
    <row r="199" spans="1:9">
      <c r="A199" s="10" t="s">
        <v>287</v>
      </c>
      <c r="B199" s="11">
        <v>1027</v>
      </c>
      <c r="C199" s="12" t="s">
        <v>263</v>
      </c>
      <c r="D199" s="13">
        <v>0.72</v>
      </c>
      <c r="E199" s="14">
        <v>300</v>
      </c>
      <c r="F199" s="15">
        <f t="shared" si="10"/>
        <v>4.09603658536585</v>
      </c>
      <c r="G199" s="16">
        <v>53.74</v>
      </c>
      <c r="H199" s="17">
        <f t="shared" si="9"/>
        <v>16122</v>
      </c>
      <c r="I199" s="13"/>
    </row>
    <row r="200" spans="1:9">
      <c r="A200" s="10" t="s">
        <v>287</v>
      </c>
      <c r="B200" s="11">
        <v>1037</v>
      </c>
      <c r="C200" s="12" t="s">
        <v>262</v>
      </c>
      <c r="D200" s="13">
        <v>0.71</v>
      </c>
      <c r="E200" s="14">
        <v>300</v>
      </c>
      <c r="F200" s="15">
        <f t="shared" si="10"/>
        <v>2.60213414634146</v>
      </c>
      <c r="G200" s="16">
        <v>34.14</v>
      </c>
      <c r="H200" s="17">
        <f t="shared" si="9"/>
        <v>10242</v>
      </c>
      <c r="I200" s="13"/>
    </row>
    <row r="201" spans="1:9">
      <c r="A201" s="10" t="s">
        <v>287</v>
      </c>
      <c r="B201" s="11">
        <v>1037</v>
      </c>
      <c r="C201" s="12" t="s">
        <v>264</v>
      </c>
      <c r="D201" s="13">
        <v>0.73</v>
      </c>
      <c r="E201" s="14">
        <v>300</v>
      </c>
      <c r="F201" s="15">
        <f t="shared" si="10"/>
        <v>2.87271341463415</v>
      </c>
      <c r="G201" s="16">
        <v>37.69</v>
      </c>
      <c r="H201" s="17">
        <f t="shared" si="9"/>
        <v>11307</v>
      </c>
      <c r="I201" s="13"/>
    </row>
    <row r="202" spans="1:9">
      <c r="A202" s="10" t="s">
        <v>288</v>
      </c>
      <c r="B202" s="11">
        <v>7628</v>
      </c>
      <c r="C202" s="12" t="s">
        <v>234</v>
      </c>
      <c r="D202" s="13">
        <v>0.48</v>
      </c>
      <c r="E202" s="14">
        <v>150</v>
      </c>
      <c r="F202" s="15">
        <f t="shared" si="10"/>
        <v>3.50762195121951</v>
      </c>
      <c r="G202" s="16">
        <v>46.02</v>
      </c>
      <c r="H202" s="17">
        <f t="shared" ref="H202:H261" si="11">G202*E202</f>
        <v>6903</v>
      </c>
      <c r="I202" s="13"/>
    </row>
    <row r="203" spans="1:9">
      <c r="A203" s="10" t="s">
        <v>288</v>
      </c>
      <c r="B203" s="11">
        <v>7628</v>
      </c>
      <c r="C203" s="12" t="s">
        <v>241</v>
      </c>
      <c r="D203" s="13">
        <v>0.49</v>
      </c>
      <c r="E203" s="14">
        <v>150</v>
      </c>
      <c r="F203" s="15">
        <f t="shared" si="10"/>
        <v>3.50762195121951</v>
      </c>
      <c r="G203" s="16">
        <v>46.02</v>
      </c>
      <c r="H203" s="17">
        <f t="shared" si="11"/>
        <v>6903</v>
      </c>
      <c r="I203" s="13"/>
    </row>
    <row r="204" spans="1:9">
      <c r="A204" s="10" t="s">
        <v>288</v>
      </c>
      <c r="B204" s="11">
        <v>3313</v>
      </c>
      <c r="C204" s="12" t="s">
        <v>252</v>
      </c>
      <c r="D204" s="13">
        <v>0.58</v>
      </c>
      <c r="E204" s="14">
        <v>300</v>
      </c>
      <c r="F204" s="15">
        <f t="shared" si="10"/>
        <v>2.8422256097561</v>
      </c>
      <c r="G204" s="16">
        <v>37.29</v>
      </c>
      <c r="H204" s="17">
        <f t="shared" si="11"/>
        <v>11187</v>
      </c>
      <c r="I204" s="13"/>
    </row>
    <row r="205" spans="1:9">
      <c r="A205" s="10" t="s">
        <v>288</v>
      </c>
      <c r="B205" s="11">
        <v>1035</v>
      </c>
      <c r="C205" s="12" t="s">
        <v>266</v>
      </c>
      <c r="D205" s="13">
        <v>0.75</v>
      </c>
      <c r="E205" s="14">
        <v>300</v>
      </c>
      <c r="F205" s="15">
        <f t="shared" si="10"/>
        <v>3.37118902439024</v>
      </c>
      <c r="G205" s="16">
        <v>44.23</v>
      </c>
      <c r="H205" s="17">
        <f t="shared" si="11"/>
        <v>13269</v>
      </c>
      <c r="I205" s="13"/>
    </row>
    <row r="206" spans="1:9">
      <c r="A206" s="10" t="s">
        <v>288</v>
      </c>
      <c r="B206" s="11">
        <v>1037</v>
      </c>
      <c r="C206" s="12" t="s">
        <v>266</v>
      </c>
      <c r="D206" s="13">
        <v>0.75</v>
      </c>
      <c r="E206" s="14">
        <v>300</v>
      </c>
      <c r="F206" s="15">
        <f t="shared" si="10"/>
        <v>2.97256097560976</v>
      </c>
      <c r="G206" s="16">
        <v>39</v>
      </c>
      <c r="H206" s="17">
        <f t="shared" si="11"/>
        <v>11700</v>
      </c>
      <c r="I206" s="13"/>
    </row>
    <row r="207" spans="1:9">
      <c r="A207" s="10" t="s">
        <v>288</v>
      </c>
      <c r="B207" s="11">
        <v>1067</v>
      </c>
      <c r="C207" s="12" t="s">
        <v>264</v>
      </c>
      <c r="D207" s="13">
        <v>0.73</v>
      </c>
      <c r="E207" s="14">
        <v>300</v>
      </c>
      <c r="F207" s="15">
        <f t="shared" si="10"/>
        <v>2.68140243902439</v>
      </c>
      <c r="G207" s="16">
        <v>35.18</v>
      </c>
      <c r="H207" s="17">
        <f t="shared" si="11"/>
        <v>10554</v>
      </c>
      <c r="I207" s="13"/>
    </row>
    <row r="208" spans="1:9">
      <c r="A208" s="10" t="s">
        <v>288</v>
      </c>
      <c r="B208" s="11">
        <v>1080</v>
      </c>
      <c r="C208" s="12" t="s">
        <v>257</v>
      </c>
      <c r="D208" s="13">
        <v>0.66</v>
      </c>
      <c r="E208" s="14">
        <v>300</v>
      </c>
      <c r="F208" s="15">
        <f t="shared" si="10"/>
        <v>2.68064024390244</v>
      </c>
      <c r="G208" s="16">
        <v>35.17</v>
      </c>
      <c r="H208" s="17">
        <f t="shared" si="11"/>
        <v>10551</v>
      </c>
      <c r="I208" s="13"/>
    </row>
    <row r="209" spans="1:9">
      <c r="A209" s="10" t="s">
        <v>288</v>
      </c>
      <c r="B209" s="11">
        <v>1080</v>
      </c>
      <c r="C209" s="12" t="s">
        <v>260</v>
      </c>
      <c r="D209" s="13">
        <v>0.69</v>
      </c>
      <c r="E209" s="14">
        <v>300</v>
      </c>
      <c r="F209" s="15">
        <f t="shared" si="10"/>
        <v>2.95350609756098</v>
      </c>
      <c r="G209" s="16">
        <v>38.75</v>
      </c>
      <c r="H209" s="17">
        <f t="shared" si="11"/>
        <v>11625</v>
      </c>
      <c r="I209" s="13"/>
    </row>
    <row r="210" spans="1:9">
      <c r="A210" s="10" t="s">
        <v>288</v>
      </c>
      <c r="B210" s="11">
        <v>1080</v>
      </c>
      <c r="C210" s="12" t="s">
        <v>263</v>
      </c>
      <c r="D210" s="13">
        <v>0.72</v>
      </c>
      <c r="E210" s="14">
        <v>300</v>
      </c>
      <c r="F210" s="15">
        <f t="shared" si="10"/>
        <v>2.99237804878049</v>
      </c>
      <c r="G210" s="16">
        <v>39.26</v>
      </c>
      <c r="H210" s="17">
        <f t="shared" si="11"/>
        <v>11778</v>
      </c>
      <c r="I210" s="13"/>
    </row>
    <row r="211" spans="1:9">
      <c r="A211" s="10" t="s">
        <v>288</v>
      </c>
      <c r="B211" s="11">
        <v>1078</v>
      </c>
      <c r="C211" s="12" t="s">
        <v>259</v>
      </c>
      <c r="D211" s="13">
        <v>0.68</v>
      </c>
      <c r="E211" s="14">
        <v>300</v>
      </c>
      <c r="F211" s="15">
        <f t="shared" si="10"/>
        <v>3.06707317073171</v>
      </c>
      <c r="G211" s="16">
        <v>40.24</v>
      </c>
      <c r="H211" s="17">
        <f t="shared" si="11"/>
        <v>12072</v>
      </c>
      <c r="I211" s="13"/>
    </row>
    <row r="212" spans="1:9">
      <c r="A212" s="10" t="s">
        <v>288</v>
      </c>
      <c r="B212" s="11">
        <v>1078</v>
      </c>
      <c r="C212" s="12" t="s">
        <v>260</v>
      </c>
      <c r="D212" s="13">
        <v>0.69</v>
      </c>
      <c r="E212" s="14">
        <v>300</v>
      </c>
      <c r="F212" s="15">
        <f t="shared" si="10"/>
        <v>3.06707317073171</v>
      </c>
      <c r="G212" s="16">
        <v>40.24</v>
      </c>
      <c r="H212" s="17">
        <f t="shared" si="11"/>
        <v>12072</v>
      </c>
      <c r="I212" s="13"/>
    </row>
    <row r="213" spans="1:9">
      <c r="A213" s="10" t="s">
        <v>288</v>
      </c>
      <c r="B213" s="11">
        <v>106</v>
      </c>
      <c r="C213" s="12" t="s">
        <v>266</v>
      </c>
      <c r="D213" s="13">
        <v>0.75</v>
      </c>
      <c r="E213" s="14">
        <v>300</v>
      </c>
      <c r="F213" s="15">
        <f t="shared" si="10"/>
        <v>2.58231707317073</v>
      </c>
      <c r="G213" s="16">
        <v>33.88</v>
      </c>
      <c r="H213" s="17">
        <f t="shared" si="11"/>
        <v>10164</v>
      </c>
      <c r="I213" s="13"/>
    </row>
    <row r="214" spans="1:9">
      <c r="A214" s="10" t="s">
        <v>288</v>
      </c>
      <c r="B214" s="11">
        <v>2116</v>
      </c>
      <c r="C214" s="12" t="s">
        <v>244</v>
      </c>
      <c r="D214" s="13">
        <v>0.57</v>
      </c>
      <c r="E214" s="14">
        <v>250</v>
      </c>
      <c r="F214" s="15">
        <f t="shared" si="10"/>
        <v>3.13109756097561</v>
      </c>
      <c r="G214" s="16">
        <v>41.08</v>
      </c>
      <c r="H214" s="17">
        <f t="shared" si="11"/>
        <v>10270</v>
      </c>
      <c r="I214" s="13"/>
    </row>
    <row r="215" spans="1:9">
      <c r="A215" s="10" t="s">
        <v>288</v>
      </c>
      <c r="B215" s="11">
        <v>2116</v>
      </c>
      <c r="C215" s="12" t="s">
        <v>252</v>
      </c>
      <c r="D215" s="13">
        <v>0.58</v>
      </c>
      <c r="E215" s="14">
        <v>250</v>
      </c>
      <c r="F215" s="15">
        <f t="shared" si="10"/>
        <v>3.19435975609756</v>
      </c>
      <c r="G215" s="16">
        <v>41.91</v>
      </c>
      <c r="H215" s="17">
        <f t="shared" si="11"/>
        <v>10477.5</v>
      </c>
      <c r="I215" s="13"/>
    </row>
    <row r="216" spans="1:9">
      <c r="A216" s="10" t="s">
        <v>288</v>
      </c>
      <c r="B216" s="11">
        <v>2116</v>
      </c>
      <c r="C216" s="12" t="s">
        <v>245</v>
      </c>
      <c r="D216" s="13">
        <v>0.59</v>
      </c>
      <c r="E216" s="14">
        <v>250</v>
      </c>
      <c r="F216" s="15">
        <f t="shared" si="10"/>
        <v>3.33765243902439</v>
      </c>
      <c r="G216" s="16">
        <v>43.79</v>
      </c>
      <c r="H216" s="17">
        <f t="shared" si="11"/>
        <v>10947.5</v>
      </c>
      <c r="I216" s="13"/>
    </row>
    <row r="217" spans="1:9">
      <c r="A217" s="10" t="s">
        <v>289</v>
      </c>
      <c r="B217" s="11">
        <v>2116</v>
      </c>
      <c r="C217" s="12" t="s">
        <v>246</v>
      </c>
      <c r="D217" s="13">
        <v>0.6</v>
      </c>
      <c r="E217" s="14">
        <v>250</v>
      </c>
      <c r="F217" s="15">
        <f t="shared" si="10"/>
        <v>4.67225609756098</v>
      </c>
      <c r="G217" s="16">
        <v>61.3</v>
      </c>
      <c r="H217" s="17">
        <f t="shared" si="11"/>
        <v>15325</v>
      </c>
      <c r="I217" s="13"/>
    </row>
    <row r="218" spans="1:9">
      <c r="A218" s="10" t="s">
        <v>289</v>
      </c>
      <c r="B218" s="11">
        <v>3313</v>
      </c>
      <c r="C218" s="12" t="s">
        <v>245</v>
      </c>
      <c r="D218" s="13">
        <v>0.59</v>
      </c>
      <c r="E218" s="14">
        <v>300</v>
      </c>
      <c r="F218" s="15">
        <f t="shared" si="10"/>
        <v>3.6875</v>
      </c>
      <c r="G218" s="16">
        <v>48.38</v>
      </c>
      <c r="H218" s="17">
        <f t="shared" si="11"/>
        <v>14514</v>
      </c>
      <c r="I218" s="13"/>
    </row>
    <row r="219" spans="1:9">
      <c r="A219" s="10" t="s">
        <v>290</v>
      </c>
      <c r="B219" s="11">
        <v>106</v>
      </c>
      <c r="C219" s="12" t="s">
        <v>291</v>
      </c>
      <c r="D219" s="13">
        <v>0.79</v>
      </c>
      <c r="E219" s="14">
        <v>300</v>
      </c>
      <c r="F219" s="15">
        <f t="shared" si="10"/>
        <v>3.75304878048781</v>
      </c>
      <c r="G219" s="16">
        <v>49.24</v>
      </c>
      <c r="H219" s="17">
        <f t="shared" si="11"/>
        <v>14772</v>
      </c>
      <c r="I219" s="13"/>
    </row>
    <row r="220" spans="1:9">
      <c r="A220" s="10" t="s">
        <v>290</v>
      </c>
      <c r="B220" s="11">
        <v>106</v>
      </c>
      <c r="C220" s="12" t="s">
        <v>292</v>
      </c>
      <c r="D220" s="13">
        <v>0.81</v>
      </c>
      <c r="E220" s="14">
        <v>300</v>
      </c>
      <c r="F220" s="15">
        <f t="shared" si="10"/>
        <v>3.7842987804878</v>
      </c>
      <c r="G220" s="16">
        <v>49.65</v>
      </c>
      <c r="H220" s="17">
        <f t="shared" si="11"/>
        <v>14895</v>
      </c>
      <c r="I220" s="13"/>
    </row>
    <row r="221" spans="1:9">
      <c r="A221" s="10" t="s">
        <v>290</v>
      </c>
      <c r="B221" s="11">
        <v>1067</v>
      </c>
      <c r="C221" s="12" t="s">
        <v>265</v>
      </c>
      <c r="D221" s="13">
        <v>0.74</v>
      </c>
      <c r="E221" s="14">
        <v>300</v>
      </c>
      <c r="F221" s="15">
        <f t="shared" si="10"/>
        <v>3.26295731707317</v>
      </c>
      <c r="G221" s="16">
        <v>42.81</v>
      </c>
      <c r="H221" s="17">
        <f t="shared" si="11"/>
        <v>12843</v>
      </c>
      <c r="I221" s="13"/>
    </row>
    <row r="222" spans="1:9">
      <c r="A222" s="10" t="s">
        <v>290</v>
      </c>
      <c r="B222" s="11">
        <v>1080</v>
      </c>
      <c r="C222" s="12" t="s">
        <v>258</v>
      </c>
      <c r="D222" s="13">
        <v>0.67</v>
      </c>
      <c r="E222" s="14">
        <v>300</v>
      </c>
      <c r="F222" s="15">
        <f t="shared" si="10"/>
        <v>3.45884146341463</v>
      </c>
      <c r="G222" s="16">
        <v>45.38</v>
      </c>
      <c r="H222" s="17">
        <f t="shared" si="11"/>
        <v>13614</v>
      </c>
      <c r="I222" s="13"/>
    </row>
    <row r="223" spans="1:9">
      <c r="A223" s="10" t="s">
        <v>290</v>
      </c>
      <c r="B223" s="11">
        <v>1080</v>
      </c>
      <c r="C223" s="12" t="s">
        <v>261</v>
      </c>
      <c r="D223" s="13">
        <v>0.7</v>
      </c>
      <c r="E223" s="14">
        <v>300</v>
      </c>
      <c r="F223" s="15">
        <f t="shared" si="10"/>
        <v>3.47865853658537</v>
      </c>
      <c r="G223" s="16">
        <v>45.64</v>
      </c>
      <c r="H223" s="17">
        <f t="shared" si="11"/>
        <v>13692</v>
      </c>
      <c r="I223" s="13"/>
    </row>
    <row r="224" spans="1:9">
      <c r="A224" s="10" t="s">
        <v>290</v>
      </c>
      <c r="B224" s="11">
        <v>1080</v>
      </c>
      <c r="C224" s="12" t="s">
        <v>263</v>
      </c>
      <c r="D224" s="13">
        <v>0.72</v>
      </c>
      <c r="E224" s="14">
        <v>300</v>
      </c>
      <c r="F224" s="15">
        <f t="shared" si="10"/>
        <v>3.48475609756098</v>
      </c>
      <c r="G224" s="16">
        <v>45.72</v>
      </c>
      <c r="H224" s="17">
        <f t="shared" si="11"/>
        <v>13716</v>
      </c>
      <c r="I224" s="13"/>
    </row>
    <row r="225" spans="1:9">
      <c r="A225" s="10" t="s">
        <v>290</v>
      </c>
      <c r="B225" s="11">
        <v>1080</v>
      </c>
      <c r="C225" s="12" t="s">
        <v>266</v>
      </c>
      <c r="D225" s="13">
        <v>0.75</v>
      </c>
      <c r="E225" s="14">
        <v>300</v>
      </c>
      <c r="F225" s="15">
        <f t="shared" si="10"/>
        <v>4.02591463414634</v>
      </c>
      <c r="G225" s="16">
        <v>52.82</v>
      </c>
      <c r="H225" s="17">
        <f t="shared" si="11"/>
        <v>15846</v>
      </c>
      <c r="I225" s="13"/>
    </row>
    <row r="226" spans="1:9">
      <c r="A226" s="10" t="s">
        <v>290</v>
      </c>
      <c r="B226" s="11">
        <v>2116</v>
      </c>
      <c r="C226" s="12" t="s">
        <v>244</v>
      </c>
      <c r="D226" s="13">
        <v>0.57</v>
      </c>
      <c r="E226" s="14">
        <v>250</v>
      </c>
      <c r="F226" s="15">
        <f t="shared" si="10"/>
        <v>4.21951219512195</v>
      </c>
      <c r="G226" s="16">
        <v>55.36</v>
      </c>
      <c r="H226" s="17">
        <f t="shared" si="11"/>
        <v>13840</v>
      </c>
      <c r="I226" s="13"/>
    </row>
    <row r="227" spans="1:9">
      <c r="A227" s="10" t="s">
        <v>290</v>
      </c>
      <c r="B227" s="11">
        <v>2116</v>
      </c>
      <c r="C227" s="12" t="s">
        <v>245</v>
      </c>
      <c r="D227" s="13">
        <v>0.59</v>
      </c>
      <c r="E227" s="14">
        <v>250</v>
      </c>
      <c r="F227" s="15">
        <f t="shared" si="10"/>
        <v>4.17530487804878</v>
      </c>
      <c r="G227" s="16">
        <v>54.78</v>
      </c>
      <c r="H227" s="17">
        <f t="shared" si="11"/>
        <v>13695</v>
      </c>
      <c r="I227" s="13"/>
    </row>
    <row r="228" spans="1:9">
      <c r="A228" s="10" t="s">
        <v>290</v>
      </c>
      <c r="B228" s="11">
        <v>2116</v>
      </c>
      <c r="C228" s="12" t="s">
        <v>246</v>
      </c>
      <c r="D228" s="13">
        <v>0.6</v>
      </c>
      <c r="E228" s="14">
        <v>250</v>
      </c>
      <c r="F228" s="15">
        <f t="shared" si="10"/>
        <v>4.31326219512195</v>
      </c>
      <c r="G228" s="16">
        <v>56.59</v>
      </c>
      <c r="H228" s="17">
        <f t="shared" si="11"/>
        <v>14147.5</v>
      </c>
      <c r="I228" s="13"/>
    </row>
    <row r="229" spans="1:9">
      <c r="A229" s="10" t="s">
        <v>290</v>
      </c>
      <c r="B229" s="11">
        <v>2116</v>
      </c>
      <c r="C229" s="12" t="s">
        <v>253</v>
      </c>
      <c r="D229" s="13">
        <v>0.62</v>
      </c>
      <c r="E229" s="14">
        <v>250</v>
      </c>
      <c r="F229" s="15">
        <f t="shared" si="10"/>
        <v>4.51829268292683</v>
      </c>
      <c r="G229" s="16">
        <v>59.28</v>
      </c>
      <c r="H229" s="17">
        <f t="shared" si="11"/>
        <v>14820</v>
      </c>
      <c r="I229" s="13"/>
    </row>
    <row r="230" spans="1:9">
      <c r="A230" s="10" t="s">
        <v>293</v>
      </c>
      <c r="B230" s="11">
        <v>106</v>
      </c>
      <c r="C230" s="12" t="s">
        <v>263</v>
      </c>
      <c r="D230" s="13">
        <v>0.72</v>
      </c>
      <c r="E230" s="14">
        <v>300</v>
      </c>
      <c r="F230" s="15">
        <f t="shared" si="10"/>
        <v>2.18140243902439</v>
      </c>
      <c r="G230" s="16">
        <v>28.62</v>
      </c>
      <c r="H230" s="17">
        <f t="shared" si="11"/>
        <v>8586</v>
      </c>
      <c r="I230" s="13"/>
    </row>
    <row r="231" spans="1:9">
      <c r="A231" s="10" t="s">
        <v>293</v>
      </c>
      <c r="B231" s="11">
        <v>106</v>
      </c>
      <c r="C231" s="12" t="s">
        <v>266</v>
      </c>
      <c r="D231" s="13">
        <v>0.75</v>
      </c>
      <c r="E231" s="14">
        <v>300</v>
      </c>
      <c r="F231" s="15">
        <f t="shared" si="10"/>
        <v>2.36966463414634</v>
      </c>
      <c r="G231" s="16">
        <v>31.09</v>
      </c>
      <c r="H231" s="17">
        <f t="shared" si="11"/>
        <v>9327</v>
      </c>
      <c r="I231" s="13"/>
    </row>
    <row r="232" spans="1:9">
      <c r="A232" s="10" t="s">
        <v>293</v>
      </c>
      <c r="B232" s="11">
        <v>1035</v>
      </c>
      <c r="C232" s="12" t="s">
        <v>265</v>
      </c>
      <c r="D232" s="13">
        <v>0.74</v>
      </c>
      <c r="E232" s="14">
        <v>300</v>
      </c>
      <c r="F232" s="15">
        <f t="shared" si="10"/>
        <v>2.51524390243902</v>
      </c>
      <c r="G232" s="16">
        <v>33</v>
      </c>
      <c r="H232" s="17">
        <f t="shared" si="11"/>
        <v>9900</v>
      </c>
      <c r="I232" s="13"/>
    </row>
    <row r="233" spans="1:9">
      <c r="A233" s="10" t="s">
        <v>293</v>
      </c>
      <c r="B233" s="11">
        <v>1067</v>
      </c>
      <c r="C233" s="12" t="s">
        <v>261</v>
      </c>
      <c r="D233" s="13">
        <v>0.7</v>
      </c>
      <c r="E233" s="14">
        <v>300</v>
      </c>
      <c r="F233" s="15">
        <f t="shared" si="10"/>
        <v>2.4077743902439</v>
      </c>
      <c r="G233" s="16">
        <v>31.59</v>
      </c>
      <c r="H233" s="17">
        <f t="shared" si="11"/>
        <v>9477</v>
      </c>
      <c r="I233" s="13"/>
    </row>
    <row r="234" spans="1:9">
      <c r="A234" s="10" t="s">
        <v>293</v>
      </c>
      <c r="B234" s="11">
        <v>1078</v>
      </c>
      <c r="C234" s="12" t="s">
        <v>257</v>
      </c>
      <c r="D234" s="13">
        <v>0.66</v>
      </c>
      <c r="E234" s="14">
        <v>300</v>
      </c>
      <c r="F234" s="15">
        <f t="shared" si="10"/>
        <v>2.89786585365854</v>
      </c>
      <c r="G234" s="16">
        <v>38.02</v>
      </c>
      <c r="H234" s="17">
        <f t="shared" si="11"/>
        <v>11406</v>
      </c>
      <c r="I234" s="13"/>
    </row>
    <row r="235" spans="1:9">
      <c r="A235" s="10" t="s">
        <v>293</v>
      </c>
      <c r="B235" s="11">
        <v>1078</v>
      </c>
      <c r="C235" s="12" t="s">
        <v>261</v>
      </c>
      <c r="D235" s="13">
        <v>0.7</v>
      </c>
      <c r="E235" s="14">
        <v>300</v>
      </c>
      <c r="F235" s="15">
        <f t="shared" si="10"/>
        <v>2.96493902439024</v>
      </c>
      <c r="G235" s="16">
        <v>38.9</v>
      </c>
      <c r="H235" s="17">
        <f t="shared" si="11"/>
        <v>11670</v>
      </c>
      <c r="I235" s="13"/>
    </row>
    <row r="236" spans="1:9">
      <c r="A236" s="10" t="s">
        <v>293</v>
      </c>
      <c r="B236" s="11">
        <v>1080</v>
      </c>
      <c r="C236" s="12" t="s">
        <v>254</v>
      </c>
      <c r="D236" s="13">
        <v>0.63</v>
      </c>
      <c r="E236" s="14">
        <v>300</v>
      </c>
      <c r="F236" s="15">
        <f t="shared" si="10"/>
        <v>2.42606707317073</v>
      </c>
      <c r="G236" s="16">
        <v>31.83</v>
      </c>
      <c r="H236" s="17">
        <f t="shared" si="11"/>
        <v>9549</v>
      </c>
      <c r="I236" s="13"/>
    </row>
    <row r="237" spans="1:9">
      <c r="A237" s="10" t="s">
        <v>293</v>
      </c>
      <c r="B237" s="11">
        <v>1080</v>
      </c>
      <c r="C237" s="12" t="s">
        <v>255</v>
      </c>
      <c r="D237" s="13">
        <v>0.64</v>
      </c>
      <c r="E237" s="14">
        <v>300</v>
      </c>
      <c r="F237" s="15">
        <f t="shared" si="10"/>
        <v>2.5609756097561</v>
      </c>
      <c r="G237" s="16">
        <v>33.6</v>
      </c>
      <c r="H237" s="17">
        <f t="shared" si="11"/>
        <v>10080</v>
      </c>
      <c r="I237" s="13"/>
    </row>
    <row r="238" spans="1:9">
      <c r="A238" s="10" t="s">
        <v>293</v>
      </c>
      <c r="B238" s="11">
        <v>1080</v>
      </c>
      <c r="C238" s="12" t="s">
        <v>257</v>
      </c>
      <c r="D238" s="13">
        <v>0.66</v>
      </c>
      <c r="E238" s="14">
        <v>300</v>
      </c>
      <c r="F238" s="15">
        <f t="shared" si="10"/>
        <v>2.5297256097561</v>
      </c>
      <c r="G238" s="16">
        <v>33.19</v>
      </c>
      <c r="H238" s="17">
        <f t="shared" si="11"/>
        <v>9957</v>
      </c>
      <c r="I238" s="13"/>
    </row>
    <row r="239" spans="1:9">
      <c r="A239" s="10" t="s">
        <v>293</v>
      </c>
      <c r="B239" s="11">
        <v>2116</v>
      </c>
      <c r="C239" s="12" t="s">
        <v>251</v>
      </c>
      <c r="D239" s="13">
        <v>0.56</v>
      </c>
      <c r="E239" s="14">
        <v>250</v>
      </c>
      <c r="F239" s="15">
        <f t="shared" si="10"/>
        <v>2.93216463414634</v>
      </c>
      <c r="G239" s="16">
        <v>38.47</v>
      </c>
      <c r="H239" s="17">
        <f t="shared" si="11"/>
        <v>9617.5</v>
      </c>
      <c r="I239" s="13"/>
    </row>
    <row r="240" spans="1:9">
      <c r="A240" s="10" t="s">
        <v>293</v>
      </c>
      <c r="B240" s="11">
        <v>2116</v>
      </c>
      <c r="C240" s="12" t="s">
        <v>246</v>
      </c>
      <c r="D240" s="13">
        <v>0.6</v>
      </c>
      <c r="E240" s="14">
        <v>250</v>
      </c>
      <c r="F240" s="15">
        <f t="shared" si="10"/>
        <v>3.6890243902439</v>
      </c>
      <c r="G240" s="16">
        <v>48.4</v>
      </c>
      <c r="H240" s="17">
        <f t="shared" si="11"/>
        <v>12100</v>
      </c>
      <c r="I240" s="13"/>
    </row>
    <row r="241" spans="1:9">
      <c r="A241" s="10" t="s">
        <v>293</v>
      </c>
      <c r="B241" s="11">
        <v>3313</v>
      </c>
      <c r="C241" s="12" t="s">
        <v>246</v>
      </c>
      <c r="D241" s="13">
        <v>0.6</v>
      </c>
      <c r="E241" s="14">
        <v>300</v>
      </c>
      <c r="F241" s="15">
        <f t="shared" si="10"/>
        <v>2.93978658536585</v>
      </c>
      <c r="G241" s="16">
        <v>38.57</v>
      </c>
      <c r="H241" s="17">
        <f t="shared" si="11"/>
        <v>11571</v>
      </c>
      <c r="I241" s="13"/>
    </row>
    <row r="242" spans="1:9">
      <c r="A242" s="10" t="s">
        <v>294</v>
      </c>
      <c r="B242" s="11">
        <v>106</v>
      </c>
      <c r="C242" s="12" t="s">
        <v>263</v>
      </c>
      <c r="D242" s="13">
        <v>0.72</v>
      </c>
      <c r="E242" s="14">
        <v>300</v>
      </c>
      <c r="F242" s="15">
        <f t="shared" si="10"/>
        <v>3.50990853658537</v>
      </c>
      <c r="G242" s="16">
        <v>46.05</v>
      </c>
      <c r="H242" s="17">
        <f t="shared" si="11"/>
        <v>13815</v>
      </c>
      <c r="I242" s="13"/>
    </row>
    <row r="243" spans="1:9">
      <c r="A243" s="10" t="s">
        <v>294</v>
      </c>
      <c r="B243" s="11">
        <v>106</v>
      </c>
      <c r="C243" s="12" t="s">
        <v>265</v>
      </c>
      <c r="D243" s="13">
        <v>0.74</v>
      </c>
      <c r="E243" s="14">
        <v>300</v>
      </c>
      <c r="F243" s="15">
        <f t="shared" si="10"/>
        <v>3.52591463414634</v>
      </c>
      <c r="G243" s="16">
        <v>46.26</v>
      </c>
      <c r="H243" s="17">
        <f t="shared" si="11"/>
        <v>13878</v>
      </c>
      <c r="I243" s="13"/>
    </row>
    <row r="244" spans="1:9">
      <c r="A244" s="10" t="s">
        <v>294</v>
      </c>
      <c r="B244" s="11">
        <v>106</v>
      </c>
      <c r="C244" s="12" t="s">
        <v>267</v>
      </c>
      <c r="D244" s="13">
        <v>0.76</v>
      </c>
      <c r="E244" s="14">
        <v>300</v>
      </c>
      <c r="F244" s="15">
        <f t="shared" si="10"/>
        <v>3.65015243902439</v>
      </c>
      <c r="G244" s="16">
        <v>47.89</v>
      </c>
      <c r="H244" s="17">
        <f t="shared" si="11"/>
        <v>14367</v>
      </c>
      <c r="I244" s="13"/>
    </row>
    <row r="245" spans="1:9">
      <c r="A245" s="10" t="s">
        <v>294</v>
      </c>
      <c r="B245" s="11">
        <v>1067</v>
      </c>
      <c r="C245" s="12" t="s">
        <v>260</v>
      </c>
      <c r="D245" s="13">
        <v>0.69</v>
      </c>
      <c r="E245" s="14">
        <v>300</v>
      </c>
      <c r="F245" s="15">
        <f t="shared" si="10"/>
        <v>3.29268292682927</v>
      </c>
      <c r="G245" s="16">
        <v>43.2</v>
      </c>
      <c r="H245" s="17">
        <f t="shared" si="11"/>
        <v>12960</v>
      </c>
      <c r="I245" s="13"/>
    </row>
    <row r="246" spans="1:9">
      <c r="A246" s="10" t="s">
        <v>294</v>
      </c>
      <c r="B246" s="11">
        <v>1078</v>
      </c>
      <c r="C246" s="12" t="s">
        <v>257</v>
      </c>
      <c r="D246" s="13">
        <v>0.66</v>
      </c>
      <c r="E246" s="14">
        <v>300</v>
      </c>
      <c r="F246" s="15">
        <f t="shared" si="10"/>
        <v>4.40548780487805</v>
      </c>
      <c r="G246" s="16">
        <v>57.8</v>
      </c>
      <c r="H246" s="17">
        <f t="shared" si="11"/>
        <v>17340</v>
      </c>
      <c r="I246" s="13"/>
    </row>
    <row r="247" spans="1:9">
      <c r="A247" s="10" t="s">
        <v>294</v>
      </c>
      <c r="B247" s="11">
        <v>1078</v>
      </c>
      <c r="C247" s="12" t="s">
        <v>259</v>
      </c>
      <c r="D247" s="13">
        <v>0.68</v>
      </c>
      <c r="E247" s="14">
        <v>300</v>
      </c>
      <c r="F247" s="15">
        <f t="shared" si="10"/>
        <v>4.56021341463415</v>
      </c>
      <c r="G247" s="16">
        <v>59.83</v>
      </c>
      <c r="H247" s="17">
        <f t="shared" si="11"/>
        <v>17949</v>
      </c>
      <c r="I247" s="13"/>
    </row>
    <row r="248" spans="1:9">
      <c r="A248" s="10" t="s">
        <v>294</v>
      </c>
      <c r="B248" s="11">
        <v>1080</v>
      </c>
      <c r="C248" s="12" t="s">
        <v>255</v>
      </c>
      <c r="D248" s="13">
        <v>0.64</v>
      </c>
      <c r="E248" s="14">
        <v>300</v>
      </c>
      <c r="F248" s="15">
        <f t="shared" si="10"/>
        <v>3.76829268292683</v>
      </c>
      <c r="G248" s="16">
        <v>49.44</v>
      </c>
      <c r="H248" s="17">
        <f t="shared" si="11"/>
        <v>14832</v>
      </c>
      <c r="I248" s="13"/>
    </row>
    <row r="249" spans="1:9">
      <c r="A249" s="10" t="s">
        <v>294</v>
      </c>
      <c r="B249" s="11">
        <v>1080</v>
      </c>
      <c r="C249" s="12" t="s">
        <v>257</v>
      </c>
      <c r="D249" s="13">
        <v>0.66</v>
      </c>
      <c r="E249" s="14">
        <v>300</v>
      </c>
      <c r="F249" s="15">
        <f t="shared" si="10"/>
        <v>3.68673780487805</v>
      </c>
      <c r="G249" s="16">
        <v>48.37</v>
      </c>
      <c r="H249" s="17">
        <f t="shared" si="11"/>
        <v>14511</v>
      </c>
      <c r="I249" s="13"/>
    </row>
    <row r="250" spans="1:9">
      <c r="A250" s="10" t="s">
        <v>294</v>
      </c>
      <c r="B250" s="11">
        <v>1080</v>
      </c>
      <c r="C250" s="12" t="s">
        <v>259</v>
      </c>
      <c r="D250" s="13">
        <v>0.68</v>
      </c>
      <c r="E250" s="14">
        <v>300</v>
      </c>
      <c r="F250" s="15">
        <f t="shared" si="10"/>
        <v>3.85899390243902</v>
      </c>
      <c r="G250" s="16">
        <v>50.63</v>
      </c>
      <c r="H250" s="17">
        <f t="shared" si="11"/>
        <v>15189</v>
      </c>
      <c r="I250" s="13"/>
    </row>
    <row r="251" spans="1:9">
      <c r="A251" s="10" t="s">
        <v>294</v>
      </c>
      <c r="B251" s="11">
        <v>1080</v>
      </c>
      <c r="C251" s="12" t="s">
        <v>261</v>
      </c>
      <c r="D251" s="13">
        <v>0.7</v>
      </c>
      <c r="E251" s="14">
        <v>300</v>
      </c>
      <c r="F251" s="15">
        <f t="shared" si="10"/>
        <v>4.55182926829268</v>
      </c>
      <c r="G251" s="16">
        <v>59.72</v>
      </c>
      <c r="H251" s="17">
        <f t="shared" si="11"/>
        <v>17916</v>
      </c>
      <c r="I251" s="13"/>
    </row>
    <row r="252" spans="1:9">
      <c r="A252" s="10" t="s">
        <v>294</v>
      </c>
      <c r="B252" s="11">
        <v>1080</v>
      </c>
      <c r="C252" s="12" t="s">
        <v>263</v>
      </c>
      <c r="D252" s="13">
        <v>0.72</v>
      </c>
      <c r="E252" s="14">
        <v>300</v>
      </c>
      <c r="F252" s="15">
        <f t="shared" si="10"/>
        <v>5.60213414634146</v>
      </c>
      <c r="G252" s="16">
        <v>73.5</v>
      </c>
      <c r="H252" s="17">
        <f t="shared" si="11"/>
        <v>22050</v>
      </c>
      <c r="I252" s="13"/>
    </row>
    <row r="253" spans="1:9">
      <c r="A253" s="10" t="s">
        <v>294</v>
      </c>
      <c r="B253" s="11">
        <v>2116</v>
      </c>
      <c r="C253" s="12" t="s">
        <v>249</v>
      </c>
      <c r="D253" s="13">
        <v>0.54</v>
      </c>
      <c r="E253" s="14">
        <v>250</v>
      </c>
      <c r="F253" s="15">
        <f t="shared" si="10"/>
        <v>5.60213414634146</v>
      </c>
      <c r="G253" s="16">
        <v>73.5</v>
      </c>
      <c r="H253" s="17">
        <f t="shared" si="11"/>
        <v>18375</v>
      </c>
      <c r="I253" s="13"/>
    </row>
    <row r="254" spans="1:9">
      <c r="A254" s="10" t="s">
        <v>294</v>
      </c>
      <c r="B254" s="11">
        <v>2116</v>
      </c>
      <c r="C254" s="12" t="s">
        <v>251</v>
      </c>
      <c r="D254" s="13">
        <v>0.56</v>
      </c>
      <c r="E254" s="14">
        <v>250</v>
      </c>
      <c r="F254" s="15">
        <f t="shared" si="10"/>
        <v>4.77362804878049</v>
      </c>
      <c r="G254" s="16">
        <v>62.63</v>
      </c>
      <c r="H254" s="17">
        <f t="shared" si="11"/>
        <v>15657.5</v>
      </c>
      <c r="I254" s="13"/>
    </row>
    <row r="255" spans="1:9">
      <c r="A255" s="10" t="s">
        <v>294</v>
      </c>
      <c r="B255" s="11">
        <v>2116</v>
      </c>
      <c r="C255" s="12" t="s">
        <v>244</v>
      </c>
      <c r="D255" s="13">
        <v>0.57</v>
      </c>
      <c r="E255" s="14">
        <v>250</v>
      </c>
      <c r="F255" s="15">
        <f t="shared" si="10"/>
        <v>6.00228658536585</v>
      </c>
      <c r="G255" s="16">
        <v>78.75</v>
      </c>
      <c r="H255" s="17">
        <f t="shared" si="11"/>
        <v>19687.5</v>
      </c>
      <c r="I255" s="13"/>
    </row>
    <row r="256" spans="1:9">
      <c r="A256" s="10" t="s">
        <v>294</v>
      </c>
      <c r="B256" s="11">
        <v>2116</v>
      </c>
      <c r="C256" s="12" t="s">
        <v>252</v>
      </c>
      <c r="D256" s="13">
        <v>0.58</v>
      </c>
      <c r="E256" s="14">
        <v>250</v>
      </c>
      <c r="F256" s="15">
        <f t="shared" si="10"/>
        <v>6.32240853658537</v>
      </c>
      <c r="G256" s="16">
        <v>82.95</v>
      </c>
      <c r="H256" s="17">
        <f t="shared" si="11"/>
        <v>20737.5</v>
      </c>
      <c r="I256" s="13"/>
    </row>
    <row r="257" spans="1:9">
      <c r="A257" s="10" t="s">
        <v>294</v>
      </c>
      <c r="B257" s="11">
        <v>2116</v>
      </c>
      <c r="C257" s="12" t="s">
        <v>245</v>
      </c>
      <c r="D257" s="13">
        <v>0.59</v>
      </c>
      <c r="E257" s="14">
        <v>250</v>
      </c>
      <c r="F257" s="15">
        <f t="shared" si="10"/>
        <v>6.5625</v>
      </c>
      <c r="G257" s="16">
        <v>86.1</v>
      </c>
      <c r="H257" s="17">
        <f t="shared" si="11"/>
        <v>21525</v>
      </c>
      <c r="I257" s="13"/>
    </row>
    <row r="258" spans="1:9">
      <c r="A258" s="10" t="s">
        <v>294</v>
      </c>
      <c r="B258" s="11">
        <v>2116</v>
      </c>
      <c r="C258" s="12" t="s">
        <v>246</v>
      </c>
      <c r="D258" s="13">
        <v>0.6</v>
      </c>
      <c r="E258" s="14">
        <v>250</v>
      </c>
      <c r="F258" s="15">
        <f t="shared" si="10"/>
        <v>5.53963414634146</v>
      </c>
      <c r="G258" s="16">
        <v>72.68</v>
      </c>
      <c r="H258" s="17">
        <f t="shared" si="11"/>
        <v>18170</v>
      </c>
      <c r="I258" s="13"/>
    </row>
    <row r="259" spans="1:9">
      <c r="A259" s="10" t="s">
        <v>294</v>
      </c>
      <c r="B259" s="11">
        <v>3313</v>
      </c>
      <c r="C259" s="12" t="s">
        <v>244</v>
      </c>
      <c r="D259" s="13">
        <v>0.57</v>
      </c>
      <c r="E259" s="14">
        <v>300</v>
      </c>
      <c r="F259" s="15">
        <f t="shared" ref="F259:F322" si="12">G259/13.12</f>
        <v>4.57774390243902</v>
      </c>
      <c r="G259" s="16">
        <v>60.06</v>
      </c>
      <c r="H259" s="17">
        <f t="shared" si="11"/>
        <v>18018</v>
      </c>
      <c r="I259" s="13"/>
    </row>
    <row r="260" spans="1:9">
      <c r="A260" s="10" t="s">
        <v>294</v>
      </c>
      <c r="B260" s="11">
        <v>3313</v>
      </c>
      <c r="C260" s="12" t="s">
        <v>245</v>
      </c>
      <c r="D260" s="13">
        <v>0.59</v>
      </c>
      <c r="E260" s="14">
        <v>300</v>
      </c>
      <c r="F260" s="15">
        <f t="shared" si="12"/>
        <v>5.92225609756098</v>
      </c>
      <c r="G260" s="16">
        <v>77.7</v>
      </c>
      <c r="H260" s="17">
        <f t="shared" si="11"/>
        <v>23310</v>
      </c>
      <c r="I260" s="13"/>
    </row>
    <row r="261" spans="1:9">
      <c r="A261" s="10" t="s">
        <v>294</v>
      </c>
      <c r="B261" s="11">
        <v>3313</v>
      </c>
      <c r="C261" s="12" t="s">
        <v>247</v>
      </c>
      <c r="D261" s="13">
        <v>0.61</v>
      </c>
      <c r="E261" s="14">
        <v>300</v>
      </c>
      <c r="F261" s="15">
        <f t="shared" si="12"/>
        <v>6.24237804878049</v>
      </c>
      <c r="G261" s="16">
        <v>81.9</v>
      </c>
      <c r="H261" s="17">
        <f t="shared" si="11"/>
        <v>24570</v>
      </c>
      <c r="I261" s="13"/>
    </row>
    <row r="262" spans="1:9">
      <c r="A262" s="10" t="s">
        <v>295</v>
      </c>
      <c r="B262" s="11">
        <v>1035</v>
      </c>
      <c r="C262" s="12" t="s">
        <v>266</v>
      </c>
      <c r="D262" s="13">
        <v>0.75</v>
      </c>
      <c r="E262" s="14">
        <v>300</v>
      </c>
      <c r="F262" s="15">
        <f t="shared" si="12"/>
        <v>5.61737804878049</v>
      </c>
      <c r="G262" s="16">
        <v>73.7</v>
      </c>
      <c r="H262" s="17">
        <v>22317</v>
      </c>
      <c r="I262" s="13"/>
    </row>
    <row r="263" spans="1:9">
      <c r="A263" s="10" t="s">
        <v>295</v>
      </c>
      <c r="B263" s="11">
        <v>1080</v>
      </c>
      <c r="C263" s="12" t="s">
        <v>262</v>
      </c>
      <c r="D263" s="13">
        <v>0.71</v>
      </c>
      <c r="E263" s="14">
        <v>300</v>
      </c>
      <c r="F263" s="15">
        <f t="shared" si="12"/>
        <v>6.875</v>
      </c>
      <c r="G263" s="16">
        <v>90.2</v>
      </c>
      <c r="H263" s="17">
        <v>18585</v>
      </c>
      <c r="I263" s="13"/>
    </row>
    <row r="264" spans="1:9">
      <c r="A264" s="10" t="s">
        <v>296</v>
      </c>
      <c r="B264" s="11">
        <v>106</v>
      </c>
      <c r="C264" s="12" t="s">
        <v>266</v>
      </c>
      <c r="D264" s="13">
        <v>0.75</v>
      </c>
      <c r="E264" s="14">
        <v>300</v>
      </c>
      <c r="F264" s="15">
        <f t="shared" si="12"/>
        <v>5.11966463414634</v>
      </c>
      <c r="G264" s="16">
        <v>67.17</v>
      </c>
      <c r="H264" s="17">
        <f t="shared" ref="H264:H327" si="13">G264*E264</f>
        <v>20151</v>
      </c>
      <c r="I264" s="13"/>
    </row>
    <row r="265" spans="1:9">
      <c r="A265" s="10" t="s">
        <v>296</v>
      </c>
      <c r="B265" s="11">
        <v>1035</v>
      </c>
      <c r="C265" s="12" t="s">
        <v>266</v>
      </c>
      <c r="D265" s="13">
        <v>0.75</v>
      </c>
      <c r="E265" s="14">
        <v>300</v>
      </c>
      <c r="F265" s="15">
        <f t="shared" si="12"/>
        <v>5.66996951219512</v>
      </c>
      <c r="G265" s="16">
        <v>74.39</v>
      </c>
      <c r="H265" s="17">
        <f t="shared" si="13"/>
        <v>22317</v>
      </c>
      <c r="I265" s="13"/>
    </row>
    <row r="266" spans="1:9">
      <c r="A266" s="10" t="s">
        <v>296</v>
      </c>
      <c r="B266" s="11">
        <v>1067</v>
      </c>
      <c r="C266" s="12" t="s">
        <v>257</v>
      </c>
      <c r="D266" s="13">
        <v>0.66</v>
      </c>
      <c r="E266" s="14">
        <v>300</v>
      </c>
      <c r="F266" s="15">
        <f t="shared" si="12"/>
        <v>4.66615853658537</v>
      </c>
      <c r="G266" s="16">
        <v>61.22</v>
      </c>
      <c r="H266" s="17">
        <f t="shared" si="13"/>
        <v>18366</v>
      </c>
      <c r="I266" s="13"/>
    </row>
    <row r="267" spans="1:9">
      <c r="A267" s="10" t="s">
        <v>296</v>
      </c>
      <c r="B267" s="11">
        <v>1067</v>
      </c>
      <c r="C267" s="12" t="s">
        <v>267</v>
      </c>
      <c r="D267" s="13">
        <v>0.76</v>
      </c>
      <c r="E267" s="14">
        <v>300</v>
      </c>
      <c r="F267" s="15">
        <f t="shared" si="12"/>
        <v>5.8422256097561</v>
      </c>
      <c r="G267" s="16">
        <v>76.65</v>
      </c>
      <c r="H267" s="17">
        <f t="shared" si="13"/>
        <v>22995</v>
      </c>
      <c r="I267" s="13"/>
    </row>
    <row r="268" spans="1:9">
      <c r="A268" s="10" t="s">
        <v>296</v>
      </c>
      <c r="B268" s="11">
        <v>1078</v>
      </c>
      <c r="C268" s="12" t="s">
        <v>259</v>
      </c>
      <c r="D268" s="13">
        <v>0.68</v>
      </c>
      <c r="E268" s="14">
        <v>300</v>
      </c>
      <c r="F268" s="15">
        <f t="shared" si="12"/>
        <v>5.5640243902439</v>
      </c>
      <c r="G268" s="16">
        <v>73</v>
      </c>
      <c r="H268" s="17">
        <f t="shared" si="13"/>
        <v>21900</v>
      </c>
      <c r="I268" s="13"/>
    </row>
    <row r="269" spans="1:9">
      <c r="A269" s="10" t="s">
        <v>296</v>
      </c>
      <c r="B269" s="11">
        <v>1078</v>
      </c>
      <c r="C269" s="12" t="s">
        <v>261</v>
      </c>
      <c r="D269" s="13">
        <v>0.7</v>
      </c>
      <c r="E269" s="14">
        <v>300</v>
      </c>
      <c r="F269" s="15">
        <f t="shared" si="12"/>
        <v>6.02134146341463</v>
      </c>
      <c r="G269" s="16">
        <v>79</v>
      </c>
      <c r="H269" s="17">
        <f t="shared" si="13"/>
        <v>23700</v>
      </c>
      <c r="I269" s="13"/>
    </row>
    <row r="270" spans="1:9">
      <c r="A270" s="10" t="s">
        <v>296</v>
      </c>
      <c r="B270" s="11">
        <v>1080</v>
      </c>
      <c r="C270" s="12" t="s">
        <v>256</v>
      </c>
      <c r="D270" s="13">
        <v>0.65</v>
      </c>
      <c r="E270" s="14">
        <v>300</v>
      </c>
      <c r="F270" s="15">
        <f t="shared" si="12"/>
        <v>5.09984756097561</v>
      </c>
      <c r="G270" s="16">
        <v>66.91</v>
      </c>
      <c r="H270" s="17">
        <f t="shared" si="13"/>
        <v>20073</v>
      </c>
      <c r="I270" s="13"/>
    </row>
    <row r="271" spans="1:9">
      <c r="A271" s="10" t="s">
        <v>296</v>
      </c>
      <c r="B271" s="11">
        <v>2116</v>
      </c>
      <c r="C271" s="12" t="s">
        <v>245</v>
      </c>
      <c r="D271" s="13">
        <v>0.59</v>
      </c>
      <c r="E271" s="14">
        <v>250</v>
      </c>
      <c r="F271" s="15">
        <f t="shared" si="12"/>
        <v>7.60289634146342</v>
      </c>
      <c r="G271" s="16">
        <v>99.75</v>
      </c>
      <c r="H271" s="17">
        <f t="shared" si="13"/>
        <v>24937.5</v>
      </c>
      <c r="I271" s="13"/>
    </row>
    <row r="272" spans="1:9">
      <c r="A272" s="10" t="s">
        <v>297</v>
      </c>
      <c r="B272" s="11">
        <v>106</v>
      </c>
      <c r="C272" s="12" t="s">
        <v>266</v>
      </c>
      <c r="D272" s="13">
        <v>0.75</v>
      </c>
      <c r="E272" s="14">
        <v>300</v>
      </c>
      <c r="F272" s="15">
        <f t="shared" si="12"/>
        <v>4.44359756097561</v>
      </c>
      <c r="G272" s="16">
        <v>58.3</v>
      </c>
      <c r="H272" s="17">
        <f t="shared" si="13"/>
        <v>17490</v>
      </c>
      <c r="I272" s="13"/>
    </row>
    <row r="273" spans="1:9">
      <c r="A273" s="10" t="s">
        <v>297</v>
      </c>
      <c r="B273" s="11">
        <v>106</v>
      </c>
      <c r="C273" s="12" t="s">
        <v>267</v>
      </c>
      <c r="D273" s="13">
        <v>0.76</v>
      </c>
      <c r="E273" s="14">
        <v>300</v>
      </c>
      <c r="F273" s="15">
        <f t="shared" si="12"/>
        <v>4.44359756097561</v>
      </c>
      <c r="G273" s="16">
        <v>58.3</v>
      </c>
      <c r="H273" s="17">
        <f t="shared" si="13"/>
        <v>17490</v>
      </c>
      <c r="I273" s="13"/>
    </row>
    <row r="274" spans="1:9">
      <c r="A274" s="10" t="s">
        <v>297</v>
      </c>
      <c r="B274" s="11">
        <v>1027</v>
      </c>
      <c r="C274" s="12" t="s">
        <v>264</v>
      </c>
      <c r="D274" s="13">
        <v>0.73</v>
      </c>
      <c r="E274" s="14">
        <v>300</v>
      </c>
      <c r="F274" s="15">
        <f t="shared" si="12"/>
        <v>4.91387195121951</v>
      </c>
      <c r="G274" s="16">
        <v>64.47</v>
      </c>
      <c r="H274" s="17">
        <f t="shared" si="13"/>
        <v>19341</v>
      </c>
      <c r="I274" s="13"/>
    </row>
    <row r="275" spans="1:9">
      <c r="A275" s="10" t="s">
        <v>297</v>
      </c>
      <c r="B275" s="11">
        <v>1035</v>
      </c>
      <c r="C275" s="12" t="s">
        <v>264</v>
      </c>
      <c r="D275" s="13">
        <v>0.73</v>
      </c>
      <c r="E275" s="14">
        <v>300</v>
      </c>
      <c r="F275" s="15">
        <f t="shared" si="12"/>
        <v>4.7515243902439</v>
      </c>
      <c r="G275" s="16">
        <v>62.34</v>
      </c>
      <c r="H275" s="17">
        <f t="shared" si="13"/>
        <v>18702</v>
      </c>
      <c r="I275" s="13"/>
    </row>
    <row r="276" spans="1:9">
      <c r="A276" s="10" t="s">
        <v>297</v>
      </c>
      <c r="B276" s="11">
        <v>1035</v>
      </c>
      <c r="C276" s="12" t="s">
        <v>265</v>
      </c>
      <c r="D276" s="13">
        <v>0.74</v>
      </c>
      <c r="E276" s="14">
        <v>300</v>
      </c>
      <c r="F276" s="15">
        <f t="shared" si="12"/>
        <v>5.14100609756098</v>
      </c>
      <c r="G276" s="16">
        <v>67.45</v>
      </c>
      <c r="H276" s="17">
        <f t="shared" si="13"/>
        <v>20235</v>
      </c>
      <c r="I276" s="13"/>
    </row>
    <row r="277" spans="1:9">
      <c r="A277" s="10" t="s">
        <v>297</v>
      </c>
      <c r="B277" s="11">
        <v>1035</v>
      </c>
      <c r="C277" s="12" t="s">
        <v>266</v>
      </c>
      <c r="D277" s="13">
        <v>0.75</v>
      </c>
      <c r="E277" s="14">
        <v>300</v>
      </c>
      <c r="F277" s="15">
        <f t="shared" si="12"/>
        <v>5.34984756097561</v>
      </c>
      <c r="G277" s="16">
        <v>70.19</v>
      </c>
      <c r="H277" s="17">
        <f t="shared" si="13"/>
        <v>21057</v>
      </c>
      <c r="I277" s="13"/>
    </row>
    <row r="278" spans="1:9">
      <c r="A278" s="10" t="s">
        <v>297</v>
      </c>
      <c r="B278" s="11">
        <v>1067</v>
      </c>
      <c r="C278" s="12" t="s">
        <v>261</v>
      </c>
      <c r="D278" s="13">
        <v>0.7</v>
      </c>
      <c r="E278" s="14">
        <v>300</v>
      </c>
      <c r="F278" s="15">
        <f t="shared" si="12"/>
        <v>5.33536585365854</v>
      </c>
      <c r="G278" s="16">
        <v>70</v>
      </c>
      <c r="H278" s="17">
        <f t="shared" si="13"/>
        <v>21000</v>
      </c>
      <c r="I278" s="13"/>
    </row>
    <row r="279" spans="1:9">
      <c r="A279" s="10" t="s">
        <v>297</v>
      </c>
      <c r="B279" s="11">
        <v>1067</v>
      </c>
      <c r="C279" s="12" t="s">
        <v>264</v>
      </c>
      <c r="D279" s="13">
        <v>0.73</v>
      </c>
      <c r="E279" s="14">
        <v>300</v>
      </c>
      <c r="F279" s="15">
        <f t="shared" si="12"/>
        <v>5.52591463414634</v>
      </c>
      <c r="G279" s="16">
        <v>72.5</v>
      </c>
      <c r="H279" s="17">
        <f t="shared" si="13"/>
        <v>21750</v>
      </c>
      <c r="I279" s="13"/>
    </row>
    <row r="280" spans="1:9">
      <c r="A280" s="10" t="s">
        <v>297</v>
      </c>
      <c r="B280" s="11">
        <v>1067</v>
      </c>
      <c r="C280" s="12" t="s">
        <v>266</v>
      </c>
      <c r="D280" s="13">
        <v>0.75</v>
      </c>
      <c r="E280" s="14">
        <v>300</v>
      </c>
      <c r="F280" s="15">
        <f t="shared" si="12"/>
        <v>5.5640243902439</v>
      </c>
      <c r="G280" s="16">
        <v>73</v>
      </c>
      <c r="H280" s="17">
        <f t="shared" si="13"/>
        <v>21900</v>
      </c>
      <c r="I280" s="13"/>
    </row>
    <row r="281" spans="1:9">
      <c r="A281" s="10" t="s">
        <v>297</v>
      </c>
      <c r="B281" s="11">
        <v>1078</v>
      </c>
      <c r="C281" s="12" t="s">
        <v>255</v>
      </c>
      <c r="D281" s="13">
        <v>0.64</v>
      </c>
      <c r="E281" s="14">
        <v>300</v>
      </c>
      <c r="F281" s="15">
        <f t="shared" si="12"/>
        <v>5.29115853658537</v>
      </c>
      <c r="G281" s="16">
        <v>69.42</v>
      </c>
      <c r="H281" s="17">
        <f t="shared" si="13"/>
        <v>20826</v>
      </c>
      <c r="I281" s="13"/>
    </row>
    <row r="282" spans="1:9">
      <c r="A282" s="10" t="s">
        <v>297</v>
      </c>
      <c r="B282" s="11">
        <v>1078</v>
      </c>
      <c r="C282" s="12" t="s">
        <v>257</v>
      </c>
      <c r="D282" s="13">
        <v>0.66</v>
      </c>
      <c r="E282" s="14">
        <v>300</v>
      </c>
      <c r="F282" s="15">
        <f t="shared" si="12"/>
        <v>5.35975609756098</v>
      </c>
      <c r="G282" s="16">
        <v>70.32</v>
      </c>
      <c r="H282" s="17">
        <f t="shared" si="13"/>
        <v>21096</v>
      </c>
      <c r="I282" s="13"/>
    </row>
    <row r="283" spans="1:9">
      <c r="A283" s="10" t="s">
        <v>297</v>
      </c>
      <c r="B283" s="11">
        <v>1078</v>
      </c>
      <c r="C283" s="12" t="s">
        <v>258</v>
      </c>
      <c r="D283" s="13">
        <v>0.67</v>
      </c>
      <c r="E283" s="14">
        <v>300</v>
      </c>
      <c r="F283" s="15">
        <f t="shared" si="12"/>
        <v>5.35975609756098</v>
      </c>
      <c r="G283" s="16">
        <v>70.32</v>
      </c>
      <c r="H283" s="17">
        <f t="shared" si="13"/>
        <v>21096</v>
      </c>
      <c r="I283" s="13"/>
    </row>
    <row r="284" spans="1:9">
      <c r="A284" s="10" t="s">
        <v>297</v>
      </c>
      <c r="B284" s="11">
        <v>1078</v>
      </c>
      <c r="C284" s="12" t="s">
        <v>259</v>
      </c>
      <c r="D284" s="13">
        <v>0.68</v>
      </c>
      <c r="E284" s="14">
        <v>300</v>
      </c>
      <c r="F284" s="15">
        <f t="shared" si="12"/>
        <v>5.53353658536585</v>
      </c>
      <c r="G284" s="16">
        <v>72.6</v>
      </c>
      <c r="H284" s="17">
        <f t="shared" si="13"/>
        <v>21780</v>
      </c>
      <c r="I284" s="13"/>
    </row>
    <row r="285" spans="1:9">
      <c r="A285" s="10" t="s">
        <v>297</v>
      </c>
      <c r="B285" s="11">
        <v>1078</v>
      </c>
      <c r="C285" s="12" t="s">
        <v>260</v>
      </c>
      <c r="D285" s="13">
        <v>0.69</v>
      </c>
      <c r="E285" s="14">
        <v>300</v>
      </c>
      <c r="F285" s="15">
        <f t="shared" si="12"/>
        <v>5.8094512195122</v>
      </c>
      <c r="G285" s="16">
        <v>76.22</v>
      </c>
      <c r="H285" s="17">
        <f t="shared" si="13"/>
        <v>22866</v>
      </c>
      <c r="I285" s="13"/>
    </row>
    <row r="286" spans="1:9">
      <c r="A286" s="10" t="s">
        <v>297</v>
      </c>
      <c r="B286" s="11">
        <v>1078</v>
      </c>
      <c r="C286" s="12" t="s">
        <v>261</v>
      </c>
      <c r="D286" s="13">
        <v>0.7</v>
      </c>
      <c r="E286" s="14">
        <v>300</v>
      </c>
      <c r="F286" s="15">
        <f t="shared" si="12"/>
        <v>5.91920731707317</v>
      </c>
      <c r="G286" s="16">
        <v>77.66</v>
      </c>
      <c r="H286" s="17">
        <f t="shared" si="13"/>
        <v>23298</v>
      </c>
      <c r="I286" s="13"/>
    </row>
    <row r="287" spans="1:9">
      <c r="A287" s="10" t="s">
        <v>297</v>
      </c>
      <c r="B287" s="11">
        <v>1078</v>
      </c>
      <c r="C287" s="12" t="s">
        <v>263</v>
      </c>
      <c r="D287" s="13">
        <v>0.72</v>
      </c>
      <c r="E287" s="14">
        <v>300</v>
      </c>
      <c r="F287" s="15">
        <f t="shared" si="12"/>
        <v>6.50685975609756</v>
      </c>
      <c r="G287" s="16">
        <v>85.37</v>
      </c>
      <c r="H287" s="17">
        <f t="shared" si="13"/>
        <v>25611</v>
      </c>
      <c r="I287" s="13"/>
    </row>
    <row r="288" spans="1:9">
      <c r="A288" s="10" t="s">
        <v>297</v>
      </c>
      <c r="B288" s="11">
        <v>1078</v>
      </c>
      <c r="C288" s="12" t="s">
        <v>265</v>
      </c>
      <c r="D288" s="13">
        <v>0.74</v>
      </c>
      <c r="E288" s="14">
        <v>300</v>
      </c>
      <c r="F288" s="15">
        <f t="shared" si="12"/>
        <v>7.00381097560976</v>
      </c>
      <c r="G288" s="16">
        <v>91.89</v>
      </c>
      <c r="H288" s="17">
        <f t="shared" si="13"/>
        <v>27567</v>
      </c>
      <c r="I288" s="13"/>
    </row>
    <row r="289" spans="1:9">
      <c r="A289" s="10" t="s">
        <v>297</v>
      </c>
      <c r="B289" s="11">
        <v>1080</v>
      </c>
      <c r="C289" s="12" t="s">
        <v>255</v>
      </c>
      <c r="D289" s="13">
        <v>0.64</v>
      </c>
      <c r="E289" s="14">
        <v>300</v>
      </c>
      <c r="F289" s="15">
        <f t="shared" si="12"/>
        <v>4.96036585365854</v>
      </c>
      <c r="G289" s="16">
        <v>65.08</v>
      </c>
      <c r="H289" s="17">
        <f t="shared" si="13"/>
        <v>19524</v>
      </c>
      <c r="I289" s="13"/>
    </row>
    <row r="290" spans="1:9">
      <c r="A290" s="10" t="s">
        <v>297</v>
      </c>
      <c r="B290" s="11">
        <v>1080</v>
      </c>
      <c r="C290" s="12" t="s">
        <v>258</v>
      </c>
      <c r="D290" s="13">
        <v>0.67</v>
      </c>
      <c r="E290" s="14">
        <v>300</v>
      </c>
      <c r="F290" s="15">
        <f t="shared" si="12"/>
        <v>5.36051829268293</v>
      </c>
      <c r="G290" s="16">
        <v>70.33</v>
      </c>
      <c r="H290" s="17">
        <f t="shared" si="13"/>
        <v>21099</v>
      </c>
      <c r="I290" s="13"/>
    </row>
    <row r="291" spans="1:9">
      <c r="A291" s="10" t="s">
        <v>297</v>
      </c>
      <c r="B291" s="11">
        <v>1080</v>
      </c>
      <c r="C291" s="12" t="s">
        <v>259</v>
      </c>
      <c r="D291" s="13">
        <v>0.68</v>
      </c>
      <c r="E291" s="14">
        <v>300</v>
      </c>
      <c r="F291" s="15">
        <f t="shared" si="12"/>
        <v>5.64862804878049</v>
      </c>
      <c r="G291" s="16">
        <v>74.11</v>
      </c>
      <c r="H291" s="17">
        <f t="shared" si="13"/>
        <v>22233</v>
      </c>
      <c r="I291" s="13"/>
    </row>
    <row r="292" spans="1:9">
      <c r="A292" s="10" t="s">
        <v>297</v>
      </c>
      <c r="B292" s="11">
        <v>1080</v>
      </c>
      <c r="C292" s="12" t="s">
        <v>260</v>
      </c>
      <c r="D292" s="13">
        <v>0.69</v>
      </c>
      <c r="E292" s="14">
        <v>300</v>
      </c>
      <c r="F292" s="15">
        <f t="shared" si="12"/>
        <v>5.77515243902439</v>
      </c>
      <c r="G292" s="16">
        <v>75.77</v>
      </c>
      <c r="H292" s="17">
        <f t="shared" si="13"/>
        <v>22731</v>
      </c>
      <c r="I292" s="13"/>
    </row>
    <row r="293" spans="1:9">
      <c r="A293" s="10" t="s">
        <v>297</v>
      </c>
      <c r="B293" s="11">
        <v>1080</v>
      </c>
      <c r="C293" s="12" t="s">
        <v>262</v>
      </c>
      <c r="D293" s="13">
        <v>0.71</v>
      </c>
      <c r="E293" s="14">
        <v>300</v>
      </c>
      <c r="F293" s="15">
        <f t="shared" si="12"/>
        <v>6.25533536585366</v>
      </c>
      <c r="G293" s="16">
        <v>82.07</v>
      </c>
      <c r="H293" s="17">
        <f t="shared" si="13"/>
        <v>24621</v>
      </c>
      <c r="I293" s="13"/>
    </row>
    <row r="294" spans="1:9">
      <c r="A294" s="10" t="s">
        <v>297</v>
      </c>
      <c r="B294" s="11">
        <v>1080</v>
      </c>
      <c r="C294" s="12" t="s">
        <v>263</v>
      </c>
      <c r="D294" s="13">
        <v>0.72</v>
      </c>
      <c r="E294" s="14">
        <v>300</v>
      </c>
      <c r="F294" s="15">
        <f t="shared" si="12"/>
        <v>6.21875</v>
      </c>
      <c r="G294" s="16">
        <v>81.59</v>
      </c>
      <c r="H294" s="17">
        <f t="shared" si="13"/>
        <v>24477</v>
      </c>
      <c r="I294" s="13"/>
    </row>
    <row r="295" spans="1:9">
      <c r="A295" s="10" t="s">
        <v>297</v>
      </c>
      <c r="B295" s="11">
        <v>2116</v>
      </c>
      <c r="C295" s="12" t="s">
        <v>249</v>
      </c>
      <c r="D295" s="13">
        <v>0.54</v>
      </c>
      <c r="E295" s="14">
        <v>250</v>
      </c>
      <c r="F295" s="15">
        <f t="shared" si="12"/>
        <v>6.07164634146341</v>
      </c>
      <c r="G295" s="16">
        <v>79.66</v>
      </c>
      <c r="H295" s="17">
        <f t="shared" si="13"/>
        <v>19915</v>
      </c>
      <c r="I295" s="13"/>
    </row>
    <row r="296" spans="1:9">
      <c r="A296" s="10" t="s">
        <v>297</v>
      </c>
      <c r="B296" s="11">
        <v>2116</v>
      </c>
      <c r="C296" s="12" t="s">
        <v>251</v>
      </c>
      <c r="D296" s="13">
        <v>0.56</v>
      </c>
      <c r="E296" s="14">
        <v>250</v>
      </c>
      <c r="F296" s="15">
        <f t="shared" si="12"/>
        <v>6.80030487804878</v>
      </c>
      <c r="G296" s="16">
        <v>89.22</v>
      </c>
      <c r="H296" s="17">
        <f t="shared" si="13"/>
        <v>22305</v>
      </c>
      <c r="I296" s="13"/>
    </row>
    <row r="297" spans="1:9">
      <c r="A297" s="10" t="s">
        <v>297</v>
      </c>
      <c r="B297" s="11">
        <v>3313</v>
      </c>
      <c r="C297" s="12" t="s">
        <v>244</v>
      </c>
      <c r="D297" s="13">
        <v>0.57</v>
      </c>
      <c r="E297" s="14">
        <v>300</v>
      </c>
      <c r="F297" s="15">
        <f t="shared" si="12"/>
        <v>5.35442073170732</v>
      </c>
      <c r="G297" s="16">
        <v>70.25</v>
      </c>
      <c r="H297" s="17">
        <f t="shared" si="13"/>
        <v>21075</v>
      </c>
      <c r="I297" s="13"/>
    </row>
    <row r="298" spans="1:9">
      <c r="A298" s="10" t="s">
        <v>297</v>
      </c>
      <c r="B298" s="11">
        <v>3313</v>
      </c>
      <c r="C298" s="12" t="s">
        <v>252</v>
      </c>
      <c r="D298" s="13">
        <v>0.58</v>
      </c>
      <c r="E298" s="14">
        <v>300</v>
      </c>
      <c r="F298" s="15">
        <f t="shared" si="12"/>
        <v>5.37804878048781</v>
      </c>
      <c r="G298" s="16">
        <v>70.56</v>
      </c>
      <c r="H298" s="17">
        <f t="shared" si="13"/>
        <v>21168</v>
      </c>
      <c r="I298" s="13"/>
    </row>
    <row r="299" spans="1:9">
      <c r="A299" s="10" t="s">
        <v>298</v>
      </c>
      <c r="B299" s="11">
        <v>1035</v>
      </c>
      <c r="C299" s="12" t="s">
        <v>263</v>
      </c>
      <c r="D299" s="13">
        <v>0.72</v>
      </c>
      <c r="E299" s="14">
        <v>300</v>
      </c>
      <c r="F299" s="15">
        <f t="shared" si="12"/>
        <v>10.9756097560976</v>
      </c>
      <c r="G299" s="16">
        <v>144</v>
      </c>
      <c r="H299" s="17">
        <f t="shared" si="13"/>
        <v>43200</v>
      </c>
      <c r="I299" s="13"/>
    </row>
    <row r="300" spans="1:9">
      <c r="A300" s="10" t="s">
        <v>298</v>
      </c>
      <c r="B300" s="11">
        <v>1078</v>
      </c>
      <c r="C300" s="12" t="s">
        <v>259</v>
      </c>
      <c r="D300" s="13">
        <v>0.68</v>
      </c>
      <c r="E300" s="14">
        <v>300</v>
      </c>
      <c r="F300" s="15">
        <f t="shared" si="12"/>
        <v>9.52743902439024</v>
      </c>
      <c r="G300" s="16">
        <v>125</v>
      </c>
      <c r="H300" s="17">
        <f t="shared" si="13"/>
        <v>37500</v>
      </c>
      <c r="I300" s="13"/>
    </row>
    <row r="301" spans="1:9">
      <c r="A301" s="10" t="s">
        <v>298</v>
      </c>
      <c r="B301" s="11">
        <v>1078</v>
      </c>
      <c r="C301" s="12" t="s">
        <v>262</v>
      </c>
      <c r="D301" s="13">
        <v>0.71</v>
      </c>
      <c r="E301" s="14">
        <v>300</v>
      </c>
      <c r="F301" s="15">
        <f t="shared" si="12"/>
        <v>9.52743902439024</v>
      </c>
      <c r="G301" s="16">
        <v>125</v>
      </c>
      <c r="H301" s="17">
        <f t="shared" si="13"/>
        <v>37500</v>
      </c>
      <c r="I301" s="13"/>
    </row>
    <row r="302" spans="1:9">
      <c r="A302" s="10" t="s">
        <v>298</v>
      </c>
      <c r="B302" s="11">
        <v>2116</v>
      </c>
      <c r="C302" s="12" t="s">
        <v>251</v>
      </c>
      <c r="D302" s="13">
        <v>0.56</v>
      </c>
      <c r="E302" s="14">
        <v>250</v>
      </c>
      <c r="F302" s="15">
        <f t="shared" si="12"/>
        <v>10.6707317073171</v>
      </c>
      <c r="G302" s="16">
        <v>140</v>
      </c>
      <c r="H302" s="17">
        <f t="shared" si="13"/>
        <v>35000</v>
      </c>
      <c r="I302" s="13"/>
    </row>
    <row r="303" spans="1:9">
      <c r="A303" s="10" t="s">
        <v>298</v>
      </c>
      <c r="B303" s="11">
        <v>3313</v>
      </c>
      <c r="C303" s="12" t="s">
        <v>251</v>
      </c>
      <c r="D303" s="13">
        <v>0.56</v>
      </c>
      <c r="E303" s="14">
        <v>300</v>
      </c>
      <c r="F303" s="15">
        <f t="shared" si="12"/>
        <v>8.61280487804878</v>
      </c>
      <c r="G303" s="16">
        <v>113</v>
      </c>
      <c r="H303" s="17">
        <f t="shared" si="13"/>
        <v>33900</v>
      </c>
      <c r="I303" s="13"/>
    </row>
    <row r="304" spans="1:9">
      <c r="A304" s="10" t="s">
        <v>299</v>
      </c>
      <c r="B304" s="11">
        <v>1035</v>
      </c>
      <c r="C304" s="12" t="s">
        <v>265</v>
      </c>
      <c r="D304" s="13">
        <v>0.74</v>
      </c>
      <c r="E304" s="14">
        <v>300</v>
      </c>
      <c r="F304" s="15">
        <f t="shared" si="12"/>
        <v>7.92682926829268</v>
      </c>
      <c r="G304" s="16">
        <v>104</v>
      </c>
      <c r="H304" s="17">
        <f t="shared" si="13"/>
        <v>31200</v>
      </c>
      <c r="I304" s="13"/>
    </row>
    <row r="305" spans="1:9">
      <c r="A305" s="10" t="s">
        <v>299</v>
      </c>
      <c r="B305" s="11">
        <v>1035</v>
      </c>
      <c r="C305" s="12" t="s">
        <v>266</v>
      </c>
      <c r="D305" s="13">
        <v>0.75</v>
      </c>
      <c r="E305" s="14">
        <v>300</v>
      </c>
      <c r="F305" s="15">
        <f t="shared" si="12"/>
        <v>8.23170731707317</v>
      </c>
      <c r="G305" s="16">
        <v>108</v>
      </c>
      <c r="H305" s="17">
        <f t="shared" si="13"/>
        <v>32400</v>
      </c>
      <c r="I305" s="13"/>
    </row>
    <row r="306" spans="1:9">
      <c r="A306" s="10" t="s">
        <v>299</v>
      </c>
      <c r="B306" s="11">
        <v>1067</v>
      </c>
      <c r="C306" s="12" t="s">
        <v>264</v>
      </c>
      <c r="D306" s="13">
        <v>0.73</v>
      </c>
      <c r="E306" s="14">
        <v>300</v>
      </c>
      <c r="F306" s="15">
        <f t="shared" si="12"/>
        <v>9.08384146341464</v>
      </c>
      <c r="G306" s="16">
        <v>119.18</v>
      </c>
      <c r="H306" s="17">
        <f t="shared" si="13"/>
        <v>35754</v>
      </c>
      <c r="I306" s="13"/>
    </row>
    <row r="307" spans="1:9">
      <c r="A307" s="10" t="s">
        <v>299</v>
      </c>
      <c r="B307" s="11">
        <v>1078</v>
      </c>
      <c r="C307" s="12" t="s">
        <v>253</v>
      </c>
      <c r="D307" s="13">
        <v>0.62</v>
      </c>
      <c r="E307" s="14">
        <v>300</v>
      </c>
      <c r="F307" s="15">
        <f t="shared" si="12"/>
        <v>7.69817073170732</v>
      </c>
      <c r="G307" s="16">
        <v>101</v>
      </c>
      <c r="H307" s="17">
        <f t="shared" si="13"/>
        <v>30300</v>
      </c>
      <c r="I307" s="13"/>
    </row>
    <row r="308" spans="1:9">
      <c r="A308" s="10" t="s">
        <v>299</v>
      </c>
      <c r="B308" s="11">
        <v>1078</v>
      </c>
      <c r="C308" s="12" t="s">
        <v>258</v>
      </c>
      <c r="D308" s="13">
        <v>0.67</v>
      </c>
      <c r="E308" s="14">
        <v>300</v>
      </c>
      <c r="F308" s="15">
        <f t="shared" si="12"/>
        <v>8.91768292682927</v>
      </c>
      <c r="G308" s="16">
        <v>117</v>
      </c>
      <c r="H308" s="17">
        <f t="shared" si="13"/>
        <v>35100</v>
      </c>
      <c r="I308" s="13"/>
    </row>
    <row r="309" spans="1:9">
      <c r="A309" s="10" t="s">
        <v>299</v>
      </c>
      <c r="B309" s="11">
        <v>1080</v>
      </c>
      <c r="C309" s="12" t="s">
        <v>260</v>
      </c>
      <c r="D309" s="13">
        <v>0.69</v>
      </c>
      <c r="E309" s="14">
        <v>300</v>
      </c>
      <c r="F309" s="15">
        <f t="shared" si="12"/>
        <v>9.6859756097561</v>
      </c>
      <c r="G309" s="16">
        <v>127.08</v>
      </c>
      <c r="H309" s="17">
        <f t="shared" si="13"/>
        <v>38124</v>
      </c>
      <c r="I309" s="13"/>
    </row>
    <row r="310" spans="1:9">
      <c r="A310" s="10" t="s">
        <v>299</v>
      </c>
      <c r="B310" s="11">
        <v>2116</v>
      </c>
      <c r="C310" s="12" t="s">
        <v>252</v>
      </c>
      <c r="D310" s="13">
        <v>0.58</v>
      </c>
      <c r="E310" s="14">
        <v>200</v>
      </c>
      <c r="F310" s="15">
        <f t="shared" si="12"/>
        <v>11.7378048780488</v>
      </c>
      <c r="G310" s="16">
        <v>154</v>
      </c>
      <c r="H310" s="17">
        <f t="shared" si="13"/>
        <v>30800</v>
      </c>
      <c r="I310" s="13"/>
    </row>
    <row r="311" spans="1:9">
      <c r="A311" s="10" t="s">
        <v>300</v>
      </c>
      <c r="B311" s="11">
        <v>106</v>
      </c>
      <c r="C311" s="12" t="s">
        <v>266</v>
      </c>
      <c r="D311" s="13">
        <v>0.75</v>
      </c>
      <c r="E311" s="14">
        <v>300</v>
      </c>
      <c r="F311" s="15">
        <f t="shared" si="12"/>
        <v>12.5762195121951</v>
      </c>
      <c r="G311" s="16">
        <v>165</v>
      </c>
      <c r="H311" s="17">
        <f t="shared" si="13"/>
        <v>49500</v>
      </c>
      <c r="I311" s="13"/>
    </row>
    <row r="312" spans="1:9">
      <c r="A312" s="10" t="s">
        <v>300</v>
      </c>
      <c r="B312" s="11">
        <v>1035</v>
      </c>
      <c r="C312" s="12" t="s">
        <v>266</v>
      </c>
      <c r="D312" s="13">
        <v>0.75</v>
      </c>
      <c r="E312" s="14">
        <v>300</v>
      </c>
      <c r="F312" s="15">
        <f t="shared" si="12"/>
        <v>13.407012195122</v>
      </c>
      <c r="G312" s="16">
        <v>175.9</v>
      </c>
      <c r="H312" s="17">
        <f t="shared" si="13"/>
        <v>52770</v>
      </c>
      <c r="I312" s="13"/>
    </row>
    <row r="313" spans="1:9">
      <c r="A313" s="10" t="s">
        <v>300</v>
      </c>
      <c r="B313" s="11">
        <v>3313</v>
      </c>
      <c r="C313" s="12" t="s">
        <v>252</v>
      </c>
      <c r="D313" s="13">
        <v>0.58</v>
      </c>
      <c r="E313" s="14">
        <v>300</v>
      </c>
      <c r="F313" s="15">
        <f t="shared" si="12"/>
        <v>14.141006097561</v>
      </c>
      <c r="G313" s="16">
        <v>185.53</v>
      </c>
      <c r="H313" s="17">
        <f t="shared" si="13"/>
        <v>55659</v>
      </c>
      <c r="I313" s="13"/>
    </row>
    <row r="314" spans="1:9">
      <c r="A314" s="10" t="s">
        <v>300</v>
      </c>
      <c r="B314" s="11">
        <v>2116</v>
      </c>
      <c r="C314" s="12" t="s">
        <v>250</v>
      </c>
      <c r="D314" s="13">
        <v>0.55</v>
      </c>
      <c r="E314" s="14">
        <v>300</v>
      </c>
      <c r="F314" s="15">
        <f t="shared" si="12"/>
        <v>15.0891768292683</v>
      </c>
      <c r="G314" s="16">
        <v>197.97</v>
      </c>
      <c r="H314" s="17">
        <f t="shared" si="13"/>
        <v>59391</v>
      </c>
      <c r="I314" s="13"/>
    </row>
    <row r="315" spans="1:9">
      <c r="A315" s="10" t="s">
        <v>300</v>
      </c>
      <c r="B315" s="11">
        <v>1078</v>
      </c>
      <c r="C315" s="12" t="s">
        <v>256</v>
      </c>
      <c r="D315" s="13">
        <v>0.65</v>
      </c>
      <c r="E315" s="14">
        <v>300</v>
      </c>
      <c r="F315" s="15">
        <f t="shared" si="12"/>
        <v>14.8628048780488</v>
      </c>
      <c r="G315" s="16">
        <v>195</v>
      </c>
      <c r="H315" s="17">
        <f t="shared" si="13"/>
        <v>58500</v>
      </c>
      <c r="I315" s="13"/>
    </row>
    <row r="316" spans="1:9">
      <c r="A316" s="10" t="s">
        <v>300</v>
      </c>
      <c r="B316" s="11">
        <v>1078</v>
      </c>
      <c r="C316" s="12" t="s">
        <v>258</v>
      </c>
      <c r="D316" s="13">
        <v>0.67</v>
      </c>
      <c r="E316" s="14">
        <v>300</v>
      </c>
      <c r="F316" s="15">
        <f t="shared" si="12"/>
        <v>15.0914634146341</v>
      </c>
      <c r="G316" s="16">
        <v>198</v>
      </c>
      <c r="H316" s="17">
        <f t="shared" si="13"/>
        <v>59400</v>
      </c>
      <c r="I316" s="13"/>
    </row>
    <row r="317" spans="1:9">
      <c r="A317" s="10" t="s">
        <v>300</v>
      </c>
      <c r="B317" s="11">
        <v>1078</v>
      </c>
      <c r="C317" s="12" t="s">
        <v>262</v>
      </c>
      <c r="D317" s="13">
        <v>0.71</v>
      </c>
      <c r="E317" s="14">
        <v>300</v>
      </c>
      <c r="F317" s="15">
        <f t="shared" si="12"/>
        <v>16.0060975609756</v>
      </c>
      <c r="G317" s="16">
        <v>210</v>
      </c>
      <c r="H317" s="17">
        <f t="shared" si="13"/>
        <v>63000</v>
      </c>
      <c r="I317" s="13"/>
    </row>
    <row r="318" spans="1:9">
      <c r="A318" s="10" t="s">
        <v>300</v>
      </c>
      <c r="B318" s="11">
        <v>1078</v>
      </c>
      <c r="C318" s="12" t="s">
        <v>264</v>
      </c>
      <c r="D318" s="13">
        <v>0.73</v>
      </c>
      <c r="E318" s="14">
        <v>300</v>
      </c>
      <c r="F318" s="15">
        <f t="shared" si="12"/>
        <v>17.0243902439024</v>
      </c>
      <c r="G318" s="16">
        <v>223.36</v>
      </c>
      <c r="H318" s="17">
        <f t="shared" si="13"/>
        <v>67008</v>
      </c>
      <c r="I318" s="13"/>
    </row>
    <row r="319" spans="1:9">
      <c r="A319" s="10" t="s">
        <v>300</v>
      </c>
      <c r="B319" s="11">
        <v>1078</v>
      </c>
      <c r="C319" s="12" t="s">
        <v>265</v>
      </c>
      <c r="D319" s="13">
        <v>0.74</v>
      </c>
      <c r="E319" s="14">
        <v>300</v>
      </c>
      <c r="F319" s="15">
        <f t="shared" si="12"/>
        <v>17.0243902439024</v>
      </c>
      <c r="G319" s="16">
        <v>223.36</v>
      </c>
      <c r="H319" s="17">
        <f t="shared" si="13"/>
        <v>67008</v>
      </c>
      <c r="I319" s="13"/>
    </row>
    <row r="320" spans="1:9">
      <c r="A320" s="10" t="s">
        <v>300</v>
      </c>
      <c r="B320" s="11">
        <v>1080</v>
      </c>
      <c r="C320" s="12" t="s">
        <v>258</v>
      </c>
      <c r="D320" s="13">
        <v>0.67</v>
      </c>
      <c r="E320" s="14">
        <v>300</v>
      </c>
      <c r="F320" s="15">
        <f t="shared" si="12"/>
        <v>14.4817073170732</v>
      </c>
      <c r="G320" s="16">
        <v>190</v>
      </c>
      <c r="H320" s="17">
        <f t="shared" si="13"/>
        <v>57000</v>
      </c>
      <c r="I320" s="13"/>
    </row>
    <row r="321" spans="1:9">
      <c r="A321" s="10" t="s">
        <v>301</v>
      </c>
      <c r="B321" s="11">
        <v>1035</v>
      </c>
      <c r="C321" s="12" t="s">
        <v>266</v>
      </c>
      <c r="D321" s="13">
        <v>0.75</v>
      </c>
      <c r="E321" s="14">
        <v>300</v>
      </c>
      <c r="F321" s="15">
        <f t="shared" si="12"/>
        <v>6.66615853658537</v>
      </c>
      <c r="G321" s="16">
        <v>87.46</v>
      </c>
      <c r="H321" s="17">
        <f t="shared" si="13"/>
        <v>26238</v>
      </c>
      <c r="I321" s="13"/>
    </row>
    <row r="322" spans="1:9">
      <c r="A322" s="10" t="s">
        <v>301</v>
      </c>
      <c r="B322" s="11">
        <v>1078</v>
      </c>
      <c r="C322" s="12" t="s">
        <v>261</v>
      </c>
      <c r="D322" s="13">
        <v>0.7</v>
      </c>
      <c r="E322" s="14">
        <v>300</v>
      </c>
      <c r="F322" s="15">
        <f t="shared" si="12"/>
        <v>8.00304878048781</v>
      </c>
      <c r="G322" s="16">
        <v>105</v>
      </c>
      <c r="H322" s="17">
        <f t="shared" si="13"/>
        <v>31500</v>
      </c>
      <c r="I322" s="13"/>
    </row>
    <row r="323" spans="1:9">
      <c r="A323" s="10" t="s">
        <v>301</v>
      </c>
      <c r="B323" s="11">
        <v>2116</v>
      </c>
      <c r="C323" s="12" t="s">
        <v>252</v>
      </c>
      <c r="D323" s="13">
        <v>0.58</v>
      </c>
      <c r="E323" s="14">
        <v>250</v>
      </c>
      <c r="F323" s="15">
        <f t="shared" ref="F323:F329" si="14">G323/13.12</f>
        <v>9.22256097560976</v>
      </c>
      <c r="G323" s="16">
        <v>121</v>
      </c>
      <c r="H323" s="17">
        <f t="shared" si="13"/>
        <v>30250</v>
      </c>
      <c r="I323" s="13"/>
    </row>
    <row r="324" spans="1:9">
      <c r="A324" s="10" t="s">
        <v>302</v>
      </c>
      <c r="B324" s="11">
        <v>1035</v>
      </c>
      <c r="C324" s="12" t="s">
        <v>265</v>
      </c>
      <c r="D324" s="13">
        <v>0.74</v>
      </c>
      <c r="E324" s="14">
        <v>300</v>
      </c>
      <c r="F324" s="15">
        <f t="shared" si="14"/>
        <v>20.8079268292683</v>
      </c>
      <c r="G324" s="16">
        <v>273</v>
      </c>
      <c r="H324" s="17">
        <f t="shared" si="13"/>
        <v>81900</v>
      </c>
      <c r="I324" s="13"/>
    </row>
    <row r="325" spans="1:9">
      <c r="A325" s="10" t="s">
        <v>302</v>
      </c>
      <c r="B325" s="11">
        <v>1035</v>
      </c>
      <c r="C325" s="12" t="s">
        <v>267</v>
      </c>
      <c r="D325" s="13">
        <v>0.76</v>
      </c>
      <c r="E325" s="14">
        <v>300</v>
      </c>
      <c r="F325" s="15">
        <f t="shared" si="14"/>
        <v>24.6951219512195</v>
      </c>
      <c r="G325" s="16">
        <v>324</v>
      </c>
      <c r="H325" s="17">
        <f t="shared" si="13"/>
        <v>97200</v>
      </c>
      <c r="I325" s="13"/>
    </row>
    <row r="326" spans="1:9">
      <c r="A326" s="10" t="s">
        <v>302</v>
      </c>
      <c r="B326" s="11">
        <v>1078</v>
      </c>
      <c r="C326" s="12" t="s">
        <v>256</v>
      </c>
      <c r="D326" s="13">
        <v>0.65</v>
      </c>
      <c r="E326" s="14">
        <v>300</v>
      </c>
      <c r="F326" s="15">
        <f t="shared" si="14"/>
        <v>21.7225609756098</v>
      </c>
      <c r="G326" s="16">
        <v>285</v>
      </c>
      <c r="H326" s="17">
        <f t="shared" si="13"/>
        <v>85500</v>
      </c>
      <c r="I326" s="13"/>
    </row>
    <row r="327" spans="1:9">
      <c r="A327" s="10" t="s">
        <v>302</v>
      </c>
      <c r="B327" s="11">
        <v>1078</v>
      </c>
      <c r="C327" s="12" t="s">
        <v>260</v>
      </c>
      <c r="D327" s="13">
        <v>0.69</v>
      </c>
      <c r="E327" s="14">
        <v>300</v>
      </c>
      <c r="F327" s="15">
        <f t="shared" si="14"/>
        <v>24.390243902439</v>
      </c>
      <c r="G327" s="16">
        <v>320</v>
      </c>
      <c r="H327" s="17">
        <f t="shared" si="13"/>
        <v>96000</v>
      </c>
      <c r="I327" s="13"/>
    </row>
    <row r="328" spans="1:9">
      <c r="A328" s="10" t="s">
        <v>302</v>
      </c>
      <c r="B328" s="11">
        <v>1078</v>
      </c>
      <c r="C328" s="12" t="s">
        <v>264</v>
      </c>
      <c r="D328" s="13">
        <v>0.73</v>
      </c>
      <c r="E328" s="14">
        <v>300</v>
      </c>
      <c r="F328" s="15">
        <f t="shared" si="14"/>
        <v>28.125</v>
      </c>
      <c r="G328" s="16">
        <v>369</v>
      </c>
      <c r="H328" s="17">
        <f>G328*E328</f>
        <v>110700</v>
      </c>
      <c r="I328" s="13"/>
    </row>
    <row r="329" spans="1:9">
      <c r="A329" s="10" t="s">
        <v>303</v>
      </c>
      <c r="B329" s="11">
        <v>1027</v>
      </c>
      <c r="C329" s="12" t="s">
        <v>266</v>
      </c>
      <c r="D329" s="13">
        <v>0.75</v>
      </c>
      <c r="E329" s="14">
        <v>300</v>
      </c>
      <c r="F329" s="15">
        <f t="shared" si="14"/>
        <v>7.24085365853659</v>
      </c>
      <c r="G329" s="16">
        <v>95</v>
      </c>
      <c r="H329" s="17">
        <f>G329*E329</f>
        <v>28500</v>
      </c>
      <c r="I329" s="13"/>
    </row>
    <row r="331" ht="15.6" spans="1:9">
      <c r="A331" s="18" t="s">
        <v>218</v>
      </c>
      <c r="B331" s="18"/>
      <c r="C331" s="18"/>
      <c r="D331" s="18"/>
      <c r="E331" s="18"/>
      <c r="F331" s="18"/>
      <c r="G331" s="18"/>
      <c r="H331" s="18"/>
      <c r="I331" s="18"/>
    </row>
    <row r="332" ht="15.6" spans="1:9">
      <c r="A332" s="18" t="s">
        <v>304</v>
      </c>
      <c r="B332" s="18"/>
      <c r="C332" s="18"/>
      <c r="D332" s="18"/>
      <c r="E332" s="18"/>
      <c r="F332" s="18"/>
      <c r="G332" s="18"/>
      <c r="H332" s="18"/>
      <c r="I332" s="18"/>
    </row>
    <row r="333" ht="15.6" spans="1:9">
      <c r="A333" s="18" t="s">
        <v>220</v>
      </c>
      <c r="B333" s="18"/>
      <c r="C333" s="18"/>
      <c r="D333" s="18"/>
      <c r="E333" s="18"/>
      <c r="F333" s="18"/>
      <c r="G333" s="18"/>
      <c r="H333" s="18"/>
      <c r="I333" s="18"/>
    </row>
  </sheetData>
  <mergeCells count="4">
    <mergeCell ref="F1:I1"/>
    <mergeCell ref="A331:I331"/>
    <mergeCell ref="A332:I332"/>
    <mergeCell ref="A333:I333"/>
  </mergeCells>
  <conditionalFormatting sqref="B84">
    <cfRule type="expression" dxfId="0" priority="3">
      <formula>OR(CELL("row")=ROW(),CELL("col")=COLUMN())</formula>
    </cfRule>
    <cfRule type="expression" dxfId="1" priority="4">
      <formula>"CELL(""row"")=ROW()"</formula>
    </cfRule>
  </conditionalFormatting>
  <conditionalFormatting sqref="B95">
    <cfRule type="expression" dxfId="0" priority="1">
      <formula>OR(CELL("row")=ROW(),CELL("col")=COLUMN())</formula>
    </cfRule>
    <cfRule type="expression" dxfId="1" priority="2">
      <formula>"CELL(""row"")=ROW()"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CCL</vt:lpstr>
      <vt:lpstr>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22197</dc:creator>
  <cp:lastModifiedBy>叶落</cp:lastModifiedBy>
  <dcterms:created xsi:type="dcterms:W3CDTF">2026-06-24T05:59:00Z</dcterms:created>
  <dcterms:modified xsi:type="dcterms:W3CDTF">2026-06-25T01:56:11Z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9863201F00164134AC1044F34C7983EE_11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</Properties>
</file>