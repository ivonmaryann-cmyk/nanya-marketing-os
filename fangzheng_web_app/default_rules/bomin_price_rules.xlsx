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500" activeTab="1"/>
  </bookViews>
  <sheets>
    <sheet name="CCL" sheetId="1" r:id="rId1"/>
    <sheet name="P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<sst xmlns="http://schemas.openxmlformats.org/spreadsheetml/2006/main" count="4008" uniqueCount="295">
  <si>
    <t>南亚新材料科技股份有限公司</t>
  </si>
  <si>
    <t>中 国 上 海 市 嘉 定 区 南 翔 镇 昌 翔 路 158 号</t>
  </si>
  <si>
    <r>
      <rPr>
        <sz val="10"/>
        <color theme="1"/>
        <rFont val="Arial"/>
        <charset val="134"/>
      </rPr>
      <t>TEL</t>
    </r>
    <r>
      <rPr>
        <sz val="10"/>
        <color theme="1"/>
        <rFont val="宋体"/>
        <charset val="134"/>
      </rPr>
      <t>：</t>
    </r>
    <r>
      <rPr>
        <sz val="10"/>
        <color theme="1"/>
        <rFont val="Arial"/>
        <charset val="134"/>
      </rPr>
      <t>021-59175555(</t>
    </r>
    <r>
      <rPr>
        <sz val="10"/>
        <color theme="1"/>
        <rFont val="宋体"/>
        <charset val="134"/>
      </rPr>
      <t>上海</t>
    </r>
    <r>
      <rPr>
        <sz val="10"/>
        <color theme="1"/>
        <rFont val="Arial"/>
        <charset val="134"/>
      </rPr>
      <t>)</t>
    </r>
    <r>
      <rPr>
        <sz val="10"/>
        <color theme="1"/>
        <rFont val="宋体"/>
        <charset val="134"/>
      </rPr>
      <t>，</t>
    </r>
    <r>
      <rPr>
        <sz val="10"/>
        <color theme="1"/>
        <rFont val="Arial"/>
        <charset val="134"/>
      </rPr>
      <t xml:space="preserve"> 0755-33231030(</t>
    </r>
    <r>
      <rPr>
        <sz val="10"/>
        <color theme="1"/>
        <rFont val="宋体"/>
        <charset val="134"/>
      </rPr>
      <t>深圳</t>
    </r>
    <r>
      <rPr>
        <sz val="10"/>
        <color theme="1"/>
        <rFont val="Arial"/>
        <charset val="134"/>
      </rPr>
      <t>)</t>
    </r>
  </si>
  <si>
    <t>客户名称：博敏电子</t>
  </si>
  <si>
    <t>付款方式：月结90天</t>
  </si>
  <si>
    <t>报价日期：2026-2-1</t>
  </si>
  <si>
    <t>感谢您对我司的支持和信任！ 贵司所需材料定价如下:</t>
  </si>
  <si>
    <t>型号</t>
  </si>
  <si>
    <t>厚度</t>
  </si>
  <si>
    <t>铜厚</t>
  </si>
  <si>
    <t>总芯厚</t>
  </si>
  <si>
    <t>铜箔</t>
  </si>
  <si>
    <t>叠构</t>
  </si>
  <si>
    <t>新价格</t>
  </si>
  <si>
    <t>Product</t>
  </si>
  <si>
    <t>mm</t>
  </si>
  <si>
    <t>Cu</t>
  </si>
  <si>
    <r>
      <rPr>
        <sz val="11"/>
        <color theme="1"/>
        <rFont val="宋体"/>
        <charset val="134"/>
      </rPr>
      <t>含铜</t>
    </r>
    <r>
      <rPr>
        <sz val="11"/>
        <color theme="1"/>
        <rFont val="Arial"/>
        <charset val="134"/>
      </rPr>
      <t>/</t>
    </r>
    <r>
      <rPr>
        <sz val="11"/>
        <color theme="1"/>
        <rFont val="宋体"/>
        <charset val="134"/>
      </rPr>
      <t>不含铜</t>
    </r>
  </si>
  <si>
    <t>Stacking</t>
  </si>
  <si>
    <t>SQ.FT</t>
  </si>
  <si>
    <t>37"X49"</t>
  </si>
  <si>
    <t>41"X49"</t>
  </si>
  <si>
    <t>43"X49"</t>
  </si>
  <si>
    <t>37*43</t>
  </si>
  <si>
    <t>41*43</t>
  </si>
  <si>
    <t>NY1600</t>
  </si>
  <si>
    <t>1.5</t>
  </si>
  <si>
    <t>H/H</t>
  </si>
  <si>
    <t>不含铜</t>
  </si>
  <si>
    <t>HTE</t>
  </si>
  <si>
    <t>8*7628</t>
  </si>
  <si>
    <t>NY2140</t>
  </si>
  <si>
    <t>0.25</t>
  </si>
  <si>
    <t>J/J</t>
  </si>
  <si>
    <t>2*2116</t>
  </si>
  <si>
    <t>T/T</t>
  </si>
  <si>
    <t>0.6</t>
  </si>
  <si>
    <t>3*7628</t>
  </si>
  <si>
    <t>0.67</t>
  </si>
  <si>
    <t>2*1506+2*7628</t>
  </si>
  <si>
    <t>0.71</t>
  </si>
  <si>
    <t>含铜</t>
  </si>
  <si>
    <t>4*7628</t>
  </si>
  <si>
    <t>0.9</t>
  </si>
  <si>
    <t>4*7628+1*2116</t>
  </si>
  <si>
    <t>1.0</t>
  </si>
  <si>
    <t>5*7628</t>
  </si>
  <si>
    <t>1/1</t>
  </si>
  <si>
    <t>1.1</t>
  </si>
  <si>
    <t>6*7628</t>
  </si>
  <si>
    <t>NY2150</t>
  </si>
  <si>
    <t>0.06</t>
  </si>
  <si>
    <t>1*106</t>
  </si>
  <si>
    <t>RTF</t>
  </si>
  <si>
    <t>0.075</t>
  </si>
  <si>
    <t>1*1086</t>
  </si>
  <si>
    <t>0.076</t>
  </si>
  <si>
    <t>1*1080</t>
  </si>
  <si>
    <t>0.1</t>
  </si>
  <si>
    <t>1*2116</t>
  </si>
  <si>
    <t>H/1</t>
  </si>
  <si>
    <t>2/2</t>
  </si>
  <si>
    <t>2*106</t>
  </si>
  <si>
    <t>0.11</t>
  </si>
  <si>
    <t>0.13</t>
  </si>
  <si>
    <t>2*1080</t>
  </si>
  <si>
    <t>0.15</t>
  </si>
  <si>
    <t>1*1506</t>
  </si>
  <si>
    <t>0.18</t>
  </si>
  <si>
    <t>1*7628</t>
  </si>
  <si>
    <t>0.2</t>
  </si>
  <si>
    <t>0.3</t>
  </si>
  <si>
    <t>2*1506</t>
  </si>
  <si>
    <t>0.36</t>
  </si>
  <si>
    <t>2*7628</t>
  </si>
  <si>
    <t>0.38</t>
  </si>
  <si>
    <t>0.4</t>
  </si>
  <si>
    <t>F/F</t>
  </si>
  <si>
    <t>0.45</t>
  </si>
  <si>
    <t>2*7628+1*1080</t>
  </si>
  <si>
    <t>0.46</t>
  </si>
  <si>
    <t>0.47</t>
  </si>
  <si>
    <t>2*7628+1*2116</t>
  </si>
  <si>
    <t>0.5</t>
  </si>
  <si>
    <t>0.55</t>
  </si>
  <si>
    <t>0.56</t>
  </si>
  <si>
    <t>0.61</t>
  </si>
  <si>
    <t>0.63</t>
  </si>
  <si>
    <t>2*2116+2*7628</t>
  </si>
  <si>
    <t>0.66</t>
  </si>
  <si>
    <t>0.7</t>
  </si>
  <si>
    <t>0.8</t>
  </si>
  <si>
    <t>0.85</t>
  </si>
  <si>
    <t>0.95</t>
  </si>
  <si>
    <t>1.2</t>
  </si>
  <si>
    <t>1.25</t>
  </si>
  <si>
    <t>7*7628</t>
  </si>
  <si>
    <t>1.3</t>
  </si>
  <si>
    <t>1.4</t>
  </si>
  <si>
    <t>1.6</t>
  </si>
  <si>
    <t>1.7</t>
  </si>
  <si>
    <t>9*7628</t>
  </si>
  <si>
    <t>1.8</t>
  </si>
  <si>
    <t>1.9</t>
  </si>
  <si>
    <t>10*7628</t>
  </si>
  <si>
    <t>2.0</t>
  </si>
  <si>
    <t>2.1</t>
  </si>
  <si>
    <t>11*7628</t>
  </si>
  <si>
    <t>2.3</t>
  </si>
  <si>
    <t>12*7628</t>
  </si>
  <si>
    <t>2.4</t>
  </si>
  <si>
    <t>13*7628</t>
  </si>
  <si>
    <t>2.5</t>
  </si>
  <si>
    <t>2.7</t>
  </si>
  <si>
    <t>15*7628</t>
  </si>
  <si>
    <t>2.9</t>
  </si>
  <si>
    <t>16*7628</t>
  </si>
  <si>
    <t>3.0</t>
  </si>
  <si>
    <t>3.1</t>
  </si>
  <si>
    <t>17*7628</t>
  </si>
  <si>
    <t>NY2170</t>
  </si>
  <si>
    <t>0.064</t>
  </si>
  <si>
    <t>1*1078</t>
  </si>
  <si>
    <r>
      <rPr>
        <sz val="12"/>
        <color theme="1"/>
        <rFont val="Arial"/>
        <charset val="134"/>
      </rPr>
      <t xml:space="preserve">NY2170 </t>
    </r>
    <r>
      <rPr>
        <sz val="12"/>
        <color theme="1"/>
        <rFont val="宋体"/>
        <charset val="134"/>
      </rPr>
      <t>汽车板</t>
    </r>
  </si>
  <si>
    <t>0.09</t>
  </si>
  <si>
    <t>1*3313</t>
  </si>
  <si>
    <t>0.17</t>
  </si>
  <si>
    <t>1/2</t>
  </si>
  <si>
    <t>3/3</t>
  </si>
  <si>
    <t>0.35</t>
  </si>
  <si>
    <t>4*2116</t>
  </si>
  <si>
    <t>0.51</t>
  </si>
  <si>
    <t>0.53</t>
  </si>
  <si>
    <t>2.2</t>
  </si>
  <si>
    <t>2.6</t>
  </si>
  <si>
    <t>14*7628</t>
  </si>
  <si>
    <t>NY2150H</t>
  </si>
  <si>
    <t>2*2313</t>
  </si>
  <si>
    <t>1.65</t>
  </si>
  <si>
    <t>NY2170H</t>
  </si>
  <si>
    <t>4/4</t>
  </si>
  <si>
    <t>NY3150HC</t>
  </si>
  <si>
    <t>NY3150HF</t>
  </si>
  <si>
    <t>0.05</t>
  </si>
  <si>
    <t>0.08</t>
  </si>
  <si>
    <t>2*1037</t>
  </si>
  <si>
    <t>5*2116</t>
  </si>
  <si>
    <t>NY3176HF</t>
  </si>
  <si>
    <t>NY3170HF</t>
  </si>
  <si>
    <t>0.051</t>
  </si>
  <si>
    <t>1*0106</t>
  </si>
  <si>
    <t>0.102</t>
  </si>
  <si>
    <t>0.152</t>
  </si>
  <si>
    <t>0.305</t>
  </si>
  <si>
    <t>NY3170M</t>
  </si>
  <si>
    <t>1*1067</t>
  </si>
  <si>
    <t>0.053</t>
  </si>
  <si>
    <t>1*1037</t>
  </si>
  <si>
    <t>2*1067</t>
  </si>
  <si>
    <t>1*2113</t>
  </si>
  <si>
    <t>0.127</t>
  </si>
  <si>
    <t>0.203</t>
  </si>
  <si>
    <t>0.254</t>
  </si>
  <si>
    <t>3*2116</t>
  </si>
  <si>
    <t>0.356</t>
  </si>
  <si>
    <t>0.381</t>
  </si>
  <si>
    <t>0.406</t>
  </si>
  <si>
    <t>0.508</t>
  </si>
  <si>
    <t>0.533</t>
  </si>
  <si>
    <t>0.711</t>
  </si>
  <si>
    <t>0.889</t>
  </si>
  <si>
    <t>8*2116</t>
  </si>
  <si>
    <t>0.991</t>
  </si>
  <si>
    <t>NY3170M2</t>
  </si>
  <si>
    <t>RTF2</t>
  </si>
  <si>
    <t>RTF3</t>
  </si>
  <si>
    <t>2*1078</t>
  </si>
  <si>
    <t>0.457</t>
  </si>
  <si>
    <t>NY3170LK</t>
  </si>
  <si>
    <t>NY6180</t>
  </si>
  <si>
    <t>0.114</t>
  </si>
  <si>
    <t>2*3313</t>
  </si>
  <si>
    <t>0.762</t>
  </si>
  <si>
    <t>6*2116</t>
  </si>
  <si>
    <t>NY6180L</t>
  </si>
  <si>
    <t>1.22</t>
  </si>
  <si>
    <t>11*2116</t>
  </si>
  <si>
    <t>NY6200</t>
  </si>
  <si>
    <t>3*3313</t>
  </si>
  <si>
    <t>0.512</t>
  </si>
  <si>
    <t>13*2116</t>
  </si>
  <si>
    <t>NY6300(C)</t>
  </si>
  <si>
    <t>HVLP1</t>
  </si>
  <si>
    <t>NY6300</t>
  </si>
  <si>
    <t>2*1035</t>
  </si>
  <si>
    <t>0.178</t>
  </si>
  <si>
    <t>NY6300S</t>
  </si>
  <si>
    <t>1*1035</t>
  </si>
  <si>
    <t>RTF2/RTF</t>
  </si>
  <si>
    <t>0.089</t>
  </si>
  <si>
    <t>RTF4</t>
  </si>
  <si>
    <t>2*0106</t>
  </si>
  <si>
    <t>H/2</t>
  </si>
  <si>
    <t>0.205</t>
  </si>
  <si>
    <t>0.635</t>
  </si>
  <si>
    <t>0.76</t>
  </si>
  <si>
    <t>7*2116</t>
  </si>
  <si>
    <t>0.925</t>
  </si>
  <si>
    <t>NY6300SN</t>
  </si>
  <si>
    <t>NY6666</t>
  </si>
  <si>
    <t>NY6666N</t>
  </si>
  <si>
    <t>NY-P1</t>
  </si>
  <si>
    <t>HVLP2</t>
  </si>
  <si>
    <t>说明：</t>
  </si>
  <si>
    <t>1、以上含13%增值税报价</t>
  </si>
  <si>
    <t>2、报价单中没有的规格重新报价，报价有效期至新报价止</t>
  </si>
  <si>
    <t>D</t>
  </si>
  <si>
    <t>产品类别</t>
  </si>
  <si>
    <t>产品型号</t>
  </si>
  <si>
    <r>
      <rPr>
        <sz val="11"/>
        <rFont val="宋体"/>
        <charset val="136"/>
      </rPr>
      <t>树脂含量</t>
    </r>
    <r>
      <rPr>
        <sz val="11"/>
        <rFont val="Arial"/>
        <charset val="134"/>
      </rPr>
      <t>(%)</t>
    </r>
  </si>
  <si>
    <t>卷装长度</t>
  </si>
  <si>
    <r>
      <rPr>
        <sz val="11"/>
        <rFont val="宋体"/>
        <charset val="136"/>
      </rPr>
      <t>49.5宽幅新单价</t>
    </r>
    <r>
      <rPr>
        <sz val="11"/>
        <rFont val="Arial"/>
        <charset val="136"/>
      </rPr>
      <t xml:space="preserve"> </t>
    </r>
    <r>
      <rPr>
        <sz val="11"/>
        <rFont val="宋体"/>
        <charset val="136"/>
      </rPr>
      <t>（</t>
    </r>
    <r>
      <rPr>
        <sz val="11"/>
        <rFont val="Arial"/>
        <charset val="136"/>
      </rPr>
      <t>RMB</t>
    </r>
    <r>
      <rPr>
        <sz val="11"/>
        <rFont val="宋体"/>
        <charset val="136"/>
      </rPr>
      <t>）</t>
    </r>
  </si>
  <si>
    <t>Products</t>
  </si>
  <si>
    <t>Glass type</t>
  </si>
  <si>
    <t>Resin Content</t>
  </si>
  <si>
    <t>Length (m)</t>
  </si>
  <si>
    <t>Per SF</t>
  </si>
  <si>
    <t>Per M</t>
  </si>
  <si>
    <t>Per Roll</t>
  </si>
  <si>
    <t>NY2140P</t>
  </si>
  <si>
    <t>48.00%</t>
  </si>
  <si>
    <t>NY2150P</t>
  </si>
  <si>
    <t>43.00%</t>
  </si>
  <si>
    <t>44.00%</t>
  </si>
  <si>
    <t>45.00%</t>
  </si>
  <si>
    <t>46.00%</t>
  </si>
  <si>
    <t>47.00%</t>
  </si>
  <si>
    <t>49.00%</t>
  </si>
  <si>
    <t>50.00%</t>
  </si>
  <si>
    <t>52.00%</t>
  </si>
  <si>
    <t>57.00%</t>
  </si>
  <si>
    <t>59.00%</t>
  </si>
  <si>
    <t>60.00%</t>
  </si>
  <si>
    <t>61.00%</t>
  </si>
  <si>
    <t>53.00%</t>
  </si>
  <si>
    <t>54.00%</t>
  </si>
  <si>
    <t>55.00%</t>
  </si>
  <si>
    <t>56.00%</t>
  </si>
  <si>
    <t>58.00%</t>
  </si>
  <si>
    <t>62.00%</t>
  </si>
  <si>
    <t>63.00%</t>
  </si>
  <si>
    <t>64.00%</t>
  </si>
  <si>
    <t>65.00%</t>
  </si>
  <si>
    <t>66.00%</t>
  </si>
  <si>
    <t>67.00%</t>
  </si>
  <si>
    <t>68.00%</t>
  </si>
  <si>
    <t>69.00%</t>
  </si>
  <si>
    <t>70.00%</t>
  </si>
  <si>
    <t>71.00%</t>
  </si>
  <si>
    <t>72.00%</t>
  </si>
  <si>
    <t>73.00%</t>
  </si>
  <si>
    <t>74.00%</t>
  </si>
  <si>
    <t>75.00%</t>
  </si>
  <si>
    <t>76.00%</t>
  </si>
  <si>
    <t>77.00%</t>
  </si>
  <si>
    <t>78.00%</t>
  </si>
  <si>
    <t>NY2170P</t>
  </si>
  <si>
    <t>（低流胶PP）</t>
  </si>
  <si>
    <t>51.00%</t>
  </si>
  <si>
    <t>NY2170P汽车板</t>
  </si>
  <si>
    <t>NY2150HP</t>
  </si>
  <si>
    <t>1080</t>
  </si>
  <si>
    <t>300</t>
  </si>
  <si>
    <t>2116</t>
  </si>
  <si>
    <t>250</t>
  </si>
  <si>
    <t>7628</t>
  </si>
  <si>
    <t>150</t>
  </si>
  <si>
    <t>NY2170HP</t>
  </si>
  <si>
    <t>NY3150HCP</t>
  </si>
  <si>
    <t>NY3150HFP</t>
  </si>
  <si>
    <t>NY3176HFP</t>
  </si>
  <si>
    <t>NY3170HFP</t>
  </si>
  <si>
    <t>NY3170MP</t>
  </si>
  <si>
    <t>NY3170M2P</t>
  </si>
  <si>
    <t>NY3170LKP</t>
  </si>
  <si>
    <t>NY6180P</t>
  </si>
  <si>
    <t>79.00%</t>
  </si>
  <si>
    <t>81.00%</t>
  </si>
  <si>
    <t>NY6180LP</t>
  </si>
  <si>
    <t>NY6200P</t>
  </si>
  <si>
    <t>NY6300(C)P</t>
  </si>
  <si>
    <t>NY6300P</t>
  </si>
  <si>
    <t>NY6300SP</t>
  </si>
  <si>
    <t>NY6300SNP</t>
  </si>
  <si>
    <t>NY6666NP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</si>
</sst>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0_ "/>
    <numFmt numFmtId="178" formatCode="0.000_ "/>
    <numFmt numFmtId="179" formatCode="0_ "/>
  </numFmts>
  <fonts count="37">
    <font>
      <sz val="11"/>
      <color theme="1"/>
      <name val="宋体"/>
      <charset val="134"/>
      <scheme val="minor"/>
    </font>
    <font>
      <b/>
      <sz val="36"/>
      <color theme="1"/>
      <name val="Arial Unicode MS"/>
      <charset val="134"/>
    </font>
    <font>
      <sz val="10"/>
      <color theme="1"/>
      <name val="宋体"/>
      <charset val="134"/>
    </font>
    <font>
      <sz val="11"/>
      <name val="宋体"/>
      <charset val="136"/>
    </font>
    <font>
      <sz val="11"/>
      <name val="Arial"/>
      <charset val="134"/>
    </font>
    <font>
      <sz val="10"/>
      <name val="黑体"/>
      <charset val="134"/>
    </font>
    <font>
      <sz val="10"/>
      <color rgb="FF000000"/>
      <name val="黑体"/>
      <charset val="134"/>
    </font>
    <font>
      <sz val="11"/>
      <color theme="1"/>
      <name val="Arial"/>
      <charset val="134"/>
    </font>
    <font>
      <sz val="11"/>
      <name val="微软雅黑"/>
      <charset val="134"/>
    </font>
    <font>
      <b/>
      <sz val="48"/>
      <color theme="1"/>
      <name val="Arial Unicode MS"/>
      <charset val="134"/>
    </font>
    <font>
      <sz val="10"/>
      <color theme="1"/>
      <name val="Arial"/>
      <charset val="134"/>
    </font>
    <font>
      <sz val="12"/>
      <color theme="1"/>
      <name val="Arial Unicode MS"/>
      <charset val="134"/>
    </font>
    <font>
      <sz val="11"/>
      <color theme="1"/>
      <name val="Arial Unicode MS"/>
      <charset val="134"/>
    </font>
    <font>
      <sz val="12"/>
      <color theme="1"/>
      <name val="Arial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11"/>
      <name val="Arial"/>
      <charset val="136"/>
    </font>
    <font>
      <sz val="12"/>
      <color theme="1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8" applyNumberFormat="0" applyAlignment="0" applyProtection="0">
      <alignment vertical="center"/>
    </xf>
    <xf numFmtId="0" fontId="24" fillId="7" borderId="9" applyNumberFormat="0" applyAlignment="0" applyProtection="0">
      <alignment vertical="center"/>
    </xf>
    <xf numFmtId="0" fontId="25" fillId="7" borderId="8" applyNumberFormat="0" applyAlignment="0" applyProtection="0">
      <alignment vertical="center"/>
    </xf>
    <xf numFmtId="0" fontId="26" fillId="8" borderId="10" applyNumberFormat="0" applyAlignment="0" applyProtection="0">
      <alignment vertical="center"/>
    </xf>
    <xf numFmtId="0" fontId="27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4" fillId="0" borderId="0">
      <protection locked="0"/>
    </xf>
  </cellStyleXfs>
  <cellXfs count="70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1" fillId="0" borderId="0" xfId="49" applyFont="1" applyFill="1" applyAlignment="1" applyProtection="1">
      <alignment horizontal="center" vertical="center"/>
    </xf>
    <xf numFmtId="176" fontId="1" fillId="0" borderId="0" xfId="49" applyNumberFormat="1" applyFont="1" applyFill="1" applyAlignment="1" applyProtection="1">
      <alignment horizontal="center" vertical="center"/>
    </xf>
    <xf numFmtId="0" fontId="1" fillId="2" borderId="0" xfId="49" applyFont="1" applyFill="1" applyAlignment="1" applyProtection="1">
      <alignment horizontal="center" vertical="center"/>
    </xf>
    <xf numFmtId="0" fontId="2" fillId="0" borderId="0" xfId="0" applyFont="1" applyFill="1" applyAlignment="1">
      <alignment horizontal="left" vertical="center"/>
    </xf>
    <xf numFmtId="178" fontId="2" fillId="0" borderId="0" xfId="0" applyNumberFormat="1" applyFont="1" applyFill="1" applyAlignment="1">
      <alignment horizontal="left" vertical="center"/>
    </xf>
    <xf numFmtId="176" fontId="2" fillId="0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77" fontId="2" fillId="2" borderId="0" xfId="0" applyNumberFormat="1" applyFont="1" applyFill="1" applyAlignment="1">
      <alignment horizontal="left" vertical="center"/>
    </xf>
    <xf numFmtId="176" fontId="2" fillId="2" borderId="0" xfId="0" applyNumberFormat="1" applyFont="1" applyFill="1" applyAlignment="1">
      <alignment horizontal="left" vertical="center"/>
    </xf>
    <xf numFmtId="0" fontId="3" fillId="0" borderId="1" xfId="49" applyFont="1" applyFill="1" applyBorder="1" applyAlignment="1" applyProtection="1">
      <alignment horizontal="center" vertical="center" wrapText="1"/>
    </xf>
    <xf numFmtId="176" fontId="3" fillId="0" borderId="1" xfId="49" applyNumberFormat="1" applyFont="1" applyFill="1" applyBorder="1" applyAlignment="1" applyProtection="1">
      <alignment horizontal="center" vertical="center" wrapText="1"/>
    </xf>
    <xf numFmtId="177" fontId="3" fillId="0" borderId="2" xfId="0" applyNumberFormat="1" applyFont="1" applyFill="1" applyBorder="1" applyAlignment="1">
      <alignment horizontal="center" vertical="center" wrapText="1"/>
    </xf>
    <xf numFmtId="177" fontId="3" fillId="2" borderId="3" xfId="0" applyNumberFormat="1" applyFont="1" applyFill="1" applyBorder="1" applyAlignment="1">
      <alignment horizontal="center" vertical="center" wrapText="1"/>
    </xf>
    <xf numFmtId="177" fontId="3" fillId="2" borderId="4" xfId="0" applyNumberFormat="1" applyFont="1" applyFill="1" applyBorder="1" applyAlignment="1">
      <alignment horizontal="center" vertical="center" wrapText="1"/>
    </xf>
    <xf numFmtId="0" fontId="4" fillId="0" borderId="1" xfId="49" applyFont="1" applyFill="1" applyBorder="1" applyAlignment="1" applyProtection="1">
      <alignment horizontal="center" vertical="center" wrapText="1"/>
    </xf>
    <xf numFmtId="176" fontId="4" fillId="0" borderId="1" xfId="49" applyNumberFormat="1" applyFont="1" applyFill="1" applyBorder="1" applyAlignment="1" applyProtection="1">
      <alignment horizontal="center" vertical="center" wrapText="1"/>
    </xf>
    <xf numFmtId="177" fontId="3" fillId="0" borderId="1" xfId="0" applyNumberFormat="1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5" fillId="0" borderId="1" xfId="49" applyFont="1" applyFill="1" applyBorder="1" applyAlignment="1" applyProtection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 shrinkToFit="1"/>
    </xf>
    <xf numFmtId="49" fontId="0" fillId="0" borderId="1" xfId="0" applyNumberFormat="1" applyFill="1" applyBorder="1" applyAlignment="1">
      <alignment vertical="center"/>
    </xf>
    <xf numFmtId="176" fontId="0" fillId="0" borderId="1" xfId="0" applyNumberFormat="1" applyFill="1" applyBorder="1" applyAlignment="1">
      <alignment vertical="center"/>
    </xf>
    <xf numFmtId="179" fontId="7" fillId="0" borderId="1" xfId="49" applyNumberFormat="1" applyFont="1" applyFill="1" applyBorder="1" applyAlignment="1" applyProtection="1">
      <alignment horizontal="center" vertical="center" wrapText="1"/>
    </xf>
    <xf numFmtId="177" fontId="0" fillId="0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76" fontId="4" fillId="2" borderId="1" xfId="0" applyNumberFormat="1" applyFont="1" applyFill="1" applyBorder="1" applyAlignment="1">
      <alignment horizontal="center" vertical="center"/>
    </xf>
    <xf numFmtId="176" fontId="0" fillId="4" borderId="1" xfId="0" applyNumberFormat="1" applyFill="1" applyBorder="1" applyAlignment="1">
      <alignment vertical="center"/>
    </xf>
    <xf numFmtId="176" fontId="4" fillId="4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 shrinkToFit="1"/>
    </xf>
    <xf numFmtId="49" fontId="0" fillId="4" borderId="1" xfId="0" applyNumberFormat="1" applyFill="1" applyBorder="1" applyAlignment="1">
      <alignment vertical="center"/>
    </xf>
    <xf numFmtId="1" fontId="6" fillId="3" borderId="1" xfId="0" applyNumberFormat="1" applyFont="1" applyFill="1" applyBorder="1" applyAlignment="1">
      <alignment horizontal="center" vertical="center" wrapText="1" shrinkToFit="1"/>
    </xf>
    <xf numFmtId="49" fontId="0" fillId="3" borderId="1" xfId="0" applyNumberFormat="1" applyFill="1" applyBorder="1" applyAlignment="1">
      <alignment vertical="center"/>
    </xf>
    <xf numFmtId="176" fontId="0" fillId="3" borderId="1" xfId="0" applyNumberFormat="1" applyFill="1" applyBorder="1" applyAlignment="1">
      <alignment vertical="center"/>
    </xf>
    <xf numFmtId="176" fontId="4" fillId="0" borderId="1" xfId="0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176" fontId="8" fillId="0" borderId="0" xfId="0" applyNumberFormat="1" applyFont="1" applyFill="1" applyAlignment="1">
      <alignment horizontal="left" vertical="center"/>
    </xf>
    <xf numFmtId="178" fontId="0" fillId="0" borderId="0" xfId="0" applyNumberFormat="1" applyFill="1" applyAlignment="1">
      <alignment vertical="center"/>
    </xf>
    <xf numFmtId="0" fontId="9" fillId="0" borderId="0" xfId="49" applyFont="1" applyFill="1" applyAlignment="1" applyProtection="1">
      <alignment horizontal="center" vertical="center"/>
    </xf>
    <xf numFmtId="0" fontId="10" fillId="0" borderId="0" xfId="0" applyFont="1" applyFill="1" applyAlignment="1">
      <alignment horizontal="left" vertical="center"/>
    </xf>
    <xf numFmtId="0" fontId="11" fillId="0" borderId="1" xfId="49" applyFont="1" applyFill="1" applyBorder="1" applyAlignment="1" applyProtection="1">
      <alignment horizontal="center" vertical="center"/>
    </xf>
    <xf numFmtId="178" fontId="11" fillId="0" borderId="1" xfId="49" applyNumberFormat="1" applyFont="1" applyFill="1" applyBorder="1" applyAlignment="1" applyProtection="1">
      <alignment horizontal="center" vertical="center"/>
    </xf>
    <xf numFmtId="49" fontId="12" fillId="0" borderId="1" xfId="49" applyNumberFormat="1" applyFont="1" applyFill="1" applyBorder="1" applyAlignment="1" applyProtection="1">
      <alignment horizontal="center" vertical="center"/>
    </xf>
    <xf numFmtId="177" fontId="12" fillId="0" borderId="1" xfId="49" applyNumberFormat="1" applyFont="1" applyFill="1" applyBorder="1" applyAlignment="1" applyProtection="1">
      <alignment horizontal="center" vertical="center"/>
    </xf>
    <xf numFmtId="176" fontId="12" fillId="0" borderId="1" xfId="49" applyNumberFormat="1" applyFont="1" applyFill="1" applyBorder="1" applyAlignment="1" applyProtection="1">
      <alignment horizontal="center" vertical="center"/>
    </xf>
    <xf numFmtId="0" fontId="13" fillId="0" borderId="1" xfId="49" applyFont="1" applyFill="1" applyBorder="1" applyAlignment="1" applyProtection="1">
      <alignment horizontal="center" vertical="center"/>
    </xf>
    <xf numFmtId="178" fontId="13" fillId="0" borderId="1" xfId="49" applyNumberFormat="1" applyFont="1" applyFill="1" applyBorder="1" applyAlignment="1" applyProtection="1">
      <alignment horizontal="center" vertical="center"/>
    </xf>
    <xf numFmtId="49" fontId="7" fillId="0" borderId="1" xfId="49" applyNumberFormat="1" applyFont="1" applyFill="1" applyBorder="1" applyAlignment="1" applyProtection="1">
      <alignment horizontal="center" vertical="center"/>
    </xf>
    <xf numFmtId="49" fontId="14" fillId="0" borderId="1" xfId="49" applyNumberFormat="1" applyFont="1" applyFill="1" applyBorder="1" applyAlignment="1" applyProtection="1">
      <alignment horizontal="center" vertical="center"/>
    </xf>
    <xf numFmtId="177" fontId="7" fillId="0" borderId="1" xfId="49" applyNumberFormat="1" applyFont="1" applyFill="1" applyBorder="1" applyAlignment="1" applyProtection="1">
      <alignment horizontal="center" vertical="center"/>
    </xf>
    <xf numFmtId="176" fontId="7" fillId="0" borderId="1" xfId="49" applyNumberFormat="1" applyFont="1" applyFill="1" applyBorder="1" applyAlignment="1" applyProtection="1">
      <alignment horizontal="center" vertical="center"/>
    </xf>
    <xf numFmtId="49" fontId="13" fillId="0" borderId="1" xfId="49" applyNumberFormat="1" applyFont="1" applyFill="1" applyBorder="1" applyAlignment="1" applyProtection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77" fontId="7" fillId="0" borderId="1" xfId="49" applyNumberFormat="1" applyFont="1" applyFill="1" applyBorder="1" applyAlignment="1" applyProtection="1">
      <alignment horizontal="center" vertical="center" wrapText="1"/>
    </xf>
    <xf numFmtId="176" fontId="7" fillId="0" borderId="1" xfId="49" applyNumberFormat="1" applyFont="1" applyFill="1" applyBorder="1" applyAlignment="1" applyProtection="1">
      <alignment horizontal="center" vertical="center" wrapText="1"/>
    </xf>
    <xf numFmtId="49" fontId="14" fillId="4" borderId="1" xfId="49" applyNumberFormat="1" applyFont="1" applyFill="1" applyBorder="1" applyAlignment="1" applyProtection="1">
      <alignment horizontal="center" vertical="center"/>
    </xf>
    <xf numFmtId="0" fontId="13" fillId="4" borderId="1" xfId="49" applyFont="1" applyFill="1" applyBorder="1" applyAlignment="1" applyProtection="1">
      <alignment horizontal="center" vertical="center"/>
    </xf>
    <xf numFmtId="49" fontId="13" fillId="4" borderId="1" xfId="49" applyNumberFormat="1" applyFont="1" applyFill="1" applyBorder="1" applyAlignment="1" applyProtection="1">
      <alignment horizontal="center" vertical="center"/>
    </xf>
    <xf numFmtId="49" fontId="7" fillId="4" borderId="1" xfId="49" applyNumberFormat="1" applyFont="1" applyFill="1" applyBorder="1" applyAlignment="1" applyProtection="1">
      <alignment horizontal="center" vertical="center"/>
    </xf>
    <xf numFmtId="176" fontId="7" fillId="4" borderId="1" xfId="49" applyNumberFormat="1" applyFont="1" applyFill="1" applyBorder="1" applyAlignment="1" applyProtection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177" fontId="7" fillId="4" borderId="1" xfId="49" applyNumberFormat="1" applyFont="1" applyFill="1" applyBorder="1" applyAlignment="1" applyProtection="1">
      <alignment horizontal="center" vertical="center" wrapText="1"/>
    </xf>
    <xf numFmtId="49" fontId="13" fillId="3" borderId="1" xfId="49" applyNumberFormat="1" applyFont="1" applyFill="1" applyBorder="1" applyAlignment="1" applyProtection="1">
      <alignment horizontal="center" vertical="center"/>
    </xf>
    <xf numFmtId="49" fontId="7" fillId="3" borderId="1" xfId="49" applyNumberFormat="1" applyFont="1" applyFill="1" applyBorder="1" applyAlignment="1" applyProtection="1">
      <alignment horizontal="center" vertical="center"/>
    </xf>
    <xf numFmtId="49" fontId="14" fillId="3" borderId="1" xfId="49" applyNumberFormat="1" applyFont="1" applyFill="1" applyBorder="1" applyAlignment="1" applyProtection="1">
      <alignment horizontal="center" vertical="center"/>
    </xf>
    <xf numFmtId="0" fontId="5" fillId="3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_x001e_" xfId="49"/>
  </cellStyles>
  <dxfs count="19">
    <dxf>
      <fill>
        <patternFill patternType="solid">
          <bgColor rgb="FF92D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2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3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4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5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6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7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8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9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10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11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12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13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14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15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16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17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18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19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20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21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22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23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24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25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26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27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28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29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30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31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7724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32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33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97218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2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3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4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5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6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7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8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9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10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11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12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13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14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15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16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17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18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19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20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21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22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23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24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25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26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27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28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29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30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31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32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33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34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35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36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37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38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39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40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41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42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43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44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45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46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47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48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49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50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51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52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53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54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55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56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57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58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59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60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61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62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0</xdr:col>
      <xdr:colOff>9238</xdr:colOff>
      <xdr:row>1</xdr:row>
      <xdr:rowOff>177105</xdr:rowOff>
    </xdr:to>
    <xdr:pic>
      <xdr:nvPicPr>
        <xdr:cNvPr id="63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571500"/>
          <a:ext cx="8890" cy="17653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64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0</xdr:colOff>
      <xdr:row>2</xdr:row>
      <xdr:rowOff>12501</xdr:rowOff>
    </xdr:from>
    <xdr:to>
      <xdr:col>0</xdr:col>
      <xdr:colOff>9238</xdr:colOff>
      <xdr:row>2</xdr:row>
      <xdr:rowOff>177105</xdr:rowOff>
    </xdr:to>
    <xdr:pic>
      <xdr:nvPicPr>
        <xdr:cNvPr id="65" name="Picture 1" descr="NOUYA+logo"/>
        <xdr:cNvPicPr/>
      </xdr:nvPicPr>
      <xdr:blipFill>
        <a:blip r:embed="rId1"/>
        <a:srcRect/>
        <a:stretch>
          <a:fillRect/>
        </a:stretch>
      </xdr:blipFill>
      <xdr:spPr>
        <a:xfrm>
          <a:off x="0" y="766445"/>
          <a:ext cx="8890" cy="16446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84"/>
  <sheetViews>
    <sheetView topLeftCell="A207" workbookViewId="0">
      <selection activeCell="A1" sqref="A$1:A$1048576"/>
    </sheetView>
  </sheetViews>
  <sheetFormatPr defaultColWidth="8.88888888888889" defaultRowHeight="14.4"/>
  <cols>
    <col min="1" max="1" width="13.6851851851852" style="1" customWidth="1"/>
    <col min="2" max="2" width="7.22222222222222" style="40" customWidth="1"/>
    <col min="3" max="3" width="5.66666666666667" style="1" customWidth="1"/>
    <col min="4" max="4" width="12" style="1" customWidth="1"/>
    <col min="5" max="5" width="8.07407407407407" style="1" customWidth="1"/>
    <col min="6" max="6" width="15.2222222222222" style="1" customWidth="1"/>
    <col min="7" max="7" width="9.44444444444444" style="3" customWidth="1"/>
    <col min="8" max="10" width="8.66666666666667" style="2" customWidth="1"/>
    <col min="11" max="11" width="8.33333333333333" style="2" customWidth="1"/>
    <col min="12" max="12" width="5.71296296296296" style="2" customWidth="1"/>
  </cols>
  <sheetData>
    <row r="1" ht="61.2" spans="1:12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</row>
    <row r="2" spans="1:12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1:12">
      <c r="A3" s="42" t="s">
        <v>2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</row>
    <row r="4" spans="1:12">
      <c r="A4" s="42" t="s">
        <v>3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</row>
    <row r="5" spans="1:12">
      <c r="A5" s="42" t="s">
        <v>4</v>
      </c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</row>
    <row r="6" spans="1:12">
      <c r="A6" s="42" t="s">
        <v>5</v>
      </c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</row>
    <row r="7" spans="1:12">
      <c r="A7" s="42" t="s">
        <v>6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</row>
    <row r="8" spans="1:12">
      <c r="A8" s="4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</row>
    <row r="9" ht="15.6" spans="1:12">
      <c r="A9" s="43" t="s">
        <v>7</v>
      </c>
      <c r="B9" s="44" t="s">
        <v>8</v>
      </c>
      <c r="C9" s="45" t="s">
        <v>9</v>
      </c>
      <c r="D9" s="45" t="s">
        <v>10</v>
      </c>
      <c r="E9" s="45" t="s">
        <v>11</v>
      </c>
      <c r="F9" s="45" t="s">
        <v>12</v>
      </c>
      <c r="G9" s="46" t="s">
        <v>13</v>
      </c>
      <c r="H9" s="47"/>
      <c r="I9" s="47"/>
      <c r="J9" s="47"/>
      <c r="K9" s="47"/>
      <c r="L9" s="47"/>
    </row>
    <row r="10" ht="15" spans="1:12">
      <c r="A10" s="48" t="s">
        <v>14</v>
      </c>
      <c r="B10" s="49" t="s">
        <v>15</v>
      </c>
      <c r="C10" s="50" t="s">
        <v>16</v>
      </c>
      <c r="D10" s="51" t="s">
        <v>17</v>
      </c>
      <c r="E10" s="50" t="s">
        <v>16</v>
      </c>
      <c r="F10" s="50" t="s">
        <v>18</v>
      </c>
      <c r="G10" s="52" t="s">
        <v>19</v>
      </c>
      <c r="H10" s="53" t="s">
        <v>20</v>
      </c>
      <c r="I10" s="53" t="s">
        <v>21</v>
      </c>
      <c r="J10" s="53" t="s">
        <v>22</v>
      </c>
      <c r="K10" s="53" t="s">
        <v>23</v>
      </c>
      <c r="L10" s="53" t="s">
        <v>24</v>
      </c>
    </row>
    <row r="11" ht="15" spans="1:12">
      <c r="A11" s="48" t="s">
        <v>25</v>
      </c>
      <c r="B11" s="54" t="s">
        <v>26</v>
      </c>
      <c r="C11" s="50" t="s">
        <v>27</v>
      </c>
      <c r="D11" s="51" t="s">
        <v>28</v>
      </c>
      <c r="E11" s="50" t="s">
        <v>29</v>
      </c>
      <c r="F11" s="55" t="s">
        <v>30</v>
      </c>
      <c r="G11" s="56">
        <f t="shared" ref="G11:G74" si="0">I11/13.33</f>
        <v>14.8162040510128</v>
      </c>
      <c r="H11" s="57">
        <f t="shared" ref="H11:H74" si="1">I11*0.9</f>
        <v>177.75</v>
      </c>
      <c r="I11" s="28">
        <v>197.5</v>
      </c>
      <c r="J11" s="57">
        <f t="shared" ref="J11:J74" si="2">I11*1.05</f>
        <v>207.375</v>
      </c>
      <c r="K11" s="57">
        <f t="shared" ref="K11:K74" si="3">H11*0.94</f>
        <v>167.085</v>
      </c>
      <c r="L11" s="57">
        <f t="shared" ref="L11:L74" si="4">I11*0.94</f>
        <v>185.65</v>
      </c>
    </row>
    <row r="12" ht="15" spans="1:12">
      <c r="A12" s="48" t="s">
        <v>31</v>
      </c>
      <c r="B12" s="54" t="s">
        <v>32</v>
      </c>
      <c r="C12" s="50" t="s">
        <v>33</v>
      </c>
      <c r="D12" s="51" t="s">
        <v>28</v>
      </c>
      <c r="E12" s="50" t="s">
        <v>29</v>
      </c>
      <c r="F12" s="55" t="s">
        <v>34</v>
      </c>
      <c r="G12" s="56">
        <f t="shared" si="0"/>
        <v>5.95873968492123</v>
      </c>
      <c r="H12" s="57">
        <f t="shared" si="1"/>
        <v>71.487</v>
      </c>
      <c r="I12" s="28">
        <v>79.43</v>
      </c>
      <c r="J12" s="57">
        <f t="shared" si="2"/>
        <v>83.4015</v>
      </c>
      <c r="K12" s="57">
        <f t="shared" si="3"/>
        <v>67.19778</v>
      </c>
      <c r="L12" s="57">
        <f t="shared" si="4"/>
        <v>74.6642</v>
      </c>
    </row>
    <row r="13" ht="15" spans="1:12">
      <c r="A13" s="48" t="s">
        <v>31</v>
      </c>
      <c r="B13" s="54" t="s">
        <v>32</v>
      </c>
      <c r="C13" s="50" t="s">
        <v>35</v>
      </c>
      <c r="D13" s="51" t="s">
        <v>28</v>
      </c>
      <c r="E13" s="50" t="s">
        <v>29</v>
      </c>
      <c r="F13" s="55" t="s">
        <v>34</v>
      </c>
      <c r="G13" s="56">
        <f t="shared" si="0"/>
        <v>6.14628657164291</v>
      </c>
      <c r="H13" s="57">
        <f t="shared" si="1"/>
        <v>73.737</v>
      </c>
      <c r="I13" s="28">
        <v>81.93</v>
      </c>
      <c r="J13" s="57">
        <f t="shared" si="2"/>
        <v>86.0265</v>
      </c>
      <c r="K13" s="57">
        <f t="shared" si="3"/>
        <v>69.31278</v>
      </c>
      <c r="L13" s="57">
        <f t="shared" si="4"/>
        <v>77.0142</v>
      </c>
    </row>
    <row r="14" ht="15" spans="1:12">
      <c r="A14" s="48" t="s">
        <v>31</v>
      </c>
      <c r="B14" s="54" t="s">
        <v>36</v>
      </c>
      <c r="C14" s="50" t="s">
        <v>33</v>
      </c>
      <c r="D14" s="51" t="s">
        <v>28</v>
      </c>
      <c r="E14" s="50" t="s">
        <v>29</v>
      </c>
      <c r="F14" s="55" t="s">
        <v>37</v>
      </c>
      <c r="G14" s="56">
        <f t="shared" si="0"/>
        <v>7.23780945236309</v>
      </c>
      <c r="H14" s="57">
        <f t="shared" si="1"/>
        <v>86.832</v>
      </c>
      <c r="I14" s="28">
        <v>96.48</v>
      </c>
      <c r="J14" s="57">
        <f t="shared" si="2"/>
        <v>101.304</v>
      </c>
      <c r="K14" s="57">
        <f t="shared" si="3"/>
        <v>81.62208</v>
      </c>
      <c r="L14" s="57">
        <f t="shared" si="4"/>
        <v>90.6912</v>
      </c>
    </row>
    <row r="15" ht="15" spans="1:12">
      <c r="A15" s="48" t="s">
        <v>31</v>
      </c>
      <c r="B15" s="54" t="s">
        <v>36</v>
      </c>
      <c r="C15" s="50" t="s">
        <v>27</v>
      </c>
      <c r="D15" s="51" t="s">
        <v>28</v>
      </c>
      <c r="E15" s="50" t="s">
        <v>29</v>
      </c>
      <c r="F15" s="55" t="s">
        <v>37</v>
      </c>
      <c r="G15" s="56">
        <f t="shared" si="0"/>
        <v>7.88072018004501</v>
      </c>
      <c r="H15" s="57">
        <f t="shared" si="1"/>
        <v>94.545</v>
      </c>
      <c r="I15" s="28">
        <v>105.05</v>
      </c>
      <c r="J15" s="57">
        <f t="shared" si="2"/>
        <v>110.3025</v>
      </c>
      <c r="K15" s="57">
        <f t="shared" si="3"/>
        <v>88.8723</v>
      </c>
      <c r="L15" s="57">
        <f t="shared" si="4"/>
        <v>98.747</v>
      </c>
    </row>
    <row r="16" ht="15" spans="1:12">
      <c r="A16" s="48" t="s">
        <v>31</v>
      </c>
      <c r="B16" s="54" t="s">
        <v>38</v>
      </c>
      <c r="C16" s="50" t="s">
        <v>27</v>
      </c>
      <c r="D16" s="51" t="s">
        <v>28</v>
      </c>
      <c r="E16" s="50" t="s">
        <v>29</v>
      </c>
      <c r="F16" s="55" t="s">
        <v>39</v>
      </c>
      <c r="G16" s="56">
        <f t="shared" si="0"/>
        <v>9.45686421605401</v>
      </c>
      <c r="H16" s="57">
        <f t="shared" si="1"/>
        <v>113.454</v>
      </c>
      <c r="I16" s="28">
        <v>126.06</v>
      </c>
      <c r="J16" s="57">
        <f t="shared" si="2"/>
        <v>132.363</v>
      </c>
      <c r="K16" s="57">
        <f t="shared" si="3"/>
        <v>106.64676</v>
      </c>
      <c r="L16" s="57">
        <f t="shared" si="4"/>
        <v>118.4964</v>
      </c>
    </row>
    <row r="17" ht="15" spans="1:12">
      <c r="A17" s="48" t="s">
        <v>31</v>
      </c>
      <c r="B17" s="54" t="s">
        <v>40</v>
      </c>
      <c r="C17" s="50" t="s">
        <v>33</v>
      </c>
      <c r="D17" s="58" t="s">
        <v>41</v>
      </c>
      <c r="E17" s="50" t="s">
        <v>29</v>
      </c>
      <c r="F17" s="55" t="s">
        <v>42</v>
      </c>
      <c r="G17" s="56">
        <f t="shared" si="0"/>
        <v>8.30382595648912</v>
      </c>
      <c r="H17" s="57">
        <f t="shared" si="1"/>
        <v>99.621</v>
      </c>
      <c r="I17" s="28">
        <v>110.69</v>
      </c>
      <c r="J17" s="57">
        <f t="shared" si="2"/>
        <v>116.2245</v>
      </c>
      <c r="K17" s="57">
        <f t="shared" si="3"/>
        <v>93.64374</v>
      </c>
      <c r="L17" s="57">
        <f t="shared" si="4"/>
        <v>104.0486</v>
      </c>
    </row>
    <row r="18" ht="15" spans="1:12">
      <c r="A18" s="48" t="s">
        <v>31</v>
      </c>
      <c r="B18" s="54" t="s">
        <v>43</v>
      </c>
      <c r="C18" s="50" t="s">
        <v>33</v>
      </c>
      <c r="D18" s="51" t="s">
        <v>41</v>
      </c>
      <c r="E18" s="50" t="s">
        <v>29</v>
      </c>
      <c r="F18" s="55" t="s">
        <v>44</v>
      </c>
      <c r="G18" s="56">
        <f t="shared" si="0"/>
        <v>9.64741185296324</v>
      </c>
      <c r="H18" s="57">
        <f t="shared" si="1"/>
        <v>115.74</v>
      </c>
      <c r="I18" s="28">
        <v>128.6</v>
      </c>
      <c r="J18" s="57">
        <f t="shared" si="2"/>
        <v>135.03</v>
      </c>
      <c r="K18" s="57">
        <f t="shared" si="3"/>
        <v>108.7956</v>
      </c>
      <c r="L18" s="57">
        <f t="shared" si="4"/>
        <v>120.884</v>
      </c>
    </row>
    <row r="19" ht="15" spans="1:12">
      <c r="A19" s="48" t="s">
        <v>31</v>
      </c>
      <c r="B19" s="54" t="s">
        <v>43</v>
      </c>
      <c r="C19" s="50" t="s">
        <v>27</v>
      </c>
      <c r="D19" s="51" t="s">
        <v>41</v>
      </c>
      <c r="E19" s="50" t="s">
        <v>29</v>
      </c>
      <c r="F19" s="55" t="s">
        <v>44</v>
      </c>
      <c r="G19" s="56">
        <f t="shared" si="0"/>
        <v>9.79819954988747</v>
      </c>
      <c r="H19" s="57">
        <f t="shared" si="1"/>
        <v>117.549</v>
      </c>
      <c r="I19" s="28">
        <v>130.61</v>
      </c>
      <c r="J19" s="57">
        <f t="shared" si="2"/>
        <v>137.1405</v>
      </c>
      <c r="K19" s="57">
        <f t="shared" si="3"/>
        <v>110.49606</v>
      </c>
      <c r="L19" s="57">
        <f t="shared" si="4"/>
        <v>122.7734</v>
      </c>
    </row>
    <row r="20" ht="15" spans="1:12">
      <c r="A20" s="48" t="s">
        <v>31</v>
      </c>
      <c r="B20" s="54" t="s">
        <v>45</v>
      </c>
      <c r="C20" s="50" t="s">
        <v>27</v>
      </c>
      <c r="D20" s="51" t="s">
        <v>41</v>
      </c>
      <c r="E20" s="50" t="s">
        <v>29</v>
      </c>
      <c r="F20" s="55" t="s">
        <v>46</v>
      </c>
      <c r="G20" s="56">
        <f t="shared" si="0"/>
        <v>10.3038259564891</v>
      </c>
      <c r="H20" s="57">
        <f t="shared" si="1"/>
        <v>123.615</v>
      </c>
      <c r="I20" s="28">
        <v>137.35</v>
      </c>
      <c r="J20" s="57">
        <f t="shared" si="2"/>
        <v>144.2175</v>
      </c>
      <c r="K20" s="57">
        <f t="shared" si="3"/>
        <v>116.1981</v>
      </c>
      <c r="L20" s="57">
        <f t="shared" si="4"/>
        <v>129.109</v>
      </c>
    </row>
    <row r="21" ht="15" spans="1:12">
      <c r="A21" s="48" t="s">
        <v>31</v>
      </c>
      <c r="B21" s="54" t="s">
        <v>45</v>
      </c>
      <c r="C21" s="50" t="s">
        <v>47</v>
      </c>
      <c r="D21" s="51" t="s">
        <v>41</v>
      </c>
      <c r="E21" s="50" t="s">
        <v>29</v>
      </c>
      <c r="F21" s="55" t="s">
        <v>46</v>
      </c>
      <c r="G21" s="56">
        <f t="shared" si="0"/>
        <v>13.1432858214554</v>
      </c>
      <c r="H21" s="57">
        <f t="shared" si="1"/>
        <v>157.68</v>
      </c>
      <c r="I21" s="28">
        <v>175.2</v>
      </c>
      <c r="J21" s="57">
        <f t="shared" si="2"/>
        <v>183.96</v>
      </c>
      <c r="K21" s="57">
        <f t="shared" si="3"/>
        <v>148.2192</v>
      </c>
      <c r="L21" s="57">
        <f t="shared" si="4"/>
        <v>164.688</v>
      </c>
    </row>
    <row r="22" ht="15" spans="1:12">
      <c r="A22" s="48" t="s">
        <v>31</v>
      </c>
      <c r="B22" s="54" t="s">
        <v>48</v>
      </c>
      <c r="C22" s="50" t="s">
        <v>33</v>
      </c>
      <c r="D22" s="51" t="s">
        <v>41</v>
      </c>
      <c r="E22" s="50" t="s">
        <v>29</v>
      </c>
      <c r="F22" s="55" t="s">
        <v>49</v>
      </c>
      <c r="G22" s="56">
        <f t="shared" si="0"/>
        <v>9.69992498124531</v>
      </c>
      <c r="H22" s="57">
        <f t="shared" si="1"/>
        <v>116.37</v>
      </c>
      <c r="I22" s="28">
        <v>129.3</v>
      </c>
      <c r="J22" s="57">
        <f t="shared" si="2"/>
        <v>135.765</v>
      </c>
      <c r="K22" s="57">
        <f t="shared" si="3"/>
        <v>109.3878</v>
      </c>
      <c r="L22" s="57">
        <f t="shared" si="4"/>
        <v>121.542</v>
      </c>
    </row>
    <row r="23" ht="15" spans="1:12">
      <c r="A23" s="48" t="s">
        <v>31</v>
      </c>
      <c r="B23" s="54" t="s">
        <v>26</v>
      </c>
      <c r="C23" s="50" t="s">
        <v>33</v>
      </c>
      <c r="D23" s="51" t="s">
        <v>41</v>
      </c>
      <c r="E23" s="50" t="s">
        <v>29</v>
      </c>
      <c r="F23" s="55" t="s">
        <v>30</v>
      </c>
      <c r="G23" s="56">
        <f t="shared" si="0"/>
        <v>12.5266316579145</v>
      </c>
      <c r="H23" s="57">
        <f t="shared" si="1"/>
        <v>150.282</v>
      </c>
      <c r="I23" s="28">
        <v>166.98</v>
      </c>
      <c r="J23" s="57">
        <f t="shared" si="2"/>
        <v>175.329</v>
      </c>
      <c r="K23" s="57">
        <f t="shared" si="3"/>
        <v>141.26508</v>
      </c>
      <c r="L23" s="57">
        <f t="shared" si="4"/>
        <v>156.9612</v>
      </c>
    </row>
    <row r="24" ht="15" spans="1:12">
      <c r="A24" s="48" t="s">
        <v>31</v>
      </c>
      <c r="B24" s="54" t="s">
        <v>26</v>
      </c>
      <c r="C24" s="50" t="s">
        <v>27</v>
      </c>
      <c r="D24" s="51" t="s">
        <v>41</v>
      </c>
      <c r="E24" s="50" t="s">
        <v>29</v>
      </c>
      <c r="F24" s="55" t="s">
        <v>30</v>
      </c>
      <c r="G24" s="56">
        <f t="shared" si="0"/>
        <v>13.2340585146287</v>
      </c>
      <c r="H24" s="57">
        <f t="shared" si="1"/>
        <v>158.769</v>
      </c>
      <c r="I24" s="28">
        <v>176.41</v>
      </c>
      <c r="J24" s="57">
        <f t="shared" si="2"/>
        <v>185.2305</v>
      </c>
      <c r="K24" s="57">
        <f t="shared" si="3"/>
        <v>149.24286</v>
      </c>
      <c r="L24" s="57">
        <f t="shared" si="4"/>
        <v>165.8254</v>
      </c>
    </row>
    <row r="25" ht="15" spans="1:12">
      <c r="A25" s="48" t="s">
        <v>31</v>
      </c>
      <c r="B25" s="54" t="s">
        <v>26</v>
      </c>
      <c r="C25" s="50" t="s">
        <v>47</v>
      </c>
      <c r="D25" s="51" t="s">
        <v>41</v>
      </c>
      <c r="E25" s="50" t="s">
        <v>29</v>
      </c>
      <c r="F25" s="55" t="s">
        <v>30</v>
      </c>
      <c r="G25" s="56">
        <f t="shared" si="0"/>
        <v>17.039759939985</v>
      </c>
      <c r="H25" s="57">
        <f t="shared" si="1"/>
        <v>204.426</v>
      </c>
      <c r="I25" s="28">
        <v>227.14</v>
      </c>
      <c r="J25" s="57">
        <f t="shared" si="2"/>
        <v>238.497</v>
      </c>
      <c r="K25" s="57">
        <f t="shared" si="3"/>
        <v>192.16044</v>
      </c>
      <c r="L25" s="57">
        <f t="shared" si="4"/>
        <v>213.5116</v>
      </c>
    </row>
    <row r="26" ht="15" spans="1:12">
      <c r="A26" s="48" t="s">
        <v>50</v>
      </c>
      <c r="B26" s="54" t="s">
        <v>51</v>
      </c>
      <c r="C26" s="50" t="s">
        <v>47</v>
      </c>
      <c r="D26" s="51" t="s">
        <v>28</v>
      </c>
      <c r="E26" s="50" t="s">
        <v>29</v>
      </c>
      <c r="F26" s="55" t="s">
        <v>52</v>
      </c>
      <c r="G26" s="56">
        <f t="shared" si="0"/>
        <v>9.53863465866467</v>
      </c>
      <c r="H26" s="57">
        <f t="shared" si="1"/>
        <v>114.435</v>
      </c>
      <c r="I26" s="28">
        <v>127.15</v>
      </c>
      <c r="J26" s="57">
        <f t="shared" si="2"/>
        <v>133.5075</v>
      </c>
      <c r="K26" s="57">
        <f t="shared" si="3"/>
        <v>107.5689</v>
      </c>
      <c r="L26" s="57">
        <f t="shared" si="4"/>
        <v>119.521</v>
      </c>
    </row>
    <row r="27" ht="15" spans="1:12">
      <c r="A27" s="48" t="s">
        <v>50</v>
      </c>
      <c r="B27" s="54" t="s">
        <v>51</v>
      </c>
      <c r="C27" s="50" t="s">
        <v>47</v>
      </c>
      <c r="D27" s="51" t="s">
        <v>28</v>
      </c>
      <c r="E27" s="50" t="s">
        <v>53</v>
      </c>
      <c r="F27" s="55" t="s">
        <v>52</v>
      </c>
      <c r="G27" s="56">
        <f t="shared" si="0"/>
        <v>9.53863465866467</v>
      </c>
      <c r="H27" s="57">
        <f t="shared" si="1"/>
        <v>114.435</v>
      </c>
      <c r="I27" s="28">
        <v>127.15</v>
      </c>
      <c r="J27" s="57">
        <f t="shared" si="2"/>
        <v>133.5075</v>
      </c>
      <c r="K27" s="57">
        <f t="shared" si="3"/>
        <v>107.5689</v>
      </c>
      <c r="L27" s="57">
        <f t="shared" si="4"/>
        <v>119.521</v>
      </c>
    </row>
    <row r="28" ht="15" spans="1:12">
      <c r="A28" s="48" t="s">
        <v>50</v>
      </c>
      <c r="B28" s="54" t="s">
        <v>54</v>
      </c>
      <c r="C28" s="50" t="s">
        <v>27</v>
      </c>
      <c r="D28" s="51" t="s">
        <v>28</v>
      </c>
      <c r="E28" s="50" t="s">
        <v>29</v>
      </c>
      <c r="F28" s="55" t="s">
        <v>55</v>
      </c>
      <c r="G28" s="56">
        <f t="shared" si="0"/>
        <v>5.81695423855964</v>
      </c>
      <c r="H28" s="57">
        <f t="shared" si="1"/>
        <v>69.786</v>
      </c>
      <c r="I28" s="28">
        <v>77.54</v>
      </c>
      <c r="J28" s="57">
        <f t="shared" si="2"/>
        <v>81.417</v>
      </c>
      <c r="K28" s="57">
        <f t="shared" si="3"/>
        <v>65.59884</v>
      </c>
      <c r="L28" s="57">
        <f t="shared" si="4"/>
        <v>72.8876</v>
      </c>
    </row>
    <row r="29" ht="15" spans="1:12">
      <c r="A29" s="48" t="s">
        <v>50</v>
      </c>
      <c r="B29" s="54" t="s">
        <v>54</v>
      </c>
      <c r="C29" s="50" t="s">
        <v>47</v>
      </c>
      <c r="D29" s="51" t="s">
        <v>28</v>
      </c>
      <c r="E29" s="50" t="s">
        <v>29</v>
      </c>
      <c r="F29" s="55" t="s">
        <v>55</v>
      </c>
      <c r="G29" s="56">
        <f t="shared" si="0"/>
        <v>9.10277569392348</v>
      </c>
      <c r="H29" s="57">
        <f t="shared" si="1"/>
        <v>109.206</v>
      </c>
      <c r="I29" s="28">
        <v>121.34</v>
      </c>
      <c r="J29" s="57">
        <f t="shared" si="2"/>
        <v>127.407</v>
      </c>
      <c r="K29" s="57">
        <f t="shared" si="3"/>
        <v>102.65364</v>
      </c>
      <c r="L29" s="57">
        <f t="shared" si="4"/>
        <v>114.0596</v>
      </c>
    </row>
    <row r="30" ht="15" spans="1:12">
      <c r="A30" s="48" t="s">
        <v>50</v>
      </c>
      <c r="B30" s="54" t="s">
        <v>56</v>
      </c>
      <c r="C30" s="50" t="s">
        <v>47</v>
      </c>
      <c r="D30" s="51" t="s">
        <v>28</v>
      </c>
      <c r="E30" s="50" t="s">
        <v>29</v>
      </c>
      <c r="F30" s="55" t="s">
        <v>57</v>
      </c>
      <c r="G30" s="56">
        <f t="shared" si="0"/>
        <v>9.10277569392348</v>
      </c>
      <c r="H30" s="57">
        <f t="shared" si="1"/>
        <v>109.206</v>
      </c>
      <c r="I30" s="28">
        <v>121.34</v>
      </c>
      <c r="J30" s="57">
        <f t="shared" si="2"/>
        <v>127.407</v>
      </c>
      <c r="K30" s="57">
        <f t="shared" si="3"/>
        <v>102.65364</v>
      </c>
      <c r="L30" s="57">
        <f t="shared" si="4"/>
        <v>114.0596</v>
      </c>
    </row>
    <row r="31" ht="15" spans="1:12">
      <c r="A31" s="48" t="s">
        <v>50</v>
      </c>
      <c r="B31" s="54" t="s">
        <v>58</v>
      </c>
      <c r="C31" s="50" t="s">
        <v>27</v>
      </c>
      <c r="D31" s="51" t="s">
        <v>28</v>
      </c>
      <c r="E31" s="50" t="s">
        <v>29</v>
      </c>
      <c r="F31" s="55" t="s">
        <v>59</v>
      </c>
      <c r="G31" s="56">
        <f t="shared" si="0"/>
        <v>5.99924981245311</v>
      </c>
      <c r="H31" s="57">
        <f t="shared" si="1"/>
        <v>71.973</v>
      </c>
      <c r="I31" s="28">
        <v>79.97</v>
      </c>
      <c r="J31" s="57">
        <f t="shared" si="2"/>
        <v>83.9685</v>
      </c>
      <c r="K31" s="57">
        <f t="shared" si="3"/>
        <v>67.65462</v>
      </c>
      <c r="L31" s="57">
        <f t="shared" si="4"/>
        <v>75.1718</v>
      </c>
    </row>
    <row r="32" ht="15" spans="1:12">
      <c r="A32" s="48" t="s">
        <v>50</v>
      </c>
      <c r="B32" s="54" t="s">
        <v>58</v>
      </c>
      <c r="C32" s="50" t="s">
        <v>60</v>
      </c>
      <c r="D32" s="51" t="s">
        <v>28</v>
      </c>
      <c r="E32" s="50" t="s">
        <v>29</v>
      </c>
      <c r="F32" s="55" t="s">
        <v>59</v>
      </c>
      <c r="G32" s="56">
        <f t="shared" si="0"/>
        <v>7.81020255063766</v>
      </c>
      <c r="H32" s="57">
        <f t="shared" si="1"/>
        <v>93.699</v>
      </c>
      <c r="I32" s="28">
        <v>104.11</v>
      </c>
      <c r="J32" s="57">
        <f t="shared" si="2"/>
        <v>109.3155</v>
      </c>
      <c r="K32" s="57">
        <f t="shared" si="3"/>
        <v>88.07706</v>
      </c>
      <c r="L32" s="57">
        <f t="shared" si="4"/>
        <v>97.8634</v>
      </c>
    </row>
    <row r="33" ht="15" spans="1:12">
      <c r="A33" s="48" t="s">
        <v>50</v>
      </c>
      <c r="B33" s="54" t="s">
        <v>58</v>
      </c>
      <c r="C33" s="50" t="s">
        <v>47</v>
      </c>
      <c r="D33" s="51" t="s">
        <v>28</v>
      </c>
      <c r="E33" s="50" t="s">
        <v>29</v>
      </c>
      <c r="F33" s="55" t="s">
        <v>59</v>
      </c>
      <c r="G33" s="56">
        <f t="shared" si="0"/>
        <v>9.50337584396099</v>
      </c>
      <c r="H33" s="57">
        <f t="shared" si="1"/>
        <v>114.012</v>
      </c>
      <c r="I33" s="28">
        <v>126.68</v>
      </c>
      <c r="J33" s="57">
        <f t="shared" si="2"/>
        <v>133.014</v>
      </c>
      <c r="K33" s="57">
        <f t="shared" si="3"/>
        <v>107.17128</v>
      </c>
      <c r="L33" s="57">
        <f t="shared" si="4"/>
        <v>119.0792</v>
      </c>
    </row>
    <row r="34" ht="15" spans="1:12">
      <c r="A34" s="59" t="s">
        <v>50</v>
      </c>
      <c r="B34" s="60" t="s">
        <v>58</v>
      </c>
      <c r="C34" s="61" t="s">
        <v>61</v>
      </c>
      <c r="D34" s="58" t="s">
        <v>28</v>
      </c>
      <c r="E34" s="61" t="s">
        <v>29</v>
      </c>
      <c r="F34" s="55" t="s">
        <v>62</v>
      </c>
      <c r="G34" s="56">
        <f t="shared" si="0"/>
        <v>20.2933233308327</v>
      </c>
      <c r="H34" s="62">
        <f t="shared" si="1"/>
        <v>243.459</v>
      </c>
      <c r="I34" s="28">
        <v>270.51</v>
      </c>
      <c r="J34" s="62">
        <f t="shared" si="2"/>
        <v>284.0355</v>
      </c>
      <c r="K34" s="62">
        <f t="shared" si="3"/>
        <v>228.85146</v>
      </c>
      <c r="L34" s="62">
        <f t="shared" si="4"/>
        <v>254.2794</v>
      </c>
    </row>
    <row r="35" ht="15" spans="1:12">
      <c r="A35" s="48" t="s">
        <v>50</v>
      </c>
      <c r="B35" s="54" t="s">
        <v>63</v>
      </c>
      <c r="C35" s="50" t="s">
        <v>27</v>
      </c>
      <c r="D35" s="51" t="s">
        <v>28</v>
      </c>
      <c r="E35" s="50" t="s">
        <v>29</v>
      </c>
      <c r="F35" s="55" t="s">
        <v>59</v>
      </c>
      <c r="G35" s="56">
        <f t="shared" si="0"/>
        <v>5.8867216804201</v>
      </c>
      <c r="H35" s="57">
        <f t="shared" si="1"/>
        <v>70.623</v>
      </c>
      <c r="I35" s="28">
        <v>78.47</v>
      </c>
      <c r="J35" s="57">
        <f t="shared" si="2"/>
        <v>82.3935</v>
      </c>
      <c r="K35" s="57">
        <f t="shared" si="3"/>
        <v>66.38562</v>
      </c>
      <c r="L35" s="57">
        <f t="shared" si="4"/>
        <v>73.7618</v>
      </c>
    </row>
    <row r="36" ht="15" spans="1:12">
      <c r="A36" s="48" t="s">
        <v>50</v>
      </c>
      <c r="B36" s="54" t="s">
        <v>63</v>
      </c>
      <c r="C36" s="50" t="s">
        <v>47</v>
      </c>
      <c r="D36" s="51" t="s">
        <v>28</v>
      </c>
      <c r="E36" s="50" t="s">
        <v>29</v>
      </c>
      <c r="F36" s="55" t="s">
        <v>59</v>
      </c>
      <c r="G36" s="56">
        <f t="shared" si="0"/>
        <v>9.21905476369092</v>
      </c>
      <c r="H36" s="57">
        <f t="shared" si="1"/>
        <v>110.601</v>
      </c>
      <c r="I36" s="28">
        <v>122.89</v>
      </c>
      <c r="J36" s="57">
        <f t="shared" si="2"/>
        <v>129.0345</v>
      </c>
      <c r="K36" s="57">
        <f t="shared" si="3"/>
        <v>103.96494</v>
      </c>
      <c r="L36" s="57">
        <f t="shared" si="4"/>
        <v>115.5166</v>
      </c>
    </row>
    <row r="37" ht="15" spans="1:12">
      <c r="A37" s="48" t="s">
        <v>50</v>
      </c>
      <c r="B37" s="54" t="s">
        <v>64</v>
      </c>
      <c r="C37" s="50" t="s">
        <v>27</v>
      </c>
      <c r="D37" s="51" t="s">
        <v>28</v>
      </c>
      <c r="E37" s="50" t="s">
        <v>29</v>
      </c>
      <c r="F37" s="55" t="s">
        <v>59</v>
      </c>
      <c r="G37" s="56">
        <f t="shared" si="0"/>
        <v>6.12828207051763</v>
      </c>
      <c r="H37" s="57">
        <f t="shared" si="1"/>
        <v>73.521</v>
      </c>
      <c r="I37" s="28">
        <v>81.69</v>
      </c>
      <c r="J37" s="57">
        <f t="shared" si="2"/>
        <v>85.7745</v>
      </c>
      <c r="K37" s="57">
        <f t="shared" si="3"/>
        <v>69.10974</v>
      </c>
      <c r="L37" s="57">
        <f t="shared" si="4"/>
        <v>76.7886</v>
      </c>
    </row>
    <row r="38" ht="15" spans="1:12">
      <c r="A38" s="48" t="s">
        <v>50</v>
      </c>
      <c r="B38" s="54" t="s">
        <v>64</v>
      </c>
      <c r="C38" s="50" t="s">
        <v>27</v>
      </c>
      <c r="D38" s="51" t="s">
        <v>28</v>
      </c>
      <c r="E38" s="50" t="s">
        <v>29</v>
      </c>
      <c r="F38" s="55" t="s">
        <v>65</v>
      </c>
      <c r="G38" s="56">
        <f t="shared" si="0"/>
        <v>7.10427606901725</v>
      </c>
      <c r="H38" s="57">
        <f t="shared" si="1"/>
        <v>85.23</v>
      </c>
      <c r="I38" s="28">
        <v>94.7</v>
      </c>
      <c r="J38" s="57">
        <f t="shared" si="2"/>
        <v>99.435</v>
      </c>
      <c r="K38" s="57">
        <f t="shared" si="3"/>
        <v>80.1162</v>
      </c>
      <c r="L38" s="57">
        <f t="shared" si="4"/>
        <v>89.018</v>
      </c>
    </row>
    <row r="39" ht="15" spans="1:12">
      <c r="A39" s="48" t="s">
        <v>50</v>
      </c>
      <c r="B39" s="54" t="s">
        <v>64</v>
      </c>
      <c r="C39" s="50" t="s">
        <v>47</v>
      </c>
      <c r="D39" s="51" t="s">
        <v>28</v>
      </c>
      <c r="E39" s="50" t="s">
        <v>29</v>
      </c>
      <c r="F39" s="55" t="s">
        <v>59</v>
      </c>
      <c r="G39" s="56">
        <f t="shared" si="0"/>
        <v>9.35858964741185</v>
      </c>
      <c r="H39" s="57">
        <f t="shared" si="1"/>
        <v>112.275</v>
      </c>
      <c r="I39" s="28">
        <v>124.75</v>
      </c>
      <c r="J39" s="57">
        <f t="shared" si="2"/>
        <v>130.9875</v>
      </c>
      <c r="K39" s="57">
        <f t="shared" si="3"/>
        <v>105.5385</v>
      </c>
      <c r="L39" s="57">
        <f t="shared" si="4"/>
        <v>117.265</v>
      </c>
    </row>
    <row r="40" ht="15" spans="1:12">
      <c r="A40" s="59" t="s">
        <v>50</v>
      </c>
      <c r="B40" s="60" t="s">
        <v>64</v>
      </c>
      <c r="C40" s="61" t="s">
        <v>61</v>
      </c>
      <c r="D40" s="58" t="s">
        <v>28</v>
      </c>
      <c r="E40" s="61" t="s">
        <v>29</v>
      </c>
      <c r="F40" s="55" t="s">
        <v>62</v>
      </c>
      <c r="G40" s="56">
        <f t="shared" si="0"/>
        <v>19.5348837209302</v>
      </c>
      <c r="H40" s="62">
        <f t="shared" si="1"/>
        <v>234.36</v>
      </c>
      <c r="I40" s="28">
        <v>260.4</v>
      </c>
      <c r="J40" s="62">
        <f t="shared" si="2"/>
        <v>273.42</v>
      </c>
      <c r="K40" s="62">
        <f t="shared" si="3"/>
        <v>220.2984</v>
      </c>
      <c r="L40" s="62">
        <f t="shared" si="4"/>
        <v>244.776</v>
      </c>
    </row>
    <row r="41" ht="15" spans="1:12">
      <c r="A41" s="48" t="s">
        <v>50</v>
      </c>
      <c r="B41" s="54" t="s">
        <v>66</v>
      </c>
      <c r="C41" s="50" t="s">
        <v>27</v>
      </c>
      <c r="D41" s="51" t="s">
        <v>28</v>
      </c>
      <c r="E41" s="50" t="s">
        <v>29</v>
      </c>
      <c r="F41" s="55" t="s">
        <v>67</v>
      </c>
      <c r="G41" s="56">
        <f t="shared" si="0"/>
        <v>6.09527381845461</v>
      </c>
      <c r="H41" s="57">
        <f t="shared" si="1"/>
        <v>73.125</v>
      </c>
      <c r="I41" s="28">
        <v>81.25</v>
      </c>
      <c r="J41" s="57">
        <f t="shared" si="2"/>
        <v>85.3125</v>
      </c>
      <c r="K41" s="57">
        <f t="shared" si="3"/>
        <v>68.7375</v>
      </c>
      <c r="L41" s="57">
        <f t="shared" si="4"/>
        <v>76.375</v>
      </c>
    </row>
    <row r="42" ht="15" spans="1:12">
      <c r="A42" s="48" t="s">
        <v>50</v>
      </c>
      <c r="B42" s="54" t="s">
        <v>66</v>
      </c>
      <c r="C42" s="50" t="s">
        <v>47</v>
      </c>
      <c r="D42" s="51" t="s">
        <v>28</v>
      </c>
      <c r="E42" s="50" t="s">
        <v>29</v>
      </c>
      <c r="F42" s="55" t="s">
        <v>67</v>
      </c>
      <c r="G42" s="56">
        <f t="shared" si="0"/>
        <v>9.53263315828957</v>
      </c>
      <c r="H42" s="57">
        <f t="shared" si="1"/>
        <v>114.363</v>
      </c>
      <c r="I42" s="28">
        <v>127.07</v>
      </c>
      <c r="J42" s="57">
        <f t="shared" si="2"/>
        <v>133.4235</v>
      </c>
      <c r="K42" s="57">
        <f t="shared" si="3"/>
        <v>107.50122</v>
      </c>
      <c r="L42" s="57">
        <f t="shared" si="4"/>
        <v>119.4458</v>
      </c>
    </row>
    <row r="43" ht="15" spans="1:12">
      <c r="A43" s="48" t="s">
        <v>50</v>
      </c>
      <c r="B43" s="54" t="s">
        <v>66</v>
      </c>
      <c r="C43" s="50" t="s">
        <v>47</v>
      </c>
      <c r="D43" s="51" t="s">
        <v>28</v>
      </c>
      <c r="E43" s="50" t="s">
        <v>29</v>
      </c>
      <c r="F43" s="55" t="s">
        <v>65</v>
      </c>
      <c r="G43" s="56">
        <f t="shared" si="0"/>
        <v>10.5476369092273</v>
      </c>
      <c r="H43" s="57">
        <f t="shared" si="1"/>
        <v>126.54</v>
      </c>
      <c r="I43" s="28">
        <v>140.6</v>
      </c>
      <c r="J43" s="57">
        <f t="shared" si="2"/>
        <v>147.63</v>
      </c>
      <c r="K43" s="57">
        <f t="shared" si="3"/>
        <v>118.9476</v>
      </c>
      <c r="L43" s="57">
        <f t="shared" si="4"/>
        <v>132.164</v>
      </c>
    </row>
    <row r="44" ht="15" spans="1:12">
      <c r="A44" s="48" t="s">
        <v>50</v>
      </c>
      <c r="B44" s="54" t="s">
        <v>68</v>
      </c>
      <c r="C44" s="50" t="s">
        <v>27</v>
      </c>
      <c r="D44" s="51" t="s">
        <v>28</v>
      </c>
      <c r="E44" s="50" t="s">
        <v>29</v>
      </c>
      <c r="F44" s="55" t="s">
        <v>69</v>
      </c>
      <c r="G44" s="56">
        <f t="shared" si="0"/>
        <v>6.08402100525131</v>
      </c>
      <c r="H44" s="57">
        <f t="shared" si="1"/>
        <v>72.99</v>
      </c>
      <c r="I44" s="28">
        <v>81.1</v>
      </c>
      <c r="J44" s="57">
        <f t="shared" si="2"/>
        <v>85.155</v>
      </c>
      <c r="K44" s="57">
        <f t="shared" si="3"/>
        <v>68.6106</v>
      </c>
      <c r="L44" s="57">
        <f t="shared" si="4"/>
        <v>76.234</v>
      </c>
    </row>
    <row r="45" ht="15" spans="1:12">
      <c r="A45" s="48" t="s">
        <v>50</v>
      </c>
      <c r="B45" s="54" t="s">
        <v>68</v>
      </c>
      <c r="C45" s="50" t="s">
        <v>47</v>
      </c>
      <c r="D45" s="51" t="s">
        <v>28</v>
      </c>
      <c r="E45" s="50" t="s">
        <v>29</v>
      </c>
      <c r="F45" s="55" t="s">
        <v>69</v>
      </c>
      <c r="G45" s="56">
        <f t="shared" si="0"/>
        <v>9.18604651162791</v>
      </c>
      <c r="H45" s="57">
        <f t="shared" si="1"/>
        <v>110.205</v>
      </c>
      <c r="I45" s="28">
        <v>122.45</v>
      </c>
      <c r="J45" s="57">
        <f t="shared" si="2"/>
        <v>128.5725</v>
      </c>
      <c r="K45" s="57">
        <f t="shared" si="3"/>
        <v>103.5927</v>
      </c>
      <c r="L45" s="57">
        <f t="shared" si="4"/>
        <v>115.103</v>
      </c>
    </row>
    <row r="46" ht="15" spans="1:12">
      <c r="A46" s="48" t="s">
        <v>50</v>
      </c>
      <c r="B46" s="54" t="s">
        <v>70</v>
      </c>
      <c r="C46" s="50" t="s">
        <v>27</v>
      </c>
      <c r="D46" s="51" t="s">
        <v>28</v>
      </c>
      <c r="E46" s="50" t="s">
        <v>29</v>
      </c>
      <c r="F46" s="55" t="s">
        <v>69</v>
      </c>
      <c r="G46" s="56">
        <f t="shared" si="0"/>
        <v>6.14478619654914</v>
      </c>
      <c r="H46" s="57">
        <f t="shared" si="1"/>
        <v>73.719</v>
      </c>
      <c r="I46" s="28">
        <v>81.91</v>
      </c>
      <c r="J46" s="57">
        <f t="shared" si="2"/>
        <v>86.0055</v>
      </c>
      <c r="K46" s="57">
        <f t="shared" si="3"/>
        <v>69.29586</v>
      </c>
      <c r="L46" s="57">
        <f t="shared" si="4"/>
        <v>76.9954</v>
      </c>
    </row>
    <row r="47" ht="15" spans="1:12">
      <c r="A47" s="48" t="s">
        <v>50</v>
      </c>
      <c r="B47" s="54" t="s">
        <v>70</v>
      </c>
      <c r="C47" s="50" t="s">
        <v>47</v>
      </c>
      <c r="D47" s="51" t="s">
        <v>28</v>
      </c>
      <c r="E47" s="50" t="s">
        <v>29</v>
      </c>
      <c r="F47" s="55" t="s">
        <v>69</v>
      </c>
      <c r="G47" s="56">
        <f t="shared" si="0"/>
        <v>9.30607651912978</v>
      </c>
      <c r="H47" s="57">
        <f t="shared" si="1"/>
        <v>111.645</v>
      </c>
      <c r="I47" s="28">
        <v>124.05</v>
      </c>
      <c r="J47" s="57">
        <f t="shared" si="2"/>
        <v>130.2525</v>
      </c>
      <c r="K47" s="57">
        <f t="shared" si="3"/>
        <v>104.9463</v>
      </c>
      <c r="L47" s="57">
        <f t="shared" si="4"/>
        <v>116.607</v>
      </c>
    </row>
    <row r="48" ht="15" spans="1:12">
      <c r="A48" s="48" t="s">
        <v>50</v>
      </c>
      <c r="B48" s="54" t="s">
        <v>32</v>
      </c>
      <c r="C48" s="50" t="s">
        <v>27</v>
      </c>
      <c r="D48" s="51" t="s">
        <v>28</v>
      </c>
      <c r="E48" s="50" t="s">
        <v>29</v>
      </c>
      <c r="F48" s="55" t="s">
        <v>34</v>
      </c>
      <c r="G48" s="56">
        <f t="shared" si="0"/>
        <v>7.48237059264816</v>
      </c>
      <c r="H48" s="57">
        <f t="shared" si="1"/>
        <v>89.766</v>
      </c>
      <c r="I48" s="28">
        <v>99.74</v>
      </c>
      <c r="J48" s="57">
        <f t="shared" si="2"/>
        <v>104.727</v>
      </c>
      <c r="K48" s="57">
        <f t="shared" si="3"/>
        <v>84.38004</v>
      </c>
      <c r="L48" s="57">
        <f t="shared" si="4"/>
        <v>93.7556</v>
      </c>
    </row>
    <row r="49" ht="15" spans="1:12">
      <c r="A49" s="48" t="s">
        <v>50</v>
      </c>
      <c r="B49" s="54" t="s">
        <v>32</v>
      </c>
      <c r="C49" s="50" t="s">
        <v>60</v>
      </c>
      <c r="D49" s="51" t="s">
        <v>28</v>
      </c>
      <c r="E49" s="50" t="s">
        <v>29</v>
      </c>
      <c r="F49" s="55" t="s">
        <v>34</v>
      </c>
      <c r="G49" s="56">
        <f t="shared" si="0"/>
        <v>8.88072018004501</v>
      </c>
      <c r="H49" s="57">
        <f t="shared" si="1"/>
        <v>106.542</v>
      </c>
      <c r="I49" s="28">
        <v>118.38</v>
      </c>
      <c r="J49" s="57">
        <f t="shared" si="2"/>
        <v>124.299</v>
      </c>
      <c r="K49" s="57">
        <f t="shared" si="3"/>
        <v>100.14948</v>
      </c>
      <c r="L49" s="57">
        <f t="shared" si="4"/>
        <v>111.2772</v>
      </c>
    </row>
    <row r="50" ht="15" spans="1:12">
      <c r="A50" s="48" t="s">
        <v>50</v>
      </c>
      <c r="B50" s="54" t="s">
        <v>32</v>
      </c>
      <c r="C50" s="50" t="s">
        <v>47</v>
      </c>
      <c r="D50" s="51" t="s">
        <v>28</v>
      </c>
      <c r="E50" s="50" t="s">
        <v>29</v>
      </c>
      <c r="F50" s="55" t="s">
        <v>34</v>
      </c>
      <c r="G50" s="56">
        <f t="shared" si="0"/>
        <v>10.6781695423856</v>
      </c>
      <c r="H50" s="57">
        <f t="shared" si="1"/>
        <v>128.106</v>
      </c>
      <c r="I50" s="28">
        <v>142.34</v>
      </c>
      <c r="J50" s="57">
        <f t="shared" si="2"/>
        <v>149.457</v>
      </c>
      <c r="K50" s="57">
        <f t="shared" si="3"/>
        <v>120.41964</v>
      </c>
      <c r="L50" s="57">
        <f t="shared" si="4"/>
        <v>133.7996</v>
      </c>
    </row>
    <row r="51" ht="15" spans="1:12">
      <c r="A51" s="48" t="s">
        <v>50</v>
      </c>
      <c r="B51" s="54" t="s">
        <v>71</v>
      </c>
      <c r="C51" s="50" t="s">
        <v>27</v>
      </c>
      <c r="D51" s="51" t="s">
        <v>28</v>
      </c>
      <c r="E51" s="50" t="s">
        <v>29</v>
      </c>
      <c r="F51" s="55" t="s">
        <v>72</v>
      </c>
      <c r="G51" s="56">
        <f t="shared" si="0"/>
        <v>7.45011252813203</v>
      </c>
      <c r="H51" s="57">
        <f t="shared" si="1"/>
        <v>89.379</v>
      </c>
      <c r="I51" s="28">
        <v>99.31</v>
      </c>
      <c r="J51" s="57">
        <f t="shared" si="2"/>
        <v>104.2755</v>
      </c>
      <c r="K51" s="57">
        <f t="shared" si="3"/>
        <v>84.01626</v>
      </c>
      <c r="L51" s="57">
        <f t="shared" si="4"/>
        <v>93.3514</v>
      </c>
    </row>
    <row r="52" ht="15" spans="1:12">
      <c r="A52" s="48" t="s">
        <v>50</v>
      </c>
      <c r="B52" s="54" t="s">
        <v>71</v>
      </c>
      <c r="C52" s="50" t="s">
        <v>47</v>
      </c>
      <c r="D52" s="51" t="s">
        <v>28</v>
      </c>
      <c r="E52" s="50" t="s">
        <v>29</v>
      </c>
      <c r="F52" s="55" t="s">
        <v>72</v>
      </c>
      <c r="G52" s="56">
        <f t="shared" si="0"/>
        <v>10.8672168042011</v>
      </c>
      <c r="H52" s="57">
        <f t="shared" si="1"/>
        <v>130.374</v>
      </c>
      <c r="I52" s="28">
        <v>144.86</v>
      </c>
      <c r="J52" s="57">
        <f t="shared" si="2"/>
        <v>152.103</v>
      </c>
      <c r="K52" s="57">
        <f t="shared" si="3"/>
        <v>122.55156</v>
      </c>
      <c r="L52" s="57">
        <f t="shared" si="4"/>
        <v>136.1684</v>
      </c>
    </row>
    <row r="53" ht="15" spans="1:12">
      <c r="A53" s="48" t="s">
        <v>50</v>
      </c>
      <c r="B53" s="54" t="s">
        <v>71</v>
      </c>
      <c r="C53" s="50" t="s">
        <v>61</v>
      </c>
      <c r="D53" s="51" t="s">
        <v>28</v>
      </c>
      <c r="E53" s="50" t="s">
        <v>29</v>
      </c>
      <c r="F53" s="55" t="s">
        <v>72</v>
      </c>
      <c r="G53" s="56">
        <f t="shared" si="0"/>
        <v>19.2865716429107</v>
      </c>
      <c r="H53" s="57">
        <f t="shared" si="1"/>
        <v>231.381</v>
      </c>
      <c r="I53" s="28">
        <v>257.09</v>
      </c>
      <c r="J53" s="57">
        <f t="shared" si="2"/>
        <v>269.9445</v>
      </c>
      <c r="K53" s="57">
        <f t="shared" si="3"/>
        <v>217.49814</v>
      </c>
      <c r="L53" s="57">
        <f t="shared" si="4"/>
        <v>241.6646</v>
      </c>
    </row>
    <row r="54" ht="15" spans="1:12">
      <c r="A54" s="48" t="s">
        <v>50</v>
      </c>
      <c r="B54" s="54" t="s">
        <v>73</v>
      </c>
      <c r="C54" s="50" t="s">
        <v>27</v>
      </c>
      <c r="D54" s="51" t="s">
        <v>28</v>
      </c>
      <c r="E54" s="50" t="s">
        <v>29</v>
      </c>
      <c r="F54" s="55" t="s">
        <v>74</v>
      </c>
      <c r="G54" s="56">
        <f t="shared" si="0"/>
        <v>7.2993248312078</v>
      </c>
      <c r="H54" s="57">
        <f t="shared" si="1"/>
        <v>87.57</v>
      </c>
      <c r="I54" s="28">
        <v>97.3</v>
      </c>
      <c r="J54" s="57">
        <f t="shared" si="2"/>
        <v>102.165</v>
      </c>
      <c r="K54" s="57">
        <f t="shared" si="3"/>
        <v>82.3158</v>
      </c>
      <c r="L54" s="57">
        <f t="shared" si="4"/>
        <v>91.462</v>
      </c>
    </row>
    <row r="55" ht="15" spans="1:12">
      <c r="A55" s="48" t="s">
        <v>50</v>
      </c>
      <c r="B55" s="54" t="s">
        <v>73</v>
      </c>
      <c r="C55" s="50" t="s">
        <v>47</v>
      </c>
      <c r="D55" s="51" t="s">
        <v>28</v>
      </c>
      <c r="E55" s="50" t="s">
        <v>29</v>
      </c>
      <c r="F55" s="55" t="s">
        <v>74</v>
      </c>
      <c r="G55" s="56">
        <f t="shared" si="0"/>
        <v>10.5116279069767</v>
      </c>
      <c r="H55" s="57">
        <f t="shared" si="1"/>
        <v>126.108</v>
      </c>
      <c r="I55" s="28">
        <v>140.12</v>
      </c>
      <c r="J55" s="57">
        <f t="shared" si="2"/>
        <v>147.126</v>
      </c>
      <c r="K55" s="57">
        <f t="shared" si="3"/>
        <v>118.54152</v>
      </c>
      <c r="L55" s="57">
        <f t="shared" si="4"/>
        <v>131.7128</v>
      </c>
    </row>
    <row r="56" ht="15" spans="1:12">
      <c r="A56" s="48" t="s">
        <v>50</v>
      </c>
      <c r="B56" s="54" t="s">
        <v>75</v>
      </c>
      <c r="C56" s="50" t="s">
        <v>27</v>
      </c>
      <c r="D56" s="51" t="s">
        <v>28</v>
      </c>
      <c r="E56" s="50" t="s">
        <v>29</v>
      </c>
      <c r="F56" s="55" t="s">
        <v>74</v>
      </c>
      <c r="G56" s="56">
        <f t="shared" si="0"/>
        <v>6.90322580645161</v>
      </c>
      <c r="H56" s="57">
        <f t="shared" si="1"/>
        <v>82.818</v>
      </c>
      <c r="I56" s="28">
        <v>92.02</v>
      </c>
      <c r="J56" s="57">
        <f t="shared" si="2"/>
        <v>96.621</v>
      </c>
      <c r="K56" s="57">
        <f t="shared" si="3"/>
        <v>77.84892</v>
      </c>
      <c r="L56" s="57">
        <f t="shared" si="4"/>
        <v>86.4988</v>
      </c>
    </row>
    <row r="57" ht="15" spans="1:12">
      <c r="A57" s="48" t="s">
        <v>50</v>
      </c>
      <c r="B57" s="54" t="s">
        <v>75</v>
      </c>
      <c r="C57" s="50" t="s">
        <v>47</v>
      </c>
      <c r="D57" s="51" t="s">
        <v>28</v>
      </c>
      <c r="E57" s="50" t="s">
        <v>29</v>
      </c>
      <c r="F57" s="55" t="s">
        <v>74</v>
      </c>
      <c r="G57" s="56">
        <f t="shared" si="0"/>
        <v>10.2175543885971</v>
      </c>
      <c r="H57" s="57">
        <f t="shared" si="1"/>
        <v>122.58</v>
      </c>
      <c r="I57" s="28">
        <v>136.2</v>
      </c>
      <c r="J57" s="57">
        <f t="shared" si="2"/>
        <v>143.01</v>
      </c>
      <c r="K57" s="57">
        <f t="shared" si="3"/>
        <v>115.2252</v>
      </c>
      <c r="L57" s="57">
        <f t="shared" si="4"/>
        <v>128.028</v>
      </c>
    </row>
    <row r="58" ht="15" spans="1:12">
      <c r="A58" s="48" t="s">
        <v>50</v>
      </c>
      <c r="B58" s="54" t="s">
        <v>76</v>
      </c>
      <c r="C58" s="50" t="s">
        <v>27</v>
      </c>
      <c r="D58" s="51" t="s">
        <v>28</v>
      </c>
      <c r="E58" s="50" t="s">
        <v>29</v>
      </c>
      <c r="F58" s="55" t="s">
        <v>74</v>
      </c>
      <c r="G58" s="56">
        <f t="shared" si="0"/>
        <v>7.33383345836459</v>
      </c>
      <c r="H58" s="57">
        <f t="shared" si="1"/>
        <v>87.984</v>
      </c>
      <c r="I58" s="28">
        <v>97.76</v>
      </c>
      <c r="J58" s="57">
        <f t="shared" si="2"/>
        <v>102.648</v>
      </c>
      <c r="K58" s="57">
        <f t="shared" si="3"/>
        <v>82.70496</v>
      </c>
      <c r="L58" s="57">
        <f t="shared" si="4"/>
        <v>91.8944</v>
      </c>
    </row>
    <row r="59" ht="15" spans="1:12">
      <c r="A59" s="48" t="s">
        <v>50</v>
      </c>
      <c r="B59" s="54" t="s">
        <v>76</v>
      </c>
      <c r="C59" s="50" t="s">
        <v>47</v>
      </c>
      <c r="D59" s="51" t="s">
        <v>28</v>
      </c>
      <c r="E59" s="50" t="s">
        <v>29</v>
      </c>
      <c r="F59" s="55" t="s">
        <v>74</v>
      </c>
      <c r="G59" s="56">
        <f t="shared" si="0"/>
        <v>10.728432108027</v>
      </c>
      <c r="H59" s="57">
        <f t="shared" si="1"/>
        <v>128.709</v>
      </c>
      <c r="I59" s="28">
        <v>143.01</v>
      </c>
      <c r="J59" s="57">
        <f t="shared" si="2"/>
        <v>150.1605</v>
      </c>
      <c r="K59" s="57">
        <f t="shared" si="3"/>
        <v>120.98646</v>
      </c>
      <c r="L59" s="57">
        <f t="shared" si="4"/>
        <v>134.4294</v>
      </c>
    </row>
    <row r="60" ht="15" spans="1:12">
      <c r="A60" s="48" t="s">
        <v>50</v>
      </c>
      <c r="B60" s="54" t="s">
        <v>76</v>
      </c>
      <c r="C60" s="50" t="s">
        <v>77</v>
      </c>
      <c r="D60" s="51" t="s">
        <v>28</v>
      </c>
      <c r="E60" s="50" t="s">
        <v>29</v>
      </c>
      <c r="F60" s="55" t="s">
        <v>74</v>
      </c>
      <c r="G60" s="56">
        <f t="shared" si="0"/>
        <v>14.3405851462866</v>
      </c>
      <c r="H60" s="57">
        <f t="shared" si="1"/>
        <v>172.044</v>
      </c>
      <c r="I60" s="28">
        <v>191.16</v>
      </c>
      <c r="J60" s="57">
        <f t="shared" si="2"/>
        <v>200.718</v>
      </c>
      <c r="K60" s="57">
        <f t="shared" si="3"/>
        <v>161.72136</v>
      </c>
      <c r="L60" s="57">
        <f t="shared" si="4"/>
        <v>179.6904</v>
      </c>
    </row>
    <row r="61" ht="15" spans="1:12">
      <c r="A61" s="48" t="s">
        <v>50</v>
      </c>
      <c r="B61" s="54" t="s">
        <v>78</v>
      </c>
      <c r="C61" s="50" t="s">
        <v>27</v>
      </c>
      <c r="D61" s="51" t="s">
        <v>28</v>
      </c>
      <c r="E61" s="50" t="s">
        <v>29</v>
      </c>
      <c r="F61" s="55" t="s">
        <v>79</v>
      </c>
      <c r="G61" s="56">
        <f t="shared" si="0"/>
        <v>8.08927231807952</v>
      </c>
      <c r="H61" s="57">
        <f t="shared" si="1"/>
        <v>97.047</v>
      </c>
      <c r="I61" s="28">
        <v>107.83</v>
      </c>
      <c r="J61" s="57">
        <f t="shared" si="2"/>
        <v>113.2215</v>
      </c>
      <c r="K61" s="57">
        <f t="shared" si="3"/>
        <v>91.22418</v>
      </c>
      <c r="L61" s="57">
        <f t="shared" si="4"/>
        <v>101.3602</v>
      </c>
    </row>
    <row r="62" ht="15" spans="1:12">
      <c r="A62" s="48" t="s">
        <v>50</v>
      </c>
      <c r="B62" s="54" t="s">
        <v>78</v>
      </c>
      <c r="C62" s="50" t="s">
        <v>47</v>
      </c>
      <c r="D62" s="51" t="s">
        <v>28</v>
      </c>
      <c r="E62" s="50" t="s">
        <v>29</v>
      </c>
      <c r="F62" s="55" t="s">
        <v>79</v>
      </c>
      <c r="G62" s="56">
        <f t="shared" si="0"/>
        <v>11.4283570892723</v>
      </c>
      <c r="H62" s="57">
        <f t="shared" si="1"/>
        <v>137.106</v>
      </c>
      <c r="I62" s="28">
        <v>152.34</v>
      </c>
      <c r="J62" s="57">
        <f t="shared" si="2"/>
        <v>159.957</v>
      </c>
      <c r="K62" s="57">
        <f t="shared" si="3"/>
        <v>128.87964</v>
      </c>
      <c r="L62" s="57">
        <f t="shared" si="4"/>
        <v>143.1996</v>
      </c>
    </row>
    <row r="63" ht="15" spans="1:12">
      <c r="A63" s="48" t="s">
        <v>50</v>
      </c>
      <c r="B63" s="54" t="s">
        <v>80</v>
      </c>
      <c r="C63" s="50" t="s">
        <v>27</v>
      </c>
      <c r="D63" s="51" t="s">
        <v>28</v>
      </c>
      <c r="E63" s="50" t="s">
        <v>29</v>
      </c>
      <c r="F63" s="55" t="s">
        <v>79</v>
      </c>
      <c r="G63" s="56">
        <f t="shared" si="0"/>
        <v>8.11777944486122</v>
      </c>
      <c r="H63" s="57">
        <f t="shared" si="1"/>
        <v>97.389</v>
      </c>
      <c r="I63" s="28">
        <v>108.21</v>
      </c>
      <c r="J63" s="57">
        <f t="shared" si="2"/>
        <v>113.6205</v>
      </c>
      <c r="K63" s="57">
        <f t="shared" si="3"/>
        <v>91.54566</v>
      </c>
      <c r="L63" s="57">
        <f t="shared" si="4"/>
        <v>101.7174</v>
      </c>
    </row>
    <row r="64" ht="15" spans="1:12">
      <c r="A64" s="48" t="s">
        <v>50</v>
      </c>
      <c r="B64" s="54" t="s">
        <v>80</v>
      </c>
      <c r="C64" s="50" t="s">
        <v>47</v>
      </c>
      <c r="D64" s="51" t="s">
        <v>28</v>
      </c>
      <c r="E64" s="50" t="s">
        <v>29</v>
      </c>
      <c r="F64" s="55" t="s">
        <v>79</v>
      </c>
      <c r="G64" s="56">
        <f t="shared" si="0"/>
        <v>11.6084021005251</v>
      </c>
      <c r="H64" s="57">
        <f t="shared" si="1"/>
        <v>139.266</v>
      </c>
      <c r="I64" s="28">
        <v>154.74</v>
      </c>
      <c r="J64" s="57">
        <f t="shared" si="2"/>
        <v>162.477</v>
      </c>
      <c r="K64" s="57">
        <f t="shared" si="3"/>
        <v>130.91004</v>
      </c>
      <c r="L64" s="57">
        <f t="shared" si="4"/>
        <v>145.4556</v>
      </c>
    </row>
    <row r="65" ht="15" spans="1:12">
      <c r="A65" s="48" t="s">
        <v>50</v>
      </c>
      <c r="B65" s="54" t="s">
        <v>81</v>
      </c>
      <c r="C65" s="50" t="s">
        <v>27</v>
      </c>
      <c r="D65" s="51" t="s">
        <v>28</v>
      </c>
      <c r="E65" s="50" t="s">
        <v>29</v>
      </c>
      <c r="F65" s="55" t="s">
        <v>82</v>
      </c>
      <c r="G65" s="56">
        <f t="shared" si="0"/>
        <v>8.06001500375094</v>
      </c>
      <c r="H65" s="57">
        <f t="shared" si="1"/>
        <v>96.696</v>
      </c>
      <c r="I65" s="28">
        <v>107.44</v>
      </c>
      <c r="J65" s="57">
        <f t="shared" si="2"/>
        <v>112.812</v>
      </c>
      <c r="K65" s="57">
        <f t="shared" si="3"/>
        <v>90.89424</v>
      </c>
      <c r="L65" s="57">
        <f t="shared" si="4"/>
        <v>100.9936</v>
      </c>
    </row>
    <row r="66" ht="15" spans="1:12">
      <c r="A66" s="48" t="s">
        <v>50</v>
      </c>
      <c r="B66" s="54" t="s">
        <v>81</v>
      </c>
      <c r="C66" s="50" t="s">
        <v>47</v>
      </c>
      <c r="D66" s="51" t="s">
        <v>28</v>
      </c>
      <c r="E66" s="50" t="s">
        <v>29</v>
      </c>
      <c r="F66" s="55" t="s">
        <v>82</v>
      </c>
      <c r="G66" s="56">
        <f t="shared" si="0"/>
        <v>11.5476369092273</v>
      </c>
      <c r="H66" s="57">
        <f t="shared" si="1"/>
        <v>138.537</v>
      </c>
      <c r="I66" s="28">
        <v>153.93</v>
      </c>
      <c r="J66" s="57">
        <f t="shared" si="2"/>
        <v>161.6265</v>
      </c>
      <c r="K66" s="57">
        <f t="shared" si="3"/>
        <v>130.22478</v>
      </c>
      <c r="L66" s="57">
        <f t="shared" si="4"/>
        <v>144.6942</v>
      </c>
    </row>
    <row r="67" ht="15" spans="1:12">
      <c r="A67" s="48" t="s">
        <v>50</v>
      </c>
      <c r="B67" s="54" t="s">
        <v>83</v>
      </c>
      <c r="C67" s="50" t="s">
        <v>33</v>
      </c>
      <c r="D67" s="51" t="s">
        <v>28</v>
      </c>
      <c r="E67" s="50" t="s">
        <v>29</v>
      </c>
      <c r="F67" s="55" t="s">
        <v>82</v>
      </c>
      <c r="G67" s="56">
        <f t="shared" si="0"/>
        <v>7.7569392348087</v>
      </c>
      <c r="H67" s="57">
        <f t="shared" si="1"/>
        <v>93.06</v>
      </c>
      <c r="I67" s="28">
        <v>103.4</v>
      </c>
      <c r="J67" s="57">
        <f t="shared" si="2"/>
        <v>108.57</v>
      </c>
      <c r="K67" s="57">
        <f t="shared" si="3"/>
        <v>87.4764</v>
      </c>
      <c r="L67" s="57">
        <f t="shared" si="4"/>
        <v>97.196</v>
      </c>
    </row>
    <row r="68" ht="15" spans="1:12">
      <c r="A68" s="48" t="s">
        <v>50</v>
      </c>
      <c r="B68" s="54" t="s">
        <v>83</v>
      </c>
      <c r="C68" s="50" t="s">
        <v>27</v>
      </c>
      <c r="D68" s="51" t="s">
        <v>28</v>
      </c>
      <c r="E68" s="50" t="s">
        <v>29</v>
      </c>
      <c r="F68" s="55" t="s">
        <v>82</v>
      </c>
      <c r="G68" s="56">
        <f t="shared" si="0"/>
        <v>8.4463615903976</v>
      </c>
      <c r="H68" s="57">
        <f t="shared" si="1"/>
        <v>101.331</v>
      </c>
      <c r="I68" s="28">
        <v>112.59</v>
      </c>
      <c r="J68" s="57">
        <f t="shared" si="2"/>
        <v>118.2195</v>
      </c>
      <c r="K68" s="57">
        <f t="shared" si="3"/>
        <v>95.25114</v>
      </c>
      <c r="L68" s="57">
        <f t="shared" si="4"/>
        <v>105.8346</v>
      </c>
    </row>
    <row r="69" ht="15" spans="1:12">
      <c r="A69" s="48" t="s">
        <v>50</v>
      </c>
      <c r="B69" s="54" t="s">
        <v>83</v>
      </c>
      <c r="C69" s="50" t="s">
        <v>47</v>
      </c>
      <c r="D69" s="51" t="s">
        <v>28</v>
      </c>
      <c r="E69" s="50" t="s">
        <v>29</v>
      </c>
      <c r="F69" s="55" t="s">
        <v>82</v>
      </c>
      <c r="G69" s="56">
        <f t="shared" si="0"/>
        <v>11.7404351087772</v>
      </c>
      <c r="H69" s="57">
        <f t="shared" si="1"/>
        <v>140.85</v>
      </c>
      <c r="I69" s="28">
        <v>156.5</v>
      </c>
      <c r="J69" s="57">
        <f t="shared" si="2"/>
        <v>164.325</v>
      </c>
      <c r="K69" s="57">
        <f t="shared" si="3"/>
        <v>132.399</v>
      </c>
      <c r="L69" s="57">
        <f t="shared" si="4"/>
        <v>147.11</v>
      </c>
    </row>
    <row r="70" ht="15" spans="1:12">
      <c r="A70" s="48" t="s">
        <v>50</v>
      </c>
      <c r="B70" s="54" t="s">
        <v>83</v>
      </c>
      <c r="C70" s="50" t="s">
        <v>61</v>
      </c>
      <c r="D70" s="51" t="s">
        <v>28</v>
      </c>
      <c r="E70" s="50" t="s">
        <v>29</v>
      </c>
      <c r="F70" s="55" t="s">
        <v>82</v>
      </c>
      <c r="G70" s="56">
        <f t="shared" si="0"/>
        <v>20.456864216054</v>
      </c>
      <c r="H70" s="57">
        <f t="shared" si="1"/>
        <v>245.421</v>
      </c>
      <c r="I70" s="28">
        <v>272.69</v>
      </c>
      <c r="J70" s="57">
        <f t="shared" si="2"/>
        <v>286.3245</v>
      </c>
      <c r="K70" s="57">
        <f t="shared" si="3"/>
        <v>230.69574</v>
      </c>
      <c r="L70" s="57">
        <f t="shared" si="4"/>
        <v>256.3286</v>
      </c>
    </row>
    <row r="71" ht="15" spans="1:12">
      <c r="A71" s="48" t="s">
        <v>50</v>
      </c>
      <c r="B71" s="54" t="s">
        <v>84</v>
      </c>
      <c r="C71" s="50" t="s">
        <v>33</v>
      </c>
      <c r="D71" s="51" t="s">
        <v>28</v>
      </c>
      <c r="E71" s="50" t="s">
        <v>29</v>
      </c>
      <c r="F71" s="55" t="s">
        <v>37</v>
      </c>
      <c r="G71" s="56">
        <f t="shared" si="0"/>
        <v>7.35258814703676</v>
      </c>
      <c r="H71" s="57">
        <f t="shared" si="1"/>
        <v>88.209</v>
      </c>
      <c r="I71" s="28">
        <v>98.01</v>
      </c>
      <c r="J71" s="57">
        <f t="shared" si="2"/>
        <v>102.9105</v>
      </c>
      <c r="K71" s="57">
        <f t="shared" si="3"/>
        <v>82.91646</v>
      </c>
      <c r="L71" s="57">
        <f t="shared" si="4"/>
        <v>92.1294</v>
      </c>
    </row>
    <row r="72" ht="15" spans="1:12">
      <c r="A72" s="48" t="s">
        <v>50</v>
      </c>
      <c r="B72" s="54" t="s">
        <v>85</v>
      </c>
      <c r="C72" s="50" t="s">
        <v>27</v>
      </c>
      <c r="D72" s="51" t="s">
        <v>28</v>
      </c>
      <c r="E72" s="50" t="s">
        <v>29</v>
      </c>
      <c r="F72" s="55" t="s">
        <v>37</v>
      </c>
      <c r="G72" s="56">
        <f t="shared" si="0"/>
        <v>8.01800450112528</v>
      </c>
      <c r="H72" s="57">
        <f t="shared" si="1"/>
        <v>96.192</v>
      </c>
      <c r="I72" s="28">
        <v>106.88</v>
      </c>
      <c r="J72" s="57">
        <f t="shared" si="2"/>
        <v>112.224</v>
      </c>
      <c r="K72" s="57">
        <f t="shared" si="3"/>
        <v>90.42048</v>
      </c>
      <c r="L72" s="57">
        <f t="shared" si="4"/>
        <v>100.4672</v>
      </c>
    </row>
    <row r="73" ht="15" spans="1:12">
      <c r="A73" s="48" t="s">
        <v>50</v>
      </c>
      <c r="B73" s="54" t="s">
        <v>85</v>
      </c>
      <c r="C73" s="50" t="s">
        <v>47</v>
      </c>
      <c r="D73" s="51" t="s">
        <v>28</v>
      </c>
      <c r="E73" s="50" t="s">
        <v>29</v>
      </c>
      <c r="F73" s="55" t="s">
        <v>37</v>
      </c>
      <c r="G73" s="56">
        <f t="shared" si="0"/>
        <v>11.7329332333083</v>
      </c>
      <c r="H73" s="57">
        <f t="shared" si="1"/>
        <v>140.76</v>
      </c>
      <c r="I73" s="28">
        <v>156.4</v>
      </c>
      <c r="J73" s="57">
        <f t="shared" si="2"/>
        <v>164.22</v>
      </c>
      <c r="K73" s="57">
        <f t="shared" si="3"/>
        <v>132.3144</v>
      </c>
      <c r="L73" s="57">
        <f t="shared" si="4"/>
        <v>147.016</v>
      </c>
    </row>
    <row r="74" ht="15" spans="1:12">
      <c r="A74" s="48" t="s">
        <v>50</v>
      </c>
      <c r="B74" s="54" t="s">
        <v>36</v>
      </c>
      <c r="C74" s="50" t="s">
        <v>27</v>
      </c>
      <c r="D74" s="51" t="s">
        <v>28</v>
      </c>
      <c r="E74" s="50" t="s">
        <v>29</v>
      </c>
      <c r="F74" s="55" t="s">
        <v>37</v>
      </c>
      <c r="G74" s="56">
        <f t="shared" si="0"/>
        <v>8.0562640660165</v>
      </c>
      <c r="H74" s="57">
        <f t="shared" si="1"/>
        <v>96.651</v>
      </c>
      <c r="I74" s="28">
        <v>107.39</v>
      </c>
      <c r="J74" s="57">
        <f t="shared" si="2"/>
        <v>112.7595</v>
      </c>
      <c r="K74" s="57">
        <f t="shared" si="3"/>
        <v>90.85194</v>
      </c>
      <c r="L74" s="57">
        <f t="shared" si="4"/>
        <v>100.9466</v>
      </c>
    </row>
    <row r="75" ht="15" spans="1:12">
      <c r="A75" s="48" t="s">
        <v>50</v>
      </c>
      <c r="B75" s="54" t="s">
        <v>36</v>
      </c>
      <c r="C75" s="50" t="s">
        <v>47</v>
      </c>
      <c r="D75" s="51" t="s">
        <v>28</v>
      </c>
      <c r="E75" s="50" t="s">
        <v>29</v>
      </c>
      <c r="F75" s="55" t="s">
        <v>37</v>
      </c>
      <c r="G75" s="56">
        <f t="shared" ref="G75:G138" si="5">I75/13.33</f>
        <v>11.7329332333083</v>
      </c>
      <c r="H75" s="57">
        <f t="shared" ref="H75:H138" si="6">I75*0.9</f>
        <v>140.76</v>
      </c>
      <c r="I75" s="28">
        <v>156.4</v>
      </c>
      <c r="J75" s="57">
        <f t="shared" ref="J75:J138" si="7">I75*1.05</f>
        <v>164.22</v>
      </c>
      <c r="K75" s="57">
        <f t="shared" ref="K75:K138" si="8">H75*0.94</f>
        <v>132.3144</v>
      </c>
      <c r="L75" s="57">
        <f t="shared" ref="L75:L138" si="9">I75*0.94</f>
        <v>147.016</v>
      </c>
    </row>
    <row r="76" ht="15" spans="1:12">
      <c r="A76" s="48" t="s">
        <v>50</v>
      </c>
      <c r="B76" s="54" t="s">
        <v>36</v>
      </c>
      <c r="C76" s="50" t="s">
        <v>77</v>
      </c>
      <c r="D76" s="51" t="s">
        <v>28</v>
      </c>
      <c r="E76" s="50" t="s">
        <v>29</v>
      </c>
      <c r="F76" s="55" t="s">
        <v>37</v>
      </c>
      <c r="G76" s="56">
        <f t="shared" si="5"/>
        <v>15.861215303826</v>
      </c>
      <c r="H76" s="57">
        <f t="shared" si="6"/>
        <v>190.287</v>
      </c>
      <c r="I76" s="28">
        <v>211.43</v>
      </c>
      <c r="J76" s="57">
        <f t="shared" si="7"/>
        <v>222.0015</v>
      </c>
      <c r="K76" s="57">
        <f t="shared" si="8"/>
        <v>178.86978</v>
      </c>
      <c r="L76" s="57">
        <f t="shared" si="9"/>
        <v>198.7442</v>
      </c>
    </row>
    <row r="77" ht="15" spans="1:12">
      <c r="A77" s="48" t="s">
        <v>50</v>
      </c>
      <c r="B77" s="54" t="s">
        <v>36</v>
      </c>
      <c r="C77" s="50" t="s">
        <v>61</v>
      </c>
      <c r="D77" s="51" t="s">
        <v>28</v>
      </c>
      <c r="E77" s="50" t="s">
        <v>29</v>
      </c>
      <c r="F77" s="55" t="s">
        <v>37</v>
      </c>
      <c r="G77" s="56">
        <f t="shared" si="5"/>
        <v>19.6466616654164</v>
      </c>
      <c r="H77" s="57">
        <f t="shared" si="6"/>
        <v>235.701</v>
      </c>
      <c r="I77" s="28">
        <v>261.89</v>
      </c>
      <c r="J77" s="57">
        <f t="shared" si="7"/>
        <v>274.9845</v>
      </c>
      <c r="K77" s="57">
        <f t="shared" si="8"/>
        <v>221.55894</v>
      </c>
      <c r="L77" s="57">
        <f t="shared" si="9"/>
        <v>246.1766</v>
      </c>
    </row>
    <row r="78" ht="15" spans="1:12">
      <c r="A78" s="48" t="s">
        <v>50</v>
      </c>
      <c r="B78" s="54" t="s">
        <v>86</v>
      </c>
      <c r="C78" s="50" t="s">
        <v>33</v>
      </c>
      <c r="D78" s="51" t="s">
        <v>28</v>
      </c>
      <c r="E78" s="50" t="s">
        <v>29</v>
      </c>
      <c r="F78" s="55" t="s">
        <v>37</v>
      </c>
      <c r="G78" s="56">
        <f t="shared" si="5"/>
        <v>7.80420105026257</v>
      </c>
      <c r="H78" s="57">
        <f t="shared" si="6"/>
        <v>93.627</v>
      </c>
      <c r="I78" s="28">
        <v>104.03</v>
      </c>
      <c r="J78" s="57">
        <f t="shared" si="7"/>
        <v>109.2315</v>
      </c>
      <c r="K78" s="57">
        <f t="shared" si="8"/>
        <v>88.00938</v>
      </c>
      <c r="L78" s="57">
        <f t="shared" si="9"/>
        <v>97.7882</v>
      </c>
    </row>
    <row r="79" ht="15" spans="1:12">
      <c r="A79" s="48" t="s">
        <v>50</v>
      </c>
      <c r="B79" s="54" t="s">
        <v>86</v>
      </c>
      <c r="C79" s="50" t="s">
        <v>27</v>
      </c>
      <c r="D79" s="51" t="s">
        <v>28</v>
      </c>
      <c r="E79" s="50" t="s">
        <v>29</v>
      </c>
      <c r="F79" s="55" t="s">
        <v>37</v>
      </c>
      <c r="G79" s="56">
        <f t="shared" si="5"/>
        <v>8.01425356339085</v>
      </c>
      <c r="H79" s="57">
        <f t="shared" si="6"/>
        <v>96.147</v>
      </c>
      <c r="I79" s="28">
        <v>106.83</v>
      </c>
      <c r="J79" s="57">
        <f t="shared" si="7"/>
        <v>112.1715</v>
      </c>
      <c r="K79" s="57">
        <f t="shared" si="8"/>
        <v>90.37818</v>
      </c>
      <c r="L79" s="57">
        <f t="shared" si="9"/>
        <v>100.4202</v>
      </c>
    </row>
    <row r="80" ht="15" spans="1:12">
      <c r="A80" s="48" t="s">
        <v>50</v>
      </c>
      <c r="B80" s="54" t="s">
        <v>86</v>
      </c>
      <c r="C80" s="50" t="s">
        <v>47</v>
      </c>
      <c r="D80" s="51" t="s">
        <v>28</v>
      </c>
      <c r="E80" s="50" t="s">
        <v>29</v>
      </c>
      <c r="F80" s="55" t="s">
        <v>37</v>
      </c>
      <c r="G80" s="56">
        <f t="shared" si="5"/>
        <v>11.7441860465116</v>
      </c>
      <c r="H80" s="57">
        <f t="shared" si="6"/>
        <v>140.895</v>
      </c>
      <c r="I80" s="28">
        <v>156.55</v>
      </c>
      <c r="J80" s="57">
        <f t="shared" si="7"/>
        <v>164.3775</v>
      </c>
      <c r="K80" s="57">
        <f t="shared" si="8"/>
        <v>132.4413</v>
      </c>
      <c r="L80" s="57">
        <f t="shared" si="9"/>
        <v>147.157</v>
      </c>
    </row>
    <row r="81" ht="15" spans="1:12">
      <c r="A81" s="48" t="s">
        <v>50</v>
      </c>
      <c r="B81" s="54" t="s">
        <v>87</v>
      </c>
      <c r="C81" s="50" t="s">
        <v>47</v>
      </c>
      <c r="D81" s="51" t="s">
        <v>28</v>
      </c>
      <c r="E81" s="50" t="s">
        <v>29</v>
      </c>
      <c r="F81" s="55" t="s">
        <v>88</v>
      </c>
      <c r="G81" s="56">
        <f t="shared" si="5"/>
        <v>12.2213053263316</v>
      </c>
      <c r="H81" s="57">
        <f t="shared" si="6"/>
        <v>146.619</v>
      </c>
      <c r="I81" s="28">
        <v>162.91</v>
      </c>
      <c r="J81" s="57">
        <f t="shared" si="7"/>
        <v>171.0555</v>
      </c>
      <c r="K81" s="57">
        <f t="shared" si="8"/>
        <v>137.82186</v>
      </c>
      <c r="L81" s="57">
        <f t="shared" si="9"/>
        <v>153.1354</v>
      </c>
    </row>
    <row r="82" ht="15" spans="1:12">
      <c r="A82" s="48" t="s">
        <v>50</v>
      </c>
      <c r="B82" s="54" t="s">
        <v>89</v>
      </c>
      <c r="C82" s="50" t="s">
        <v>33</v>
      </c>
      <c r="D82" s="51" t="s">
        <v>28</v>
      </c>
      <c r="E82" s="50" t="s">
        <v>29</v>
      </c>
      <c r="F82" s="55" t="s">
        <v>39</v>
      </c>
      <c r="G82" s="56">
        <f t="shared" si="5"/>
        <v>9.06076519129782</v>
      </c>
      <c r="H82" s="57">
        <f t="shared" si="6"/>
        <v>108.702</v>
      </c>
      <c r="I82" s="28">
        <v>120.78</v>
      </c>
      <c r="J82" s="57">
        <f t="shared" si="7"/>
        <v>126.819</v>
      </c>
      <c r="K82" s="57">
        <f t="shared" si="8"/>
        <v>102.17988</v>
      </c>
      <c r="L82" s="57">
        <f t="shared" si="9"/>
        <v>113.5332</v>
      </c>
    </row>
    <row r="83" ht="15" spans="1:12">
      <c r="A83" s="48" t="s">
        <v>50</v>
      </c>
      <c r="B83" s="54" t="s">
        <v>89</v>
      </c>
      <c r="C83" s="50" t="s">
        <v>27</v>
      </c>
      <c r="D83" s="51" t="s">
        <v>28</v>
      </c>
      <c r="E83" s="50" t="s">
        <v>29</v>
      </c>
      <c r="F83" s="55" t="s">
        <v>39</v>
      </c>
      <c r="G83" s="56">
        <f t="shared" si="5"/>
        <v>9.71867966991748</v>
      </c>
      <c r="H83" s="57">
        <f t="shared" si="6"/>
        <v>116.595</v>
      </c>
      <c r="I83" s="28">
        <v>129.55</v>
      </c>
      <c r="J83" s="57">
        <f t="shared" si="7"/>
        <v>136.0275</v>
      </c>
      <c r="K83" s="57">
        <f t="shared" si="8"/>
        <v>109.5993</v>
      </c>
      <c r="L83" s="57">
        <f t="shared" si="9"/>
        <v>121.777</v>
      </c>
    </row>
    <row r="84" ht="15" spans="1:12">
      <c r="A84" s="48" t="s">
        <v>50</v>
      </c>
      <c r="B84" s="54" t="s">
        <v>89</v>
      </c>
      <c r="C84" s="50" t="s">
        <v>47</v>
      </c>
      <c r="D84" s="51" t="s">
        <v>28</v>
      </c>
      <c r="E84" s="50" t="s">
        <v>29</v>
      </c>
      <c r="F84" s="55" t="s">
        <v>39</v>
      </c>
      <c r="G84" s="56">
        <f t="shared" si="5"/>
        <v>13.2010502625656</v>
      </c>
      <c r="H84" s="57">
        <f t="shared" si="6"/>
        <v>158.373</v>
      </c>
      <c r="I84" s="28">
        <v>175.97</v>
      </c>
      <c r="J84" s="57">
        <f t="shared" si="7"/>
        <v>184.7685</v>
      </c>
      <c r="K84" s="57">
        <f t="shared" si="8"/>
        <v>148.87062</v>
      </c>
      <c r="L84" s="57">
        <f t="shared" si="9"/>
        <v>165.4118</v>
      </c>
    </row>
    <row r="85" ht="15" spans="1:12">
      <c r="A85" s="48" t="s">
        <v>50</v>
      </c>
      <c r="B85" s="54" t="s">
        <v>89</v>
      </c>
      <c r="C85" s="50" t="s">
        <v>27</v>
      </c>
      <c r="D85" s="51" t="s">
        <v>28</v>
      </c>
      <c r="E85" s="50" t="s">
        <v>29</v>
      </c>
      <c r="F85" s="63" t="s">
        <v>88</v>
      </c>
      <c r="G85" s="56">
        <f t="shared" si="5"/>
        <v>9.71867966991748</v>
      </c>
      <c r="H85" s="57">
        <f t="shared" si="6"/>
        <v>116.595</v>
      </c>
      <c r="I85" s="28">
        <v>129.55</v>
      </c>
      <c r="J85" s="57">
        <f t="shared" si="7"/>
        <v>136.0275</v>
      </c>
      <c r="K85" s="57">
        <f t="shared" si="8"/>
        <v>109.5993</v>
      </c>
      <c r="L85" s="57">
        <f t="shared" si="9"/>
        <v>121.777</v>
      </c>
    </row>
    <row r="86" ht="15" spans="1:12">
      <c r="A86" s="48" t="s">
        <v>50</v>
      </c>
      <c r="B86" s="54" t="s">
        <v>89</v>
      </c>
      <c r="C86" s="50" t="s">
        <v>47</v>
      </c>
      <c r="D86" s="51" t="s">
        <v>28</v>
      </c>
      <c r="E86" s="50" t="s">
        <v>29</v>
      </c>
      <c r="F86" s="63" t="s">
        <v>88</v>
      </c>
      <c r="G86" s="56">
        <f t="shared" si="5"/>
        <v>13.2010502625656</v>
      </c>
      <c r="H86" s="57">
        <f t="shared" si="6"/>
        <v>158.373</v>
      </c>
      <c r="I86" s="28">
        <v>175.97</v>
      </c>
      <c r="J86" s="57">
        <f t="shared" si="7"/>
        <v>184.7685</v>
      </c>
      <c r="K86" s="57">
        <f t="shared" si="8"/>
        <v>148.87062</v>
      </c>
      <c r="L86" s="57">
        <f t="shared" si="9"/>
        <v>165.4118</v>
      </c>
    </row>
    <row r="87" ht="15" spans="1:12">
      <c r="A87" s="48" t="s">
        <v>50</v>
      </c>
      <c r="B87" s="54" t="s">
        <v>38</v>
      </c>
      <c r="C87" s="50" t="s">
        <v>33</v>
      </c>
      <c r="D87" s="51" t="s">
        <v>28</v>
      </c>
      <c r="E87" s="50" t="s">
        <v>29</v>
      </c>
      <c r="F87" s="55" t="s">
        <v>39</v>
      </c>
      <c r="G87" s="56">
        <f t="shared" si="5"/>
        <v>8.78019504876219</v>
      </c>
      <c r="H87" s="57">
        <f t="shared" si="6"/>
        <v>105.336</v>
      </c>
      <c r="I87" s="28">
        <v>117.04</v>
      </c>
      <c r="J87" s="57">
        <f t="shared" si="7"/>
        <v>122.892</v>
      </c>
      <c r="K87" s="57">
        <f t="shared" si="8"/>
        <v>99.01584</v>
      </c>
      <c r="L87" s="57">
        <f t="shared" si="9"/>
        <v>110.0176</v>
      </c>
    </row>
    <row r="88" ht="15" spans="1:12">
      <c r="A88" s="48" t="s">
        <v>50</v>
      </c>
      <c r="B88" s="54" t="s">
        <v>38</v>
      </c>
      <c r="C88" s="50" t="s">
        <v>27</v>
      </c>
      <c r="D88" s="51" t="s">
        <v>28</v>
      </c>
      <c r="E88" s="50" t="s">
        <v>29</v>
      </c>
      <c r="F88" s="55" t="s">
        <v>39</v>
      </c>
      <c r="G88" s="56">
        <f t="shared" si="5"/>
        <v>9.71942985746437</v>
      </c>
      <c r="H88" s="57">
        <f t="shared" si="6"/>
        <v>116.604</v>
      </c>
      <c r="I88" s="28">
        <v>129.56</v>
      </c>
      <c r="J88" s="57">
        <f t="shared" si="7"/>
        <v>136.038</v>
      </c>
      <c r="K88" s="57">
        <f t="shared" si="8"/>
        <v>109.60776</v>
      </c>
      <c r="L88" s="57">
        <f t="shared" si="9"/>
        <v>121.7864</v>
      </c>
    </row>
    <row r="89" ht="15" spans="1:12">
      <c r="A89" s="48" t="s">
        <v>50</v>
      </c>
      <c r="B89" s="54" t="s">
        <v>38</v>
      </c>
      <c r="C89" s="50" t="s">
        <v>47</v>
      </c>
      <c r="D89" s="51" t="s">
        <v>28</v>
      </c>
      <c r="E89" s="50" t="s">
        <v>29</v>
      </c>
      <c r="F89" s="55" t="s">
        <v>39</v>
      </c>
      <c r="G89" s="56">
        <f t="shared" si="5"/>
        <v>13.0787696924231</v>
      </c>
      <c r="H89" s="57">
        <f t="shared" si="6"/>
        <v>156.906</v>
      </c>
      <c r="I89" s="28">
        <v>174.34</v>
      </c>
      <c r="J89" s="57">
        <f t="shared" si="7"/>
        <v>183.057</v>
      </c>
      <c r="K89" s="57">
        <f t="shared" si="8"/>
        <v>147.49164</v>
      </c>
      <c r="L89" s="57">
        <f t="shared" si="9"/>
        <v>163.8796</v>
      </c>
    </row>
    <row r="90" ht="15" spans="1:12">
      <c r="A90" s="48" t="s">
        <v>50</v>
      </c>
      <c r="B90" s="54" t="s">
        <v>90</v>
      </c>
      <c r="C90" s="50" t="s">
        <v>27</v>
      </c>
      <c r="D90" s="51" t="s">
        <v>28</v>
      </c>
      <c r="E90" s="50" t="s">
        <v>29</v>
      </c>
      <c r="F90" s="55" t="s">
        <v>42</v>
      </c>
      <c r="G90" s="56">
        <f t="shared" si="5"/>
        <v>9.17629407351838</v>
      </c>
      <c r="H90" s="57">
        <f t="shared" si="6"/>
        <v>110.088</v>
      </c>
      <c r="I90" s="28">
        <v>122.32</v>
      </c>
      <c r="J90" s="57">
        <f t="shared" si="7"/>
        <v>128.436</v>
      </c>
      <c r="K90" s="57">
        <f t="shared" si="8"/>
        <v>103.48272</v>
      </c>
      <c r="L90" s="57">
        <f t="shared" si="9"/>
        <v>114.9808</v>
      </c>
    </row>
    <row r="91" ht="15" spans="1:12">
      <c r="A91" s="48" t="s">
        <v>50</v>
      </c>
      <c r="B91" s="54" t="s">
        <v>90</v>
      </c>
      <c r="C91" s="50" t="s">
        <v>47</v>
      </c>
      <c r="D91" s="51" t="s">
        <v>28</v>
      </c>
      <c r="E91" s="50" t="s">
        <v>29</v>
      </c>
      <c r="F91" s="55" t="s">
        <v>42</v>
      </c>
      <c r="G91" s="56">
        <f t="shared" si="5"/>
        <v>12.6001500375094</v>
      </c>
      <c r="H91" s="57">
        <f t="shared" si="6"/>
        <v>151.164</v>
      </c>
      <c r="I91" s="28">
        <v>167.96</v>
      </c>
      <c r="J91" s="57">
        <f t="shared" si="7"/>
        <v>176.358</v>
      </c>
      <c r="K91" s="57">
        <f t="shared" si="8"/>
        <v>142.09416</v>
      </c>
      <c r="L91" s="57">
        <f t="shared" si="9"/>
        <v>157.8824</v>
      </c>
    </row>
    <row r="92" ht="15" spans="1:12">
      <c r="A92" s="48" t="s">
        <v>50</v>
      </c>
      <c r="B92" s="54" t="s">
        <v>40</v>
      </c>
      <c r="C92" s="50" t="s">
        <v>27</v>
      </c>
      <c r="D92" s="51" t="s">
        <v>28</v>
      </c>
      <c r="E92" s="50" t="s">
        <v>29</v>
      </c>
      <c r="F92" s="55" t="s">
        <v>42</v>
      </c>
      <c r="G92" s="56">
        <f t="shared" si="5"/>
        <v>9.26631657914479</v>
      </c>
      <c r="H92" s="57">
        <f t="shared" si="6"/>
        <v>111.168</v>
      </c>
      <c r="I92" s="28">
        <v>123.52</v>
      </c>
      <c r="J92" s="57">
        <f t="shared" si="7"/>
        <v>129.696</v>
      </c>
      <c r="K92" s="57">
        <f t="shared" si="8"/>
        <v>104.49792</v>
      </c>
      <c r="L92" s="57">
        <f t="shared" si="9"/>
        <v>116.1088</v>
      </c>
    </row>
    <row r="93" ht="15" spans="1:12">
      <c r="A93" s="48" t="s">
        <v>50</v>
      </c>
      <c r="B93" s="54" t="s">
        <v>91</v>
      </c>
      <c r="C93" s="50" t="s">
        <v>27</v>
      </c>
      <c r="D93" s="51" t="s">
        <v>41</v>
      </c>
      <c r="E93" s="50" t="s">
        <v>29</v>
      </c>
      <c r="F93" s="55" t="s">
        <v>42</v>
      </c>
      <c r="G93" s="56">
        <f t="shared" si="5"/>
        <v>9.36084021005251</v>
      </c>
      <c r="H93" s="57">
        <f t="shared" si="6"/>
        <v>112.302</v>
      </c>
      <c r="I93" s="28">
        <v>124.78</v>
      </c>
      <c r="J93" s="57">
        <f t="shared" si="7"/>
        <v>131.019</v>
      </c>
      <c r="K93" s="57">
        <f t="shared" si="8"/>
        <v>105.56388</v>
      </c>
      <c r="L93" s="57">
        <f t="shared" si="9"/>
        <v>117.2932</v>
      </c>
    </row>
    <row r="94" ht="15" spans="1:12">
      <c r="A94" s="48" t="s">
        <v>50</v>
      </c>
      <c r="B94" s="54" t="s">
        <v>91</v>
      </c>
      <c r="C94" s="50" t="s">
        <v>47</v>
      </c>
      <c r="D94" s="51" t="s">
        <v>41</v>
      </c>
      <c r="E94" s="50" t="s">
        <v>29</v>
      </c>
      <c r="F94" s="55" t="s">
        <v>42</v>
      </c>
      <c r="G94" s="56">
        <f t="shared" si="5"/>
        <v>12.9437359339835</v>
      </c>
      <c r="H94" s="57">
        <f t="shared" si="6"/>
        <v>155.286</v>
      </c>
      <c r="I94" s="28">
        <v>172.54</v>
      </c>
      <c r="J94" s="57">
        <f t="shared" si="7"/>
        <v>181.167</v>
      </c>
      <c r="K94" s="57">
        <f t="shared" si="8"/>
        <v>145.96884</v>
      </c>
      <c r="L94" s="57">
        <f t="shared" si="9"/>
        <v>162.1876</v>
      </c>
    </row>
    <row r="95" ht="15" spans="1:12">
      <c r="A95" s="48" t="s">
        <v>50</v>
      </c>
      <c r="B95" s="54" t="s">
        <v>91</v>
      </c>
      <c r="C95" s="50" t="s">
        <v>61</v>
      </c>
      <c r="D95" s="51" t="s">
        <v>41</v>
      </c>
      <c r="E95" s="50" t="s">
        <v>29</v>
      </c>
      <c r="F95" s="55" t="s">
        <v>42</v>
      </c>
      <c r="G95" s="56">
        <f t="shared" si="5"/>
        <v>20.6781695423856</v>
      </c>
      <c r="H95" s="57">
        <f t="shared" si="6"/>
        <v>248.076</v>
      </c>
      <c r="I95" s="28">
        <v>275.64</v>
      </c>
      <c r="J95" s="57">
        <f t="shared" si="7"/>
        <v>289.422</v>
      </c>
      <c r="K95" s="57">
        <f t="shared" si="8"/>
        <v>233.19144</v>
      </c>
      <c r="L95" s="57">
        <f t="shared" si="9"/>
        <v>259.1016</v>
      </c>
    </row>
    <row r="96" ht="15" spans="1:12">
      <c r="A96" s="48" t="s">
        <v>50</v>
      </c>
      <c r="B96" s="54" t="s">
        <v>91</v>
      </c>
      <c r="C96" s="50" t="s">
        <v>61</v>
      </c>
      <c r="D96" s="51" t="s">
        <v>41</v>
      </c>
      <c r="E96" s="50" t="s">
        <v>29</v>
      </c>
      <c r="F96" s="55" t="s">
        <v>39</v>
      </c>
      <c r="G96" s="56">
        <f t="shared" si="5"/>
        <v>22.0285071267817</v>
      </c>
      <c r="H96" s="57">
        <f t="shared" si="6"/>
        <v>264.276</v>
      </c>
      <c r="I96" s="28">
        <v>293.64</v>
      </c>
      <c r="J96" s="57">
        <f t="shared" si="7"/>
        <v>308.322</v>
      </c>
      <c r="K96" s="57">
        <f t="shared" si="8"/>
        <v>248.41944</v>
      </c>
      <c r="L96" s="57">
        <f t="shared" si="9"/>
        <v>276.0216</v>
      </c>
    </row>
    <row r="97" ht="15" spans="1:12">
      <c r="A97" s="48" t="s">
        <v>50</v>
      </c>
      <c r="B97" s="54" t="s">
        <v>92</v>
      </c>
      <c r="C97" s="50" t="s">
        <v>27</v>
      </c>
      <c r="D97" s="51" t="s">
        <v>41</v>
      </c>
      <c r="E97" s="50" t="s">
        <v>29</v>
      </c>
      <c r="F97" s="55" t="s">
        <v>44</v>
      </c>
      <c r="G97" s="56">
        <f t="shared" si="5"/>
        <v>10.0165041260315</v>
      </c>
      <c r="H97" s="57">
        <f t="shared" si="6"/>
        <v>120.168</v>
      </c>
      <c r="I97" s="28">
        <v>133.52</v>
      </c>
      <c r="J97" s="57">
        <f t="shared" si="7"/>
        <v>140.196</v>
      </c>
      <c r="K97" s="57">
        <f t="shared" si="8"/>
        <v>112.95792</v>
      </c>
      <c r="L97" s="57">
        <f t="shared" si="9"/>
        <v>125.5088</v>
      </c>
    </row>
    <row r="98" ht="15" spans="1:12">
      <c r="A98" s="48" t="s">
        <v>50</v>
      </c>
      <c r="B98" s="54" t="s">
        <v>92</v>
      </c>
      <c r="C98" s="50" t="s">
        <v>47</v>
      </c>
      <c r="D98" s="51" t="s">
        <v>41</v>
      </c>
      <c r="E98" s="50" t="s">
        <v>29</v>
      </c>
      <c r="F98" s="55" t="s">
        <v>42</v>
      </c>
      <c r="G98" s="56">
        <f t="shared" si="5"/>
        <v>12.774943735934</v>
      </c>
      <c r="H98" s="57">
        <f t="shared" si="6"/>
        <v>153.261</v>
      </c>
      <c r="I98" s="28">
        <v>170.29</v>
      </c>
      <c r="J98" s="57">
        <f t="shared" si="7"/>
        <v>178.8045</v>
      </c>
      <c r="K98" s="57">
        <f t="shared" si="8"/>
        <v>144.06534</v>
      </c>
      <c r="L98" s="57">
        <f t="shared" si="9"/>
        <v>160.0726</v>
      </c>
    </row>
    <row r="99" ht="15" spans="1:12">
      <c r="A99" s="48" t="s">
        <v>50</v>
      </c>
      <c r="B99" s="54" t="s">
        <v>43</v>
      </c>
      <c r="C99" s="50" t="s">
        <v>33</v>
      </c>
      <c r="D99" s="51" t="s">
        <v>41</v>
      </c>
      <c r="E99" s="50" t="s">
        <v>29</v>
      </c>
      <c r="F99" s="55" t="s">
        <v>44</v>
      </c>
      <c r="G99" s="56">
        <f t="shared" si="5"/>
        <v>9.62040510127532</v>
      </c>
      <c r="H99" s="57">
        <f t="shared" si="6"/>
        <v>115.416</v>
      </c>
      <c r="I99" s="28">
        <v>128.24</v>
      </c>
      <c r="J99" s="57">
        <f t="shared" si="7"/>
        <v>134.652</v>
      </c>
      <c r="K99" s="57">
        <f t="shared" si="8"/>
        <v>108.49104</v>
      </c>
      <c r="L99" s="57">
        <f t="shared" si="9"/>
        <v>120.5456</v>
      </c>
    </row>
    <row r="100" ht="15" spans="1:12">
      <c r="A100" s="48" t="s">
        <v>50</v>
      </c>
      <c r="B100" s="54" t="s">
        <v>43</v>
      </c>
      <c r="C100" s="50" t="s">
        <v>27</v>
      </c>
      <c r="D100" s="51" t="s">
        <v>41</v>
      </c>
      <c r="E100" s="50" t="s">
        <v>29</v>
      </c>
      <c r="F100" s="55" t="s">
        <v>44</v>
      </c>
      <c r="G100" s="56">
        <f t="shared" si="5"/>
        <v>10.4486121530383</v>
      </c>
      <c r="H100" s="57">
        <f t="shared" si="6"/>
        <v>125.352</v>
      </c>
      <c r="I100" s="28">
        <v>139.28</v>
      </c>
      <c r="J100" s="57">
        <f t="shared" si="7"/>
        <v>146.244</v>
      </c>
      <c r="K100" s="57">
        <f t="shared" si="8"/>
        <v>117.83088</v>
      </c>
      <c r="L100" s="57">
        <f t="shared" si="9"/>
        <v>130.9232</v>
      </c>
    </row>
    <row r="101" ht="15" spans="1:12">
      <c r="A101" s="48" t="s">
        <v>50</v>
      </c>
      <c r="B101" s="54" t="s">
        <v>43</v>
      </c>
      <c r="C101" s="50" t="s">
        <v>47</v>
      </c>
      <c r="D101" s="51" t="s">
        <v>41</v>
      </c>
      <c r="E101" s="50" t="s">
        <v>29</v>
      </c>
      <c r="F101" s="55" t="s">
        <v>44</v>
      </c>
      <c r="G101" s="56">
        <f t="shared" si="5"/>
        <v>14.165791447862</v>
      </c>
      <c r="H101" s="57">
        <f t="shared" si="6"/>
        <v>169.947</v>
      </c>
      <c r="I101" s="28">
        <v>188.83</v>
      </c>
      <c r="J101" s="57">
        <f t="shared" si="7"/>
        <v>198.2715</v>
      </c>
      <c r="K101" s="57">
        <f t="shared" si="8"/>
        <v>159.75018</v>
      </c>
      <c r="L101" s="57">
        <f t="shared" si="9"/>
        <v>177.5002</v>
      </c>
    </row>
    <row r="102" ht="15" spans="1:12">
      <c r="A102" s="48" t="s">
        <v>50</v>
      </c>
      <c r="B102" s="60" t="s">
        <v>93</v>
      </c>
      <c r="C102" s="50" t="s">
        <v>47</v>
      </c>
      <c r="D102" s="51" t="s">
        <v>41</v>
      </c>
      <c r="E102" s="50" t="s">
        <v>29</v>
      </c>
      <c r="F102" s="55" t="s">
        <v>46</v>
      </c>
      <c r="G102" s="56">
        <f t="shared" si="5"/>
        <v>14.1942985746437</v>
      </c>
      <c r="H102" s="57">
        <f t="shared" si="6"/>
        <v>170.289</v>
      </c>
      <c r="I102" s="28">
        <v>189.21</v>
      </c>
      <c r="J102" s="57">
        <f t="shared" si="7"/>
        <v>198.6705</v>
      </c>
      <c r="K102" s="57">
        <f t="shared" si="8"/>
        <v>160.07166</v>
      </c>
      <c r="L102" s="57">
        <f t="shared" si="9"/>
        <v>177.8574</v>
      </c>
    </row>
    <row r="103" ht="15" spans="1:12">
      <c r="A103" s="48" t="s">
        <v>50</v>
      </c>
      <c r="B103" s="54" t="s">
        <v>45</v>
      </c>
      <c r="C103" s="50" t="s">
        <v>27</v>
      </c>
      <c r="D103" s="51" t="s">
        <v>41</v>
      </c>
      <c r="E103" s="50" t="s">
        <v>29</v>
      </c>
      <c r="F103" s="55" t="s">
        <v>46</v>
      </c>
      <c r="G103" s="56">
        <f t="shared" si="5"/>
        <v>10.2213053263316</v>
      </c>
      <c r="H103" s="57">
        <f t="shared" si="6"/>
        <v>122.625</v>
      </c>
      <c r="I103" s="28">
        <v>136.25</v>
      </c>
      <c r="J103" s="57">
        <f t="shared" si="7"/>
        <v>143.0625</v>
      </c>
      <c r="K103" s="57">
        <f t="shared" si="8"/>
        <v>115.2675</v>
      </c>
      <c r="L103" s="57">
        <f t="shared" si="9"/>
        <v>128.075</v>
      </c>
    </row>
    <row r="104" ht="15" spans="1:12">
      <c r="A104" s="48" t="s">
        <v>50</v>
      </c>
      <c r="B104" s="54" t="s">
        <v>45</v>
      </c>
      <c r="C104" s="50" t="s">
        <v>47</v>
      </c>
      <c r="D104" s="51" t="s">
        <v>41</v>
      </c>
      <c r="E104" s="50" t="s">
        <v>29</v>
      </c>
      <c r="F104" s="55" t="s">
        <v>46</v>
      </c>
      <c r="G104" s="56">
        <f t="shared" si="5"/>
        <v>13.9174793698425</v>
      </c>
      <c r="H104" s="57">
        <f t="shared" si="6"/>
        <v>166.968</v>
      </c>
      <c r="I104" s="28">
        <v>185.52</v>
      </c>
      <c r="J104" s="57">
        <f t="shared" si="7"/>
        <v>194.796</v>
      </c>
      <c r="K104" s="57">
        <f t="shared" si="8"/>
        <v>156.94992</v>
      </c>
      <c r="L104" s="57">
        <f t="shared" si="9"/>
        <v>174.3888</v>
      </c>
    </row>
    <row r="105" ht="15" spans="1:12">
      <c r="A105" s="48" t="s">
        <v>50</v>
      </c>
      <c r="B105" s="54" t="s">
        <v>45</v>
      </c>
      <c r="C105" s="50" t="s">
        <v>61</v>
      </c>
      <c r="D105" s="51" t="s">
        <v>41</v>
      </c>
      <c r="E105" s="50" t="s">
        <v>29</v>
      </c>
      <c r="F105" s="55" t="s">
        <v>46</v>
      </c>
      <c r="G105" s="56">
        <f t="shared" si="5"/>
        <v>22.2858214553638</v>
      </c>
      <c r="H105" s="57">
        <f t="shared" si="6"/>
        <v>267.363</v>
      </c>
      <c r="I105" s="28">
        <v>297.07</v>
      </c>
      <c r="J105" s="57">
        <f t="shared" si="7"/>
        <v>311.9235</v>
      </c>
      <c r="K105" s="57">
        <f t="shared" si="8"/>
        <v>251.32122</v>
      </c>
      <c r="L105" s="57">
        <f t="shared" si="9"/>
        <v>279.2458</v>
      </c>
    </row>
    <row r="106" ht="15" spans="1:12">
      <c r="A106" s="48" t="s">
        <v>50</v>
      </c>
      <c r="B106" s="54" t="s">
        <v>48</v>
      </c>
      <c r="C106" s="50" t="s">
        <v>33</v>
      </c>
      <c r="D106" s="51" t="s">
        <v>41</v>
      </c>
      <c r="E106" s="50" t="s">
        <v>29</v>
      </c>
      <c r="F106" s="55" t="s">
        <v>49</v>
      </c>
      <c r="G106" s="56">
        <f t="shared" si="5"/>
        <v>10.7179294823706</v>
      </c>
      <c r="H106" s="57">
        <f t="shared" si="6"/>
        <v>128.583</v>
      </c>
      <c r="I106" s="28">
        <v>142.87</v>
      </c>
      <c r="J106" s="57">
        <f t="shared" si="7"/>
        <v>150.0135</v>
      </c>
      <c r="K106" s="57">
        <f t="shared" si="8"/>
        <v>120.86802</v>
      </c>
      <c r="L106" s="57">
        <f t="shared" si="9"/>
        <v>134.2978</v>
      </c>
    </row>
    <row r="107" ht="15" spans="1:12">
      <c r="A107" s="48" t="s">
        <v>50</v>
      </c>
      <c r="B107" s="54" t="s">
        <v>48</v>
      </c>
      <c r="C107" s="50" t="s">
        <v>27</v>
      </c>
      <c r="D107" s="51" t="s">
        <v>41</v>
      </c>
      <c r="E107" s="50" t="s">
        <v>29</v>
      </c>
      <c r="F107" s="55" t="s">
        <v>49</v>
      </c>
      <c r="G107" s="56">
        <f t="shared" si="5"/>
        <v>11.1627906976744</v>
      </c>
      <c r="H107" s="57">
        <f t="shared" si="6"/>
        <v>133.92</v>
      </c>
      <c r="I107" s="28">
        <v>148.8</v>
      </c>
      <c r="J107" s="57">
        <f t="shared" si="7"/>
        <v>156.24</v>
      </c>
      <c r="K107" s="57">
        <f t="shared" si="8"/>
        <v>125.8848</v>
      </c>
      <c r="L107" s="57">
        <f t="shared" si="9"/>
        <v>139.872</v>
      </c>
    </row>
    <row r="108" ht="15" spans="1:12">
      <c r="A108" s="48" t="s">
        <v>50</v>
      </c>
      <c r="B108" s="54" t="s">
        <v>48</v>
      </c>
      <c r="C108" s="50" t="s">
        <v>47</v>
      </c>
      <c r="D108" s="51" t="s">
        <v>41</v>
      </c>
      <c r="E108" s="50" t="s">
        <v>29</v>
      </c>
      <c r="F108" s="55" t="s">
        <v>49</v>
      </c>
      <c r="G108" s="56">
        <f t="shared" si="5"/>
        <v>14.8424606151538</v>
      </c>
      <c r="H108" s="57">
        <f t="shared" si="6"/>
        <v>178.065</v>
      </c>
      <c r="I108" s="28">
        <v>197.85</v>
      </c>
      <c r="J108" s="57">
        <f t="shared" si="7"/>
        <v>207.7425</v>
      </c>
      <c r="K108" s="57">
        <f t="shared" si="8"/>
        <v>167.3811</v>
      </c>
      <c r="L108" s="57">
        <f t="shared" si="9"/>
        <v>185.979</v>
      </c>
    </row>
    <row r="109" ht="15" spans="1:12">
      <c r="A109" s="48" t="s">
        <v>50</v>
      </c>
      <c r="B109" s="54" t="s">
        <v>94</v>
      </c>
      <c r="C109" s="50" t="s">
        <v>27</v>
      </c>
      <c r="D109" s="51" t="s">
        <v>41</v>
      </c>
      <c r="E109" s="50" t="s">
        <v>29</v>
      </c>
      <c r="F109" s="55" t="s">
        <v>49</v>
      </c>
      <c r="G109" s="56">
        <f t="shared" si="5"/>
        <v>11.6271567891973</v>
      </c>
      <c r="H109" s="57">
        <f t="shared" si="6"/>
        <v>139.491</v>
      </c>
      <c r="I109" s="28">
        <v>154.99</v>
      </c>
      <c r="J109" s="57">
        <f t="shared" si="7"/>
        <v>162.7395</v>
      </c>
      <c r="K109" s="57">
        <f t="shared" si="8"/>
        <v>131.12154</v>
      </c>
      <c r="L109" s="57">
        <f t="shared" si="9"/>
        <v>145.6906</v>
      </c>
    </row>
    <row r="110" ht="15" spans="1:12">
      <c r="A110" s="48" t="s">
        <v>50</v>
      </c>
      <c r="B110" s="54" t="s">
        <v>94</v>
      </c>
      <c r="C110" s="50" t="s">
        <v>47</v>
      </c>
      <c r="D110" s="51" t="s">
        <v>41</v>
      </c>
      <c r="E110" s="50" t="s">
        <v>29</v>
      </c>
      <c r="F110" s="55" t="s">
        <v>49</v>
      </c>
      <c r="G110" s="56">
        <f t="shared" si="5"/>
        <v>15.0817704426107</v>
      </c>
      <c r="H110" s="57">
        <f t="shared" si="6"/>
        <v>180.936</v>
      </c>
      <c r="I110" s="28">
        <v>201.04</v>
      </c>
      <c r="J110" s="57">
        <f t="shared" si="7"/>
        <v>211.092</v>
      </c>
      <c r="K110" s="57">
        <f t="shared" si="8"/>
        <v>170.07984</v>
      </c>
      <c r="L110" s="57">
        <f t="shared" si="9"/>
        <v>188.9776</v>
      </c>
    </row>
    <row r="111" ht="15" spans="1:12">
      <c r="A111" s="48" t="s">
        <v>50</v>
      </c>
      <c r="B111" s="54" t="s">
        <v>95</v>
      </c>
      <c r="C111" s="50" t="s">
        <v>27</v>
      </c>
      <c r="D111" s="51" t="s">
        <v>41</v>
      </c>
      <c r="E111" s="50" t="s">
        <v>29</v>
      </c>
      <c r="F111" s="55" t="s">
        <v>96</v>
      </c>
      <c r="G111" s="56">
        <f t="shared" si="5"/>
        <v>11.8462115528882</v>
      </c>
      <c r="H111" s="57">
        <f t="shared" si="6"/>
        <v>142.119</v>
      </c>
      <c r="I111" s="28">
        <v>157.91</v>
      </c>
      <c r="J111" s="57">
        <f t="shared" si="7"/>
        <v>165.8055</v>
      </c>
      <c r="K111" s="57">
        <f t="shared" si="8"/>
        <v>133.59186</v>
      </c>
      <c r="L111" s="57">
        <f t="shared" si="9"/>
        <v>148.4354</v>
      </c>
    </row>
    <row r="112" ht="15" spans="1:12">
      <c r="A112" s="48" t="s">
        <v>50</v>
      </c>
      <c r="B112" s="54" t="s">
        <v>95</v>
      </c>
      <c r="C112" s="50" t="s">
        <v>47</v>
      </c>
      <c r="D112" s="51" t="s">
        <v>41</v>
      </c>
      <c r="E112" s="50" t="s">
        <v>29</v>
      </c>
      <c r="F112" s="55" t="s">
        <v>49</v>
      </c>
      <c r="G112" s="56">
        <f t="shared" si="5"/>
        <v>14.9692423105776</v>
      </c>
      <c r="H112" s="57">
        <f t="shared" si="6"/>
        <v>179.586</v>
      </c>
      <c r="I112" s="28">
        <v>199.54</v>
      </c>
      <c r="J112" s="57">
        <f t="shared" si="7"/>
        <v>209.517</v>
      </c>
      <c r="K112" s="57">
        <f t="shared" si="8"/>
        <v>168.81084</v>
      </c>
      <c r="L112" s="57">
        <f t="shared" si="9"/>
        <v>187.5676</v>
      </c>
    </row>
    <row r="113" ht="15" spans="1:12">
      <c r="A113" s="48" t="s">
        <v>50</v>
      </c>
      <c r="B113" s="54" t="s">
        <v>97</v>
      </c>
      <c r="C113" s="50" t="s">
        <v>33</v>
      </c>
      <c r="D113" s="51" t="s">
        <v>41</v>
      </c>
      <c r="E113" s="50" t="s">
        <v>29</v>
      </c>
      <c r="F113" s="55" t="s">
        <v>96</v>
      </c>
      <c r="G113" s="56">
        <f t="shared" si="5"/>
        <v>11.3300825206302</v>
      </c>
      <c r="H113" s="57">
        <f t="shared" si="6"/>
        <v>135.927</v>
      </c>
      <c r="I113" s="28">
        <v>151.03</v>
      </c>
      <c r="J113" s="57">
        <f t="shared" si="7"/>
        <v>158.5815</v>
      </c>
      <c r="K113" s="57">
        <f t="shared" si="8"/>
        <v>127.77138</v>
      </c>
      <c r="L113" s="57">
        <f t="shared" si="9"/>
        <v>141.9682</v>
      </c>
    </row>
    <row r="114" ht="15" spans="1:12">
      <c r="A114" s="48" t="s">
        <v>50</v>
      </c>
      <c r="B114" s="54" t="s">
        <v>97</v>
      </c>
      <c r="C114" s="50" t="s">
        <v>27</v>
      </c>
      <c r="D114" s="51" t="s">
        <v>41</v>
      </c>
      <c r="E114" s="50" t="s">
        <v>29</v>
      </c>
      <c r="F114" s="55" t="s">
        <v>96</v>
      </c>
      <c r="G114" s="56">
        <f t="shared" si="5"/>
        <v>12.2753188297074</v>
      </c>
      <c r="H114" s="57">
        <f t="shared" si="6"/>
        <v>147.267</v>
      </c>
      <c r="I114" s="28">
        <v>163.63</v>
      </c>
      <c r="J114" s="57">
        <f t="shared" si="7"/>
        <v>171.8115</v>
      </c>
      <c r="K114" s="57">
        <f t="shared" si="8"/>
        <v>138.43098</v>
      </c>
      <c r="L114" s="57">
        <f t="shared" si="9"/>
        <v>153.8122</v>
      </c>
    </row>
    <row r="115" ht="15" spans="1:12">
      <c r="A115" s="48" t="s">
        <v>50</v>
      </c>
      <c r="B115" s="54" t="s">
        <v>97</v>
      </c>
      <c r="C115" s="50" t="s">
        <v>47</v>
      </c>
      <c r="D115" s="51" t="s">
        <v>41</v>
      </c>
      <c r="E115" s="50" t="s">
        <v>29</v>
      </c>
      <c r="F115" s="55" t="s">
        <v>96</v>
      </c>
      <c r="G115" s="56">
        <f t="shared" si="5"/>
        <v>15.569392348087</v>
      </c>
      <c r="H115" s="57">
        <f t="shared" si="6"/>
        <v>186.786</v>
      </c>
      <c r="I115" s="28">
        <v>207.54</v>
      </c>
      <c r="J115" s="57">
        <f t="shared" si="7"/>
        <v>217.917</v>
      </c>
      <c r="K115" s="57">
        <f t="shared" si="8"/>
        <v>175.57884</v>
      </c>
      <c r="L115" s="57">
        <f t="shared" si="9"/>
        <v>195.0876</v>
      </c>
    </row>
    <row r="116" ht="15" spans="1:12">
      <c r="A116" s="48" t="s">
        <v>50</v>
      </c>
      <c r="B116" s="54" t="s">
        <v>98</v>
      </c>
      <c r="C116" s="50" t="s">
        <v>33</v>
      </c>
      <c r="D116" s="58" t="s">
        <v>41</v>
      </c>
      <c r="E116" s="50" t="s">
        <v>29</v>
      </c>
      <c r="F116" s="55" t="s">
        <v>96</v>
      </c>
      <c r="G116" s="56">
        <f t="shared" si="5"/>
        <v>11.5423855963991</v>
      </c>
      <c r="H116" s="57">
        <f t="shared" si="6"/>
        <v>138.474</v>
      </c>
      <c r="I116" s="28">
        <v>153.86</v>
      </c>
      <c r="J116" s="57">
        <f t="shared" si="7"/>
        <v>161.553</v>
      </c>
      <c r="K116" s="57">
        <f t="shared" si="8"/>
        <v>130.16556</v>
      </c>
      <c r="L116" s="57">
        <f t="shared" si="9"/>
        <v>144.6284</v>
      </c>
    </row>
    <row r="117" ht="15" spans="1:12">
      <c r="A117" s="48" t="s">
        <v>50</v>
      </c>
      <c r="B117" s="54" t="s">
        <v>98</v>
      </c>
      <c r="C117" s="50" t="s">
        <v>33</v>
      </c>
      <c r="D117" s="58" t="s">
        <v>28</v>
      </c>
      <c r="E117" s="50" t="s">
        <v>29</v>
      </c>
      <c r="F117" s="55" t="s">
        <v>96</v>
      </c>
      <c r="G117" s="56">
        <f t="shared" si="5"/>
        <v>11.5423855963991</v>
      </c>
      <c r="H117" s="57">
        <f t="shared" si="6"/>
        <v>138.474</v>
      </c>
      <c r="I117" s="28">
        <v>153.86</v>
      </c>
      <c r="J117" s="57">
        <f t="shared" si="7"/>
        <v>161.553</v>
      </c>
      <c r="K117" s="57">
        <f t="shared" si="8"/>
        <v>130.16556</v>
      </c>
      <c r="L117" s="57">
        <f t="shared" si="9"/>
        <v>144.6284</v>
      </c>
    </row>
    <row r="118" ht="15" spans="1:12">
      <c r="A118" s="48" t="s">
        <v>50</v>
      </c>
      <c r="B118" s="54" t="s">
        <v>98</v>
      </c>
      <c r="C118" s="50" t="s">
        <v>27</v>
      </c>
      <c r="D118" s="51" t="s">
        <v>41</v>
      </c>
      <c r="E118" s="50" t="s">
        <v>29</v>
      </c>
      <c r="F118" s="55" t="s">
        <v>96</v>
      </c>
      <c r="G118" s="56">
        <f t="shared" si="5"/>
        <v>12.344336084021</v>
      </c>
      <c r="H118" s="57">
        <f t="shared" si="6"/>
        <v>148.095</v>
      </c>
      <c r="I118" s="28">
        <v>164.55</v>
      </c>
      <c r="J118" s="57">
        <f t="shared" si="7"/>
        <v>172.7775</v>
      </c>
      <c r="K118" s="57">
        <f t="shared" si="8"/>
        <v>139.2093</v>
      </c>
      <c r="L118" s="57">
        <f t="shared" si="9"/>
        <v>154.677</v>
      </c>
    </row>
    <row r="119" ht="15" spans="1:12">
      <c r="A119" s="48" t="s">
        <v>50</v>
      </c>
      <c r="B119" s="54" t="s">
        <v>98</v>
      </c>
      <c r="C119" s="50" t="s">
        <v>47</v>
      </c>
      <c r="D119" s="51" t="s">
        <v>41</v>
      </c>
      <c r="E119" s="50" t="s">
        <v>29</v>
      </c>
      <c r="F119" s="55" t="s">
        <v>96</v>
      </c>
      <c r="G119" s="56">
        <f t="shared" si="5"/>
        <v>16.2738184546137</v>
      </c>
      <c r="H119" s="57">
        <f t="shared" si="6"/>
        <v>195.237</v>
      </c>
      <c r="I119" s="28">
        <v>216.93</v>
      </c>
      <c r="J119" s="57">
        <f t="shared" si="7"/>
        <v>227.7765</v>
      </c>
      <c r="K119" s="57">
        <f t="shared" si="8"/>
        <v>183.52278</v>
      </c>
      <c r="L119" s="57">
        <f t="shared" si="9"/>
        <v>203.9142</v>
      </c>
    </row>
    <row r="120" ht="15" spans="1:12">
      <c r="A120" s="48" t="s">
        <v>50</v>
      </c>
      <c r="B120" s="54" t="s">
        <v>26</v>
      </c>
      <c r="C120" s="50" t="s">
        <v>33</v>
      </c>
      <c r="D120" s="51" t="s">
        <v>41</v>
      </c>
      <c r="E120" s="50" t="s">
        <v>29</v>
      </c>
      <c r="F120" s="55" t="s">
        <v>30</v>
      </c>
      <c r="G120" s="56">
        <f t="shared" si="5"/>
        <v>12.3953488372093</v>
      </c>
      <c r="H120" s="57">
        <f t="shared" si="6"/>
        <v>148.707</v>
      </c>
      <c r="I120" s="28">
        <v>165.23</v>
      </c>
      <c r="J120" s="57">
        <f t="shared" si="7"/>
        <v>173.4915</v>
      </c>
      <c r="K120" s="57">
        <f t="shared" si="8"/>
        <v>139.78458</v>
      </c>
      <c r="L120" s="57">
        <f t="shared" si="9"/>
        <v>155.3162</v>
      </c>
    </row>
    <row r="121" ht="15" spans="1:12">
      <c r="A121" s="48" t="s">
        <v>50</v>
      </c>
      <c r="B121" s="54" t="s">
        <v>26</v>
      </c>
      <c r="C121" s="50" t="s">
        <v>35</v>
      </c>
      <c r="D121" s="51" t="s">
        <v>41</v>
      </c>
      <c r="E121" s="50" t="s">
        <v>29</v>
      </c>
      <c r="F121" s="55" t="s">
        <v>30</v>
      </c>
      <c r="G121" s="56">
        <f t="shared" si="5"/>
        <v>12.4208552138035</v>
      </c>
      <c r="H121" s="57">
        <f t="shared" si="6"/>
        <v>149.013</v>
      </c>
      <c r="I121" s="28">
        <v>165.57</v>
      </c>
      <c r="J121" s="57">
        <f t="shared" si="7"/>
        <v>173.8485</v>
      </c>
      <c r="K121" s="57">
        <f t="shared" si="8"/>
        <v>140.07222</v>
      </c>
      <c r="L121" s="57">
        <f t="shared" si="9"/>
        <v>155.6358</v>
      </c>
    </row>
    <row r="122" ht="15" spans="1:12">
      <c r="A122" s="48" t="s">
        <v>50</v>
      </c>
      <c r="B122" s="54" t="s">
        <v>26</v>
      </c>
      <c r="C122" s="50" t="s">
        <v>27</v>
      </c>
      <c r="D122" s="51" t="s">
        <v>41</v>
      </c>
      <c r="E122" s="50" t="s">
        <v>29</v>
      </c>
      <c r="F122" s="55" t="s">
        <v>30</v>
      </c>
      <c r="G122" s="56">
        <f t="shared" si="5"/>
        <v>13.2790697674419</v>
      </c>
      <c r="H122" s="57">
        <f t="shared" si="6"/>
        <v>159.309</v>
      </c>
      <c r="I122" s="28">
        <v>177.01</v>
      </c>
      <c r="J122" s="57">
        <f t="shared" si="7"/>
        <v>185.8605</v>
      </c>
      <c r="K122" s="57">
        <f t="shared" si="8"/>
        <v>149.75046</v>
      </c>
      <c r="L122" s="57">
        <f t="shared" si="9"/>
        <v>166.3894</v>
      </c>
    </row>
    <row r="123" ht="15" spans="1:12">
      <c r="A123" s="48" t="s">
        <v>50</v>
      </c>
      <c r="B123" s="54" t="s">
        <v>26</v>
      </c>
      <c r="C123" s="50" t="s">
        <v>47</v>
      </c>
      <c r="D123" s="51" t="s">
        <v>41</v>
      </c>
      <c r="E123" s="50" t="s">
        <v>29</v>
      </c>
      <c r="F123" s="55" t="s">
        <v>30</v>
      </c>
      <c r="G123" s="56">
        <f t="shared" si="5"/>
        <v>16.4733683420855</v>
      </c>
      <c r="H123" s="57">
        <f t="shared" si="6"/>
        <v>197.631</v>
      </c>
      <c r="I123" s="28">
        <v>219.59</v>
      </c>
      <c r="J123" s="57">
        <f t="shared" si="7"/>
        <v>230.5695</v>
      </c>
      <c r="K123" s="57">
        <f t="shared" si="8"/>
        <v>185.77314</v>
      </c>
      <c r="L123" s="57">
        <f t="shared" si="9"/>
        <v>206.4146</v>
      </c>
    </row>
    <row r="124" ht="15" spans="1:12">
      <c r="A124" s="48" t="s">
        <v>50</v>
      </c>
      <c r="B124" s="54" t="s">
        <v>26</v>
      </c>
      <c r="C124" s="50" t="s">
        <v>77</v>
      </c>
      <c r="D124" s="51" t="s">
        <v>41</v>
      </c>
      <c r="E124" s="50" t="s">
        <v>29</v>
      </c>
      <c r="F124" s="63" t="s">
        <v>96</v>
      </c>
      <c r="G124" s="56">
        <f t="shared" si="5"/>
        <v>21.8679669917479</v>
      </c>
      <c r="H124" s="57">
        <f t="shared" si="6"/>
        <v>262.35</v>
      </c>
      <c r="I124" s="28">
        <v>291.5</v>
      </c>
      <c r="J124" s="57">
        <f t="shared" si="7"/>
        <v>306.075</v>
      </c>
      <c r="K124" s="57">
        <f t="shared" si="8"/>
        <v>246.609</v>
      </c>
      <c r="L124" s="57">
        <f t="shared" si="9"/>
        <v>274.01</v>
      </c>
    </row>
    <row r="125" ht="15" spans="1:12">
      <c r="A125" s="48" t="s">
        <v>50</v>
      </c>
      <c r="B125" s="54" t="s">
        <v>26</v>
      </c>
      <c r="C125" s="50" t="s">
        <v>77</v>
      </c>
      <c r="D125" s="51" t="s">
        <v>41</v>
      </c>
      <c r="E125" s="50" t="s">
        <v>29</v>
      </c>
      <c r="F125" s="63" t="s">
        <v>30</v>
      </c>
      <c r="G125" s="56">
        <f t="shared" si="5"/>
        <v>22.5438859714929</v>
      </c>
      <c r="H125" s="57">
        <f t="shared" si="6"/>
        <v>270.459</v>
      </c>
      <c r="I125" s="28">
        <v>300.51</v>
      </c>
      <c r="J125" s="57">
        <f t="shared" si="7"/>
        <v>315.5355</v>
      </c>
      <c r="K125" s="57">
        <f t="shared" si="8"/>
        <v>254.23146</v>
      </c>
      <c r="L125" s="57">
        <f t="shared" si="9"/>
        <v>282.4794</v>
      </c>
    </row>
    <row r="126" ht="15" spans="1:12">
      <c r="A126" s="48" t="s">
        <v>50</v>
      </c>
      <c r="B126" s="54" t="s">
        <v>99</v>
      </c>
      <c r="C126" s="50" t="s">
        <v>47</v>
      </c>
      <c r="D126" s="51" t="s">
        <v>41</v>
      </c>
      <c r="E126" s="50" t="s">
        <v>29</v>
      </c>
      <c r="F126" s="55" t="s">
        <v>30</v>
      </c>
      <c r="G126" s="56">
        <f t="shared" si="5"/>
        <v>18.0045011252813</v>
      </c>
      <c r="H126" s="57">
        <f t="shared" si="6"/>
        <v>216</v>
      </c>
      <c r="I126" s="28">
        <v>240</v>
      </c>
      <c r="J126" s="57">
        <f t="shared" si="7"/>
        <v>252</v>
      </c>
      <c r="K126" s="57">
        <f t="shared" si="8"/>
        <v>203.04</v>
      </c>
      <c r="L126" s="57">
        <f t="shared" si="9"/>
        <v>225.6</v>
      </c>
    </row>
    <row r="127" ht="15" spans="1:12">
      <c r="A127" s="48" t="s">
        <v>50</v>
      </c>
      <c r="B127" s="54" t="s">
        <v>100</v>
      </c>
      <c r="C127" s="50" t="s">
        <v>27</v>
      </c>
      <c r="D127" s="51" t="s">
        <v>41</v>
      </c>
      <c r="E127" s="50" t="s">
        <v>29</v>
      </c>
      <c r="F127" s="55" t="s">
        <v>101</v>
      </c>
      <c r="G127" s="56">
        <f t="shared" si="5"/>
        <v>14.4538634658665</v>
      </c>
      <c r="H127" s="57">
        <f t="shared" si="6"/>
        <v>173.403</v>
      </c>
      <c r="I127" s="28">
        <v>192.67</v>
      </c>
      <c r="J127" s="57">
        <f t="shared" si="7"/>
        <v>202.3035</v>
      </c>
      <c r="K127" s="57">
        <f t="shared" si="8"/>
        <v>162.99882</v>
      </c>
      <c r="L127" s="57">
        <f t="shared" si="9"/>
        <v>181.1098</v>
      </c>
    </row>
    <row r="128" ht="15" spans="1:12">
      <c r="A128" s="48" t="s">
        <v>50</v>
      </c>
      <c r="B128" s="54" t="s">
        <v>100</v>
      </c>
      <c r="C128" s="50" t="s">
        <v>47</v>
      </c>
      <c r="D128" s="51" t="s">
        <v>41</v>
      </c>
      <c r="E128" s="50" t="s">
        <v>29</v>
      </c>
      <c r="F128" s="55" t="s">
        <v>101</v>
      </c>
      <c r="G128" s="56">
        <f t="shared" si="5"/>
        <v>18.2048012003001</v>
      </c>
      <c r="H128" s="57">
        <f t="shared" si="6"/>
        <v>218.403</v>
      </c>
      <c r="I128" s="28">
        <v>242.67</v>
      </c>
      <c r="J128" s="57">
        <f t="shared" si="7"/>
        <v>254.8035</v>
      </c>
      <c r="K128" s="57">
        <f t="shared" si="8"/>
        <v>205.29882</v>
      </c>
      <c r="L128" s="57">
        <f t="shared" si="9"/>
        <v>228.1098</v>
      </c>
    </row>
    <row r="129" ht="15" spans="1:12">
      <c r="A129" s="48" t="s">
        <v>50</v>
      </c>
      <c r="B129" s="54" t="s">
        <v>102</v>
      </c>
      <c r="C129" s="50" t="s">
        <v>47</v>
      </c>
      <c r="D129" s="51" t="s">
        <v>41</v>
      </c>
      <c r="E129" s="50" t="s">
        <v>29</v>
      </c>
      <c r="F129" s="55" t="s">
        <v>101</v>
      </c>
      <c r="G129" s="56">
        <f t="shared" si="5"/>
        <v>18.7224306076519</v>
      </c>
      <c r="H129" s="57">
        <f t="shared" si="6"/>
        <v>224.613</v>
      </c>
      <c r="I129" s="28">
        <v>249.57</v>
      </c>
      <c r="J129" s="57">
        <f t="shared" si="7"/>
        <v>262.0485</v>
      </c>
      <c r="K129" s="57">
        <f t="shared" si="8"/>
        <v>211.13622</v>
      </c>
      <c r="L129" s="57">
        <f t="shared" si="9"/>
        <v>234.5958</v>
      </c>
    </row>
    <row r="130" ht="15" spans="1:12">
      <c r="A130" s="48" t="s">
        <v>50</v>
      </c>
      <c r="B130" s="54" t="s">
        <v>103</v>
      </c>
      <c r="C130" s="50" t="s">
        <v>27</v>
      </c>
      <c r="D130" s="51" t="s">
        <v>41</v>
      </c>
      <c r="E130" s="50" t="s">
        <v>29</v>
      </c>
      <c r="F130" s="55" t="s">
        <v>104</v>
      </c>
      <c r="G130" s="56">
        <f t="shared" si="5"/>
        <v>15.6541635408852</v>
      </c>
      <c r="H130" s="57">
        <f t="shared" si="6"/>
        <v>187.803</v>
      </c>
      <c r="I130" s="28">
        <v>208.67</v>
      </c>
      <c r="J130" s="57">
        <f t="shared" si="7"/>
        <v>219.1035</v>
      </c>
      <c r="K130" s="57">
        <f t="shared" si="8"/>
        <v>176.53482</v>
      </c>
      <c r="L130" s="57">
        <f t="shared" si="9"/>
        <v>196.1498</v>
      </c>
    </row>
    <row r="131" ht="15" spans="1:12">
      <c r="A131" s="48" t="s">
        <v>50</v>
      </c>
      <c r="B131" s="54" t="s">
        <v>103</v>
      </c>
      <c r="C131" s="50" t="s">
        <v>47</v>
      </c>
      <c r="D131" s="51" t="s">
        <v>41</v>
      </c>
      <c r="E131" s="50" t="s">
        <v>29</v>
      </c>
      <c r="F131" s="55" t="s">
        <v>104</v>
      </c>
      <c r="G131" s="56">
        <f t="shared" si="5"/>
        <v>19.5536384096024</v>
      </c>
      <c r="H131" s="57">
        <f t="shared" si="6"/>
        <v>234.585</v>
      </c>
      <c r="I131" s="28">
        <v>260.65</v>
      </c>
      <c r="J131" s="57">
        <f t="shared" si="7"/>
        <v>273.6825</v>
      </c>
      <c r="K131" s="57">
        <f t="shared" si="8"/>
        <v>220.5099</v>
      </c>
      <c r="L131" s="57">
        <f t="shared" si="9"/>
        <v>245.011</v>
      </c>
    </row>
    <row r="132" ht="15" spans="1:12">
      <c r="A132" s="48" t="s">
        <v>50</v>
      </c>
      <c r="B132" s="54" t="s">
        <v>105</v>
      </c>
      <c r="C132" s="50" t="s">
        <v>61</v>
      </c>
      <c r="D132" s="51" t="s">
        <v>41</v>
      </c>
      <c r="E132" s="50" t="s">
        <v>29</v>
      </c>
      <c r="F132" s="55" t="s">
        <v>104</v>
      </c>
      <c r="G132" s="56">
        <f t="shared" si="5"/>
        <v>28.2093023255814</v>
      </c>
      <c r="H132" s="57">
        <f t="shared" si="6"/>
        <v>338.427</v>
      </c>
      <c r="I132" s="28">
        <v>376.03</v>
      </c>
      <c r="J132" s="57">
        <f t="shared" si="7"/>
        <v>394.8315</v>
      </c>
      <c r="K132" s="57">
        <f t="shared" si="8"/>
        <v>318.12138</v>
      </c>
      <c r="L132" s="57">
        <f t="shared" si="9"/>
        <v>353.4682</v>
      </c>
    </row>
    <row r="133" ht="15" spans="1:12">
      <c r="A133" s="48" t="s">
        <v>50</v>
      </c>
      <c r="B133" s="54" t="s">
        <v>106</v>
      </c>
      <c r="C133" s="50" t="s">
        <v>27</v>
      </c>
      <c r="D133" s="51" t="s">
        <v>41</v>
      </c>
      <c r="E133" s="50" t="s">
        <v>29</v>
      </c>
      <c r="F133" s="55" t="s">
        <v>107</v>
      </c>
      <c r="G133" s="56">
        <f t="shared" si="5"/>
        <v>16.4876219054764</v>
      </c>
      <c r="H133" s="57">
        <f t="shared" si="6"/>
        <v>197.802</v>
      </c>
      <c r="I133" s="28">
        <v>219.78</v>
      </c>
      <c r="J133" s="57">
        <f t="shared" si="7"/>
        <v>230.769</v>
      </c>
      <c r="K133" s="57">
        <f t="shared" si="8"/>
        <v>185.93388</v>
      </c>
      <c r="L133" s="57">
        <f t="shared" si="9"/>
        <v>206.5932</v>
      </c>
    </row>
    <row r="134" ht="15" spans="1:12">
      <c r="A134" s="48" t="s">
        <v>50</v>
      </c>
      <c r="B134" s="54" t="s">
        <v>108</v>
      </c>
      <c r="C134" s="50" t="s">
        <v>27</v>
      </c>
      <c r="D134" s="51" t="s">
        <v>41</v>
      </c>
      <c r="E134" s="50" t="s">
        <v>29</v>
      </c>
      <c r="F134" s="55" t="s">
        <v>109</v>
      </c>
      <c r="G134" s="56">
        <f t="shared" si="5"/>
        <v>19.3345836459115</v>
      </c>
      <c r="H134" s="57">
        <f t="shared" si="6"/>
        <v>231.957</v>
      </c>
      <c r="I134" s="28">
        <v>257.73</v>
      </c>
      <c r="J134" s="57">
        <f t="shared" si="7"/>
        <v>270.6165</v>
      </c>
      <c r="K134" s="57">
        <f t="shared" si="8"/>
        <v>218.03958</v>
      </c>
      <c r="L134" s="57">
        <f t="shared" si="9"/>
        <v>242.2662</v>
      </c>
    </row>
    <row r="135" ht="15" spans="1:12">
      <c r="A135" s="48" t="s">
        <v>50</v>
      </c>
      <c r="B135" s="54" t="s">
        <v>108</v>
      </c>
      <c r="C135" s="50" t="s">
        <v>47</v>
      </c>
      <c r="D135" s="51" t="s">
        <v>41</v>
      </c>
      <c r="E135" s="50" t="s">
        <v>29</v>
      </c>
      <c r="F135" s="55" t="s">
        <v>109</v>
      </c>
      <c r="G135" s="56">
        <f t="shared" si="5"/>
        <v>21.2213053263316</v>
      </c>
      <c r="H135" s="57">
        <f t="shared" si="6"/>
        <v>254.592</v>
      </c>
      <c r="I135" s="28">
        <v>282.88</v>
      </c>
      <c r="J135" s="57">
        <f t="shared" si="7"/>
        <v>297.024</v>
      </c>
      <c r="K135" s="57">
        <f t="shared" si="8"/>
        <v>239.31648</v>
      </c>
      <c r="L135" s="57">
        <f t="shared" si="9"/>
        <v>265.9072</v>
      </c>
    </row>
    <row r="136" ht="15" spans="1:12">
      <c r="A136" s="48" t="s">
        <v>50</v>
      </c>
      <c r="B136" s="54" t="s">
        <v>110</v>
      </c>
      <c r="C136" s="50" t="s">
        <v>27</v>
      </c>
      <c r="D136" s="51" t="s">
        <v>41</v>
      </c>
      <c r="E136" s="50" t="s">
        <v>29</v>
      </c>
      <c r="F136" s="55" t="s">
        <v>111</v>
      </c>
      <c r="G136" s="56">
        <f t="shared" si="5"/>
        <v>18.0622655663916</v>
      </c>
      <c r="H136" s="57">
        <f t="shared" si="6"/>
        <v>216.693</v>
      </c>
      <c r="I136" s="28">
        <v>240.77</v>
      </c>
      <c r="J136" s="57">
        <f t="shared" si="7"/>
        <v>252.8085</v>
      </c>
      <c r="K136" s="57">
        <f t="shared" si="8"/>
        <v>203.69142</v>
      </c>
      <c r="L136" s="57">
        <f t="shared" si="9"/>
        <v>226.3238</v>
      </c>
    </row>
    <row r="137" ht="15" spans="1:12">
      <c r="A137" s="48" t="s">
        <v>50</v>
      </c>
      <c r="B137" s="54" t="s">
        <v>112</v>
      </c>
      <c r="C137" s="50" t="s">
        <v>27</v>
      </c>
      <c r="D137" s="51" t="s">
        <v>41</v>
      </c>
      <c r="E137" s="50" t="s">
        <v>29</v>
      </c>
      <c r="F137" s="55" t="s">
        <v>111</v>
      </c>
      <c r="G137" s="56">
        <f t="shared" si="5"/>
        <v>18.5491372843211</v>
      </c>
      <c r="H137" s="57">
        <f t="shared" si="6"/>
        <v>222.534</v>
      </c>
      <c r="I137" s="28">
        <v>247.26</v>
      </c>
      <c r="J137" s="57">
        <f t="shared" si="7"/>
        <v>259.623</v>
      </c>
      <c r="K137" s="57">
        <f t="shared" si="8"/>
        <v>209.18196</v>
      </c>
      <c r="L137" s="57">
        <f t="shared" si="9"/>
        <v>232.4244</v>
      </c>
    </row>
    <row r="138" ht="15" spans="1:12">
      <c r="A138" s="48" t="s">
        <v>50</v>
      </c>
      <c r="B138" s="54" t="s">
        <v>113</v>
      </c>
      <c r="C138" s="50" t="s">
        <v>27</v>
      </c>
      <c r="D138" s="51" t="s">
        <v>41</v>
      </c>
      <c r="E138" s="50" t="s">
        <v>29</v>
      </c>
      <c r="F138" s="55" t="s">
        <v>114</v>
      </c>
      <c r="G138" s="56">
        <f t="shared" si="5"/>
        <v>19.8934733683421</v>
      </c>
      <c r="H138" s="57">
        <f t="shared" si="6"/>
        <v>238.662</v>
      </c>
      <c r="I138" s="28">
        <v>265.18</v>
      </c>
      <c r="J138" s="57">
        <f t="shared" si="7"/>
        <v>278.439</v>
      </c>
      <c r="K138" s="57">
        <f t="shared" si="8"/>
        <v>224.34228</v>
      </c>
      <c r="L138" s="57">
        <f t="shared" si="9"/>
        <v>249.2692</v>
      </c>
    </row>
    <row r="139" ht="15" spans="1:12">
      <c r="A139" s="48" t="s">
        <v>50</v>
      </c>
      <c r="B139" s="54" t="s">
        <v>115</v>
      </c>
      <c r="C139" s="50" t="s">
        <v>27</v>
      </c>
      <c r="D139" s="51" t="s">
        <v>41</v>
      </c>
      <c r="E139" s="50" t="s">
        <v>29</v>
      </c>
      <c r="F139" s="55" t="s">
        <v>116</v>
      </c>
      <c r="G139" s="56">
        <f t="shared" ref="G139:G202" si="10">I139/13.33</f>
        <v>23.3195798949737</v>
      </c>
      <c r="H139" s="57">
        <f t="shared" ref="H139:H202" si="11">I139*0.9</f>
        <v>279.765</v>
      </c>
      <c r="I139" s="28">
        <v>310.85</v>
      </c>
      <c r="J139" s="57">
        <f t="shared" ref="J139:J202" si="12">I139*1.05</f>
        <v>326.3925</v>
      </c>
      <c r="K139" s="57">
        <f t="shared" ref="K139:K202" si="13">H139*0.94</f>
        <v>262.9791</v>
      </c>
      <c r="L139" s="57">
        <f t="shared" ref="L139:L202" si="14">I139*0.94</f>
        <v>292.199</v>
      </c>
    </row>
    <row r="140" ht="15" spans="1:12">
      <c r="A140" s="48" t="s">
        <v>50</v>
      </c>
      <c r="B140" s="54" t="s">
        <v>117</v>
      </c>
      <c r="C140" s="50" t="s">
        <v>27</v>
      </c>
      <c r="D140" s="51" t="s">
        <v>41</v>
      </c>
      <c r="E140" s="50" t="s">
        <v>29</v>
      </c>
      <c r="F140" s="55" t="s">
        <v>116</v>
      </c>
      <c r="G140" s="56">
        <f t="shared" si="10"/>
        <v>21.192048012003</v>
      </c>
      <c r="H140" s="57">
        <f t="shared" si="11"/>
        <v>254.241</v>
      </c>
      <c r="I140" s="28">
        <v>282.49</v>
      </c>
      <c r="J140" s="57">
        <f t="shared" si="12"/>
        <v>296.6145</v>
      </c>
      <c r="K140" s="57">
        <f t="shared" si="13"/>
        <v>238.98654</v>
      </c>
      <c r="L140" s="57">
        <f t="shared" si="14"/>
        <v>265.5406</v>
      </c>
    </row>
    <row r="141" ht="15" spans="1:12">
      <c r="A141" s="48" t="s">
        <v>50</v>
      </c>
      <c r="B141" s="54" t="s">
        <v>118</v>
      </c>
      <c r="C141" s="50" t="s">
        <v>27</v>
      </c>
      <c r="D141" s="51" t="s">
        <v>41</v>
      </c>
      <c r="E141" s="50" t="s">
        <v>29</v>
      </c>
      <c r="F141" s="55" t="s">
        <v>119</v>
      </c>
      <c r="G141" s="56">
        <f t="shared" si="10"/>
        <v>24.0480120030007</v>
      </c>
      <c r="H141" s="57">
        <f t="shared" si="11"/>
        <v>288.504</v>
      </c>
      <c r="I141" s="28">
        <v>320.56</v>
      </c>
      <c r="J141" s="57">
        <f t="shared" si="12"/>
        <v>336.588</v>
      </c>
      <c r="K141" s="57">
        <f t="shared" si="13"/>
        <v>271.19376</v>
      </c>
      <c r="L141" s="57">
        <f t="shared" si="14"/>
        <v>301.3264</v>
      </c>
    </row>
    <row r="142" ht="15" spans="1:12">
      <c r="A142" s="48" t="s">
        <v>120</v>
      </c>
      <c r="B142" s="54" t="s">
        <v>121</v>
      </c>
      <c r="C142" s="50" t="s">
        <v>27</v>
      </c>
      <c r="D142" s="51" t="s">
        <v>28</v>
      </c>
      <c r="E142" s="50" t="s">
        <v>29</v>
      </c>
      <c r="F142" s="55" t="s">
        <v>122</v>
      </c>
      <c r="G142" s="56">
        <f t="shared" si="10"/>
        <v>6.10352588147037</v>
      </c>
      <c r="H142" s="57">
        <f t="shared" si="11"/>
        <v>73.224</v>
      </c>
      <c r="I142" s="28">
        <v>81.36</v>
      </c>
      <c r="J142" s="57">
        <f t="shared" si="12"/>
        <v>85.428</v>
      </c>
      <c r="K142" s="57">
        <f t="shared" si="13"/>
        <v>68.83056</v>
      </c>
      <c r="L142" s="57">
        <f t="shared" si="14"/>
        <v>76.4784</v>
      </c>
    </row>
    <row r="143" ht="15" spans="1:12">
      <c r="A143" s="48" t="s">
        <v>120</v>
      </c>
      <c r="B143" s="54" t="s">
        <v>54</v>
      </c>
      <c r="C143" s="50" t="s">
        <v>27</v>
      </c>
      <c r="D143" s="51" t="s">
        <v>28</v>
      </c>
      <c r="E143" s="50" t="s">
        <v>29</v>
      </c>
      <c r="F143" s="55" t="s">
        <v>57</v>
      </c>
      <c r="G143" s="56">
        <f t="shared" si="10"/>
        <v>6.10352588147037</v>
      </c>
      <c r="H143" s="57">
        <f t="shared" si="11"/>
        <v>73.224</v>
      </c>
      <c r="I143" s="28">
        <v>81.36</v>
      </c>
      <c r="J143" s="57">
        <f t="shared" si="12"/>
        <v>85.428</v>
      </c>
      <c r="K143" s="57">
        <f t="shared" si="13"/>
        <v>68.83056</v>
      </c>
      <c r="L143" s="57">
        <f t="shared" si="14"/>
        <v>76.4784</v>
      </c>
    </row>
    <row r="144" ht="15" spans="1:12">
      <c r="A144" s="48" t="s">
        <v>120</v>
      </c>
      <c r="B144" s="54" t="s">
        <v>54</v>
      </c>
      <c r="C144" s="50" t="s">
        <v>47</v>
      </c>
      <c r="D144" s="51" t="s">
        <v>28</v>
      </c>
      <c r="E144" s="50" t="s">
        <v>29</v>
      </c>
      <c r="F144" s="55" t="s">
        <v>57</v>
      </c>
      <c r="G144" s="56">
        <f t="shared" si="10"/>
        <v>9.38859714928732</v>
      </c>
      <c r="H144" s="57">
        <f t="shared" si="11"/>
        <v>112.635</v>
      </c>
      <c r="I144" s="28">
        <v>125.15</v>
      </c>
      <c r="J144" s="57">
        <f t="shared" si="12"/>
        <v>131.4075</v>
      </c>
      <c r="K144" s="57">
        <f t="shared" si="13"/>
        <v>105.8769</v>
      </c>
      <c r="L144" s="57">
        <f t="shared" si="14"/>
        <v>117.641</v>
      </c>
    </row>
    <row r="145" ht="15.6" spans="1:12">
      <c r="A145" s="59" t="s">
        <v>123</v>
      </c>
      <c r="B145" s="60" t="s">
        <v>124</v>
      </c>
      <c r="C145" s="61" t="s">
        <v>27</v>
      </c>
      <c r="D145" s="58" t="s">
        <v>28</v>
      </c>
      <c r="E145" s="61" t="s">
        <v>53</v>
      </c>
      <c r="F145" s="63" t="s">
        <v>125</v>
      </c>
      <c r="G145" s="56">
        <f t="shared" si="10"/>
        <v>6.5536384096024</v>
      </c>
      <c r="H145" s="62">
        <f t="shared" si="11"/>
        <v>78.624</v>
      </c>
      <c r="I145" s="28">
        <v>87.36</v>
      </c>
      <c r="J145" s="62">
        <f t="shared" si="12"/>
        <v>91.728</v>
      </c>
      <c r="K145" s="62">
        <f t="shared" si="13"/>
        <v>73.90656</v>
      </c>
      <c r="L145" s="62">
        <f t="shared" si="14"/>
        <v>82.1184</v>
      </c>
    </row>
    <row r="146" ht="15" spans="1:12">
      <c r="A146" s="48" t="s">
        <v>120</v>
      </c>
      <c r="B146" s="54" t="s">
        <v>58</v>
      </c>
      <c r="C146" s="50" t="s">
        <v>27</v>
      </c>
      <c r="D146" s="51" t="s">
        <v>28</v>
      </c>
      <c r="E146" s="50" t="s">
        <v>29</v>
      </c>
      <c r="F146" s="55" t="s">
        <v>59</v>
      </c>
      <c r="G146" s="56">
        <f t="shared" si="10"/>
        <v>6.0562640660165</v>
      </c>
      <c r="H146" s="57">
        <f t="shared" si="11"/>
        <v>72.657</v>
      </c>
      <c r="I146" s="28">
        <v>80.73</v>
      </c>
      <c r="J146" s="57">
        <f t="shared" si="12"/>
        <v>84.7665</v>
      </c>
      <c r="K146" s="57">
        <f t="shared" si="13"/>
        <v>68.29758</v>
      </c>
      <c r="L146" s="57">
        <f t="shared" si="14"/>
        <v>75.8862</v>
      </c>
    </row>
    <row r="147" ht="15" spans="1:12">
      <c r="A147" s="48" t="s">
        <v>120</v>
      </c>
      <c r="B147" s="54" t="s">
        <v>58</v>
      </c>
      <c r="C147" s="50" t="s">
        <v>60</v>
      </c>
      <c r="D147" s="51" t="s">
        <v>28</v>
      </c>
      <c r="E147" s="50" t="s">
        <v>29</v>
      </c>
      <c r="F147" s="55" t="s">
        <v>59</v>
      </c>
      <c r="G147" s="56">
        <f t="shared" si="10"/>
        <v>7.64066016504126</v>
      </c>
      <c r="H147" s="57">
        <f t="shared" si="11"/>
        <v>91.665</v>
      </c>
      <c r="I147" s="28">
        <v>101.85</v>
      </c>
      <c r="J147" s="57">
        <f t="shared" si="12"/>
        <v>106.9425</v>
      </c>
      <c r="K147" s="57">
        <f t="shared" si="13"/>
        <v>86.1651</v>
      </c>
      <c r="L147" s="57">
        <f t="shared" si="14"/>
        <v>95.739</v>
      </c>
    </row>
    <row r="148" ht="15" spans="1:12">
      <c r="A148" s="48" t="s">
        <v>120</v>
      </c>
      <c r="B148" s="54" t="s">
        <v>58</v>
      </c>
      <c r="C148" s="50" t="s">
        <v>47</v>
      </c>
      <c r="D148" s="51" t="s">
        <v>28</v>
      </c>
      <c r="E148" s="50" t="s">
        <v>29</v>
      </c>
      <c r="F148" s="55" t="s">
        <v>59</v>
      </c>
      <c r="G148" s="56">
        <f t="shared" si="10"/>
        <v>9.38259564891223</v>
      </c>
      <c r="H148" s="57">
        <f t="shared" si="11"/>
        <v>112.563</v>
      </c>
      <c r="I148" s="28">
        <v>125.07</v>
      </c>
      <c r="J148" s="57">
        <f t="shared" si="12"/>
        <v>131.3235</v>
      </c>
      <c r="K148" s="57">
        <f t="shared" si="13"/>
        <v>105.80922</v>
      </c>
      <c r="L148" s="57">
        <f t="shared" si="14"/>
        <v>117.5658</v>
      </c>
    </row>
    <row r="149" ht="15.6" spans="1:12">
      <c r="A149" s="59" t="s">
        <v>123</v>
      </c>
      <c r="B149" s="60" t="s">
        <v>58</v>
      </c>
      <c r="C149" s="61" t="s">
        <v>47</v>
      </c>
      <c r="D149" s="58" t="s">
        <v>28</v>
      </c>
      <c r="E149" s="61" t="s">
        <v>53</v>
      </c>
      <c r="F149" s="63" t="s">
        <v>59</v>
      </c>
      <c r="G149" s="56">
        <f t="shared" si="10"/>
        <v>10.470367591898</v>
      </c>
      <c r="H149" s="62">
        <f t="shared" si="11"/>
        <v>125.613</v>
      </c>
      <c r="I149" s="28">
        <v>139.57</v>
      </c>
      <c r="J149" s="62">
        <f t="shared" si="12"/>
        <v>146.5485</v>
      </c>
      <c r="K149" s="62">
        <f t="shared" si="13"/>
        <v>118.07622</v>
      </c>
      <c r="L149" s="62">
        <f t="shared" si="14"/>
        <v>131.1958</v>
      </c>
    </row>
    <row r="150" ht="15" spans="1:12">
      <c r="A150" s="48" t="s">
        <v>120</v>
      </c>
      <c r="B150" s="60" t="s">
        <v>58</v>
      </c>
      <c r="C150" s="50" t="s">
        <v>61</v>
      </c>
      <c r="D150" s="51" t="s">
        <v>28</v>
      </c>
      <c r="E150" s="50" t="s">
        <v>29</v>
      </c>
      <c r="F150" s="55" t="s">
        <v>59</v>
      </c>
      <c r="G150" s="56">
        <f t="shared" si="10"/>
        <v>18.0112528132033</v>
      </c>
      <c r="H150" s="57">
        <f t="shared" si="11"/>
        <v>216.081</v>
      </c>
      <c r="I150" s="28">
        <v>240.09</v>
      </c>
      <c r="J150" s="57">
        <f t="shared" si="12"/>
        <v>252.0945</v>
      </c>
      <c r="K150" s="57">
        <f t="shared" si="13"/>
        <v>203.11614</v>
      </c>
      <c r="L150" s="57">
        <f t="shared" si="14"/>
        <v>225.6846</v>
      </c>
    </row>
    <row r="151" ht="15" spans="1:12">
      <c r="A151" s="48" t="s">
        <v>120</v>
      </c>
      <c r="B151" s="54" t="s">
        <v>64</v>
      </c>
      <c r="C151" s="50" t="s">
        <v>27</v>
      </c>
      <c r="D151" s="51" t="s">
        <v>28</v>
      </c>
      <c r="E151" s="50" t="s">
        <v>29</v>
      </c>
      <c r="F151" s="55" t="s">
        <v>59</v>
      </c>
      <c r="G151" s="56">
        <f t="shared" si="10"/>
        <v>6.1470367591898</v>
      </c>
      <c r="H151" s="57">
        <f t="shared" si="11"/>
        <v>73.746</v>
      </c>
      <c r="I151" s="28">
        <v>81.94</v>
      </c>
      <c r="J151" s="57">
        <f t="shared" si="12"/>
        <v>86.037</v>
      </c>
      <c r="K151" s="57">
        <f t="shared" si="13"/>
        <v>69.32124</v>
      </c>
      <c r="L151" s="57">
        <f t="shared" si="14"/>
        <v>77.0236</v>
      </c>
    </row>
    <row r="152" ht="15" spans="1:12">
      <c r="A152" s="48" t="s">
        <v>120</v>
      </c>
      <c r="B152" s="54" t="s">
        <v>64</v>
      </c>
      <c r="C152" s="50" t="s">
        <v>47</v>
      </c>
      <c r="D152" s="51" t="s">
        <v>28</v>
      </c>
      <c r="E152" s="50" t="s">
        <v>29</v>
      </c>
      <c r="F152" s="55" t="s">
        <v>59</v>
      </c>
      <c r="G152" s="56">
        <f t="shared" si="10"/>
        <v>9.4066016504126</v>
      </c>
      <c r="H152" s="57">
        <f t="shared" si="11"/>
        <v>112.851</v>
      </c>
      <c r="I152" s="28">
        <v>125.39</v>
      </c>
      <c r="J152" s="57">
        <f t="shared" si="12"/>
        <v>131.6595</v>
      </c>
      <c r="K152" s="57">
        <f t="shared" si="13"/>
        <v>106.07994</v>
      </c>
      <c r="L152" s="57">
        <f t="shared" si="14"/>
        <v>117.8666</v>
      </c>
    </row>
    <row r="153" ht="15" spans="1:12">
      <c r="A153" s="48" t="s">
        <v>120</v>
      </c>
      <c r="B153" s="54" t="s">
        <v>64</v>
      </c>
      <c r="C153" s="50" t="s">
        <v>61</v>
      </c>
      <c r="D153" s="51" t="s">
        <v>28</v>
      </c>
      <c r="E153" s="50" t="s">
        <v>29</v>
      </c>
      <c r="F153" s="55" t="s">
        <v>59</v>
      </c>
      <c r="G153" s="56">
        <f t="shared" si="10"/>
        <v>18.0112528132033</v>
      </c>
      <c r="H153" s="57">
        <f t="shared" si="11"/>
        <v>216.081</v>
      </c>
      <c r="I153" s="28">
        <v>240.09</v>
      </c>
      <c r="J153" s="57">
        <f t="shared" si="12"/>
        <v>252.0945</v>
      </c>
      <c r="K153" s="57">
        <f t="shared" si="13"/>
        <v>203.11614</v>
      </c>
      <c r="L153" s="57">
        <f t="shared" si="14"/>
        <v>225.6846</v>
      </c>
    </row>
    <row r="154" ht="15" spans="1:12">
      <c r="A154" s="48" t="s">
        <v>120</v>
      </c>
      <c r="B154" s="54" t="s">
        <v>66</v>
      </c>
      <c r="C154" s="50" t="s">
        <v>27</v>
      </c>
      <c r="D154" s="51" t="s">
        <v>28</v>
      </c>
      <c r="E154" s="50" t="s">
        <v>29</v>
      </c>
      <c r="F154" s="55" t="s">
        <v>67</v>
      </c>
      <c r="G154" s="56">
        <f t="shared" si="10"/>
        <v>6.36834208552138</v>
      </c>
      <c r="H154" s="57">
        <f t="shared" si="11"/>
        <v>76.401</v>
      </c>
      <c r="I154" s="28">
        <v>84.89</v>
      </c>
      <c r="J154" s="57">
        <f t="shared" si="12"/>
        <v>89.1345</v>
      </c>
      <c r="K154" s="57">
        <f t="shared" si="13"/>
        <v>71.81694</v>
      </c>
      <c r="L154" s="57">
        <f t="shared" si="14"/>
        <v>79.7966</v>
      </c>
    </row>
    <row r="155" ht="15" spans="1:12">
      <c r="A155" s="48" t="s">
        <v>120</v>
      </c>
      <c r="B155" s="54" t="s">
        <v>66</v>
      </c>
      <c r="C155" s="50" t="s">
        <v>47</v>
      </c>
      <c r="D155" s="51" t="s">
        <v>28</v>
      </c>
      <c r="E155" s="50" t="s">
        <v>29</v>
      </c>
      <c r="F155" s="55" t="s">
        <v>67</v>
      </c>
      <c r="G155" s="56">
        <f t="shared" si="10"/>
        <v>9.54088522130533</v>
      </c>
      <c r="H155" s="57">
        <f t="shared" si="11"/>
        <v>114.462</v>
      </c>
      <c r="I155" s="28">
        <v>127.18</v>
      </c>
      <c r="J155" s="57">
        <f t="shared" si="12"/>
        <v>133.539</v>
      </c>
      <c r="K155" s="57">
        <f t="shared" si="13"/>
        <v>107.59428</v>
      </c>
      <c r="L155" s="57">
        <f t="shared" si="14"/>
        <v>119.5492</v>
      </c>
    </row>
    <row r="156" ht="15" spans="1:12">
      <c r="A156" s="48" t="s">
        <v>120</v>
      </c>
      <c r="B156" s="54" t="s">
        <v>66</v>
      </c>
      <c r="C156" s="50" t="s">
        <v>47</v>
      </c>
      <c r="D156" s="51" t="s">
        <v>28</v>
      </c>
      <c r="E156" s="50" t="s">
        <v>29</v>
      </c>
      <c r="F156" s="55" t="s">
        <v>65</v>
      </c>
      <c r="G156" s="56">
        <f t="shared" si="10"/>
        <v>10.8897224306077</v>
      </c>
      <c r="H156" s="57">
        <f t="shared" si="11"/>
        <v>130.644</v>
      </c>
      <c r="I156" s="28">
        <v>145.16</v>
      </c>
      <c r="J156" s="57">
        <f t="shared" si="12"/>
        <v>152.418</v>
      </c>
      <c r="K156" s="57">
        <f t="shared" si="13"/>
        <v>122.80536</v>
      </c>
      <c r="L156" s="57">
        <f t="shared" si="14"/>
        <v>136.4504</v>
      </c>
    </row>
    <row r="157" ht="15" spans="1:12">
      <c r="A157" s="48" t="s">
        <v>120</v>
      </c>
      <c r="B157" s="54" t="s">
        <v>66</v>
      </c>
      <c r="C157" s="50" t="s">
        <v>61</v>
      </c>
      <c r="D157" s="51" t="s">
        <v>28</v>
      </c>
      <c r="E157" s="50" t="s">
        <v>29</v>
      </c>
      <c r="F157" s="55" t="s">
        <v>67</v>
      </c>
      <c r="G157" s="56">
        <f t="shared" si="10"/>
        <v>17.8717179294824</v>
      </c>
      <c r="H157" s="57">
        <f t="shared" si="11"/>
        <v>214.407</v>
      </c>
      <c r="I157" s="28">
        <v>238.23</v>
      </c>
      <c r="J157" s="57">
        <f t="shared" si="12"/>
        <v>250.1415</v>
      </c>
      <c r="K157" s="57">
        <f t="shared" si="13"/>
        <v>201.54258</v>
      </c>
      <c r="L157" s="57">
        <f t="shared" si="14"/>
        <v>223.9362</v>
      </c>
    </row>
    <row r="158" ht="15" spans="1:12">
      <c r="A158" s="48" t="s">
        <v>120</v>
      </c>
      <c r="B158" s="54" t="s">
        <v>126</v>
      </c>
      <c r="C158" s="50" t="s">
        <v>27</v>
      </c>
      <c r="D158" s="51" t="s">
        <v>28</v>
      </c>
      <c r="E158" s="50" t="s">
        <v>29</v>
      </c>
      <c r="F158" s="55" t="s">
        <v>67</v>
      </c>
      <c r="G158" s="56">
        <f t="shared" si="10"/>
        <v>6.3105776444111</v>
      </c>
      <c r="H158" s="57">
        <f t="shared" si="11"/>
        <v>75.708</v>
      </c>
      <c r="I158" s="28">
        <v>84.12</v>
      </c>
      <c r="J158" s="57">
        <f t="shared" si="12"/>
        <v>88.326</v>
      </c>
      <c r="K158" s="57">
        <f t="shared" si="13"/>
        <v>71.16552</v>
      </c>
      <c r="L158" s="57">
        <f t="shared" si="14"/>
        <v>79.0728</v>
      </c>
    </row>
    <row r="159" ht="15" spans="1:12">
      <c r="A159" s="48" t="s">
        <v>120</v>
      </c>
      <c r="B159" s="54" t="s">
        <v>126</v>
      </c>
      <c r="C159" s="50" t="s">
        <v>47</v>
      </c>
      <c r="D159" s="51" t="s">
        <v>28</v>
      </c>
      <c r="E159" s="50" t="s">
        <v>29</v>
      </c>
      <c r="F159" s="55" t="s">
        <v>67</v>
      </c>
      <c r="G159" s="56">
        <f t="shared" si="10"/>
        <v>9.55288822205551</v>
      </c>
      <c r="H159" s="57">
        <f t="shared" si="11"/>
        <v>114.606</v>
      </c>
      <c r="I159" s="28">
        <v>127.34</v>
      </c>
      <c r="J159" s="57">
        <f t="shared" si="12"/>
        <v>133.707</v>
      </c>
      <c r="K159" s="57">
        <f t="shared" si="13"/>
        <v>107.72964</v>
      </c>
      <c r="L159" s="57">
        <f t="shared" si="14"/>
        <v>119.6996</v>
      </c>
    </row>
    <row r="160" ht="15" spans="1:12">
      <c r="A160" s="48" t="s">
        <v>120</v>
      </c>
      <c r="B160" s="54" t="s">
        <v>70</v>
      </c>
      <c r="C160" s="50" t="s">
        <v>27</v>
      </c>
      <c r="D160" s="51" t="s">
        <v>28</v>
      </c>
      <c r="E160" s="50" t="s">
        <v>29</v>
      </c>
      <c r="F160" s="55" t="s">
        <v>69</v>
      </c>
      <c r="G160" s="56">
        <f t="shared" si="10"/>
        <v>6.37734433608402</v>
      </c>
      <c r="H160" s="57">
        <f t="shared" si="11"/>
        <v>76.509</v>
      </c>
      <c r="I160" s="28">
        <v>85.01</v>
      </c>
      <c r="J160" s="57">
        <f t="shared" si="12"/>
        <v>89.2605</v>
      </c>
      <c r="K160" s="57">
        <f t="shared" si="13"/>
        <v>71.91846</v>
      </c>
      <c r="L160" s="57">
        <f t="shared" si="14"/>
        <v>79.9094</v>
      </c>
    </row>
    <row r="161" ht="15" spans="1:12">
      <c r="A161" s="48" t="s">
        <v>120</v>
      </c>
      <c r="B161" s="54" t="s">
        <v>70</v>
      </c>
      <c r="C161" s="50" t="s">
        <v>47</v>
      </c>
      <c r="D161" s="51" t="s">
        <v>28</v>
      </c>
      <c r="E161" s="50" t="s">
        <v>29</v>
      </c>
      <c r="F161" s="55" t="s">
        <v>69</v>
      </c>
      <c r="G161" s="56">
        <f t="shared" si="10"/>
        <v>9.65716429107277</v>
      </c>
      <c r="H161" s="57">
        <f t="shared" si="11"/>
        <v>115.857</v>
      </c>
      <c r="I161" s="28">
        <v>128.73</v>
      </c>
      <c r="J161" s="57">
        <f t="shared" si="12"/>
        <v>135.1665</v>
      </c>
      <c r="K161" s="57">
        <f t="shared" si="13"/>
        <v>108.90558</v>
      </c>
      <c r="L161" s="57">
        <f t="shared" si="14"/>
        <v>121.0062</v>
      </c>
    </row>
    <row r="162" ht="15" spans="1:12">
      <c r="A162" s="48" t="s">
        <v>120</v>
      </c>
      <c r="B162" s="54" t="s">
        <v>70</v>
      </c>
      <c r="C162" s="50" t="s">
        <v>61</v>
      </c>
      <c r="D162" s="51" t="s">
        <v>28</v>
      </c>
      <c r="E162" s="50" t="s">
        <v>29</v>
      </c>
      <c r="F162" s="55" t="s">
        <v>69</v>
      </c>
      <c r="G162" s="56">
        <f t="shared" si="10"/>
        <v>17.8747186796699</v>
      </c>
      <c r="H162" s="57">
        <f t="shared" si="11"/>
        <v>214.443</v>
      </c>
      <c r="I162" s="28">
        <v>238.27</v>
      </c>
      <c r="J162" s="57">
        <f t="shared" si="12"/>
        <v>250.1835</v>
      </c>
      <c r="K162" s="57">
        <f t="shared" si="13"/>
        <v>201.57642</v>
      </c>
      <c r="L162" s="57">
        <f t="shared" si="14"/>
        <v>223.9738</v>
      </c>
    </row>
    <row r="163" ht="15" spans="1:12">
      <c r="A163" s="48" t="s">
        <v>120</v>
      </c>
      <c r="B163" s="54" t="s">
        <v>32</v>
      </c>
      <c r="C163" s="50" t="s">
        <v>27</v>
      </c>
      <c r="D163" s="51" t="s">
        <v>28</v>
      </c>
      <c r="E163" s="50" t="s">
        <v>29</v>
      </c>
      <c r="F163" s="55" t="s">
        <v>34</v>
      </c>
      <c r="G163" s="56">
        <f t="shared" si="10"/>
        <v>7.48912228057014</v>
      </c>
      <c r="H163" s="57">
        <f t="shared" si="11"/>
        <v>89.847</v>
      </c>
      <c r="I163" s="28">
        <v>99.83</v>
      </c>
      <c r="J163" s="57">
        <f t="shared" si="12"/>
        <v>104.8215</v>
      </c>
      <c r="K163" s="57">
        <f t="shared" si="13"/>
        <v>84.45618</v>
      </c>
      <c r="L163" s="57">
        <f t="shared" si="14"/>
        <v>93.8402</v>
      </c>
    </row>
    <row r="164" ht="15" spans="1:12">
      <c r="A164" s="48" t="s">
        <v>120</v>
      </c>
      <c r="B164" s="54" t="s">
        <v>32</v>
      </c>
      <c r="C164" s="50" t="s">
        <v>47</v>
      </c>
      <c r="D164" s="51" t="s">
        <v>28</v>
      </c>
      <c r="E164" s="50" t="s">
        <v>29</v>
      </c>
      <c r="F164" s="55" t="s">
        <v>34</v>
      </c>
      <c r="G164" s="56">
        <f t="shared" si="10"/>
        <v>10.8177044261065</v>
      </c>
      <c r="H164" s="57">
        <f t="shared" si="11"/>
        <v>129.78</v>
      </c>
      <c r="I164" s="28">
        <v>144.2</v>
      </c>
      <c r="J164" s="57">
        <f t="shared" si="12"/>
        <v>151.41</v>
      </c>
      <c r="K164" s="57">
        <f t="shared" si="13"/>
        <v>121.9932</v>
      </c>
      <c r="L164" s="57">
        <f t="shared" si="14"/>
        <v>135.548</v>
      </c>
    </row>
    <row r="165" ht="15" spans="1:12">
      <c r="A165" s="59" t="s">
        <v>120</v>
      </c>
      <c r="B165" s="60" t="s">
        <v>32</v>
      </c>
      <c r="C165" s="61" t="s">
        <v>127</v>
      </c>
      <c r="D165" s="58" t="s">
        <v>28</v>
      </c>
      <c r="E165" s="61" t="s">
        <v>29</v>
      </c>
      <c r="F165" s="63" t="s">
        <v>34</v>
      </c>
      <c r="G165" s="56">
        <f t="shared" si="10"/>
        <v>15.8244561140285</v>
      </c>
      <c r="H165" s="62">
        <f t="shared" si="11"/>
        <v>189.846</v>
      </c>
      <c r="I165" s="28">
        <v>210.94</v>
      </c>
      <c r="J165" s="62">
        <f t="shared" si="12"/>
        <v>221.487</v>
      </c>
      <c r="K165" s="62">
        <f t="shared" si="13"/>
        <v>178.45524</v>
      </c>
      <c r="L165" s="62">
        <f t="shared" si="14"/>
        <v>198.2836</v>
      </c>
    </row>
    <row r="166" ht="15" spans="1:12">
      <c r="A166" s="48" t="s">
        <v>120</v>
      </c>
      <c r="B166" s="54" t="s">
        <v>32</v>
      </c>
      <c r="C166" s="50" t="s">
        <v>61</v>
      </c>
      <c r="D166" s="51" t="s">
        <v>28</v>
      </c>
      <c r="E166" s="50" t="s">
        <v>29</v>
      </c>
      <c r="F166" s="55" t="s">
        <v>34</v>
      </c>
      <c r="G166" s="56">
        <f t="shared" si="10"/>
        <v>19.4613653413353</v>
      </c>
      <c r="H166" s="57">
        <f t="shared" si="11"/>
        <v>233.478</v>
      </c>
      <c r="I166" s="28">
        <v>259.42</v>
      </c>
      <c r="J166" s="57">
        <f t="shared" si="12"/>
        <v>272.391</v>
      </c>
      <c r="K166" s="57">
        <f t="shared" si="13"/>
        <v>219.46932</v>
      </c>
      <c r="L166" s="57">
        <f t="shared" si="14"/>
        <v>243.8548</v>
      </c>
    </row>
    <row r="167" ht="15" spans="1:12">
      <c r="A167" s="48" t="s">
        <v>120</v>
      </c>
      <c r="B167" s="54" t="s">
        <v>71</v>
      </c>
      <c r="C167" s="50" t="s">
        <v>27</v>
      </c>
      <c r="D167" s="51" t="s">
        <v>28</v>
      </c>
      <c r="E167" s="50" t="s">
        <v>29</v>
      </c>
      <c r="F167" s="55" t="s">
        <v>72</v>
      </c>
      <c r="G167" s="56">
        <f t="shared" si="10"/>
        <v>7.7344336084021</v>
      </c>
      <c r="H167" s="57">
        <f t="shared" si="11"/>
        <v>92.79</v>
      </c>
      <c r="I167" s="28">
        <v>103.1</v>
      </c>
      <c r="J167" s="57">
        <f t="shared" si="12"/>
        <v>108.255</v>
      </c>
      <c r="K167" s="57">
        <f t="shared" si="13"/>
        <v>87.2226</v>
      </c>
      <c r="L167" s="57">
        <f t="shared" si="14"/>
        <v>96.914</v>
      </c>
    </row>
    <row r="168" ht="15" spans="1:12">
      <c r="A168" s="48" t="s">
        <v>120</v>
      </c>
      <c r="B168" s="54" t="s">
        <v>71</v>
      </c>
      <c r="C168" s="50" t="s">
        <v>47</v>
      </c>
      <c r="D168" s="51" t="s">
        <v>28</v>
      </c>
      <c r="E168" s="50" t="s">
        <v>29</v>
      </c>
      <c r="F168" s="55" t="s">
        <v>72</v>
      </c>
      <c r="G168" s="56">
        <f t="shared" si="10"/>
        <v>11.0172543135784</v>
      </c>
      <c r="H168" s="57">
        <f t="shared" si="11"/>
        <v>132.174</v>
      </c>
      <c r="I168" s="28">
        <v>146.86</v>
      </c>
      <c r="J168" s="57">
        <f t="shared" si="12"/>
        <v>154.203</v>
      </c>
      <c r="K168" s="57">
        <f t="shared" si="13"/>
        <v>124.24356</v>
      </c>
      <c r="L168" s="57">
        <f t="shared" si="14"/>
        <v>138.0484</v>
      </c>
    </row>
    <row r="169" ht="15" spans="1:12">
      <c r="A169" s="48" t="s">
        <v>120</v>
      </c>
      <c r="B169" s="54" t="s">
        <v>71</v>
      </c>
      <c r="C169" s="50" t="s">
        <v>128</v>
      </c>
      <c r="D169" s="51" t="s">
        <v>28</v>
      </c>
      <c r="E169" s="50" t="s">
        <v>29</v>
      </c>
      <c r="F169" s="55" t="s">
        <v>72</v>
      </c>
      <c r="G169" s="56">
        <f t="shared" si="10"/>
        <v>28.4733683420855</v>
      </c>
      <c r="H169" s="57">
        <f t="shared" si="11"/>
        <v>341.595</v>
      </c>
      <c r="I169" s="28">
        <v>379.55</v>
      </c>
      <c r="J169" s="57">
        <f t="shared" si="12"/>
        <v>398.5275</v>
      </c>
      <c r="K169" s="57">
        <f t="shared" si="13"/>
        <v>321.0993</v>
      </c>
      <c r="L169" s="57">
        <f t="shared" si="14"/>
        <v>356.777</v>
      </c>
    </row>
    <row r="170" ht="15" spans="1:12">
      <c r="A170" s="48" t="s">
        <v>120</v>
      </c>
      <c r="B170" s="54" t="s">
        <v>129</v>
      </c>
      <c r="C170" s="50" t="s">
        <v>61</v>
      </c>
      <c r="D170" s="51" t="s">
        <v>28</v>
      </c>
      <c r="E170" s="50" t="s">
        <v>29</v>
      </c>
      <c r="F170" s="55" t="s">
        <v>74</v>
      </c>
      <c r="G170" s="56">
        <f t="shared" si="10"/>
        <v>19.2325581395349</v>
      </c>
      <c r="H170" s="57">
        <f t="shared" si="11"/>
        <v>230.733</v>
      </c>
      <c r="I170" s="28">
        <v>256.37</v>
      </c>
      <c r="J170" s="57">
        <f t="shared" si="12"/>
        <v>269.1885</v>
      </c>
      <c r="K170" s="57">
        <f t="shared" si="13"/>
        <v>216.88902</v>
      </c>
      <c r="L170" s="57">
        <f t="shared" si="14"/>
        <v>240.9878</v>
      </c>
    </row>
    <row r="171" ht="15" spans="1:12">
      <c r="A171" s="48" t="s">
        <v>120</v>
      </c>
      <c r="B171" s="54" t="s">
        <v>73</v>
      </c>
      <c r="C171" s="50" t="s">
        <v>47</v>
      </c>
      <c r="D171" s="51" t="s">
        <v>28</v>
      </c>
      <c r="E171" s="50" t="s">
        <v>29</v>
      </c>
      <c r="F171" s="55" t="s">
        <v>74</v>
      </c>
      <c r="G171" s="56">
        <f t="shared" si="10"/>
        <v>10.5108777194299</v>
      </c>
      <c r="H171" s="57">
        <f t="shared" si="11"/>
        <v>126.099</v>
      </c>
      <c r="I171" s="28">
        <v>140.11</v>
      </c>
      <c r="J171" s="57">
        <f t="shared" si="12"/>
        <v>147.1155</v>
      </c>
      <c r="K171" s="57">
        <f t="shared" si="13"/>
        <v>118.53306</v>
      </c>
      <c r="L171" s="57">
        <f t="shared" si="14"/>
        <v>131.7034</v>
      </c>
    </row>
    <row r="172" ht="15" spans="1:12">
      <c r="A172" s="48" t="s">
        <v>120</v>
      </c>
      <c r="B172" s="54" t="s">
        <v>73</v>
      </c>
      <c r="C172" s="50" t="s">
        <v>61</v>
      </c>
      <c r="D172" s="51" t="s">
        <v>28</v>
      </c>
      <c r="E172" s="50" t="s">
        <v>29</v>
      </c>
      <c r="F172" s="55" t="s">
        <v>74</v>
      </c>
      <c r="G172" s="56">
        <f t="shared" si="10"/>
        <v>19.1545386346587</v>
      </c>
      <c r="H172" s="57">
        <f t="shared" si="11"/>
        <v>229.797</v>
      </c>
      <c r="I172" s="28">
        <v>255.33</v>
      </c>
      <c r="J172" s="57">
        <f t="shared" si="12"/>
        <v>268.0965</v>
      </c>
      <c r="K172" s="57">
        <f t="shared" si="13"/>
        <v>216.00918</v>
      </c>
      <c r="L172" s="57">
        <f t="shared" si="14"/>
        <v>240.0102</v>
      </c>
    </row>
    <row r="173" ht="15" spans="1:12">
      <c r="A173" s="48" t="s">
        <v>120</v>
      </c>
      <c r="B173" s="54" t="s">
        <v>75</v>
      </c>
      <c r="C173" s="50" t="s">
        <v>27</v>
      </c>
      <c r="D173" s="51" t="s">
        <v>28</v>
      </c>
      <c r="E173" s="50" t="s">
        <v>29</v>
      </c>
      <c r="F173" s="55" t="s">
        <v>74</v>
      </c>
      <c r="G173" s="56">
        <f t="shared" si="10"/>
        <v>7.29332333083271</v>
      </c>
      <c r="H173" s="57">
        <f t="shared" si="11"/>
        <v>87.498</v>
      </c>
      <c r="I173" s="28">
        <v>97.22</v>
      </c>
      <c r="J173" s="57">
        <f t="shared" si="12"/>
        <v>102.081</v>
      </c>
      <c r="K173" s="57">
        <f t="shared" si="13"/>
        <v>82.24812</v>
      </c>
      <c r="L173" s="57">
        <f t="shared" si="14"/>
        <v>91.3868</v>
      </c>
    </row>
    <row r="174" ht="15" spans="1:12">
      <c r="A174" s="48" t="s">
        <v>120</v>
      </c>
      <c r="B174" s="54" t="s">
        <v>75</v>
      </c>
      <c r="C174" s="50" t="s">
        <v>47</v>
      </c>
      <c r="D174" s="51" t="s">
        <v>28</v>
      </c>
      <c r="E174" s="50" t="s">
        <v>29</v>
      </c>
      <c r="F174" s="55" t="s">
        <v>74</v>
      </c>
      <c r="G174" s="56">
        <f t="shared" si="10"/>
        <v>10.5063765941485</v>
      </c>
      <c r="H174" s="57">
        <f t="shared" si="11"/>
        <v>126.045</v>
      </c>
      <c r="I174" s="28">
        <v>140.05</v>
      </c>
      <c r="J174" s="57">
        <f t="shared" si="12"/>
        <v>147.0525</v>
      </c>
      <c r="K174" s="57">
        <f t="shared" si="13"/>
        <v>118.4823</v>
      </c>
      <c r="L174" s="57">
        <f t="shared" si="14"/>
        <v>131.647</v>
      </c>
    </row>
    <row r="175" ht="15" spans="1:12">
      <c r="A175" s="48" t="s">
        <v>120</v>
      </c>
      <c r="B175" s="54" t="s">
        <v>76</v>
      </c>
      <c r="C175" s="50" t="s">
        <v>27</v>
      </c>
      <c r="D175" s="51" t="s">
        <v>28</v>
      </c>
      <c r="E175" s="50" t="s">
        <v>29</v>
      </c>
      <c r="F175" s="55" t="s">
        <v>74</v>
      </c>
      <c r="G175" s="56">
        <f t="shared" si="10"/>
        <v>7.3615903975994</v>
      </c>
      <c r="H175" s="57">
        <f t="shared" si="11"/>
        <v>88.317</v>
      </c>
      <c r="I175" s="28">
        <v>98.13</v>
      </c>
      <c r="J175" s="57">
        <f t="shared" si="12"/>
        <v>103.0365</v>
      </c>
      <c r="K175" s="57">
        <f t="shared" si="13"/>
        <v>83.01798</v>
      </c>
      <c r="L175" s="57">
        <f t="shared" si="14"/>
        <v>92.2422</v>
      </c>
    </row>
    <row r="176" ht="15" spans="1:12">
      <c r="A176" s="48" t="s">
        <v>120</v>
      </c>
      <c r="B176" s="54" t="s">
        <v>76</v>
      </c>
      <c r="C176" s="50" t="s">
        <v>47</v>
      </c>
      <c r="D176" s="51" t="s">
        <v>28</v>
      </c>
      <c r="E176" s="50" t="s">
        <v>29</v>
      </c>
      <c r="F176" s="55" t="s">
        <v>74</v>
      </c>
      <c r="G176" s="56">
        <f t="shared" si="10"/>
        <v>10.529632408102</v>
      </c>
      <c r="H176" s="57">
        <f t="shared" si="11"/>
        <v>126.324</v>
      </c>
      <c r="I176" s="28">
        <v>140.36</v>
      </c>
      <c r="J176" s="57">
        <f t="shared" si="12"/>
        <v>147.378</v>
      </c>
      <c r="K176" s="57">
        <f t="shared" si="13"/>
        <v>118.74456</v>
      </c>
      <c r="L176" s="57">
        <f t="shared" si="14"/>
        <v>131.9384</v>
      </c>
    </row>
    <row r="177" ht="15" spans="1:12">
      <c r="A177" s="48" t="s">
        <v>120</v>
      </c>
      <c r="B177" s="54" t="s">
        <v>76</v>
      </c>
      <c r="C177" s="50" t="s">
        <v>47</v>
      </c>
      <c r="D177" s="51" t="s">
        <v>28</v>
      </c>
      <c r="E177" s="50" t="s">
        <v>29</v>
      </c>
      <c r="F177" s="63" t="s">
        <v>130</v>
      </c>
      <c r="G177" s="56">
        <f t="shared" si="10"/>
        <v>13.2018004501125</v>
      </c>
      <c r="H177" s="57">
        <f t="shared" si="11"/>
        <v>158.382</v>
      </c>
      <c r="I177" s="28">
        <v>175.98</v>
      </c>
      <c r="J177" s="57">
        <f t="shared" si="12"/>
        <v>184.779</v>
      </c>
      <c r="K177" s="57">
        <f t="shared" si="13"/>
        <v>148.87908</v>
      </c>
      <c r="L177" s="57">
        <f t="shared" si="14"/>
        <v>165.4212</v>
      </c>
    </row>
    <row r="178" ht="15" spans="1:12">
      <c r="A178" s="48" t="s">
        <v>120</v>
      </c>
      <c r="B178" s="54" t="s">
        <v>76</v>
      </c>
      <c r="C178" s="50" t="s">
        <v>61</v>
      </c>
      <c r="D178" s="51" t="s">
        <v>28</v>
      </c>
      <c r="E178" s="50" t="s">
        <v>29</v>
      </c>
      <c r="F178" s="55" t="s">
        <v>74</v>
      </c>
      <c r="G178" s="56">
        <f t="shared" si="10"/>
        <v>18.5926481620405</v>
      </c>
      <c r="H178" s="57">
        <f t="shared" si="11"/>
        <v>223.056</v>
      </c>
      <c r="I178" s="28">
        <v>247.84</v>
      </c>
      <c r="J178" s="57">
        <f t="shared" si="12"/>
        <v>260.232</v>
      </c>
      <c r="K178" s="57">
        <f t="shared" si="13"/>
        <v>209.67264</v>
      </c>
      <c r="L178" s="57">
        <f t="shared" si="14"/>
        <v>232.9696</v>
      </c>
    </row>
    <row r="179" ht="15" spans="1:12">
      <c r="A179" s="48" t="s">
        <v>120</v>
      </c>
      <c r="B179" s="54" t="s">
        <v>78</v>
      </c>
      <c r="C179" s="50" t="s">
        <v>27</v>
      </c>
      <c r="D179" s="51" t="s">
        <v>28</v>
      </c>
      <c r="E179" s="50" t="s">
        <v>29</v>
      </c>
      <c r="F179" s="55" t="s">
        <v>79</v>
      </c>
      <c r="G179" s="56">
        <f t="shared" si="10"/>
        <v>8.32258064516129</v>
      </c>
      <c r="H179" s="57">
        <f t="shared" si="11"/>
        <v>99.846</v>
      </c>
      <c r="I179" s="28">
        <v>110.94</v>
      </c>
      <c r="J179" s="57">
        <f t="shared" si="12"/>
        <v>116.487</v>
      </c>
      <c r="K179" s="57">
        <f t="shared" si="13"/>
        <v>93.85524</v>
      </c>
      <c r="L179" s="57">
        <f t="shared" si="14"/>
        <v>104.2836</v>
      </c>
    </row>
    <row r="180" ht="15" spans="1:12">
      <c r="A180" s="48" t="s">
        <v>120</v>
      </c>
      <c r="B180" s="54" t="s">
        <v>78</v>
      </c>
      <c r="C180" s="50" t="s">
        <v>47</v>
      </c>
      <c r="D180" s="51" t="s">
        <v>28</v>
      </c>
      <c r="E180" s="50" t="s">
        <v>29</v>
      </c>
      <c r="F180" s="55" t="s">
        <v>79</v>
      </c>
      <c r="G180" s="56">
        <f t="shared" si="10"/>
        <v>11.6594148537134</v>
      </c>
      <c r="H180" s="57">
        <f t="shared" si="11"/>
        <v>139.878</v>
      </c>
      <c r="I180" s="28">
        <v>155.42</v>
      </c>
      <c r="J180" s="57">
        <f t="shared" si="12"/>
        <v>163.191</v>
      </c>
      <c r="K180" s="57">
        <f t="shared" si="13"/>
        <v>131.48532</v>
      </c>
      <c r="L180" s="57">
        <f t="shared" si="14"/>
        <v>146.0948</v>
      </c>
    </row>
    <row r="181" ht="15" spans="1:12">
      <c r="A181" s="48" t="s">
        <v>120</v>
      </c>
      <c r="B181" s="54" t="s">
        <v>80</v>
      </c>
      <c r="C181" s="50" t="s">
        <v>27</v>
      </c>
      <c r="D181" s="51" t="s">
        <v>28</v>
      </c>
      <c r="E181" s="50" t="s">
        <v>29</v>
      </c>
      <c r="F181" s="55" t="s">
        <v>79</v>
      </c>
      <c r="G181" s="56">
        <f t="shared" si="10"/>
        <v>8.40210052513128</v>
      </c>
      <c r="H181" s="57">
        <f t="shared" si="11"/>
        <v>100.8</v>
      </c>
      <c r="I181" s="28">
        <v>112</v>
      </c>
      <c r="J181" s="57">
        <f t="shared" si="12"/>
        <v>117.6</v>
      </c>
      <c r="K181" s="57">
        <f t="shared" si="13"/>
        <v>94.752</v>
      </c>
      <c r="L181" s="57">
        <f t="shared" si="14"/>
        <v>105.28</v>
      </c>
    </row>
    <row r="182" ht="15" spans="1:12">
      <c r="A182" s="48" t="s">
        <v>120</v>
      </c>
      <c r="B182" s="54" t="s">
        <v>80</v>
      </c>
      <c r="C182" s="50" t="s">
        <v>47</v>
      </c>
      <c r="D182" s="51" t="s">
        <v>28</v>
      </c>
      <c r="E182" s="50" t="s">
        <v>29</v>
      </c>
      <c r="F182" s="55" t="s">
        <v>79</v>
      </c>
      <c r="G182" s="56">
        <f t="shared" si="10"/>
        <v>11.7344336084021</v>
      </c>
      <c r="H182" s="57">
        <f t="shared" si="11"/>
        <v>140.778</v>
      </c>
      <c r="I182" s="28">
        <v>156.42</v>
      </c>
      <c r="J182" s="57">
        <f t="shared" si="12"/>
        <v>164.241</v>
      </c>
      <c r="K182" s="57">
        <f t="shared" si="13"/>
        <v>132.33132</v>
      </c>
      <c r="L182" s="57">
        <f t="shared" si="14"/>
        <v>147.0348</v>
      </c>
    </row>
    <row r="183" ht="15" spans="1:12">
      <c r="A183" s="48" t="s">
        <v>120</v>
      </c>
      <c r="B183" s="54" t="s">
        <v>83</v>
      </c>
      <c r="C183" s="50" t="s">
        <v>27</v>
      </c>
      <c r="D183" s="51" t="s">
        <v>28</v>
      </c>
      <c r="E183" s="50" t="s">
        <v>29</v>
      </c>
      <c r="F183" s="55" t="s">
        <v>82</v>
      </c>
      <c r="G183" s="56">
        <f t="shared" si="10"/>
        <v>8.26706676669167</v>
      </c>
      <c r="H183" s="57">
        <f t="shared" si="11"/>
        <v>99.18</v>
      </c>
      <c r="I183" s="28">
        <v>110.2</v>
      </c>
      <c r="J183" s="57">
        <f t="shared" si="12"/>
        <v>115.71</v>
      </c>
      <c r="K183" s="57">
        <f t="shared" si="13"/>
        <v>93.2292</v>
      </c>
      <c r="L183" s="57">
        <f t="shared" si="14"/>
        <v>103.588</v>
      </c>
    </row>
    <row r="184" ht="15" spans="1:12">
      <c r="A184" s="48" t="s">
        <v>120</v>
      </c>
      <c r="B184" s="54" t="s">
        <v>83</v>
      </c>
      <c r="C184" s="50" t="s">
        <v>47</v>
      </c>
      <c r="D184" s="51" t="s">
        <v>28</v>
      </c>
      <c r="E184" s="50" t="s">
        <v>29</v>
      </c>
      <c r="F184" s="55" t="s">
        <v>82</v>
      </c>
      <c r="G184" s="56">
        <f t="shared" si="10"/>
        <v>11.7584396099025</v>
      </c>
      <c r="H184" s="57">
        <f t="shared" si="11"/>
        <v>141.066</v>
      </c>
      <c r="I184" s="28">
        <v>156.74</v>
      </c>
      <c r="J184" s="57">
        <f t="shared" si="12"/>
        <v>164.577</v>
      </c>
      <c r="K184" s="57">
        <f t="shared" si="13"/>
        <v>132.60204</v>
      </c>
      <c r="L184" s="57">
        <f t="shared" si="14"/>
        <v>147.3356</v>
      </c>
    </row>
    <row r="185" ht="15" spans="1:12">
      <c r="A185" s="48" t="s">
        <v>120</v>
      </c>
      <c r="B185" s="54" t="s">
        <v>131</v>
      </c>
      <c r="C185" s="50" t="s">
        <v>27</v>
      </c>
      <c r="D185" s="51" t="s">
        <v>28</v>
      </c>
      <c r="E185" s="50" t="s">
        <v>29</v>
      </c>
      <c r="F185" s="55" t="s">
        <v>82</v>
      </c>
      <c r="G185" s="56">
        <f t="shared" si="10"/>
        <v>8.30907726931733</v>
      </c>
      <c r="H185" s="57">
        <f t="shared" si="11"/>
        <v>99.684</v>
      </c>
      <c r="I185" s="28">
        <v>110.76</v>
      </c>
      <c r="J185" s="57">
        <f t="shared" si="12"/>
        <v>116.298</v>
      </c>
      <c r="K185" s="57">
        <f t="shared" si="13"/>
        <v>93.70296</v>
      </c>
      <c r="L185" s="57">
        <f t="shared" si="14"/>
        <v>104.1144</v>
      </c>
    </row>
    <row r="186" ht="15" spans="1:12">
      <c r="A186" s="48" t="s">
        <v>120</v>
      </c>
      <c r="B186" s="54" t="s">
        <v>131</v>
      </c>
      <c r="C186" s="50" t="s">
        <v>47</v>
      </c>
      <c r="D186" s="51" t="s">
        <v>28</v>
      </c>
      <c r="E186" s="50" t="s">
        <v>29</v>
      </c>
      <c r="F186" s="55" t="s">
        <v>82</v>
      </c>
      <c r="G186" s="56">
        <f t="shared" si="10"/>
        <v>11.76144036009</v>
      </c>
      <c r="H186" s="57">
        <f t="shared" si="11"/>
        <v>141.102</v>
      </c>
      <c r="I186" s="28">
        <v>156.78</v>
      </c>
      <c r="J186" s="57">
        <f t="shared" si="12"/>
        <v>164.619</v>
      </c>
      <c r="K186" s="57">
        <f t="shared" si="13"/>
        <v>132.63588</v>
      </c>
      <c r="L186" s="57">
        <f t="shared" si="14"/>
        <v>147.3732</v>
      </c>
    </row>
    <row r="187" ht="15" spans="1:12">
      <c r="A187" s="48" t="s">
        <v>120</v>
      </c>
      <c r="B187" s="54" t="s">
        <v>131</v>
      </c>
      <c r="C187" s="50" t="s">
        <v>61</v>
      </c>
      <c r="D187" s="51" t="s">
        <v>28</v>
      </c>
      <c r="E187" s="50" t="s">
        <v>29</v>
      </c>
      <c r="F187" s="55" t="s">
        <v>82</v>
      </c>
      <c r="G187" s="56">
        <f t="shared" si="10"/>
        <v>20.3780945236309</v>
      </c>
      <c r="H187" s="57">
        <f t="shared" si="11"/>
        <v>244.476</v>
      </c>
      <c r="I187" s="28">
        <v>271.64</v>
      </c>
      <c r="J187" s="57">
        <f t="shared" si="12"/>
        <v>285.222</v>
      </c>
      <c r="K187" s="57">
        <f t="shared" si="13"/>
        <v>229.80744</v>
      </c>
      <c r="L187" s="57">
        <f t="shared" si="14"/>
        <v>255.3416</v>
      </c>
    </row>
    <row r="188" ht="15" spans="1:12">
      <c r="A188" s="48" t="s">
        <v>120</v>
      </c>
      <c r="B188" s="54" t="s">
        <v>132</v>
      </c>
      <c r="C188" s="50" t="s">
        <v>27</v>
      </c>
      <c r="D188" s="51" t="s">
        <v>28</v>
      </c>
      <c r="E188" s="50" t="s">
        <v>29</v>
      </c>
      <c r="F188" s="55" t="s">
        <v>37</v>
      </c>
      <c r="G188" s="56">
        <f t="shared" si="10"/>
        <v>8.22955738934734</v>
      </c>
      <c r="H188" s="57">
        <f t="shared" si="11"/>
        <v>98.73</v>
      </c>
      <c r="I188" s="28">
        <v>109.7</v>
      </c>
      <c r="J188" s="57">
        <f t="shared" si="12"/>
        <v>115.185</v>
      </c>
      <c r="K188" s="57">
        <f t="shared" si="13"/>
        <v>92.8062</v>
      </c>
      <c r="L188" s="57">
        <f t="shared" si="14"/>
        <v>103.118</v>
      </c>
    </row>
    <row r="189" ht="15" spans="1:12">
      <c r="A189" s="48" t="s">
        <v>120</v>
      </c>
      <c r="B189" s="54" t="s">
        <v>132</v>
      </c>
      <c r="C189" s="50" t="s">
        <v>47</v>
      </c>
      <c r="D189" s="51" t="s">
        <v>28</v>
      </c>
      <c r="E189" s="50" t="s">
        <v>29</v>
      </c>
      <c r="F189" s="55" t="s">
        <v>37</v>
      </c>
      <c r="G189" s="56">
        <f t="shared" si="10"/>
        <v>11.6414103525881</v>
      </c>
      <c r="H189" s="57">
        <f t="shared" si="11"/>
        <v>139.662</v>
      </c>
      <c r="I189" s="28">
        <v>155.18</v>
      </c>
      <c r="J189" s="57">
        <f t="shared" si="12"/>
        <v>162.939</v>
      </c>
      <c r="K189" s="57">
        <f t="shared" si="13"/>
        <v>131.28228</v>
      </c>
      <c r="L189" s="57">
        <f t="shared" si="14"/>
        <v>145.8692</v>
      </c>
    </row>
    <row r="190" ht="15" spans="1:12">
      <c r="A190" s="48" t="s">
        <v>120</v>
      </c>
      <c r="B190" s="54" t="s">
        <v>84</v>
      </c>
      <c r="C190" s="50" t="s">
        <v>33</v>
      </c>
      <c r="D190" s="51" t="s">
        <v>28</v>
      </c>
      <c r="E190" s="50" t="s">
        <v>29</v>
      </c>
      <c r="F190" s="55" t="s">
        <v>37</v>
      </c>
      <c r="G190" s="56">
        <f t="shared" si="10"/>
        <v>7.23630907726932</v>
      </c>
      <c r="H190" s="57">
        <f t="shared" si="11"/>
        <v>86.814</v>
      </c>
      <c r="I190" s="28">
        <v>96.46</v>
      </c>
      <c r="J190" s="57">
        <f t="shared" si="12"/>
        <v>101.283</v>
      </c>
      <c r="K190" s="57">
        <f t="shared" si="13"/>
        <v>81.60516</v>
      </c>
      <c r="L190" s="57">
        <f t="shared" si="14"/>
        <v>90.6724</v>
      </c>
    </row>
    <row r="191" ht="15" spans="1:12">
      <c r="A191" s="48" t="s">
        <v>120</v>
      </c>
      <c r="B191" s="54" t="s">
        <v>84</v>
      </c>
      <c r="C191" s="50" t="s">
        <v>27</v>
      </c>
      <c r="D191" s="51" t="s">
        <v>28</v>
      </c>
      <c r="E191" s="50" t="s">
        <v>29</v>
      </c>
      <c r="F191" s="55" t="s">
        <v>37</v>
      </c>
      <c r="G191" s="56">
        <f t="shared" si="10"/>
        <v>8.3105776444111</v>
      </c>
      <c r="H191" s="57">
        <f t="shared" si="11"/>
        <v>99.702</v>
      </c>
      <c r="I191" s="28">
        <v>110.78</v>
      </c>
      <c r="J191" s="57">
        <f t="shared" si="12"/>
        <v>116.319</v>
      </c>
      <c r="K191" s="57">
        <f t="shared" si="13"/>
        <v>93.71988</v>
      </c>
      <c r="L191" s="57">
        <f t="shared" si="14"/>
        <v>104.1332</v>
      </c>
    </row>
    <row r="192" ht="15" spans="1:12">
      <c r="A192" s="48" t="s">
        <v>120</v>
      </c>
      <c r="B192" s="54" t="s">
        <v>84</v>
      </c>
      <c r="C192" s="50" t="s">
        <v>47</v>
      </c>
      <c r="D192" s="51" t="s">
        <v>28</v>
      </c>
      <c r="E192" s="50" t="s">
        <v>29</v>
      </c>
      <c r="F192" s="55" t="s">
        <v>37</v>
      </c>
      <c r="G192" s="56">
        <f t="shared" si="10"/>
        <v>11.7659414853713</v>
      </c>
      <c r="H192" s="57">
        <f t="shared" si="11"/>
        <v>141.156</v>
      </c>
      <c r="I192" s="28">
        <v>156.84</v>
      </c>
      <c r="J192" s="57">
        <f t="shared" si="12"/>
        <v>164.682</v>
      </c>
      <c r="K192" s="57">
        <f t="shared" si="13"/>
        <v>132.68664</v>
      </c>
      <c r="L192" s="57">
        <f t="shared" si="14"/>
        <v>147.4296</v>
      </c>
    </row>
    <row r="193" ht="15" spans="1:12">
      <c r="A193" s="48" t="s">
        <v>120</v>
      </c>
      <c r="B193" s="54" t="s">
        <v>36</v>
      </c>
      <c r="C193" s="50" t="s">
        <v>27</v>
      </c>
      <c r="D193" s="51" t="s">
        <v>28</v>
      </c>
      <c r="E193" s="50" t="s">
        <v>29</v>
      </c>
      <c r="F193" s="55" t="s">
        <v>37</v>
      </c>
      <c r="G193" s="56">
        <f t="shared" si="10"/>
        <v>8.41185296324081</v>
      </c>
      <c r="H193" s="57">
        <f t="shared" si="11"/>
        <v>100.917</v>
      </c>
      <c r="I193" s="28">
        <v>112.13</v>
      </c>
      <c r="J193" s="57">
        <f t="shared" si="12"/>
        <v>117.7365</v>
      </c>
      <c r="K193" s="57">
        <f t="shared" si="13"/>
        <v>94.86198</v>
      </c>
      <c r="L193" s="57">
        <f t="shared" si="14"/>
        <v>105.4022</v>
      </c>
    </row>
    <row r="194" ht="15" spans="1:12">
      <c r="A194" s="48" t="s">
        <v>120</v>
      </c>
      <c r="B194" s="54" t="s">
        <v>36</v>
      </c>
      <c r="C194" s="50" t="s">
        <v>47</v>
      </c>
      <c r="D194" s="51" t="s">
        <v>28</v>
      </c>
      <c r="E194" s="50" t="s">
        <v>29</v>
      </c>
      <c r="F194" s="55" t="s">
        <v>37</v>
      </c>
      <c r="G194" s="56">
        <f t="shared" si="10"/>
        <v>11.7569392348087</v>
      </c>
      <c r="H194" s="57">
        <f t="shared" si="11"/>
        <v>141.048</v>
      </c>
      <c r="I194" s="28">
        <v>156.72</v>
      </c>
      <c r="J194" s="57">
        <f t="shared" si="12"/>
        <v>164.556</v>
      </c>
      <c r="K194" s="57">
        <f t="shared" si="13"/>
        <v>132.58512</v>
      </c>
      <c r="L194" s="57">
        <f t="shared" si="14"/>
        <v>147.3168</v>
      </c>
    </row>
    <row r="195" ht="15" spans="1:12">
      <c r="A195" s="48" t="s">
        <v>120</v>
      </c>
      <c r="B195" s="54" t="s">
        <v>86</v>
      </c>
      <c r="C195" s="50" t="s">
        <v>27</v>
      </c>
      <c r="D195" s="51" t="s">
        <v>28</v>
      </c>
      <c r="E195" s="50" t="s">
        <v>29</v>
      </c>
      <c r="F195" s="55" t="s">
        <v>37</v>
      </c>
      <c r="G195" s="56">
        <f t="shared" si="10"/>
        <v>8.47636909227307</v>
      </c>
      <c r="H195" s="57">
        <f t="shared" si="11"/>
        <v>101.691</v>
      </c>
      <c r="I195" s="28">
        <v>112.99</v>
      </c>
      <c r="J195" s="57">
        <f t="shared" si="12"/>
        <v>118.6395</v>
      </c>
      <c r="K195" s="57">
        <f t="shared" si="13"/>
        <v>95.58954</v>
      </c>
      <c r="L195" s="57">
        <f t="shared" si="14"/>
        <v>106.2106</v>
      </c>
    </row>
    <row r="196" ht="15" spans="1:12">
      <c r="A196" s="48" t="s">
        <v>120</v>
      </c>
      <c r="B196" s="54" t="s">
        <v>86</v>
      </c>
      <c r="C196" s="50" t="s">
        <v>47</v>
      </c>
      <c r="D196" s="51" t="s">
        <v>28</v>
      </c>
      <c r="E196" s="50" t="s">
        <v>29</v>
      </c>
      <c r="F196" s="55" t="s">
        <v>37</v>
      </c>
      <c r="G196" s="56">
        <f t="shared" si="10"/>
        <v>11.7554388597149</v>
      </c>
      <c r="H196" s="57">
        <f t="shared" si="11"/>
        <v>141.03</v>
      </c>
      <c r="I196" s="28">
        <v>156.7</v>
      </c>
      <c r="J196" s="57">
        <f t="shared" si="12"/>
        <v>164.535</v>
      </c>
      <c r="K196" s="57">
        <f t="shared" si="13"/>
        <v>132.5682</v>
      </c>
      <c r="L196" s="57">
        <f t="shared" si="14"/>
        <v>147.298</v>
      </c>
    </row>
    <row r="197" ht="15" spans="1:12">
      <c r="A197" s="48" t="s">
        <v>120</v>
      </c>
      <c r="B197" s="54" t="s">
        <v>90</v>
      </c>
      <c r="C197" s="50" t="s">
        <v>27</v>
      </c>
      <c r="D197" s="51" t="s">
        <v>28</v>
      </c>
      <c r="E197" s="50" t="s">
        <v>29</v>
      </c>
      <c r="F197" s="55" t="s">
        <v>42</v>
      </c>
      <c r="G197" s="56">
        <f t="shared" si="10"/>
        <v>9.08702175543886</v>
      </c>
      <c r="H197" s="57">
        <f t="shared" si="11"/>
        <v>109.017</v>
      </c>
      <c r="I197" s="28">
        <v>121.13</v>
      </c>
      <c r="J197" s="57">
        <f t="shared" si="12"/>
        <v>127.1865</v>
      </c>
      <c r="K197" s="57">
        <f t="shared" si="13"/>
        <v>102.47598</v>
      </c>
      <c r="L197" s="57">
        <f t="shared" si="14"/>
        <v>113.8622</v>
      </c>
    </row>
    <row r="198" ht="15" spans="1:12">
      <c r="A198" s="48" t="s">
        <v>120</v>
      </c>
      <c r="B198" s="54" t="s">
        <v>90</v>
      </c>
      <c r="C198" s="50" t="s">
        <v>47</v>
      </c>
      <c r="D198" s="51" t="s">
        <v>28</v>
      </c>
      <c r="E198" s="50" t="s">
        <v>29</v>
      </c>
      <c r="F198" s="55" t="s">
        <v>42</v>
      </c>
      <c r="G198" s="56">
        <f t="shared" si="10"/>
        <v>12.562640660165</v>
      </c>
      <c r="H198" s="57">
        <f t="shared" si="11"/>
        <v>150.714</v>
      </c>
      <c r="I198" s="28">
        <v>167.46</v>
      </c>
      <c r="J198" s="57">
        <f t="shared" si="12"/>
        <v>175.833</v>
      </c>
      <c r="K198" s="57">
        <f t="shared" si="13"/>
        <v>141.67116</v>
      </c>
      <c r="L198" s="57">
        <f t="shared" si="14"/>
        <v>157.4124</v>
      </c>
    </row>
    <row r="199" ht="15" spans="1:12">
      <c r="A199" s="48" t="s">
        <v>120</v>
      </c>
      <c r="B199" s="54" t="s">
        <v>91</v>
      </c>
      <c r="C199" s="50" t="s">
        <v>33</v>
      </c>
      <c r="D199" s="58" t="s">
        <v>28</v>
      </c>
      <c r="E199" s="50" t="s">
        <v>29</v>
      </c>
      <c r="F199" s="55" t="s">
        <v>42</v>
      </c>
      <c r="G199" s="56">
        <f t="shared" si="10"/>
        <v>9.03450862715679</v>
      </c>
      <c r="H199" s="57">
        <f t="shared" si="11"/>
        <v>108.387</v>
      </c>
      <c r="I199" s="28">
        <v>120.43</v>
      </c>
      <c r="J199" s="57">
        <f t="shared" si="12"/>
        <v>126.4515</v>
      </c>
      <c r="K199" s="57">
        <f t="shared" si="13"/>
        <v>101.88378</v>
      </c>
      <c r="L199" s="57">
        <f t="shared" si="14"/>
        <v>113.2042</v>
      </c>
    </row>
    <row r="200" ht="15" spans="1:12">
      <c r="A200" s="48" t="s">
        <v>120</v>
      </c>
      <c r="B200" s="54" t="s">
        <v>91</v>
      </c>
      <c r="C200" s="50" t="s">
        <v>27</v>
      </c>
      <c r="D200" s="51" t="s">
        <v>41</v>
      </c>
      <c r="E200" s="50" t="s">
        <v>29</v>
      </c>
      <c r="F200" s="55" t="s">
        <v>42</v>
      </c>
      <c r="G200" s="56">
        <f t="shared" si="10"/>
        <v>9.55213803450863</v>
      </c>
      <c r="H200" s="57">
        <f t="shared" si="11"/>
        <v>114.597</v>
      </c>
      <c r="I200" s="28">
        <v>127.33</v>
      </c>
      <c r="J200" s="57">
        <f t="shared" si="12"/>
        <v>133.6965</v>
      </c>
      <c r="K200" s="57">
        <f t="shared" si="13"/>
        <v>107.72118</v>
      </c>
      <c r="L200" s="57">
        <f t="shared" si="14"/>
        <v>119.6902</v>
      </c>
    </row>
    <row r="201" ht="15" spans="1:12">
      <c r="A201" s="48" t="s">
        <v>120</v>
      </c>
      <c r="B201" s="54" t="s">
        <v>91</v>
      </c>
      <c r="C201" s="50" t="s">
        <v>47</v>
      </c>
      <c r="D201" s="51" t="s">
        <v>41</v>
      </c>
      <c r="E201" s="50" t="s">
        <v>29</v>
      </c>
      <c r="F201" s="55" t="s">
        <v>42</v>
      </c>
      <c r="G201" s="56">
        <f t="shared" si="10"/>
        <v>12.8957239309827</v>
      </c>
      <c r="H201" s="57">
        <f t="shared" si="11"/>
        <v>154.71</v>
      </c>
      <c r="I201" s="28">
        <v>171.9</v>
      </c>
      <c r="J201" s="57">
        <f t="shared" si="12"/>
        <v>180.495</v>
      </c>
      <c r="K201" s="57">
        <f t="shared" si="13"/>
        <v>145.4274</v>
      </c>
      <c r="L201" s="57">
        <f t="shared" si="14"/>
        <v>161.586</v>
      </c>
    </row>
    <row r="202" ht="15" spans="1:12">
      <c r="A202" s="48" t="s">
        <v>120</v>
      </c>
      <c r="B202" s="54" t="s">
        <v>43</v>
      </c>
      <c r="C202" s="50" t="s">
        <v>27</v>
      </c>
      <c r="D202" s="51" t="s">
        <v>41</v>
      </c>
      <c r="E202" s="50" t="s">
        <v>29</v>
      </c>
      <c r="F202" s="55" t="s">
        <v>44</v>
      </c>
      <c r="G202" s="56">
        <f t="shared" si="10"/>
        <v>10.4868717179295</v>
      </c>
      <c r="H202" s="57">
        <f t="shared" si="11"/>
        <v>125.811</v>
      </c>
      <c r="I202" s="28">
        <v>139.79</v>
      </c>
      <c r="J202" s="57">
        <f t="shared" si="12"/>
        <v>146.7795</v>
      </c>
      <c r="K202" s="57">
        <f t="shared" si="13"/>
        <v>118.26234</v>
      </c>
      <c r="L202" s="57">
        <f t="shared" si="14"/>
        <v>131.4026</v>
      </c>
    </row>
    <row r="203" ht="15" spans="1:12">
      <c r="A203" s="48" t="s">
        <v>120</v>
      </c>
      <c r="B203" s="54" t="s">
        <v>43</v>
      </c>
      <c r="C203" s="50" t="s">
        <v>47</v>
      </c>
      <c r="D203" s="51" t="s">
        <v>41</v>
      </c>
      <c r="E203" s="50" t="s">
        <v>29</v>
      </c>
      <c r="F203" s="55" t="s">
        <v>44</v>
      </c>
      <c r="G203" s="56">
        <f t="shared" ref="G203:G266" si="15">I203/13.33</f>
        <v>13.900975243811</v>
      </c>
      <c r="H203" s="57">
        <f t="shared" ref="H203:H266" si="16">I203*0.9</f>
        <v>166.77</v>
      </c>
      <c r="I203" s="28">
        <v>185.3</v>
      </c>
      <c r="J203" s="57">
        <f t="shared" ref="J203:J266" si="17">I203*1.05</f>
        <v>194.565</v>
      </c>
      <c r="K203" s="57">
        <f t="shared" ref="K203:K266" si="18">H203*0.94</f>
        <v>156.7638</v>
      </c>
      <c r="L203" s="57">
        <f t="shared" ref="L203:L266" si="19">I203*0.94</f>
        <v>174.182</v>
      </c>
    </row>
    <row r="204" ht="15" spans="1:12">
      <c r="A204" s="48" t="s">
        <v>120</v>
      </c>
      <c r="B204" s="54" t="s">
        <v>45</v>
      </c>
      <c r="C204" s="50" t="s">
        <v>27</v>
      </c>
      <c r="D204" s="51" t="s">
        <v>41</v>
      </c>
      <c r="E204" s="50" t="s">
        <v>29</v>
      </c>
      <c r="F204" s="55" t="s">
        <v>46</v>
      </c>
      <c r="G204" s="56">
        <f t="shared" si="15"/>
        <v>10.6991747936984</v>
      </c>
      <c r="H204" s="57">
        <f t="shared" si="16"/>
        <v>128.358</v>
      </c>
      <c r="I204" s="28">
        <v>142.62</v>
      </c>
      <c r="J204" s="57">
        <f t="shared" si="17"/>
        <v>149.751</v>
      </c>
      <c r="K204" s="57">
        <f t="shared" si="18"/>
        <v>120.65652</v>
      </c>
      <c r="L204" s="57">
        <f t="shared" si="19"/>
        <v>134.0628</v>
      </c>
    </row>
    <row r="205" ht="15" spans="1:12">
      <c r="A205" s="48" t="s">
        <v>120</v>
      </c>
      <c r="B205" s="54" t="s">
        <v>45</v>
      </c>
      <c r="C205" s="50" t="s">
        <v>47</v>
      </c>
      <c r="D205" s="51" t="s">
        <v>41</v>
      </c>
      <c r="E205" s="50" t="s">
        <v>29</v>
      </c>
      <c r="F205" s="55" t="s">
        <v>46</v>
      </c>
      <c r="G205" s="56">
        <f t="shared" si="15"/>
        <v>14.0787696924231</v>
      </c>
      <c r="H205" s="57">
        <f t="shared" si="16"/>
        <v>168.903</v>
      </c>
      <c r="I205" s="28">
        <v>187.67</v>
      </c>
      <c r="J205" s="57">
        <f t="shared" si="17"/>
        <v>197.0535</v>
      </c>
      <c r="K205" s="57">
        <f t="shared" si="18"/>
        <v>158.76882</v>
      </c>
      <c r="L205" s="57">
        <f t="shared" si="19"/>
        <v>176.4098</v>
      </c>
    </row>
    <row r="206" ht="15" spans="1:12">
      <c r="A206" s="59" t="s">
        <v>120</v>
      </c>
      <c r="B206" s="54" t="s">
        <v>45</v>
      </c>
      <c r="C206" s="61" t="s">
        <v>61</v>
      </c>
      <c r="D206" s="58" t="s">
        <v>41</v>
      </c>
      <c r="E206" s="61" t="s">
        <v>29</v>
      </c>
      <c r="F206" s="63" t="s">
        <v>46</v>
      </c>
      <c r="G206" s="56">
        <f t="shared" si="15"/>
        <v>23.0607651912978</v>
      </c>
      <c r="H206" s="62">
        <f t="shared" si="16"/>
        <v>276.66</v>
      </c>
      <c r="I206" s="28">
        <v>307.4</v>
      </c>
      <c r="J206" s="62">
        <f t="shared" si="17"/>
        <v>322.77</v>
      </c>
      <c r="K206" s="62">
        <f t="shared" si="18"/>
        <v>260.0604</v>
      </c>
      <c r="L206" s="62">
        <f t="shared" si="19"/>
        <v>288.956</v>
      </c>
    </row>
    <row r="207" ht="15" spans="1:12">
      <c r="A207" s="48" t="s">
        <v>120</v>
      </c>
      <c r="B207" s="54" t="s">
        <v>48</v>
      </c>
      <c r="C207" s="50" t="s">
        <v>27</v>
      </c>
      <c r="D207" s="51" t="s">
        <v>41</v>
      </c>
      <c r="E207" s="50" t="s">
        <v>29</v>
      </c>
      <c r="F207" s="55" t="s">
        <v>49</v>
      </c>
      <c r="G207" s="56">
        <f t="shared" si="15"/>
        <v>11.2445611402851</v>
      </c>
      <c r="H207" s="57">
        <f t="shared" si="16"/>
        <v>134.901</v>
      </c>
      <c r="I207" s="28">
        <v>149.89</v>
      </c>
      <c r="J207" s="57">
        <f t="shared" si="17"/>
        <v>157.3845</v>
      </c>
      <c r="K207" s="57">
        <f t="shared" si="18"/>
        <v>126.80694</v>
      </c>
      <c r="L207" s="57">
        <f t="shared" si="19"/>
        <v>140.8966</v>
      </c>
    </row>
    <row r="208" ht="15" spans="1:12">
      <c r="A208" s="48" t="s">
        <v>120</v>
      </c>
      <c r="B208" s="54" t="s">
        <v>48</v>
      </c>
      <c r="C208" s="50" t="s">
        <v>47</v>
      </c>
      <c r="D208" s="51" t="s">
        <v>41</v>
      </c>
      <c r="E208" s="50" t="s">
        <v>29</v>
      </c>
      <c r="F208" s="55" t="s">
        <v>49</v>
      </c>
      <c r="G208" s="56">
        <f t="shared" si="15"/>
        <v>14.4486121530383</v>
      </c>
      <c r="H208" s="57">
        <f t="shared" si="16"/>
        <v>173.34</v>
      </c>
      <c r="I208" s="28">
        <v>192.6</v>
      </c>
      <c r="J208" s="57">
        <f t="shared" si="17"/>
        <v>202.23</v>
      </c>
      <c r="K208" s="57">
        <f t="shared" si="18"/>
        <v>162.9396</v>
      </c>
      <c r="L208" s="57">
        <f t="shared" si="19"/>
        <v>181.044</v>
      </c>
    </row>
    <row r="209" ht="15" spans="1:12">
      <c r="A209" s="48" t="s">
        <v>120</v>
      </c>
      <c r="B209" s="54" t="s">
        <v>94</v>
      </c>
      <c r="C209" s="50" t="s">
        <v>27</v>
      </c>
      <c r="D209" s="51" t="s">
        <v>41</v>
      </c>
      <c r="E209" s="50" t="s">
        <v>29</v>
      </c>
      <c r="F209" s="55" t="s">
        <v>49</v>
      </c>
      <c r="G209" s="56">
        <f t="shared" si="15"/>
        <v>11.8162040510128</v>
      </c>
      <c r="H209" s="57">
        <f t="shared" si="16"/>
        <v>141.759</v>
      </c>
      <c r="I209" s="28">
        <v>157.51</v>
      </c>
      <c r="J209" s="57">
        <f t="shared" si="17"/>
        <v>165.3855</v>
      </c>
      <c r="K209" s="57">
        <f t="shared" si="18"/>
        <v>133.25346</v>
      </c>
      <c r="L209" s="57">
        <f t="shared" si="19"/>
        <v>148.0594</v>
      </c>
    </row>
    <row r="210" ht="15" spans="1:12">
      <c r="A210" s="48" t="s">
        <v>120</v>
      </c>
      <c r="B210" s="54" t="s">
        <v>94</v>
      </c>
      <c r="C210" s="50" t="s">
        <v>47</v>
      </c>
      <c r="D210" s="51" t="s">
        <v>41</v>
      </c>
      <c r="E210" s="50" t="s">
        <v>29</v>
      </c>
      <c r="F210" s="55" t="s">
        <v>49</v>
      </c>
      <c r="G210" s="56">
        <f t="shared" si="15"/>
        <v>15.0495123780945</v>
      </c>
      <c r="H210" s="57">
        <f t="shared" si="16"/>
        <v>180.549</v>
      </c>
      <c r="I210" s="28">
        <v>200.61</v>
      </c>
      <c r="J210" s="57">
        <f t="shared" si="17"/>
        <v>210.6405</v>
      </c>
      <c r="K210" s="57">
        <f t="shared" si="18"/>
        <v>169.71606</v>
      </c>
      <c r="L210" s="57">
        <f t="shared" si="19"/>
        <v>188.5734</v>
      </c>
    </row>
    <row r="211" ht="15" spans="1:12">
      <c r="A211" s="48" t="s">
        <v>120</v>
      </c>
      <c r="B211" s="54" t="s">
        <v>94</v>
      </c>
      <c r="C211" s="50" t="s">
        <v>61</v>
      </c>
      <c r="D211" s="51" t="s">
        <v>41</v>
      </c>
      <c r="E211" s="50" t="s">
        <v>29</v>
      </c>
      <c r="F211" s="55" t="s">
        <v>49</v>
      </c>
      <c r="G211" s="56">
        <f t="shared" si="15"/>
        <v>23.6256564141035</v>
      </c>
      <c r="H211" s="57">
        <f t="shared" si="16"/>
        <v>283.437</v>
      </c>
      <c r="I211" s="28">
        <v>314.93</v>
      </c>
      <c r="J211" s="57">
        <f t="shared" si="17"/>
        <v>330.6765</v>
      </c>
      <c r="K211" s="57">
        <f t="shared" si="18"/>
        <v>266.43078</v>
      </c>
      <c r="L211" s="57">
        <f t="shared" si="19"/>
        <v>296.0342</v>
      </c>
    </row>
    <row r="212" ht="15" spans="1:12">
      <c r="A212" s="48" t="s">
        <v>120</v>
      </c>
      <c r="B212" s="54" t="s">
        <v>97</v>
      </c>
      <c r="C212" s="50" t="s">
        <v>27</v>
      </c>
      <c r="D212" s="51" t="s">
        <v>41</v>
      </c>
      <c r="E212" s="50" t="s">
        <v>29</v>
      </c>
      <c r="F212" s="55" t="s">
        <v>96</v>
      </c>
      <c r="G212" s="56">
        <f t="shared" si="15"/>
        <v>12.4801200300075</v>
      </c>
      <c r="H212" s="57">
        <f t="shared" si="16"/>
        <v>149.724</v>
      </c>
      <c r="I212" s="28">
        <v>166.36</v>
      </c>
      <c r="J212" s="57">
        <f t="shared" si="17"/>
        <v>174.678</v>
      </c>
      <c r="K212" s="57">
        <f t="shared" si="18"/>
        <v>140.74056</v>
      </c>
      <c r="L212" s="57">
        <f t="shared" si="19"/>
        <v>156.3784</v>
      </c>
    </row>
    <row r="213" ht="15" spans="1:12">
      <c r="A213" s="48" t="s">
        <v>120</v>
      </c>
      <c r="B213" s="54" t="s">
        <v>97</v>
      </c>
      <c r="C213" s="50" t="s">
        <v>47</v>
      </c>
      <c r="D213" s="51" t="s">
        <v>41</v>
      </c>
      <c r="E213" s="50" t="s">
        <v>29</v>
      </c>
      <c r="F213" s="55" t="s">
        <v>96</v>
      </c>
      <c r="G213" s="56">
        <f t="shared" si="15"/>
        <v>16.1162790697674</v>
      </c>
      <c r="H213" s="57">
        <f t="shared" si="16"/>
        <v>193.347</v>
      </c>
      <c r="I213" s="28">
        <v>214.83</v>
      </c>
      <c r="J213" s="57">
        <f t="shared" si="17"/>
        <v>225.5715</v>
      </c>
      <c r="K213" s="57">
        <f t="shared" si="18"/>
        <v>181.74618</v>
      </c>
      <c r="L213" s="57">
        <f t="shared" si="19"/>
        <v>201.9402</v>
      </c>
    </row>
    <row r="214" ht="15" spans="1:12">
      <c r="A214" s="48" t="s">
        <v>120</v>
      </c>
      <c r="B214" s="54" t="s">
        <v>97</v>
      </c>
      <c r="C214" s="50" t="s">
        <v>61</v>
      </c>
      <c r="D214" s="51" t="s">
        <v>41</v>
      </c>
      <c r="E214" s="50" t="s">
        <v>29</v>
      </c>
      <c r="F214" s="55" t="s">
        <v>49</v>
      </c>
      <c r="G214" s="56">
        <f t="shared" si="15"/>
        <v>24.099024756189</v>
      </c>
      <c r="H214" s="57">
        <f t="shared" si="16"/>
        <v>289.116</v>
      </c>
      <c r="I214" s="28">
        <v>321.24</v>
      </c>
      <c r="J214" s="57">
        <f t="shared" si="17"/>
        <v>337.302</v>
      </c>
      <c r="K214" s="57">
        <f t="shared" si="18"/>
        <v>271.76904</v>
      </c>
      <c r="L214" s="57">
        <f t="shared" si="19"/>
        <v>301.9656</v>
      </c>
    </row>
    <row r="215" ht="15" spans="1:12">
      <c r="A215" s="48" t="s">
        <v>120</v>
      </c>
      <c r="B215" s="54" t="s">
        <v>97</v>
      </c>
      <c r="C215" s="50" t="s">
        <v>128</v>
      </c>
      <c r="D215" s="51" t="s">
        <v>41</v>
      </c>
      <c r="E215" s="50" t="s">
        <v>29</v>
      </c>
      <c r="F215" s="55" t="s">
        <v>49</v>
      </c>
      <c r="G215" s="56">
        <f t="shared" si="15"/>
        <v>32.5581395348837</v>
      </c>
      <c r="H215" s="57">
        <f t="shared" si="16"/>
        <v>390.6</v>
      </c>
      <c r="I215" s="28">
        <v>434</v>
      </c>
      <c r="J215" s="57">
        <f t="shared" si="17"/>
        <v>455.7</v>
      </c>
      <c r="K215" s="57">
        <f t="shared" si="18"/>
        <v>367.164</v>
      </c>
      <c r="L215" s="57">
        <f t="shared" si="19"/>
        <v>407.96</v>
      </c>
    </row>
    <row r="216" ht="15" spans="1:12">
      <c r="A216" s="48" t="s">
        <v>120</v>
      </c>
      <c r="B216" s="54" t="s">
        <v>98</v>
      </c>
      <c r="C216" s="50" t="s">
        <v>27</v>
      </c>
      <c r="D216" s="51" t="s">
        <v>41</v>
      </c>
      <c r="E216" s="50" t="s">
        <v>29</v>
      </c>
      <c r="F216" s="55" t="s">
        <v>96</v>
      </c>
      <c r="G216" s="56">
        <f t="shared" si="15"/>
        <v>13.0840210052513</v>
      </c>
      <c r="H216" s="57">
        <f t="shared" si="16"/>
        <v>156.969</v>
      </c>
      <c r="I216" s="28">
        <v>174.41</v>
      </c>
      <c r="J216" s="57">
        <f t="shared" si="17"/>
        <v>183.1305</v>
      </c>
      <c r="K216" s="57">
        <f t="shared" si="18"/>
        <v>147.55086</v>
      </c>
      <c r="L216" s="57">
        <f t="shared" si="19"/>
        <v>163.9454</v>
      </c>
    </row>
    <row r="217" ht="15" spans="1:12">
      <c r="A217" s="48" t="s">
        <v>120</v>
      </c>
      <c r="B217" s="54" t="s">
        <v>98</v>
      </c>
      <c r="C217" s="50" t="s">
        <v>47</v>
      </c>
      <c r="D217" s="51" t="s">
        <v>41</v>
      </c>
      <c r="E217" s="50" t="s">
        <v>29</v>
      </c>
      <c r="F217" s="55" t="s">
        <v>96</v>
      </c>
      <c r="G217" s="56">
        <f t="shared" si="15"/>
        <v>16.1822955738935</v>
      </c>
      <c r="H217" s="57">
        <f t="shared" si="16"/>
        <v>194.139</v>
      </c>
      <c r="I217" s="28">
        <v>215.71</v>
      </c>
      <c r="J217" s="57">
        <f t="shared" si="17"/>
        <v>226.4955</v>
      </c>
      <c r="K217" s="57">
        <f t="shared" si="18"/>
        <v>182.49066</v>
      </c>
      <c r="L217" s="57">
        <f t="shared" si="19"/>
        <v>202.7674</v>
      </c>
    </row>
    <row r="218" ht="15" spans="1:12">
      <c r="A218" s="48" t="s">
        <v>120</v>
      </c>
      <c r="B218" s="54" t="s">
        <v>26</v>
      </c>
      <c r="C218" s="50" t="s">
        <v>27</v>
      </c>
      <c r="D218" s="51" t="s">
        <v>41</v>
      </c>
      <c r="E218" s="50" t="s">
        <v>29</v>
      </c>
      <c r="F218" s="55" t="s">
        <v>30</v>
      </c>
      <c r="G218" s="56">
        <f t="shared" si="15"/>
        <v>13.8117029257314</v>
      </c>
      <c r="H218" s="57">
        <f t="shared" si="16"/>
        <v>165.699</v>
      </c>
      <c r="I218" s="28">
        <v>184.11</v>
      </c>
      <c r="J218" s="57">
        <f t="shared" si="17"/>
        <v>193.3155</v>
      </c>
      <c r="K218" s="57">
        <f t="shared" si="18"/>
        <v>155.75706</v>
      </c>
      <c r="L218" s="57">
        <f t="shared" si="19"/>
        <v>173.0634</v>
      </c>
    </row>
    <row r="219" ht="15" spans="1:12">
      <c r="A219" s="48" t="s">
        <v>120</v>
      </c>
      <c r="B219" s="54" t="s">
        <v>26</v>
      </c>
      <c r="C219" s="50" t="s">
        <v>47</v>
      </c>
      <c r="D219" s="51" t="s">
        <v>41</v>
      </c>
      <c r="E219" s="50" t="s">
        <v>29</v>
      </c>
      <c r="F219" s="55" t="s">
        <v>30</v>
      </c>
      <c r="G219" s="56">
        <f t="shared" si="15"/>
        <v>17.1935483870968</v>
      </c>
      <c r="H219" s="57">
        <f t="shared" si="16"/>
        <v>206.271</v>
      </c>
      <c r="I219" s="28">
        <v>229.19</v>
      </c>
      <c r="J219" s="57">
        <f t="shared" si="17"/>
        <v>240.6495</v>
      </c>
      <c r="K219" s="57">
        <f t="shared" si="18"/>
        <v>193.89474</v>
      </c>
      <c r="L219" s="57">
        <f t="shared" si="19"/>
        <v>215.4386</v>
      </c>
    </row>
    <row r="220" ht="15" spans="1:12">
      <c r="A220" s="48" t="s">
        <v>120</v>
      </c>
      <c r="B220" s="54" t="s">
        <v>26</v>
      </c>
      <c r="C220" s="50" t="s">
        <v>77</v>
      </c>
      <c r="D220" s="51" t="s">
        <v>41</v>
      </c>
      <c r="E220" s="50" t="s">
        <v>29</v>
      </c>
      <c r="F220" s="55" t="s">
        <v>30</v>
      </c>
      <c r="G220" s="56">
        <f t="shared" si="15"/>
        <v>21.5633908477119</v>
      </c>
      <c r="H220" s="57">
        <f t="shared" si="16"/>
        <v>258.696</v>
      </c>
      <c r="I220" s="28">
        <v>287.44</v>
      </c>
      <c r="J220" s="57">
        <f t="shared" si="17"/>
        <v>301.812</v>
      </c>
      <c r="K220" s="57">
        <f t="shared" si="18"/>
        <v>243.17424</v>
      </c>
      <c r="L220" s="57">
        <f t="shared" si="19"/>
        <v>270.1936</v>
      </c>
    </row>
    <row r="221" ht="15" spans="1:12">
      <c r="A221" s="48" t="s">
        <v>120</v>
      </c>
      <c r="B221" s="54" t="s">
        <v>26</v>
      </c>
      <c r="C221" s="50" t="s">
        <v>61</v>
      </c>
      <c r="D221" s="51" t="s">
        <v>41</v>
      </c>
      <c r="E221" s="50" t="s">
        <v>29</v>
      </c>
      <c r="F221" s="55" t="s">
        <v>96</v>
      </c>
      <c r="G221" s="56">
        <f t="shared" si="15"/>
        <v>25.4448612153038</v>
      </c>
      <c r="H221" s="57">
        <f t="shared" si="16"/>
        <v>305.262</v>
      </c>
      <c r="I221" s="28">
        <v>339.18</v>
      </c>
      <c r="J221" s="57">
        <f t="shared" si="17"/>
        <v>356.139</v>
      </c>
      <c r="K221" s="57">
        <f t="shared" si="18"/>
        <v>286.94628</v>
      </c>
      <c r="L221" s="57">
        <f t="shared" si="19"/>
        <v>318.8292</v>
      </c>
    </row>
    <row r="222" ht="15" spans="1:12">
      <c r="A222" s="48" t="s">
        <v>120</v>
      </c>
      <c r="B222" s="54" t="s">
        <v>99</v>
      </c>
      <c r="C222" s="50" t="s">
        <v>77</v>
      </c>
      <c r="D222" s="51" t="s">
        <v>41</v>
      </c>
      <c r="E222" s="50" t="s">
        <v>29</v>
      </c>
      <c r="F222" s="55" t="s">
        <v>30</v>
      </c>
      <c r="G222" s="56">
        <f t="shared" si="15"/>
        <v>23.7809452363091</v>
      </c>
      <c r="H222" s="57">
        <f t="shared" si="16"/>
        <v>285.3</v>
      </c>
      <c r="I222" s="28">
        <v>317</v>
      </c>
      <c r="J222" s="57">
        <f t="shared" si="17"/>
        <v>332.85</v>
      </c>
      <c r="K222" s="57">
        <f t="shared" si="18"/>
        <v>268.182</v>
      </c>
      <c r="L222" s="57">
        <f t="shared" si="19"/>
        <v>297.98</v>
      </c>
    </row>
    <row r="223" ht="15" spans="1:12">
      <c r="A223" s="48" t="s">
        <v>120</v>
      </c>
      <c r="B223" s="54" t="s">
        <v>99</v>
      </c>
      <c r="C223" s="50" t="s">
        <v>61</v>
      </c>
      <c r="D223" s="51" t="s">
        <v>41</v>
      </c>
      <c r="E223" s="50" t="s">
        <v>29</v>
      </c>
      <c r="F223" s="55" t="s">
        <v>30</v>
      </c>
      <c r="G223" s="56">
        <f t="shared" si="15"/>
        <v>25.3255813953488</v>
      </c>
      <c r="H223" s="57">
        <f t="shared" si="16"/>
        <v>303.831</v>
      </c>
      <c r="I223" s="28">
        <v>337.59</v>
      </c>
      <c r="J223" s="57">
        <f t="shared" si="17"/>
        <v>354.4695</v>
      </c>
      <c r="K223" s="57">
        <f t="shared" si="18"/>
        <v>285.60114</v>
      </c>
      <c r="L223" s="57">
        <f t="shared" si="19"/>
        <v>317.3346</v>
      </c>
    </row>
    <row r="224" ht="15" spans="1:12">
      <c r="A224" s="48" t="s">
        <v>120</v>
      </c>
      <c r="B224" s="54" t="s">
        <v>103</v>
      </c>
      <c r="C224" s="50" t="s">
        <v>77</v>
      </c>
      <c r="D224" s="51" t="s">
        <v>41</v>
      </c>
      <c r="E224" s="50" t="s">
        <v>29</v>
      </c>
      <c r="F224" s="55" t="s">
        <v>104</v>
      </c>
      <c r="G224" s="56">
        <f t="shared" si="15"/>
        <v>23.847711927982</v>
      </c>
      <c r="H224" s="57">
        <f t="shared" si="16"/>
        <v>286.101</v>
      </c>
      <c r="I224" s="28">
        <v>317.89</v>
      </c>
      <c r="J224" s="57">
        <f t="shared" si="17"/>
        <v>333.7845</v>
      </c>
      <c r="K224" s="57">
        <f t="shared" si="18"/>
        <v>268.93494</v>
      </c>
      <c r="L224" s="57">
        <f t="shared" si="19"/>
        <v>298.8166</v>
      </c>
    </row>
    <row r="225" ht="15" spans="1:12">
      <c r="A225" s="48" t="s">
        <v>120</v>
      </c>
      <c r="B225" s="54" t="s">
        <v>103</v>
      </c>
      <c r="C225" s="50" t="s">
        <v>128</v>
      </c>
      <c r="D225" s="51" t="s">
        <v>41</v>
      </c>
      <c r="E225" s="50" t="s">
        <v>29</v>
      </c>
      <c r="F225" s="55" t="s">
        <v>101</v>
      </c>
      <c r="G225" s="56">
        <f t="shared" si="15"/>
        <v>36.8522130532633</v>
      </c>
      <c r="H225" s="57">
        <f t="shared" si="16"/>
        <v>442.116</v>
      </c>
      <c r="I225" s="28">
        <v>491.24</v>
      </c>
      <c r="J225" s="57">
        <f t="shared" si="17"/>
        <v>515.802</v>
      </c>
      <c r="K225" s="57">
        <f t="shared" si="18"/>
        <v>415.58904</v>
      </c>
      <c r="L225" s="57">
        <f t="shared" si="19"/>
        <v>461.7656</v>
      </c>
    </row>
    <row r="226" ht="15" spans="1:12">
      <c r="A226" s="48" t="s">
        <v>120</v>
      </c>
      <c r="B226" s="54" t="s">
        <v>133</v>
      </c>
      <c r="C226" s="50" t="s">
        <v>77</v>
      </c>
      <c r="D226" s="51" t="s">
        <v>41</v>
      </c>
      <c r="E226" s="50" t="s">
        <v>29</v>
      </c>
      <c r="F226" s="55" t="s">
        <v>109</v>
      </c>
      <c r="G226" s="56">
        <f t="shared" si="15"/>
        <v>25.3030757689422</v>
      </c>
      <c r="H226" s="57">
        <f t="shared" si="16"/>
        <v>303.561</v>
      </c>
      <c r="I226" s="28">
        <v>337.29</v>
      </c>
      <c r="J226" s="57">
        <f t="shared" si="17"/>
        <v>354.1545</v>
      </c>
      <c r="K226" s="57">
        <f t="shared" si="18"/>
        <v>285.34734</v>
      </c>
      <c r="L226" s="57">
        <f t="shared" si="19"/>
        <v>317.0526</v>
      </c>
    </row>
    <row r="227" ht="15" spans="1:12">
      <c r="A227" s="48" t="s">
        <v>120</v>
      </c>
      <c r="B227" s="54" t="s">
        <v>134</v>
      </c>
      <c r="C227" s="50" t="s">
        <v>61</v>
      </c>
      <c r="D227" s="51" t="s">
        <v>41</v>
      </c>
      <c r="E227" s="50" t="s">
        <v>29</v>
      </c>
      <c r="F227" s="55" t="s">
        <v>135</v>
      </c>
      <c r="G227" s="56">
        <f t="shared" si="15"/>
        <v>31.8004501125281</v>
      </c>
      <c r="H227" s="57">
        <f t="shared" si="16"/>
        <v>381.51</v>
      </c>
      <c r="I227" s="28">
        <v>423.9</v>
      </c>
      <c r="J227" s="57">
        <f t="shared" si="17"/>
        <v>445.095</v>
      </c>
      <c r="K227" s="57">
        <f t="shared" si="18"/>
        <v>358.6194</v>
      </c>
      <c r="L227" s="57">
        <f t="shared" si="19"/>
        <v>398.466</v>
      </c>
    </row>
    <row r="228" ht="15" spans="1:12">
      <c r="A228" s="48" t="s">
        <v>136</v>
      </c>
      <c r="B228" s="60" t="s">
        <v>58</v>
      </c>
      <c r="C228" s="61" t="s">
        <v>27</v>
      </c>
      <c r="D228" s="58" t="s">
        <v>28</v>
      </c>
      <c r="E228" s="61" t="s">
        <v>29</v>
      </c>
      <c r="F228" s="63" t="s">
        <v>59</v>
      </c>
      <c r="G228" s="56">
        <f t="shared" si="15"/>
        <v>6.39759939984996</v>
      </c>
      <c r="H228" s="62">
        <f t="shared" si="16"/>
        <v>76.752</v>
      </c>
      <c r="I228" s="28">
        <v>85.28</v>
      </c>
      <c r="J228" s="57">
        <f t="shared" si="17"/>
        <v>89.544</v>
      </c>
      <c r="K228" s="57">
        <f t="shared" si="18"/>
        <v>72.14688</v>
      </c>
      <c r="L228" s="57">
        <f t="shared" si="19"/>
        <v>80.1632</v>
      </c>
    </row>
    <row r="229" ht="15" spans="1:12">
      <c r="A229" s="48" t="s">
        <v>136</v>
      </c>
      <c r="B229" s="54" t="s">
        <v>64</v>
      </c>
      <c r="C229" s="50" t="s">
        <v>47</v>
      </c>
      <c r="D229" s="51" t="s">
        <v>28</v>
      </c>
      <c r="E229" s="50" t="s">
        <v>29</v>
      </c>
      <c r="F229" s="63" t="s">
        <v>59</v>
      </c>
      <c r="G229" s="56">
        <f t="shared" si="15"/>
        <v>9.73593398349587</v>
      </c>
      <c r="H229" s="57">
        <f t="shared" si="16"/>
        <v>116.802</v>
      </c>
      <c r="I229" s="28">
        <v>129.78</v>
      </c>
      <c r="J229" s="57">
        <f t="shared" si="17"/>
        <v>136.269</v>
      </c>
      <c r="K229" s="57">
        <f t="shared" si="18"/>
        <v>109.79388</v>
      </c>
      <c r="L229" s="57">
        <f t="shared" si="19"/>
        <v>121.9932</v>
      </c>
    </row>
    <row r="230" ht="15" spans="1:12">
      <c r="A230" s="48" t="s">
        <v>136</v>
      </c>
      <c r="B230" s="54" t="s">
        <v>64</v>
      </c>
      <c r="C230" s="50" t="s">
        <v>47</v>
      </c>
      <c r="D230" s="51" t="s">
        <v>28</v>
      </c>
      <c r="E230" s="50" t="s">
        <v>29</v>
      </c>
      <c r="F230" s="55" t="s">
        <v>65</v>
      </c>
      <c r="G230" s="56">
        <f t="shared" si="15"/>
        <v>9.73593398349587</v>
      </c>
      <c r="H230" s="57">
        <f t="shared" si="16"/>
        <v>116.802</v>
      </c>
      <c r="I230" s="28">
        <v>129.78</v>
      </c>
      <c r="J230" s="57">
        <f t="shared" si="17"/>
        <v>136.269</v>
      </c>
      <c r="K230" s="57">
        <f t="shared" si="18"/>
        <v>109.79388</v>
      </c>
      <c r="L230" s="57">
        <f t="shared" si="19"/>
        <v>121.9932</v>
      </c>
    </row>
    <row r="231" ht="15" spans="1:12">
      <c r="A231" s="48" t="s">
        <v>136</v>
      </c>
      <c r="B231" s="54" t="s">
        <v>66</v>
      </c>
      <c r="C231" s="50" t="s">
        <v>27</v>
      </c>
      <c r="D231" s="51" t="s">
        <v>28</v>
      </c>
      <c r="E231" s="50" t="s">
        <v>29</v>
      </c>
      <c r="F231" s="55" t="s">
        <v>67</v>
      </c>
      <c r="G231" s="56">
        <f t="shared" si="15"/>
        <v>6.7516879219805</v>
      </c>
      <c r="H231" s="57">
        <f t="shared" si="16"/>
        <v>81</v>
      </c>
      <c r="I231" s="28">
        <v>90</v>
      </c>
      <c r="J231" s="57">
        <f t="shared" si="17"/>
        <v>94.5</v>
      </c>
      <c r="K231" s="57">
        <f t="shared" si="18"/>
        <v>76.14</v>
      </c>
      <c r="L231" s="57">
        <f t="shared" si="19"/>
        <v>84.6</v>
      </c>
    </row>
    <row r="232" ht="15" spans="1:12">
      <c r="A232" s="48" t="s">
        <v>136</v>
      </c>
      <c r="B232" s="54" t="s">
        <v>70</v>
      </c>
      <c r="C232" s="50" t="s">
        <v>47</v>
      </c>
      <c r="D232" s="51" t="s">
        <v>28</v>
      </c>
      <c r="E232" s="50" t="s">
        <v>29</v>
      </c>
      <c r="F232" s="55" t="s">
        <v>69</v>
      </c>
      <c r="G232" s="56">
        <f t="shared" si="15"/>
        <v>9.61365341335334</v>
      </c>
      <c r="H232" s="57">
        <f t="shared" si="16"/>
        <v>115.335</v>
      </c>
      <c r="I232" s="28">
        <v>128.15</v>
      </c>
      <c r="J232" s="57">
        <f t="shared" si="17"/>
        <v>134.5575</v>
      </c>
      <c r="K232" s="57">
        <f t="shared" si="18"/>
        <v>108.4149</v>
      </c>
      <c r="L232" s="57">
        <f t="shared" si="19"/>
        <v>120.461</v>
      </c>
    </row>
    <row r="233" ht="15" spans="1:12">
      <c r="A233" s="48" t="s">
        <v>136</v>
      </c>
      <c r="B233" s="54" t="s">
        <v>70</v>
      </c>
      <c r="C233" s="50" t="s">
        <v>61</v>
      </c>
      <c r="D233" s="51" t="s">
        <v>28</v>
      </c>
      <c r="E233" s="50" t="s">
        <v>29</v>
      </c>
      <c r="F233" s="63" t="s">
        <v>34</v>
      </c>
      <c r="G233" s="56">
        <f t="shared" si="15"/>
        <v>19.0420105026257</v>
      </c>
      <c r="H233" s="57">
        <f t="shared" si="16"/>
        <v>228.447</v>
      </c>
      <c r="I233" s="28">
        <v>253.83</v>
      </c>
      <c r="J233" s="57">
        <f t="shared" si="17"/>
        <v>266.5215</v>
      </c>
      <c r="K233" s="57">
        <f t="shared" si="18"/>
        <v>214.74018</v>
      </c>
      <c r="L233" s="57">
        <f t="shared" si="19"/>
        <v>238.6002</v>
      </c>
    </row>
    <row r="234" ht="15" spans="1:12">
      <c r="A234" s="48" t="s">
        <v>136</v>
      </c>
      <c r="B234" s="54" t="s">
        <v>70</v>
      </c>
      <c r="C234" s="50" t="s">
        <v>61</v>
      </c>
      <c r="D234" s="51" t="s">
        <v>28</v>
      </c>
      <c r="E234" s="50" t="s">
        <v>29</v>
      </c>
      <c r="F234" s="63" t="s">
        <v>137</v>
      </c>
      <c r="G234" s="56">
        <f t="shared" si="15"/>
        <v>19.0420105026257</v>
      </c>
      <c r="H234" s="57">
        <f t="shared" si="16"/>
        <v>228.447</v>
      </c>
      <c r="I234" s="28">
        <v>253.83</v>
      </c>
      <c r="J234" s="57">
        <f t="shared" si="17"/>
        <v>266.5215</v>
      </c>
      <c r="K234" s="57">
        <f t="shared" si="18"/>
        <v>214.74018</v>
      </c>
      <c r="L234" s="57">
        <f t="shared" si="19"/>
        <v>238.6002</v>
      </c>
    </row>
    <row r="235" ht="15" spans="1:12">
      <c r="A235" s="48" t="s">
        <v>136</v>
      </c>
      <c r="B235" s="54" t="s">
        <v>32</v>
      </c>
      <c r="C235" s="50" t="s">
        <v>61</v>
      </c>
      <c r="D235" s="51" t="s">
        <v>28</v>
      </c>
      <c r="E235" s="50" t="s">
        <v>29</v>
      </c>
      <c r="F235" s="55" t="s">
        <v>34</v>
      </c>
      <c r="G235" s="56">
        <f t="shared" si="15"/>
        <v>19.1582895723931</v>
      </c>
      <c r="H235" s="57">
        <f t="shared" si="16"/>
        <v>229.842</v>
      </c>
      <c r="I235" s="28">
        <v>255.38</v>
      </c>
      <c r="J235" s="57">
        <f t="shared" si="17"/>
        <v>268.149</v>
      </c>
      <c r="K235" s="57">
        <f t="shared" si="18"/>
        <v>216.05148</v>
      </c>
      <c r="L235" s="57">
        <f t="shared" si="19"/>
        <v>240.0572</v>
      </c>
    </row>
    <row r="236" ht="15" spans="1:12">
      <c r="A236" s="48" t="s">
        <v>136</v>
      </c>
      <c r="B236" s="54" t="s">
        <v>32</v>
      </c>
      <c r="C236" s="50" t="s">
        <v>128</v>
      </c>
      <c r="D236" s="51" t="s">
        <v>28</v>
      </c>
      <c r="E236" s="50" t="s">
        <v>29</v>
      </c>
      <c r="F236" s="55" t="s">
        <v>34</v>
      </c>
      <c r="G236" s="56">
        <f t="shared" si="15"/>
        <v>28.5371342835709</v>
      </c>
      <c r="H236" s="57">
        <f t="shared" si="16"/>
        <v>342.36</v>
      </c>
      <c r="I236" s="28">
        <v>380.4</v>
      </c>
      <c r="J236" s="57">
        <f t="shared" si="17"/>
        <v>399.42</v>
      </c>
      <c r="K236" s="57">
        <f t="shared" si="18"/>
        <v>321.8184</v>
      </c>
      <c r="L236" s="57">
        <f t="shared" si="19"/>
        <v>357.576</v>
      </c>
    </row>
    <row r="237" ht="15" spans="1:12">
      <c r="A237" s="48" t="s">
        <v>136</v>
      </c>
      <c r="B237" s="54" t="s">
        <v>71</v>
      </c>
      <c r="C237" s="50" t="s">
        <v>61</v>
      </c>
      <c r="D237" s="51" t="s">
        <v>28</v>
      </c>
      <c r="E237" s="50" t="s">
        <v>29</v>
      </c>
      <c r="F237" s="55" t="s">
        <v>72</v>
      </c>
      <c r="G237" s="56">
        <f t="shared" si="15"/>
        <v>19.8102025506377</v>
      </c>
      <c r="H237" s="57">
        <f t="shared" si="16"/>
        <v>237.663</v>
      </c>
      <c r="I237" s="28">
        <v>264.07</v>
      </c>
      <c r="J237" s="57">
        <f t="shared" si="17"/>
        <v>277.2735</v>
      </c>
      <c r="K237" s="57">
        <f t="shared" si="18"/>
        <v>223.40322</v>
      </c>
      <c r="L237" s="57">
        <f t="shared" si="19"/>
        <v>248.2258</v>
      </c>
    </row>
    <row r="238" ht="15" spans="1:12">
      <c r="A238" s="48" t="s">
        <v>136</v>
      </c>
      <c r="B238" s="54" t="s">
        <v>73</v>
      </c>
      <c r="C238" s="50" t="s">
        <v>47</v>
      </c>
      <c r="D238" s="51" t="s">
        <v>28</v>
      </c>
      <c r="E238" s="50" t="s">
        <v>29</v>
      </c>
      <c r="F238" s="55" t="s">
        <v>74</v>
      </c>
      <c r="G238" s="56">
        <f t="shared" si="15"/>
        <v>10.9302325581395</v>
      </c>
      <c r="H238" s="57">
        <f t="shared" si="16"/>
        <v>131.13</v>
      </c>
      <c r="I238" s="28">
        <v>145.7</v>
      </c>
      <c r="J238" s="57">
        <f t="shared" si="17"/>
        <v>152.985</v>
      </c>
      <c r="K238" s="57">
        <f t="shared" si="18"/>
        <v>123.2622</v>
      </c>
      <c r="L238" s="57">
        <f t="shared" si="19"/>
        <v>136.958</v>
      </c>
    </row>
    <row r="239" ht="15" spans="1:12">
      <c r="A239" s="48" t="s">
        <v>136</v>
      </c>
      <c r="B239" s="54" t="s">
        <v>73</v>
      </c>
      <c r="C239" s="50" t="s">
        <v>61</v>
      </c>
      <c r="D239" s="51" t="s">
        <v>28</v>
      </c>
      <c r="E239" s="50" t="s">
        <v>29</v>
      </c>
      <c r="F239" s="55" t="s">
        <v>74</v>
      </c>
      <c r="G239" s="56">
        <f t="shared" si="15"/>
        <v>19.0847711927982</v>
      </c>
      <c r="H239" s="57">
        <f t="shared" si="16"/>
        <v>228.96</v>
      </c>
      <c r="I239" s="28">
        <v>254.4</v>
      </c>
      <c r="J239" s="57">
        <f t="shared" si="17"/>
        <v>267.12</v>
      </c>
      <c r="K239" s="57">
        <f t="shared" si="18"/>
        <v>215.2224</v>
      </c>
      <c r="L239" s="57">
        <f t="shared" si="19"/>
        <v>239.136</v>
      </c>
    </row>
    <row r="240" ht="15" spans="1:12">
      <c r="A240" s="48" t="s">
        <v>136</v>
      </c>
      <c r="B240" s="54" t="s">
        <v>75</v>
      </c>
      <c r="C240" s="50" t="s">
        <v>61</v>
      </c>
      <c r="D240" s="51" t="s">
        <v>28</v>
      </c>
      <c r="E240" s="50" t="s">
        <v>29</v>
      </c>
      <c r="F240" s="55" t="s">
        <v>74</v>
      </c>
      <c r="G240" s="56">
        <f t="shared" si="15"/>
        <v>19.3750937734434</v>
      </c>
      <c r="H240" s="57">
        <f t="shared" si="16"/>
        <v>232.443</v>
      </c>
      <c r="I240" s="28">
        <v>258.27</v>
      </c>
      <c r="J240" s="57">
        <f t="shared" si="17"/>
        <v>271.1835</v>
      </c>
      <c r="K240" s="57">
        <f t="shared" si="18"/>
        <v>218.49642</v>
      </c>
      <c r="L240" s="57">
        <f t="shared" si="19"/>
        <v>242.7738</v>
      </c>
    </row>
    <row r="241" ht="15" spans="1:12">
      <c r="A241" s="48" t="s">
        <v>136</v>
      </c>
      <c r="B241" s="54" t="s">
        <v>76</v>
      </c>
      <c r="C241" s="50" t="s">
        <v>61</v>
      </c>
      <c r="D241" s="51" t="s">
        <v>28</v>
      </c>
      <c r="E241" s="50" t="s">
        <v>29</v>
      </c>
      <c r="F241" s="55" t="s">
        <v>74</v>
      </c>
      <c r="G241" s="56">
        <f t="shared" si="15"/>
        <v>19.5536384096024</v>
      </c>
      <c r="H241" s="57">
        <f t="shared" si="16"/>
        <v>234.585</v>
      </c>
      <c r="I241" s="28">
        <v>260.65</v>
      </c>
      <c r="J241" s="57">
        <f t="shared" si="17"/>
        <v>273.6825</v>
      </c>
      <c r="K241" s="57">
        <f t="shared" si="18"/>
        <v>220.5099</v>
      </c>
      <c r="L241" s="57">
        <f t="shared" si="19"/>
        <v>245.011</v>
      </c>
    </row>
    <row r="242" ht="15" spans="1:12">
      <c r="A242" s="48" t="s">
        <v>136</v>
      </c>
      <c r="B242" s="60" t="s">
        <v>80</v>
      </c>
      <c r="C242" s="61" t="s">
        <v>61</v>
      </c>
      <c r="D242" s="51" t="s">
        <v>28</v>
      </c>
      <c r="E242" s="50" t="s">
        <v>29</v>
      </c>
      <c r="F242" s="64" t="s">
        <v>79</v>
      </c>
      <c r="G242" s="56">
        <f t="shared" si="15"/>
        <v>21.1462865716429</v>
      </c>
      <c r="H242" s="57">
        <f t="shared" si="16"/>
        <v>253.692</v>
      </c>
      <c r="I242" s="28">
        <v>281.88</v>
      </c>
      <c r="J242" s="57">
        <f t="shared" si="17"/>
        <v>295.974</v>
      </c>
      <c r="K242" s="57">
        <f t="shared" si="18"/>
        <v>238.47048</v>
      </c>
      <c r="L242" s="57">
        <f t="shared" si="19"/>
        <v>264.9672</v>
      </c>
    </row>
    <row r="243" ht="15" spans="1:12">
      <c r="A243" s="48" t="s">
        <v>136</v>
      </c>
      <c r="B243" s="54" t="s">
        <v>83</v>
      </c>
      <c r="C243" s="50" t="s">
        <v>61</v>
      </c>
      <c r="D243" s="51" t="s">
        <v>28</v>
      </c>
      <c r="E243" s="50" t="s">
        <v>29</v>
      </c>
      <c r="F243" s="55" t="s">
        <v>82</v>
      </c>
      <c r="G243" s="56">
        <f t="shared" si="15"/>
        <v>20.7366841710428</v>
      </c>
      <c r="H243" s="57">
        <f t="shared" si="16"/>
        <v>248.778</v>
      </c>
      <c r="I243" s="28">
        <v>276.42</v>
      </c>
      <c r="J243" s="57">
        <f t="shared" si="17"/>
        <v>290.241</v>
      </c>
      <c r="K243" s="57">
        <f t="shared" si="18"/>
        <v>233.85132</v>
      </c>
      <c r="L243" s="57">
        <f t="shared" si="19"/>
        <v>259.8348</v>
      </c>
    </row>
    <row r="244" ht="15" spans="1:12">
      <c r="A244" s="48" t="s">
        <v>136</v>
      </c>
      <c r="B244" s="54" t="s">
        <v>36</v>
      </c>
      <c r="C244" s="50" t="s">
        <v>61</v>
      </c>
      <c r="D244" s="51" t="s">
        <v>28</v>
      </c>
      <c r="E244" s="50" t="s">
        <v>29</v>
      </c>
      <c r="F244" s="55" t="s">
        <v>37</v>
      </c>
      <c r="G244" s="56">
        <f t="shared" si="15"/>
        <v>20.927231807952</v>
      </c>
      <c r="H244" s="57">
        <f t="shared" si="16"/>
        <v>251.064</v>
      </c>
      <c r="I244" s="28">
        <v>278.96</v>
      </c>
      <c r="J244" s="57">
        <f t="shared" si="17"/>
        <v>292.908</v>
      </c>
      <c r="K244" s="57">
        <f t="shared" si="18"/>
        <v>236.00016</v>
      </c>
      <c r="L244" s="57">
        <f t="shared" si="19"/>
        <v>262.2224</v>
      </c>
    </row>
    <row r="245" ht="15" spans="1:12">
      <c r="A245" s="48" t="s">
        <v>136</v>
      </c>
      <c r="B245" s="54" t="s">
        <v>90</v>
      </c>
      <c r="C245" s="50" t="s">
        <v>61</v>
      </c>
      <c r="D245" s="51" t="s">
        <v>28</v>
      </c>
      <c r="E245" s="50" t="s">
        <v>29</v>
      </c>
      <c r="F245" s="55" t="s">
        <v>42</v>
      </c>
      <c r="G245" s="56">
        <f t="shared" si="15"/>
        <v>21.9159789947487</v>
      </c>
      <c r="H245" s="57">
        <f t="shared" si="16"/>
        <v>262.926</v>
      </c>
      <c r="I245" s="28">
        <v>292.14</v>
      </c>
      <c r="J245" s="57">
        <f t="shared" si="17"/>
        <v>306.747</v>
      </c>
      <c r="K245" s="57">
        <f t="shared" si="18"/>
        <v>247.15044</v>
      </c>
      <c r="L245" s="57">
        <f t="shared" si="19"/>
        <v>274.6116</v>
      </c>
    </row>
    <row r="246" ht="15" spans="1:12">
      <c r="A246" s="48" t="s">
        <v>136</v>
      </c>
      <c r="B246" s="54" t="s">
        <v>91</v>
      </c>
      <c r="C246" s="50" t="s">
        <v>61</v>
      </c>
      <c r="D246" s="51" t="s">
        <v>41</v>
      </c>
      <c r="E246" s="50" t="s">
        <v>29</v>
      </c>
      <c r="F246" s="55" t="s">
        <v>39</v>
      </c>
      <c r="G246" s="56">
        <f t="shared" si="15"/>
        <v>22.913728432108</v>
      </c>
      <c r="H246" s="57">
        <f t="shared" si="16"/>
        <v>274.896</v>
      </c>
      <c r="I246" s="28">
        <v>305.44</v>
      </c>
      <c r="J246" s="57">
        <f t="shared" si="17"/>
        <v>320.712</v>
      </c>
      <c r="K246" s="57">
        <f t="shared" si="18"/>
        <v>258.40224</v>
      </c>
      <c r="L246" s="57">
        <f t="shared" si="19"/>
        <v>287.1136</v>
      </c>
    </row>
    <row r="247" ht="15" spans="1:12">
      <c r="A247" s="48" t="s">
        <v>136</v>
      </c>
      <c r="B247" s="54" t="s">
        <v>91</v>
      </c>
      <c r="C247" s="50" t="s">
        <v>128</v>
      </c>
      <c r="D247" s="51" t="s">
        <v>41</v>
      </c>
      <c r="E247" s="50" t="s">
        <v>29</v>
      </c>
      <c r="F247" s="55" t="s">
        <v>37</v>
      </c>
      <c r="G247" s="56">
        <f t="shared" si="15"/>
        <v>29.9962490622656</v>
      </c>
      <c r="H247" s="57">
        <f t="shared" si="16"/>
        <v>359.865</v>
      </c>
      <c r="I247" s="28">
        <v>399.85</v>
      </c>
      <c r="J247" s="57">
        <f t="shared" si="17"/>
        <v>419.8425</v>
      </c>
      <c r="K247" s="57">
        <f t="shared" si="18"/>
        <v>338.2731</v>
      </c>
      <c r="L247" s="57">
        <f t="shared" si="19"/>
        <v>375.859</v>
      </c>
    </row>
    <row r="248" ht="15" spans="1:12">
      <c r="A248" s="48" t="s">
        <v>136</v>
      </c>
      <c r="B248" s="60" t="s">
        <v>93</v>
      </c>
      <c r="C248" s="61" t="s">
        <v>61</v>
      </c>
      <c r="D248" s="51" t="s">
        <v>41</v>
      </c>
      <c r="E248" s="50" t="s">
        <v>29</v>
      </c>
      <c r="F248" s="1" t="s">
        <v>44</v>
      </c>
      <c r="G248" s="56">
        <f t="shared" si="15"/>
        <v>23.4148537134284</v>
      </c>
      <c r="H248" s="57">
        <f t="shared" si="16"/>
        <v>280.908</v>
      </c>
      <c r="I248" s="28">
        <v>312.12</v>
      </c>
      <c r="J248" s="57">
        <f t="shared" si="17"/>
        <v>327.726</v>
      </c>
      <c r="K248" s="57">
        <f t="shared" si="18"/>
        <v>264.05352</v>
      </c>
      <c r="L248" s="57">
        <f t="shared" si="19"/>
        <v>293.3928</v>
      </c>
    </row>
    <row r="249" ht="15" spans="1:12">
      <c r="A249" s="48" t="s">
        <v>136</v>
      </c>
      <c r="B249" s="54" t="s">
        <v>45</v>
      </c>
      <c r="C249" s="50" t="s">
        <v>61</v>
      </c>
      <c r="D249" s="51" t="s">
        <v>41</v>
      </c>
      <c r="E249" s="50" t="s">
        <v>29</v>
      </c>
      <c r="F249" s="55" t="s">
        <v>46</v>
      </c>
      <c r="G249" s="56">
        <f t="shared" si="15"/>
        <v>22.4313578394599</v>
      </c>
      <c r="H249" s="57">
        <f t="shared" si="16"/>
        <v>269.109</v>
      </c>
      <c r="I249" s="28">
        <v>299.01</v>
      </c>
      <c r="J249" s="57">
        <f t="shared" si="17"/>
        <v>313.9605</v>
      </c>
      <c r="K249" s="57">
        <f t="shared" si="18"/>
        <v>252.96246</v>
      </c>
      <c r="L249" s="57">
        <f t="shared" si="19"/>
        <v>281.0694</v>
      </c>
    </row>
    <row r="250" ht="15" spans="1:12">
      <c r="A250" s="48" t="s">
        <v>136</v>
      </c>
      <c r="B250" s="54" t="s">
        <v>48</v>
      </c>
      <c r="C250" s="50" t="s">
        <v>61</v>
      </c>
      <c r="D250" s="51" t="s">
        <v>41</v>
      </c>
      <c r="E250" s="50" t="s">
        <v>29</v>
      </c>
      <c r="F250" s="55" t="s">
        <v>46</v>
      </c>
      <c r="G250" s="56">
        <f t="shared" si="15"/>
        <v>22.9752438109527</v>
      </c>
      <c r="H250" s="57">
        <f t="shared" si="16"/>
        <v>275.634</v>
      </c>
      <c r="I250" s="28">
        <v>306.26</v>
      </c>
      <c r="J250" s="57">
        <f t="shared" si="17"/>
        <v>321.573</v>
      </c>
      <c r="K250" s="57">
        <f t="shared" si="18"/>
        <v>259.09596</v>
      </c>
      <c r="L250" s="57">
        <f t="shared" si="19"/>
        <v>287.8844</v>
      </c>
    </row>
    <row r="251" ht="15" spans="1:12">
      <c r="A251" s="48" t="s">
        <v>136</v>
      </c>
      <c r="B251" s="54" t="s">
        <v>94</v>
      </c>
      <c r="C251" s="50" t="s">
        <v>47</v>
      </c>
      <c r="D251" s="51" t="s">
        <v>41</v>
      </c>
      <c r="E251" s="50" t="s">
        <v>29</v>
      </c>
      <c r="F251" s="55" t="s">
        <v>49</v>
      </c>
      <c r="G251" s="56">
        <f t="shared" si="15"/>
        <v>16.3210802700675</v>
      </c>
      <c r="H251" s="57">
        <f t="shared" si="16"/>
        <v>195.804</v>
      </c>
      <c r="I251" s="28">
        <v>217.56</v>
      </c>
      <c r="J251" s="57">
        <f t="shared" si="17"/>
        <v>228.438</v>
      </c>
      <c r="K251" s="57">
        <f t="shared" si="18"/>
        <v>184.05576</v>
      </c>
      <c r="L251" s="57">
        <f t="shared" si="19"/>
        <v>204.5064</v>
      </c>
    </row>
    <row r="252" ht="15" spans="1:12">
      <c r="A252" s="48" t="s">
        <v>136</v>
      </c>
      <c r="B252" s="54" t="s">
        <v>26</v>
      </c>
      <c r="C252" s="50" t="s">
        <v>27</v>
      </c>
      <c r="D252" s="51" t="s">
        <v>41</v>
      </c>
      <c r="E252" s="50" t="s">
        <v>29</v>
      </c>
      <c r="F252" s="55" t="s">
        <v>30</v>
      </c>
      <c r="G252" s="56">
        <f t="shared" si="15"/>
        <v>15.0457614403601</v>
      </c>
      <c r="H252" s="57">
        <f t="shared" si="16"/>
        <v>180.504</v>
      </c>
      <c r="I252" s="28">
        <v>200.56</v>
      </c>
      <c r="J252" s="57">
        <f t="shared" si="17"/>
        <v>210.588</v>
      </c>
      <c r="K252" s="57">
        <f t="shared" si="18"/>
        <v>169.67376</v>
      </c>
      <c r="L252" s="57">
        <f t="shared" si="19"/>
        <v>188.5264</v>
      </c>
    </row>
    <row r="253" ht="15" spans="1:12">
      <c r="A253" s="48" t="s">
        <v>136</v>
      </c>
      <c r="B253" s="54" t="s">
        <v>26</v>
      </c>
      <c r="C253" s="50" t="s">
        <v>61</v>
      </c>
      <c r="D253" s="51" t="s">
        <v>41</v>
      </c>
      <c r="E253" s="50" t="s">
        <v>29</v>
      </c>
      <c r="F253" s="55" t="s">
        <v>96</v>
      </c>
      <c r="G253" s="56">
        <f t="shared" si="15"/>
        <v>26.2918229557389</v>
      </c>
      <c r="H253" s="57">
        <f t="shared" si="16"/>
        <v>315.423</v>
      </c>
      <c r="I253" s="28">
        <v>350.47</v>
      </c>
      <c r="J253" s="57">
        <f t="shared" si="17"/>
        <v>367.9935</v>
      </c>
      <c r="K253" s="57">
        <f t="shared" si="18"/>
        <v>296.49762</v>
      </c>
      <c r="L253" s="57">
        <f t="shared" si="19"/>
        <v>329.4418</v>
      </c>
    </row>
    <row r="254" ht="15" spans="1:12">
      <c r="A254" s="48" t="s">
        <v>136</v>
      </c>
      <c r="B254" s="54" t="s">
        <v>99</v>
      </c>
      <c r="C254" s="50" t="s">
        <v>61</v>
      </c>
      <c r="D254" s="51" t="s">
        <v>41</v>
      </c>
      <c r="E254" s="50" t="s">
        <v>29</v>
      </c>
      <c r="F254" s="55" t="s">
        <v>30</v>
      </c>
      <c r="G254" s="56">
        <f t="shared" si="15"/>
        <v>26.5663915978995</v>
      </c>
      <c r="H254" s="57">
        <f t="shared" si="16"/>
        <v>318.717</v>
      </c>
      <c r="I254" s="28">
        <v>354.13</v>
      </c>
      <c r="J254" s="57">
        <f t="shared" si="17"/>
        <v>371.8365</v>
      </c>
      <c r="K254" s="57">
        <f t="shared" si="18"/>
        <v>299.59398</v>
      </c>
      <c r="L254" s="57">
        <f t="shared" si="19"/>
        <v>332.8822</v>
      </c>
    </row>
    <row r="255" ht="15" spans="1:12">
      <c r="A255" s="48" t="s">
        <v>136</v>
      </c>
      <c r="B255" s="54" t="s">
        <v>138</v>
      </c>
      <c r="C255" s="50" t="s">
        <v>128</v>
      </c>
      <c r="D255" s="51" t="s">
        <v>41</v>
      </c>
      <c r="E255" s="50" t="s">
        <v>29</v>
      </c>
      <c r="F255" s="55" t="s">
        <v>30</v>
      </c>
      <c r="G255" s="56">
        <f t="shared" si="15"/>
        <v>34.9474868717179</v>
      </c>
      <c r="H255" s="57">
        <f t="shared" si="16"/>
        <v>419.265</v>
      </c>
      <c r="I255" s="28">
        <v>465.85</v>
      </c>
      <c r="J255" s="57">
        <f t="shared" si="17"/>
        <v>489.1425</v>
      </c>
      <c r="K255" s="57">
        <f t="shared" si="18"/>
        <v>394.1091</v>
      </c>
      <c r="L255" s="57">
        <f t="shared" si="19"/>
        <v>437.899</v>
      </c>
    </row>
    <row r="256" ht="15" spans="1:12">
      <c r="A256" s="48" t="s">
        <v>136</v>
      </c>
      <c r="B256" s="54" t="s">
        <v>103</v>
      </c>
      <c r="C256" s="50" t="s">
        <v>47</v>
      </c>
      <c r="D256" s="51" t="s">
        <v>41</v>
      </c>
      <c r="E256" s="50" t="s">
        <v>29</v>
      </c>
      <c r="F256" s="55" t="s">
        <v>104</v>
      </c>
      <c r="G256" s="56">
        <f t="shared" si="15"/>
        <v>21.3480870217554</v>
      </c>
      <c r="H256" s="57">
        <f t="shared" si="16"/>
        <v>256.113</v>
      </c>
      <c r="I256" s="28">
        <v>284.57</v>
      </c>
      <c r="J256" s="57">
        <f t="shared" si="17"/>
        <v>298.7985</v>
      </c>
      <c r="K256" s="57">
        <f t="shared" si="18"/>
        <v>240.74622</v>
      </c>
      <c r="L256" s="57">
        <f t="shared" si="19"/>
        <v>267.4958</v>
      </c>
    </row>
    <row r="257" ht="15" spans="1:12">
      <c r="A257" s="48" t="s">
        <v>139</v>
      </c>
      <c r="B257" s="54" t="s">
        <v>68</v>
      </c>
      <c r="C257" s="50" t="s">
        <v>128</v>
      </c>
      <c r="D257" s="51" t="s">
        <v>28</v>
      </c>
      <c r="E257" s="50" t="s">
        <v>29</v>
      </c>
      <c r="F257" s="55" t="s">
        <v>137</v>
      </c>
      <c r="G257" s="56">
        <f t="shared" si="15"/>
        <v>29.5251312828207</v>
      </c>
      <c r="H257" s="57">
        <f t="shared" si="16"/>
        <v>354.213</v>
      </c>
      <c r="I257" s="28">
        <v>393.57</v>
      </c>
      <c r="J257" s="57">
        <f t="shared" si="17"/>
        <v>413.2485</v>
      </c>
      <c r="K257" s="57">
        <f t="shared" si="18"/>
        <v>332.96022</v>
      </c>
      <c r="L257" s="57">
        <f t="shared" si="19"/>
        <v>369.9558</v>
      </c>
    </row>
    <row r="258" ht="15" spans="1:12">
      <c r="A258" s="48" t="s">
        <v>139</v>
      </c>
      <c r="B258" s="54" t="s">
        <v>32</v>
      </c>
      <c r="C258" s="50" t="s">
        <v>128</v>
      </c>
      <c r="D258" s="51" t="s">
        <v>28</v>
      </c>
      <c r="E258" s="50" t="s">
        <v>29</v>
      </c>
      <c r="F258" s="55" t="s">
        <v>34</v>
      </c>
      <c r="G258" s="56">
        <f t="shared" si="15"/>
        <v>30.0112528132033</v>
      </c>
      <c r="H258" s="57">
        <f t="shared" si="16"/>
        <v>360.045</v>
      </c>
      <c r="I258" s="28">
        <v>400.05</v>
      </c>
      <c r="J258" s="57">
        <f t="shared" si="17"/>
        <v>420.0525</v>
      </c>
      <c r="K258" s="57">
        <f t="shared" si="18"/>
        <v>338.4423</v>
      </c>
      <c r="L258" s="57">
        <f t="shared" si="19"/>
        <v>376.047</v>
      </c>
    </row>
    <row r="259" ht="15" spans="1:12">
      <c r="A259" s="48" t="s">
        <v>139</v>
      </c>
      <c r="B259" s="54" t="s">
        <v>83</v>
      </c>
      <c r="C259" s="50" t="s">
        <v>128</v>
      </c>
      <c r="D259" s="51" t="s">
        <v>28</v>
      </c>
      <c r="E259" s="50" t="s">
        <v>29</v>
      </c>
      <c r="F259" s="55" t="s">
        <v>82</v>
      </c>
      <c r="G259" s="56">
        <f t="shared" si="15"/>
        <v>30.4718679669917</v>
      </c>
      <c r="H259" s="57">
        <f t="shared" si="16"/>
        <v>365.571</v>
      </c>
      <c r="I259" s="28">
        <v>406.19</v>
      </c>
      <c r="J259" s="57">
        <f t="shared" si="17"/>
        <v>426.4995</v>
      </c>
      <c r="K259" s="57">
        <f t="shared" si="18"/>
        <v>343.63674</v>
      </c>
      <c r="L259" s="57">
        <f t="shared" si="19"/>
        <v>381.8186</v>
      </c>
    </row>
    <row r="260" ht="15" spans="1:12">
      <c r="A260" s="48" t="s">
        <v>139</v>
      </c>
      <c r="B260" s="54" t="s">
        <v>45</v>
      </c>
      <c r="C260" s="50" t="s">
        <v>128</v>
      </c>
      <c r="D260" s="51" t="s">
        <v>41</v>
      </c>
      <c r="E260" s="50" t="s">
        <v>29</v>
      </c>
      <c r="F260" s="55" t="s">
        <v>42</v>
      </c>
      <c r="G260" s="56">
        <f t="shared" si="15"/>
        <v>32.7051762940735</v>
      </c>
      <c r="H260" s="57">
        <f t="shared" si="16"/>
        <v>392.364</v>
      </c>
      <c r="I260" s="28">
        <v>435.96</v>
      </c>
      <c r="J260" s="57">
        <f t="shared" si="17"/>
        <v>457.758</v>
      </c>
      <c r="K260" s="57">
        <f t="shared" si="18"/>
        <v>368.82216</v>
      </c>
      <c r="L260" s="57">
        <f t="shared" si="19"/>
        <v>409.8024</v>
      </c>
    </row>
    <row r="261" ht="15" spans="1:12">
      <c r="A261" s="48" t="s">
        <v>139</v>
      </c>
      <c r="B261" s="54" t="s">
        <v>97</v>
      </c>
      <c r="C261" s="50" t="s">
        <v>128</v>
      </c>
      <c r="D261" s="51" t="s">
        <v>41</v>
      </c>
      <c r="E261" s="50" t="s">
        <v>29</v>
      </c>
      <c r="F261" s="55" t="s">
        <v>49</v>
      </c>
      <c r="G261" s="56">
        <f t="shared" si="15"/>
        <v>34.1140285071268</v>
      </c>
      <c r="H261" s="57">
        <f t="shared" si="16"/>
        <v>409.266</v>
      </c>
      <c r="I261" s="28">
        <v>454.74</v>
      </c>
      <c r="J261" s="57">
        <f t="shared" si="17"/>
        <v>477.477</v>
      </c>
      <c r="K261" s="57">
        <f t="shared" si="18"/>
        <v>384.71004</v>
      </c>
      <c r="L261" s="57">
        <f t="shared" si="19"/>
        <v>427.4556</v>
      </c>
    </row>
    <row r="262" ht="15" spans="1:12">
      <c r="A262" s="48" t="s">
        <v>139</v>
      </c>
      <c r="B262" s="54" t="s">
        <v>26</v>
      </c>
      <c r="C262" s="50" t="s">
        <v>128</v>
      </c>
      <c r="D262" s="51" t="s">
        <v>41</v>
      </c>
      <c r="E262" s="50" t="s">
        <v>29</v>
      </c>
      <c r="F262" s="55" t="s">
        <v>96</v>
      </c>
      <c r="G262" s="56">
        <f t="shared" si="15"/>
        <v>35.9302325581395</v>
      </c>
      <c r="H262" s="57">
        <f t="shared" si="16"/>
        <v>431.055</v>
      </c>
      <c r="I262" s="28">
        <v>478.95</v>
      </c>
      <c r="J262" s="57">
        <f t="shared" si="17"/>
        <v>502.8975</v>
      </c>
      <c r="K262" s="57">
        <f t="shared" si="18"/>
        <v>405.1917</v>
      </c>
      <c r="L262" s="57">
        <f t="shared" si="19"/>
        <v>450.213</v>
      </c>
    </row>
    <row r="263" ht="15" spans="1:12">
      <c r="A263" s="48" t="s">
        <v>139</v>
      </c>
      <c r="B263" s="54" t="s">
        <v>103</v>
      </c>
      <c r="C263" s="50" t="s">
        <v>128</v>
      </c>
      <c r="D263" s="51" t="s">
        <v>41</v>
      </c>
      <c r="E263" s="50" t="s">
        <v>29</v>
      </c>
      <c r="F263" s="55" t="s">
        <v>101</v>
      </c>
      <c r="G263" s="56">
        <f t="shared" si="15"/>
        <v>38.1267816954239</v>
      </c>
      <c r="H263" s="57">
        <f t="shared" si="16"/>
        <v>457.407</v>
      </c>
      <c r="I263" s="28">
        <v>508.23</v>
      </c>
      <c r="J263" s="57">
        <f t="shared" si="17"/>
        <v>533.6415</v>
      </c>
      <c r="K263" s="57">
        <f t="shared" si="18"/>
        <v>429.96258</v>
      </c>
      <c r="L263" s="57">
        <f t="shared" si="19"/>
        <v>477.7362</v>
      </c>
    </row>
    <row r="264" ht="15" spans="1:12">
      <c r="A264" s="48" t="s">
        <v>139</v>
      </c>
      <c r="B264" s="54" t="s">
        <v>103</v>
      </c>
      <c r="C264" s="50" t="s">
        <v>140</v>
      </c>
      <c r="D264" s="51" t="s">
        <v>41</v>
      </c>
      <c r="E264" s="50" t="s">
        <v>29</v>
      </c>
      <c r="F264" s="55" t="s">
        <v>101</v>
      </c>
      <c r="G264" s="56">
        <f t="shared" si="15"/>
        <v>47.9834958739685</v>
      </c>
      <c r="H264" s="57">
        <f t="shared" si="16"/>
        <v>575.658</v>
      </c>
      <c r="I264" s="28">
        <v>639.62</v>
      </c>
      <c r="J264" s="57">
        <f t="shared" si="17"/>
        <v>671.601</v>
      </c>
      <c r="K264" s="57">
        <f t="shared" si="18"/>
        <v>541.11852</v>
      </c>
      <c r="L264" s="57">
        <f t="shared" si="19"/>
        <v>601.2428</v>
      </c>
    </row>
    <row r="265" ht="15" spans="1:12">
      <c r="A265" s="48" t="s">
        <v>139</v>
      </c>
      <c r="B265" s="54" t="s">
        <v>108</v>
      </c>
      <c r="C265" s="50" t="s">
        <v>128</v>
      </c>
      <c r="D265" s="51" t="s">
        <v>41</v>
      </c>
      <c r="E265" s="50" t="s">
        <v>29</v>
      </c>
      <c r="F265" s="55" t="s">
        <v>109</v>
      </c>
      <c r="G265" s="56">
        <f t="shared" si="15"/>
        <v>40.728432108027</v>
      </c>
      <c r="H265" s="57">
        <f t="shared" si="16"/>
        <v>488.619</v>
      </c>
      <c r="I265" s="28">
        <v>542.91</v>
      </c>
      <c r="J265" s="57">
        <f t="shared" si="17"/>
        <v>570.0555</v>
      </c>
      <c r="K265" s="57">
        <f t="shared" si="18"/>
        <v>459.30186</v>
      </c>
      <c r="L265" s="57">
        <f t="shared" si="19"/>
        <v>510.3354</v>
      </c>
    </row>
    <row r="266" ht="15" spans="1:12">
      <c r="A266" s="48" t="s">
        <v>139</v>
      </c>
      <c r="B266" s="54" t="s">
        <v>115</v>
      </c>
      <c r="C266" s="50" t="s">
        <v>47</v>
      </c>
      <c r="D266" s="51" t="s">
        <v>41</v>
      </c>
      <c r="E266" s="50" t="s">
        <v>29</v>
      </c>
      <c r="F266" s="55" t="s">
        <v>116</v>
      </c>
      <c r="G266" s="56">
        <f t="shared" si="15"/>
        <v>25.8049512378095</v>
      </c>
      <c r="H266" s="57">
        <f t="shared" si="16"/>
        <v>309.582</v>
      </c>
      <c r="I266" s="28">
        <v>343.98</v>
      </c>
      <c r="J266" s="57">
        <f t="shared" si="17"/>
        <v>361.179</v>
      </c>
      <c r="K266" s="57">
        <f t="shared" si="18"/>
        <v>291.00708</v>
      </c>
      <c r="L266" s="57">
        <f t="shared" si="19"/>
        <v>323.3412</v>
      </c>
    </row>
    <row r="267" ht="15" spans="1:12">
      <c r="A267" s="48" t="s">
        <v>141</v>
      </c>
      <c r="B267" s="54" t="s">
        <v>58</v>
      </c>
      <c r="C267" s="50" t="s">
        <v>27</v>
      </c>
      <c r="D267" s="51" t="s">
        <v>28</v>
      </c>
      <c r="E267" s="50" t="s">
        <v>29</v>
      </c>
      <c r="F267" s="55" t="s">
        <v>59</v>
      </c>
      <c r="G267" s="56">
        <f t="shared" ref="G267:G330" si="20">I267/13.33</f>
        <v>6.33383345836459</v>
      </c>
      <c r="H267" s="57">
        <f t="shared" ref="H267:H330" si="21">I267*0.9</f>
        <v>75.987</v>
      </c>
      <c r="I267" s="28">
        <v>84.43</v>
      </c>
      <c r="J267" s="57">
        <f t="shared" ref="J267:J330" si="22">I267*1.05</f>
        <v>88.6515</v>
      </c>
      <c r="K267" s="57">
        <f t="shared" ref="K267:K330" si="23">H267*0.94</f>
        <v>71.42778</v>
      </c>
      <c r="L267" s="57">
        <f t="shared" ref="L267:L330" si="24">I267*0.94</f>
        <v>79.3642</v>
      </c>
    </row>
    <row r="268" ht="15" spans="1:12">
      <c r="A268" s="48" t="s">
        <v>141</v>
      </c>
      <c r="B268" s="54" t="s">
        <v>26</v>
      </c>
      <c r="C268" s="50" t="s">
        <v>27</v>
      </c>
      <c r="D268" s="51" t="s">
        <v>41</v>
      </c>
      <c r="E268" s="50" t="s">
        <v>29</v>
      </c>
      <c r="F268" s="55" t="s">
        <v>30</v>
      </c>
      <c r="G268" s="56">
        <f t="shared" si="20"/>
        <v>16.0832708177044</v>
      </c>
      <c r="H268" s="57">
        <f t="shared" si="21"/>
        <v>192.951</v>
      </c>
      <c r="I268" s="28">
        <v>214.39</v>
      </c>
      <c r="J268" s="57">
        <f t="shared" si="22"/>
        <v>225.1095</v>
      </c>
      <c r="K268" s="57">
        <f t="shared" si="23"/>
        <v>181.37394</v>
      </c>
      <c r="L268" s="57">
        <f t="shared" si="24"/>
        <v>201.5266</v>
      </c>
    </row>
    <row r="269" ht="15" spans="1:12">
      <c r="A269" s="48" t="s">
        <v>142</v>
      </c>
      <c r="B269" s="54" t="s">
        <v>143</v>
      </c>
      <c r="C269" s="50" t="s">
        <v>27</v>
      </c>
      <c r="D269" s="51" t="s">
        <v>28</v>
      </c>
      <c r="E269" s="50" t="s">
        <v>53</v>
      </c>
      <c r="F269" s="55" t="s">
        <v>52</v>
      </c>
      <c r="G269" s="56">
        <f t="shared" si="20"/>
        <v>6.2205551387847</v>
      </c>
      <c r="H269" s="57">
        <f t="shared" si="21"/>
        <v>74.628</v>
      </c>
      <c r="I269" s="28">
        <v>82.92</v>
      </c>
      <c r="J269" s="57">
        <f t="shared" si="22"/>
        <v>87.066</v>
      </c>
      <c r="K269" s="57">
        <f t="shared" si="23"/>
        <v>70.15032</v>
      </c>
      <c r="L269" s="57">
        <f t="shared" si="24"/>
        <v>77.9448</v>
      </c>
    </row>
    <row r="270" ht="15" spans="1:12">
      <c r="A270" s="48" t="s">
        <v>142</v>
      </c>
      <c r="B270" s="54" t="s">
        <v>121</v>
      </c>
      <c r="C270" s="50" t="s">
        <v>27</v>
      </c>
      <c r="D270" s="51" t="s">
        <v>28</v>
      </c>
      <c r="E270" s="50" t="s">
        <v>29</v>
      </c>
      <c r="F270" s="55" t="s">
        <v>122</v>
      </c>
      <c r="G270" s="56">
        <f t="shared" si="20"/>
        <v>6.58364591147787</v>
      </c>
      <c r="H270" s="57">
        <f t="shared" si="21"/>
        <v>78.984</v>
      </c>
      <c r="I270" s="28">
        <v>87.76</v>
      </c>
      <c r="J270" s="57">
        <f t="shared" si="22"/>
        <v>92.148</v>
      </c>
      <c r="K270" s="57">
        <f t="shared" si="23"/>
        <v>74.24496</v>
      </c>
      <c r="L270" s="57">
        <f t="shared" si="24"/>
        <v>82.4944</v>
      </c>
    </row>
    <row r="271" ht="15" spans="1:12">
      <c r="A271" s="48" t="s">
        <v>142</v>
      </c>
      <c r="B271" s="54" t="s">
        <v>121</v>
      </c>
      <c r="C271" s="50" t="s">
        <v>47</v>
      </c>
      <c r="D271" s="51" t="s">
        <v>28</v>
      </c>
      <c r="E271" s="50" t="s">
        <v>29</v>
      </c>
      <c r="F271" s="55" t="s">
        <v>122</v>
      </c>
      <c r="G271" s="56">
        <f t="shared" si="20"/>
        <v>9.6721680420105</v>
      </c>
      <c r="H271" s="57">
        <f t="shared" si="21"/>
        <v>116.037</v>
      </c>
      <c r="I271" s="28">
        <v>128.93</v>
      </c>
      <c r="J271" s="57">
        <f t="shared" si="22"/>
        <v>135.3765</v>
      </c>
      <c r="K271" s="57">
        <f t="shared" si="23"/>
        <v>109.07478</v>
      </c>
      <c r="L271" s="57">
        <f t="shared" si="24"/>
        <v>121.1942</v>
      </c>
    </row>
    <row r="272" ht="15" spans="1:12">
      <c r="A272" s="48" t="s">
        <v>142</v>
      </c>
      <c r="B272" s="54" t="s">
        <v>54</v>
      </c>
      <c r="C272" s="50" t="s">
        <v>27</v>
      </c>
      <c r="D272" s="51" t="s">
        <v>28</v>
      </c>
      <c r="E272" s="50" t="s">
        <v>29</v>
      </c>
      <c r="F272" s="55" t="s">
        <v>57</v>
      </c>
      <c r="G272" s="56">
        <f t="shared" si="20"/>
        <v>6.11477869467367</v>
      </c>
      <c r="H272" s="57">
        <f t="shared" si="21"/>
        <v>73.359</v>
      </c>
      <c r="I272" s="28">
        <v>81.51</v>
      </c>
      <c r="J272" s="57">
        <f t="shared" si="22"/>
        <v>85.5855</v>
      </c>
      <c r="K272" s="57">
        <f t="shared" si="23"/>
        <v>68.95746</v>
      </c>
      <c r="L272" s="57">
        <f t="shared" si="24"/>
        <v>76.6194</v>
      </c>
    </row>
    <row r="273" ht="15" spans="1:12">
      <c r="A273" s="48" t="s">
        <v>142</v>
      </c>
      <c r="B273" s="54" t="s">
        <v>54</v>
      </c>
      <c r="C273" s="50" t="s">
        <v>47</v>
      </c>
      <c r="D273" s="51" t="s">
        <v>28</v>
      </c>
      <c r="E273" s="50" t="s">
        <v>29</v>
      </c>
      <c r="F273" s="55" t="s">
        <v>57</v>
      </c>
      <c r="G273" s="56">
        <f t="shared" si="20"/>
        <v>9.34208552138035</v>
      </c>
      <c r="H273" s="57">
        <f t="shared" si="21"/>
        <v>112.077</v>
      </c>
      <c r="I273" s="28">
        <v>124.53</v>
      </c>
      <c r="J273" s="57">
        <f t="shared" si="22"/>
        <v>130.7565</v>
      </c>
      <c r="K273" s="57">
        <f t="shared" si="23"/>
        <v>105.35238</v>
      </c>
      <c r="L273" s="57">
        <f t="shared" si="24"/>
        <v>117.0582</v>
      </c>
    </row>
    <row r="274" ht="15" spans="1:12">
      <c r="A274" s="48" t="s">
        <v>142</v>
      </c>
      <c r="B274" s="54" t="s">
        <v>56</v>
      </c>
      <c r="C274" s="50" t="s">
        <v>27</v>
      </c>
      <c r="D274" s="51" t="s">
        <v>28</v>
      </c>
      <c r="E274" s="50" t="s">
        <v>29</v>
      </c>
      <c r="F274" s="55" t="s">
        <v>57</v>
      </c>
      <c r="G274" s="56">
        <f t="shared" si="20"/>
        <v>6.11477869467367</v>
      </c>
      <c r="H274" s="57">
        <f t="shared" si="21"/>
        <v>73.359</v>
      </c>
      <c r="I274" s="28">
        <v>81.51</v>
      </c>
      <c r="J274" s="57">
        <f t="shared" si="22"/>
        <v>85.5855</v>
      </c>
      <c r="K274" s="57">
        <f t="shared" si="23"/>
        <v>68.95746</v>
      </c>
      <c r="L274" s="57">
        <f t="shared" si="24"/>
        <v>76.6194</v>
      </c>
    </row>
    <row r="275" ht="15" spans="1:12">
      <c r="A275" s="48" t="s">
        <v>142</v>
      </c>
      <c r="B275" s="54" t="s">
        <v>56</v>
      </c>
      <c r="C275" s="50" t="s">
        <v>47</v>
      </c>
      <c r="D275" s="51" t="s">
        <v>28</v>
      </c>
      <c r="E275" s="50" t="s">
        <v>29</v>
      </c>
      <c r="F275" s="55" t="s">
        <v>57</v>
      </c>
      <c r="G275" s="56">
        <f t="shared" si="20"/>
        <v>9.42985746436609</v>
      </c>
      <c r="H275" s="57">
        <f t="shared" si="21"/>
        <v>113.13</v>
      </c>
      <c r="I275" s="28">
        <v>125.7</v>
      </c>
      <c r="J275" s="57">
        <f t="shared" si="22"/>
        <v>131.985</v>
      </c>
      <c r="K275" s="57">
        <f t="shared" si="23"/>
        <v>106.3422</v>
      </c>
      <c r="L275" s="57">
        <f t="shared" si="24"/>
        <v>118.158</v>
      </c>
    </row>
    <row r="276" ht="15" spans="1:12">
      <c r="A276" s="48" t="s">
        <v>142</v>
      </c>
      <c r="B276" s="54" t="s">
        <v>144</v>
      </c>
      <c r="C276" s="50" t="s">
        <v>27</v>
      </c>
      <c r="D276" s="51" t="s">
        <v>28</v>
      </c>
      <c r="E276" s="50" t="s">
        <v>29</v>
      </c>
      <c r="F276" s="55" t="s">
        <v>57</v>
      </c>
      <c r="G276" s="56">
        <f t="shared" si="20"/>
        <v>6.0562640660165</v>
      </c>
      <c r="H276" s="57">
        <f t="shared" si="21"/>
        <v>72.657</v>
      </c>
      <c r="I276" s="28">
        <v>80.73</v>
      </c>
      <c r="J276" s="57">
        <f t="shared" si="22"/>
        <v>84.7665</v>
      </c>
      <c r="K276" s="57">
        <f t="shared" si="23"/>
        <v>68.29758</v>
      </c>
      <c r="L276" s="57">
        <f t="shared" si="24"/>
        <v>75.8862</v>
      </c>
    </row>
    <row r="277" ht="15" spans="1:12">
      <c r="A277" s="48" t="s">
        <v>142</v>
      </c>
      <c r="B277" s="54" t="s">
        <v>144</v>
      </c>
      <c r="C277" s="50" t="s">
        <v>47</v>
      </c>
      <c r="D277" s="51" t="s">
        <v>28</v>
      </c>
      <c r="E277" s="50" t="s">
        <v>29</v>
      </c>
      <c r="F277" s="55" t="s">
        <v>57</v>
      </c>
      <c r="G277" s="56">
        <f t="shared" si="20"/>
        <v>9.4291072768192</v>
      </c>
      <c r="H277" s="57">
        <f t="shared" si="21"/>
        <v>113.121</v>
      </c>
      <c r="I277" s="28">
        <v>125.69</v>
      </c>
      <c r="J277" s="57">
        <f t="shared" si="22"/>
        <v>131.9745</v>
      </c>
      <c r="K277" s="57">
        <f t="shared" si="23"/>
        <v>106.33374</v>
      </c>
      <c r="L277" s="57">
        <f t="shared" si="24"/>
        <v>118.1486</v>
      </c>
    </row>
    <row r="278" ht="15" spans="1:12">
      <c r="A278" s="48" t="s">
        <v>142</v>
      </c>
      <c r="B278" s="54" t="s">
        <v>144</v>
      </c>
      <c r="C278" s="50" t="s">
        <v>47</v>
      </c>
      <c r="D278" s="51" t="s">
        <v>28</v>
      </c>
      <c r="E278" s="50" t="s">
        <v>29</v>
      </c>
      <c r="F278" s="55" t="s">
        <v>145</v>
      </c>
      <c r="G278" s="56">
        <f t="shared" si="20"/>
        <v>12</v>
      </c>
      <c r="H278" s="57">
        <f t="shared" si="21"/>
        <v>143.964</v>
      </c>
      <c r="I278" s="28">
        <v>159.96</v>
      </c>
      <c r="J278" s="57">
        <f t="shared" si="22"/>
        <v>167.958</v>
      </c>
      <c r="K278" s="57">
        <f t="shared" si="23"/>
        <v>135.32616</v>
      </c>
      <c r="L278" s="57">
        <f t="shared" si="24"/>
        <v>150.3624</v>
      </c>
    </row>
    <row r="279" ht="15" spans="1:12">
      <c r="A279" s="48" t="s">
        <v>142</v>
      </c>
      <c r="B279" s="54" t="s">
        <v>58</v>
      </c>
      <c r="C279" s="50" t="s">
        <v>33</v>
      </c>
      <c r="D279" s="51" t="s">
        <v>28</v>
      </c>
      <c r="E279" s="50" t="s">
        <v>29</v>
      </c>
      <c r="F279" s="55" t="s">
        <v>59</v>
      </c>
      <c r="G279" s="56">
        <f t="shared" si="20"/>
        <v>5.43585896474119</v>
      </c>
      <c r="H279" s="57">
        <f t="shared" si="21"/>
        <v>65.214</v>
      </c>
      <c r="I279" s="28">
        <v>72.46</v>
      </c>
      <c r="J279" s="57">
        <f t="shared" si="22"/>
        <v>76.083</v>
      </c>
      <c r="K279" s="57">
        <f t="shared" si="23"/>
        <v>61.30116</v>
      </c>
      <c r="L279" s="57">
        <f t="shared" si="24"/>
        <v>68.1124</v>
      </c>
    </row>
    <row r="280" ht="15" spans="1:12">
      <c r="A280" s="48" t="s">
        <v>142</v>
      </c>
      <c r="B280" s="54" t="s">
        <v>58</v>
      </c>
      <c r="C280" s="50" t="s">
        <v>27</v>
      </c>
      <c r="D280" s="51" t="s">
        <v>28</v>
      </c>
      <c r="E280" s="50" t="s">
        <v>29</v>
      </c>
      <c r="F280" s="55" t="s">
        <v>59</v>
      </c>
      <c r="G280" s="56">
        <f t="shared" si="20"/>
        <v>6.11177794448612</v>
      </c>
      <c r="H280" s="57">
        <f t="shared" si="21"/>
        <v>73.323</v>
      </c>
      <c r="I280" s="28">
        <v>81.47</v>
      </c>
      <c r="J280" s="57">
        <f t="shared" si="22"/>
        <v>85.5435</v>
      </c>
      <c r="K280" s="57">
        <f t="shared" si="23"/>
        <v>68.92362</v>
      </c>
      <c r="L280" s="57">
        <f t="shared" si="24"/>
        <v>76.5818</v>
      </c>
    </row>
    <row r="281" ht="15" spans="1:12">
      <c r="A281" s="48" t="s">
        <v>142</v>
      </c>
      <c r="B281" s="54" t="s">
        <v>58</v>
      </c>
      <c r="C281" s="50" t="s">
        <v>60</v>
      </c>
      <c r="D281" s="51" t="s">
        <v>28</v>
      </c>
      <c r="E281" s="50" t="s">
        <v>29</v>
      </c>
      <c r="F281" s="55" t="s">
        <v>59</v>
      </c>
      <c r="G281" s="56">
        <f t="shared" si="20"/>
        <v>7.81320330082521</v>
      </c>
      <c r="H281" s="57">
        <f t="shared" si="21"/>
        <v>93.735</v>
      </c>
      <c r="I281" s="28">
        <v>104.15</v>
      </c>
      <c r="J281" s="57">
        <f t="shared" si="22"/>
        <v>109.3575</v>
      </c>
      <c r="K281" s="57">
        <f t="shared" si="23"/>
        <v>88.1109</v>
      </c>
      <c r="L281" s="57">
        <f t="shared" si="24"/>
        <v>97.901</v>
      </c>
    </row>
    <row r="282" ht="15" spans="1:12">
      <c r="A282" s="48" t="s">
        <v>142</v>
      </c>
      <c r="B282" s="54" t="s">
        <v>58</v>
      </c>
      <c r="C282" s="50" t="s">
        <v>47</v>
      </c>
      <c r="D282" s="51" t="s">
        <v>28</v>
      </c>
      <c r="E282" s="50" t="s">
        <v>29</v>
      </c>
      <c r="F282" s="55" t="s">
        <v>59</v>
      </c>
      <c r="G282" s="56">
        <f t="shared" si="20"/>
        <v>9.41485371342836</v>
      </c>
      <c r="H282" s="57">
        <f t="shared" si="21"/>
        <v>112.95</v>
      </c>
      <c r="I282" s="28">
        <v>125.5</v>
      </c>
      <c r="J282" s="57">
        <f t="shared" si="22"/>
        <v>131.775</v>
      </c>
      <c r="K282" s="57">
        <f t="shared" si="23"/>
        <v>106.173</v>
      </c>
      <c r="L282" s="57">
        <f t="shared" si="24"/>
        <v>117.97</v>
      </c>
    </row>
    <row r="283" ht="15" spans="1:12">
      <c r="A283" s="48" t="s">
        <v>142</v>
      </c>
      <c r="B283" s="54" t="s">
        <v>58</v>
      </c>
      <c r="C283" s="50" t="s">
        <v>61</v>
      </c>
      <c r="D283" s="51" t="s">
        <v>28</v>
      </c>
      <c r="E283" s="50" t="s">
        <v>29</v>
      </c>
      <c r="F283" s="55" t="s">
        <v>59</v>
      </c>
      <c r="G283" s="56">
        <f t="shared" si="20"/>
        <v>17.489872468117</v>
      </c>
      <c r="H283" s="57">
        <f t="shared" si="21"/>
        <v>209.826</v>
      </c>
      <c r="I283" s="28">
        <v>233.14</v>
      </c>
      <c r="J283" s="57">
        <f t="shared" si="22"/>
        <v>244.797</v>
      </c>
      <c r="K283" s="57">
        <f t="shared" si="23"/>
        <v>197.23644</v>
      </c>
      <c r="L283" s="57">
        <f t="shared" si="24"/>
        <v>219.1516</v>
      </c>
    </row>
    <row r="284" ht="15" spans="1:12">
      <c r="A284" s="48" t="s">
        <v>142</v>
      </c>
      <c r="B284" s="54" t="s">
        <v>64</v>
      </c>
      <c r="C284" s="50" t="s">
        <v>33</v>
      </c>
      <c r="D284" s="51" t="s">
        <v>28</v>
      </c>
      <c r="E284" s="50" t="s">
        <v>29</v>
      </c>
      <c r="F284" s="55" t="s">
        <v>59</v>
      </c>
      <c r="G284" s="56">
        <f t="shared" si="20"/>
        <v>5.54688672168042</v>
      </c>
      <c r="H284" s="57">
        <f t="shared" si="21"/>
        <v>66.546</v>
      </c>
      <c r="I284" s="28">
        <v>73.94</v>
      </c>
      <c r="J284" s="57">
        <f t="shared" si="22"/>
        <v>77.637</v>
      </c>
      <c r="K284" s="57">
        <f t="shared" si="23"/>
        <v>62.55324</v>
      </c>
      <c r="L284" s="57">
        <f t="shared" si="24"/>
        <v>69.5036</v>
      </c>
    </row>
    <row r="285" ht="15" spans="1:12">
      <c r="A285" s="48" t="s">
        <v>142</v>
      </c>
      <c r="B285" s="54" t="s">
        <v>64</v>
      </c>
      <c r="C285" s="50" t="s">
        <v>27</v>
      </c>
      <c r="D285" s="51" t="s">
        <v>28</v>
      </c>
      <c r="E285" s="50" t="s">
        <v>29</v>
      </c>
      <c r="F285" s="55" t="s">
        <v>59</v>
      </c>
      <c r="G285" s="56">
        <f t="shared" si="20"/>
        <v>6.26931732933233</v>
      </c>
      <c r="H285" s="57">
        <f t="shared" si="21"/>
        <v>75.213</v>
      </c>
      <c r="I285" s="28">
        <v>83.57</v>
      </c>
      <c r="J285" s="57">
        <f t="shared" si="22"/>
        <v>87.7485</v>
      </c>
      <c r="K285" s="57">
        <f t="shared" si="23"/>
        <v>70.70022</v>
      </c>
      <c r="L285" s="57">
        <f t="shared" si="24"/>
        <v>78.5558</v>
      </c>
    </row>
    <row r="286" ht="15" spans="1:12">
      <c r="A286" s="48" t="s">
        <v>142</v>
      </c>
      <c r="B286" s="54" t="s">
        <v>64</v>
      </c>
      <c r="C286" s="50" t="s">
        <v>47</v>
      </c>
      <c r="D286" s="51" t="s">
        <v>28</v>
      </c>
      <c r="E286" s="50" t="s">
        <v>29</v>
      </c>
      <c r="F286" s="55" t="s">
        <v>59</v>
      </c>
      <c r="G286" s="56">
        <f t="shared" si="20"/>
        <v>9.47186796699175</v>
      </c>
      <c r="H286" s="57">
        <f t="shared" si="21"/>
        <v>113.634</v>
      </c>
      <c r="I286" s="28">
        <v>126.26</v>
      </c>
      <c r="J286" s="57">
        <f t="shared" si="22"/>
        <v>132.573</v>
      </c>
      <c r="K286" s="57">
        <f t="shared" si="23"/>
        <v>106.81596</v>
      </c>
      <c r="L286" s="57">
        <f t="shared" si="24"/>
        <v>118.6844</v>
      </c>
    </row>
    <row r="287" ht="15" spans="1:12">
      <c r="A287" s="48" t="s">
        <v>142</v>
      </c>
      <c r="B287" s="54" t="s">
        <v>66</v>
      </c>
      <c r="C287" s="50" t="s">
        <v>27</v>
      </c>
      <c r="D287" s="51" t="s">
        <v>28</v>
      </c>
      <c r="E287" s="50" t="s">
        <v>29</v>
      </c>
      <c r="F287" s="55" t="s">
        <v>67</v>
      </c>
      <c r="G287" s="56">
        <f t="shared" si="20"/>
        <v>6.31807951987997</v>
      </c>
      <c r="H287" s="57">
        <f t="shared" si="21"/>
        <v>75.798</v>
      </c>
      <c r="I287" s="28">
        <v>84.22</v>
      </c>
      <c r="J287" s="57">
        <f t="shared" si="22"/>
        <v>88.431</v>
      </c>
      <c r="K287" s="57">
        <f t="shared" si="23"/>
        <v>71.25012</v>
      </c>
      <c r="L287" s="57">
        <f t="shared" si="24"/>
        <v>79.1668</v>
      </c>
    </row>
    <row r="288" ht="15" spans="1:12">
      <c r="A288" s="48" t="s">
        <v>142</v>
      </c>
      <c r="B288" s="54" t="s">
        <v>66</v>
      </c>
      <c r="C288" s="50" t="s">
        <v>47</v>
      </c>
      <c r="D288" s="51" t="s">
        <v>28</v>
      </c>
      <c r="E288" s="50" t="s">
        <v>29</v>
      </c>
      <c r="F288" s="55" t="s">
        <v>67</v>
      </c>
      <c r="G288" s="56">
        <f t="shared" si="20"/>
        <v>9.62265566391598</v>
      </c>
      <c r="H288" s="57">
        <f t="shared" si="21"/>
        <v>115.443</v>
      </c>
      <c r="I288" s="28">
        <v>128.27</v>
      </c>
      <c r="J288" s="57">
        <f t="shared" si="22"/>
        <v>134.6835</v>
      </c>
      <c r="K288" s="57">
        <f t="shared" si="23"/>
        <v>108.51642</v>
      </c>
      <c r="L288" s="57">
        <f t="shared" si="24"/>
        <v>120.5738</v>
      </c>
    </row>
    <row r="289" ht="15" spans="1:12">
      <c r="A289" s="48" t="s">
        <v>142</v>
      </c>
      <c r="B289" s="54" t="s">
        <v>70</v>
      </c>
      <c r="C289" s="50" t="s">
        <v>33</v>
      </c>
      <c r="D289" s="51" t="s">
        <v>28</v>
      </c>
      <c r="E289" s="50" t="s">
        <v>29</v>
      </c>
      <c r="F289" s="55" t="s">
        <v>69</v>
      </c>
      <c r="G289" s="56">
        <f t="shared" si="20"/>
        <v>5.59564891222806</v>
      </c>
      <c r="H289" s="57">
        <f t="shared" si="21"/>
        <v>67.131</v>
      </c>
      <c r="I289" s="28">
        <v>74.59</v>
      </c>
      <c r="J289" s="57">
        <f t="shared" si="22"/>
        <v>78.3195</v>
      </c>
      <c r="K289" s="57">
        <f t="shared" si="23"/>
        <v>63.10314</v>
      </c>
      <c r="L289" s="57">
        <f t="shared" si="24"/>
        <v>70.1146</v>
      </c>
    </row>
    <row r="290" ht="15" spans="1:12">
      <c r="A290" s="48" t="s">
        <v>142</v>
      </c>
      <c r="B290" s="54" t="s">
        <v>70</v>
      </c>
      <c r="C290" s="50" t="s">
        <v>35</v>
      </c>
      <c r="D290" s="51" t="s">
        <v>28</v>
      </c>
      <c r="E290" s="50" t="s">
        <v>29</v>
      </c>
      <c r="F290" s="55" t="s">
        <v>69</v>
      </c>
      <c r="G290" s="56">
        <f t="shared" si="20"/>
        <v>5.46436609152288</v>
      </c>
      <c r="H290" s="57">
        <f t="shared" si="21"/>
        <v>65.556</v>
      </c>
      <c r="I290" s="28">
        <v>72.84</v>
      </c>
      <c r="J290" s="57">
        <f t="shared" si="22"/>
        <v>76.482</v>
      </c>
      <c r="K290" s="57">
        <f t="shared" si="23"/>
        <v>61.62264</v>
      </c>
      <c r="L290" s="57">
        <f t="shared" si="24"/>
        <v>68.4696</v>
      </c>
    </row>
    <row r="291" ht="15" spans="1:12">
      <c r="A291" s="48" t="s">
        <v>142</v>
      </c>
      <c r="B291" s="54" t="s">
        <v>70</v>
      </c>
      <c r="C291" s="50" t="s">
        <v>27</v>
      </c>
      <c r="D291" s="51" t="s">
        <v>28</v>
      </c>
      <c r="E291" s="50" t="s">
        <v>29</v>
      </c>
      <c r="F291" s="55" t="s">
        <v>69</v>
      </c>
      <c r="G291" s="56">
        <f t="shared" si="20"/>
        <v>6.33233308327082</v>
      </c>
      <c r="H291" s="57">
        <f t="shared" si="21"/>
        <v>75.969</v>
      </c>
      <c r="I291" s="28">
        <v>84.41</v>
      </c>
      <c r="J291" s="57">
        <f t="shared" si="22"/>
        <v>88.6305</v>
      </c>
      <c r="K291" s="57">
        <f t="shared" si="23"/>
        <v>71.41086</v>
      </c>
      <c r="L291" s="57">
        <f t="shared" si="24"/>
        <v>79.3454</v>
      </c>
    </row>
    <row r="292" ht="15" spans="1:12">
      <c r="A292" s="48" t="s">
        <v>142</v>
      </c>
      <c r="B292" s="54" t="s">
        <v>70</v>
      </c>
      <c r="C292" s="50" t="s">
        <v>27</v>
      </c>
      <c r="D292" s="51" t="s">
        <v>28</v>
      </c>
      <c r="E292" s="50" t="s">
        <v>29</v>
      </c>
      <c r="F292" s="55" t="s">
        <v>34</v>
      </c>
      <c r="G292" s="56">
        <f t="shared" si="20"/>
        <v>7.3278319579895</v>
      </c>
      <c r="H292" s="57">
        <f t="shared" si="21"/>
        <v>87.912</v>
      </c>
      <c r="I292" s="28">
        <v>97.68</v>
      </c>
      <c r="J292" s="57">
        <f t="shared" si="22"/>
        <v>102.564</v>
      </c>
      <c r="K292" s="57">
        <f t="shared" si="23"/>
        <v>82.63728</v>
      </c>
      <c r="L292" s="57">
        <f t="shared" si="24"/>
        <v>91.8192</v>
      </c>
    </row>
    <row r="293" ht="15" spans="1:12">
      <c r="A293" s="48" t="s">
        <v>142</v>
      </c>
      <c r="B293" s="54" t="s">
        <v>70</v>
      </c>
      <c r="C293" s="50" t="s">
        <v>47</v>
      </c>
      <c r="D293" s="51" t="s">
        <v>28</v>
      </c>
      <c r="E293" s="50" t="s">
        <v>29</v>
      </c>
      <c r="F293" s="55" t="s">
        <v>69</v>
      </c>
      <c r="G293" s="56">
        <f t="shared" si="20"/>
        <v>9.55138784696174</v>
      </c>
      <c r="H293" s="57">
        <f t="shared" si="21"/>
        <v>114.588</v>
      </c>
      <c r="I293" s="28">
        <v>127.32</v>
      </c>
      <c r="J293" s="57">
        <f t="shared" si="22"/>
        <v>133.686</v>
      </c>
      <c r="K293" s="57">
        <f t="shared" si="23"/>
        <v>107.71272</v>
      </c>
      <c r="L293" s="57">
        <f t="shared" si="24"/>
        <v>119.6808</v>
      </c>
    </row>
    <row r="294" ht="15" spans="1:12">
      <c r="A294" s="48" t="s">
        <v>142</v>
      </c>
      <c r="B294" s="54" t="s">
        <v>70</v>
      </c>
      <c r="C294" s="50" t="s">
        <v>61</v>
      </c>
      <c r="D294" s="51" t="s">
        <v>28</v>
      </c>
      <c r="E294" s="50" t="s">
        <v>29</v>
      </c>
      <c r="F294" s="55" t="s">
        <v>69</v>
      </c>
      <c r="G294" s="56">
        <f t="shared" si="20"/>
        <v>18.4718679669917</v>
      </c>
      <c r="H294" s="57">
        <f t="shared" si="21"/>
        <v>221.607</v>
      </c>
      <c r="I294" s="28">
        <v>246.23</v>
      </c>
      <c r="J294" s="57">
        <f t="shared" si="22"/>
        <v>258.5415</v>
      </c>
      <c r="K294" s="57">
        <f t="shared" si="23"/>
        <v>208.31058</v>
      </c>
      <c r="L294" s="57">
        <f t="shared" si="24"/>
        <v>231.4562</v>
      </c>
    </row>
    <row r="295" ht="15" spans="1:12">
      <c r="A295" s="48" t="s">
        <v>142</v>
      </c>
      <c r="B295" s="54" t="s">
        <v>32</v>
      </c>
      <c r="C295" s="50" t="s">
        <v>33</v>
      </c>
      <c r="D295" s="51" t="s">
        <v>28</v>
      </c>
      <c r="E295" s="50" t="s">
        <v>29</v>
      </c>
      <c r="F295" s="55" t="s">
        <v>34</v>
      </c>
      <c r="G295" s="56">
        <f t="shared" si="20"/>
        <v>6.81320330082521</v>
      </c>
      <c r="H295" s="57">
        <f t="shared" si="21"/>
        <v>81.738</v>
      </c>
      <c r="I295" s="28">
        <v>90.82</v>
      </c>
      <c r="J295" s="57">
        <f t="shared" si="22"/>
        <v>95.361</v>
      </c>
      <c r="K295" s="57">
        <f t="shared" si="23"/>
        <v>76.83372</v>
      </c>
      <c r="L295" s="57">
        <f t="shared" si="24"/>
        <v>85.3708</v>
      </c>
    </row>
    <row r="296" ht="15" spans="1:12">
      <c r="A296" s="48" t="s">
        <v>142</v>
      </c>
      <c r="B296" s="54" t="s">
        <v>32</v>
      </c>
      <c r="C296" s="50" t="s">
        <v>27</v>
      </c>
      <c r="D296" s="51" t="s">
        <v>28</v>
      </c>
      <c r="E296" s="50" t="s">
        <v>29</v>
      </c>
      <c r="F296" s="55" t="s">
        <v>34</v>
      </c>
      <c r="G296" s="56">
        <f t="shared" si="20"/>
        <v>7.80270067516879</v>
      </c>
      <c r="H296" s="57">
        <f t="shared" si="21"/>
        <v>93.609</v>
      </c>
      <c r="I296" s="28">
        <v>104.01</v>
      </c>
      <c r="J296" s="57">
        <f t="shared" si="22"/>
        <v>109.2105</v>
      </c>
      <c r="K296" s="57">
        <f t="shared" si="23"/>
        <v>87.99246</v>
      </c>
      <c r="L296" s="57">
        <f t="shared" si="24"/>
        <v>97.7694</v>
      </c>
    </row>
    <row r="297" ht="15" spans="1:12">
      <c r="A297" s="48" t="s">
        <v>142</v>
      </c>
      <c r="B297" s="54" t="s">
        <v>32</v>
      </c>
      <c r="C297" s="50" t="s">
        <v>60</v>
      </c>
      <c r="D297" s="51" t="s">
        <v>28</v>
      </c>
      <c r="E297" s="50" t="s">
        <v>29</v>
      </c>
      <c r="F297" s="55" t="s">
        <v>34</v>
      </c>
      <c r="G297" s="56">
        <f t="shared" si="20"/>
        <v>9.45986496624156</v>
      </c>
      <c r="H297" s="57">
        <f t="shared" si="21"/>
        <v>113.49</v>
      </c>
      <c r="I297" s="28">
        <v>126.1</v>
      </c>
      <c r="J297" s="57">
        <f t="shared" si="22"/>
        <v>132.405</v>
      </c>
      <c r="K297" s="57">
        <f t="shared" si="23"/>
        <v>106.6806</v>
      </c>
      <c r="L297" s="57">
        <f t="shared" si="24"/>
        <v>118.534</v>
      </c>
    </row>
    <row r="298" ht="15" spans="1:12">
      <c r="A298" s="48" t="s">
        <v>142</v>
      </c>
      <c r="B298" s="54" t="s">
        <v>32</v>
      </c>
      <c r="C298" s="50" t="s">
        <v>47</v>
      </c>
      <c r="D298" s="51" t="s">
        <v>28</v>
      </c>
      <c r="E298" s="50" t="s">
        <v>29</v>
      </c>
      <c r="F298" s="55" t="s">
        <v>34</v>
      </c>
      <c r="G298" s="56">
        <f t="shared" si="20"/>
        <v>11.0555138784696</v>
      </c>
      <c r="H298" s="57">
        <f t="shared" si="21"/>
        <v>132.633</v>
      </c>
      <c r="I298" s="28">
        <v>147.37</v>
      </c>
      <c r="J298" s="57">
        <f t="shared" si="22"/>
        <v>154.7385</v>
      </c>
      <c r="K298" s="57">
        <f t="shared" si="23"/>
        <v>124.67502</v>
      </c>
      <c r="L298" s="57">
        <f t="shared" si="24"/>
        <v>138.5278</v>
      </c>
    </row>
    <row r="299" ht="15" spans="1:12">
      <c r="A299" s="48" t="s">
        <v>142</v>
      </c>
      <c r="B299" s="54" t="s">
        <v>71</v>
      </c>
      <c r="C299" s="50" t="s">
        <v>33</v>
      </c>
      <c r="D299" s="51" t="s">
        <v>28</v>
      </c>
      <c r="E299" s="50" t="s">
        <v>29</v>
      </c>
      <c r="F299" s="55" t="s">
        <v>72</v>
      </c>
      <c r="G299" s="56">
        <f t="shared" si="20"/>
        <v>7.08777194298575</v>
      </c>
      <c r="H299" s="57">
        <f t="shared" si="21"/>
        <v>85.032</v>
      </c>
      <c r="I299" s="28">
        <v>94.48</v>
      </c>
      <c r="J299" s="57">
        <f t="shared" si="22"/>
        <v>99.204</v>
      </c>
      <c r="K299" s="57">
        <f t="shared" si="23"/>
        <v>79.93008</v>
      </c>
      <c r="L299" s="57">
        <f t="shared" si="24"/>
        <v>88.8112</v>
      </c>
    </row>
    <row r="300" ht="15" spans="1:12">
      <c r="A300" s="48" t="s">
        <v>142</v>
      </c>
      <c r="B300" s="54" t="s">
        <v>71</v>
      </c>
      <c r="C300" s="50" t="s">
        <v>27</v>
      </c>
      <c r="D300" s="51" t="s">
        <v>28</v>
      </c>
      <c r="E300" s="50" t="s">
        <v>29</v>
      </c>
      <c r="F300" s="55" t="s">
        <v>72</v>
      </c>
      <c r="G300" s="56">
        <f t="shared" si="20"/>
        <v>7.94748687171793</v>
      </c>
      <c r="H300" s="57">
        <f t="shared" si="21"/>
        <v>95.346</v>
      </c>
      <c r="I300" s="28">
        <v>105.94</v>
      </c>
      <c r="J300" s="57">
        <f t="shared" si="22"/>
        <v>111.237</v>
      </c>
      <c r="K300" s="57">
        <f t="shared" si="23"/>
        <v>89.62524</v>
      </c>
      <c r="L300" s="57">
        <f t="shared" si="24"/>
        <v>99.5836</v>
      </c>
    </row>
    <row r="301" ht="15" spans="1:12">
      <c r="A301" s="48" t="s">
        <v>142</v>
      </c>
      <c r="B301" s="54" t="s">
        <v>71</v>
      </c>
      <c r="C301" s="50" t="s">
        <v>47</v>
      </c>
      <c r="D301" s="51" t="s">
        <v>28</v>
      </c>
      <c r="E301" s="50" t="s">
        <v>29</v>
      </c>
      <c r="F301" s="55" t="s">
        <v>72</v>
      </c>
      <c r="G301" s="56">
        <f t="shared" si="20"/>
        <v>11.2415603900975</v>
      </c>
      <c r="H301" s="57">
        <f t="shared" si="21"/>
        <v>134.865</v>
      </c>
      <c r="I301" s="28">
        <v>149.85</v>
      </c>
      <c r="J301" s="57">
        <f t="shared" si="22"/>
        <v>157.3425</v>
      </c>
      <c r="K301" s="57">
        <f t="shared" si="23"/>
        <v>126.7731</v>
      </c>
      <c r="L301" s="57">
        <f t="shared" si="24"/>
        <v>140.859</v>
      </c>
    </row>
    <row r="302" ht="15" spans="1:12">
      <c r="A302" s="59" t="s">
        <v>142</v>
      </c>
      <c r="B302" s="60" t="s">
        <v>71</v>
      </c>
      <c r="C302" s="61" t="s">
        <v>61</v>
      </c>
      <c r="D302" s="58" t="s">
        <v>28</v>
      </c>
      <c r="E302" s="61" t="s">
        <v>29</v>
      </c>
      <c r="F302" s="63" t="s">
        <v>72</v>
      </c>
      <c r="G302" s="56">
        <f t="shared" si="20"/>
        <v>20.3915978994749</v>
      </c>
      <c r="H302" s="62">
        <f t="shared" si="21"/>
        <v>244.638</v>
      </c>
      <c r="I302" s="28">
        <v>271.82</v>
      </c>
      <c r="J302" s="62">
        <f t="shared" si="22"/>
        <v>285.411</v>
      </c>
      <c r="K302" s="62">
        <f t="shared" si="23"/>
        <v>229.95972</v>
      </c>
      <c r="L302" s="62">
        <f t="shared" si="24"/>
        <v>255.5108</v>
      </c>
    </row>
    <row r="303" ht="15" spans="1:12">
      <c r="A303" s="48" t="s">
        <v>142</v>
      </c>
      <c r="B303" s="54" t="s">
        <v>73</v>
      </c>
      <c r="C303" s="50" t="s">
        <v>33</v>
      </c>
      <c r="D303" s="51" t="s">
        <v>28</v>
      </c>
      <c r="E303" s="50" t="s">
        <v>29</v>
      </c>
      <c r="F303" s="55" t="s">
        <v>74</v>
      </c>
      <c r="G303" s="56">
        <f t="shared" si="20"/>
        <v>6.9887471867967</v>
      </c>
      <c r="H303" s="57">
        <f t="shared" si="21"/>
        <v>83.844</v>
      </c>
      <c r="I303" s="28">
        <v>93.16</v>
      </c>
      <c r="J303" s="57">
        <f t="shared" si="22"/>
        <v>97.818</v>
      </c>
      <c r="K303" s="57">
        <f t="shared" si="23"/>
        <v>78.81336</v>
      </c>
      <c r="L303" s="57">
        <f t="shared" si="24"/>
        <v>87.5704</v>
      </c>
    </row>
    <row r="304" ht="15" spans="1:12">
      <c r="A304" s="48" t="s">
        <v>142</v>
      </c>
      <c r="B304" s="54" t="s">
        <v>73</v>
      </c>
      <c r="C304" s="50" t="s">
        <v>27</v>
      </c>
      <c r="D304" s="58" t="s">
        <v>41</v>
      </c>
      <c r="E304" s="50" t="s">
        <v>29</v>
      </c>
      <c r="F304" s="55" t="s">
        <v>74</v>
      </c>
      <c r="G304" s="56">
        <f t="shared" si="20"/>
        <v>7.60765191297824</v>
      </c>
      <c r="H304" s="57">
        <f t="shared" si="21"/>
        <v>91.269</v>
      </c>
      <c r="I304" s="28">
        <v>101.41</v>
      </c>
      <c r="J304" s="57">
        <f t="shared" si="22"/>
        <v>106.4805</v>
      </c>
      <c r="K304" s="57">
        <f t="shared" si="23"/>
        <v>85.79286</v>
      </c>
      <c r="L304" s="57">
        <f t="shared" si="24"/>
        <v>95.3254</v>
      </c>
    </row>
    <row r="305" ht="15" spans="1:12">
      <c r="A305" s="48" t="s">
        <v>142</v>
      </c>
      <c r="B305" s="54" t="s">
        <v>73</v>
      </c>
      <c r="C305" s="50" t="s">
        <v>27</v>
      </c>
      <c r="D305" s="51" t="s">
        <v>28</v>
      </c>
      <c r="E305" s="50" t="s">
        <v>29</v>
      </c>
      <c r="F305" s="55" t="s">
        <v>74</v>
      </c>
      <c r="G305" s="56">
        <f t="shared" si="20"/>
        <v>7.60765191297824</v>
      </c>
      <c r="H305" s="57">
        <f t="shared" si="21"/>
        <v>91.269</v>
      </c>
      <c r="I305" s="28">
        <v>101.41</v>
      </c>
      <c r="J305" s="57">
        <f t="shared" si="22"/>
        <v>106.4805</v>
      </c>
      <c r="K305" s="57">
        <f t="shared" si="23"/>
        <v>85.79286</v>
      </c>
      <c r="L305" s="57">
        <f t="shared" si="24"/>
        <v>95.3254</v>
      </c>
    </row>
    <row r="306" ht="15" spans="1:12">
      <c r="A306" s="48" t="s">
        <v>142</v>
      </c>
      <c r="B306" s="54" t="s">
        <v>73</v>
      </c>
      <c r="C306" s="50" t="s">
        <v>47</v>
      </c>
      <c r="D306" s="51" t="s">
        <v>28</v>
      </c>
      <c r="E306" s="50" t="s">
        <v>29</v>
      </c>
      <c r="F306" s="55" t="s">
        <v>74</v>
      </c>
      <c r="G306" s="56">
        <f t="shared" si="20"/>
        <v>10.801200300075</v>
      </c>
      <c r="H306" s="57">
        <f t="shared" si="21"/>
        <v>129.582</v>
      </c>
      <c r="I306" s="28">
        <v>143.98</v>
      </c>
      <c r="J306" s="57">
        <f t="shared" si="22"/>
        <v>151.179</v>
      </c>
      <c r="K306" s="57">
        <f t="shared" si="23"/>
        <v>121.80708</v>
      </c>
      <c r="L306" s="57">
        <f t="shared" si="24"/>
        <v>135.3412</v>
      </c>
    </row>
    <row r="307" ht="15" spans="1:12">
      <c r="A307" s="48" t="s">
        <v>142</v>
      </c>
      <c r="B307" s="54" t="s">
        <v>75</v>
      </c>
      <c r="C307" s="50" t="s">
        <v>33</v>
      </c>
      <c r="D307" s="51" t="s">
        <v>28</v>
      </c>
      <c r="E307" s="50" t="s">
        <v>29</v>
      </c>
      <c r="F307" s="55" t="s">
        <v>74</v>
      </c>
      <c r="G307" s="56">
        <f t="shared" si="20"/>
        <v>6.92123030757689</v>
      </c>
      <c r="H307" s="57">
        <f t="shared" si="21"/>
        <v>83.034</v>
      </c>
      <c r="I307" s="28">
        <v>92.26</v>
      </c>
      <c r="J307" s="57">
        <f t="shared" si="22"/>
        <v>96.873</v>
      </c>
      <c r="K307" s="57">
        <f t="shared" si="23"/>
        <v>78.05196</v>
      </c>
      <c r="L307" s="57">
        <f t="shared" si="24"/>
        <v>86.7244</v>
      </c>
    </row>
    <row r="308" ht="15" spans="1:12">
      <c r="A308" s="48" t="s">
        <v>142</v>
      </c>
      <c r="B308" s="54" t="s">
        <v>75</v>
      </c>
      <c r="C308" s="50" t="s">
        <v>27</v>
      </c>
      <c r="D308" s="51" t="s">
        <v>28</v>
      </c>
      <c r="E308" s="50" t="s">
        <v>29</v>
      </c>
      <c r="F308" s="55" t="s">
        <v>74</v>
      </c>
      <c r="G308" s="56">
        <f t="shared" si="20"/>
        <v>7.68567141785446</v>
      </c>
      <c r="H308" s="57">
        <f t="shared" si="21"/>
        <v>92.205</v>
      </c>
      <c r="I308" s="28">
        <v>102.45</v>
      </c>
      <c r="J308" s="57">
        <f t="shared" si="22"/>
        <v>107.5725</v>
      </c>
      <c r="K308" s="57">
        <f t="shared" si="23"/>
        <v>86.6727</v>
      </c>
      <c r="L308" s="57">
        <f t="shared" si="24"/>
        <v>96.303</v>
      </c>
    </row>
    <row r="309" ht="15" spans="1:12">
      <c r="A309" s="48" t="s">
        <v>142</v>
      </c>
      <c r="B309" s="54" t="s">
        <v>75</v>
      </c>
      <c r="C309" s="50" t="s">
        <v>47</v>
      </c>
      <c r="D309" s="51" t="s">
        <v>28</v>
      </c>
      <c r="E309" s="50" t="s">
        <v>29</v>
      </c>
      <c r="F309" s="55" t="s">
        <v>74</v>
      </c>
      <c r="G309" s="56">
        <f t="shared" si="20"/>
        <v>10.9107276819205</v>
      </c>
      <c r="H309" s="57">
        <f t="shared" si="21"/>
        <v>130.896</v>
      </c>
      <c r="I309" s="28">
        <v>145.44</v>
      </c>
      <c r="J309" s="57">
        <f t="shared" si="22"/>
        <v>152.712</v>
      </c>
      <c r="K309" s="57">
        <f t="shared" si="23"/>
        <v>123.04224</v>
      </c>
      <c r="L309" s="57">
        <f t="shared" si="24"/>
        <v>136.7136</v>
      </c>
    </row>
    <row r="310" ht="15" spans="1:12">
      <c r="A310" s="48" t="s">
        <v>142</v>
      </c>
      <c r="B310" s="54" t="s">
        <v>76</v>
      </c>
      <c r="C310" s="50" t="s">
        <v>35</v>
      </c>
      <c r="D310" s="51" t="s">
        <v>28</v>
      </c>
      <c r="E310" s="50" t="s">
        <v>29</v>
      </c>
      <c r="F310" s="55" t="s">
        <v>74</v>
      </c>
      <c r="G310" s="56">
        <f t="shared" si="20"/>
        <v>6.51612903225806</v>
      </c>
      <c r="H310" s="57">
        <f t="shared" si="21"/>
        <v>78.174</v>
      </c>
      <c r="I310" s="28">
        <v>86.86</v>
      </c>
      <c r="J310" s="57">
        <f t="shared" si="22"/>
        <v>91.203</v>
      </c>
      <c r="K310" s="57">
        <f t="shared" si="23"/>
        <v>73.48356</v>
      </c>
      <c r="L310" s="57">
        <f t="shared" si="24"/>
        <v>81.6484</v>
      </c>
    </row>
    <row r="311" ht="15" spans="1:12">
      <c r="A311" s="48" t="s">
        <v>142</v>
      </c>
      <c r="B311" s="54" t="s">
        <v>76</v>
      </c>
      <c r="C311" s="50" t="s">
        <v>33</v>
      </c>
      <c r="D311" s="51" t="s">
        <v>28</v>
      </c>
      <c r="E311" s="50" t="s">
        <v>29</v>
      </c>
      <c r="F311" s="55" t="s">
        <v>74</v>
      </c>
      <c r="G311" s="56">
        <f t="shared" si="20"/>
        <v>6.88972243060765</v>
      </c>
      <c r="H311" s="57">
        <f t="shared" si="21"/>
        <v>82.656</v>
      </c>
      <c r="I311" s="28">
        <v>91.84</v>
      </c>
      <c r="J311" s="57">
        <f t="shared" si="22"/>
        <v>96.432</v>
      </c>
      <c r="K311" s="57">
        <f t="shared" si="23"/>
        <v>77.69664</v>
      </c>
      <c r="L311" s="57">
        <f t="shared" si="24"/>
        <v>86.3296</v>
      </c>
    </row>
    <row r="312" ht="15" spans="1:12">
      <c r="A312" s="48" t="s">
        <v>142</v>
      </c>
      <c r="B312" s="54" t="s">
        <v>76</v>
      </c>
      <c r="C312" s="50" t="s">
        <v>27</v>
      </c>
      <c r="D312" s="51" t="s">
        <v>28</v>
      </c>
      <c r="E312" s="50" t="s">
        <v>29</v>
      </c>
      <c r="F312" s="55" t="s">
        <v>74</v>
      </c>
      <c r="G312" s="56">
        <f t="shared" si="20"/>
        <v>7.64666166541635</v>
      </c>
      <c r="H312" s="57">
        <f t="shared" si="21"/>
        <v>91.737</v>
      </c>
      <c r="I312" s="28">
        <v>101.93</v>
      </c>
      <c r="J312" s="57">
        <f t="shared" si="22"/>
        <v>107.0265</v>
      </c>
      <c r="K312" s="57">
        <f t="shared" si="23"/>
        <v>86.23278</v>
      </c>
      <c r="L312" s="57">
        <f t="shared" si="24"/>
        <v>95.8142</v>
      </c>
    </row>
    <row r="313" ht="15" spans="1:12">
      <c r="A313" s="48" t="s">
        <v>142</v>
      </c>
      <c r="B313" s="54" t="s">
        <v>76</v>
      </c>
      <c r="C313" s="50" t="s">
        <v>47</v>
      </c>
      <c r="D313" s="51" t="s">
        <v>28</v>
      </c>
      <c r="E313" s="50" t="s">
        <v>29</v>
      </c>
      <c r="F313" s="55" t="s">
        <v>74</v>
      </c>
      <c r="G313" s="56">
        <f t="shared" si="20"/>
        <v>10.9152288072018</v>
      </c>
      <c r="H313" s="57">
        <f t="shared" si="21"/>
        <v>130.95</v>
      </c>
      <c r="I313" s="28">
        <v>145.5</v>
      </c>
      <c r="J313" s="57">
        <f t="shared" si="22"/>
        <v>152.775</v>
      </c>
      <c r="K313" s="57">
        <f t="shared" si="23"/>
        <v>123.093</v>
      </c>
      <c r="L313" s="57">
        <f t="shared" si="24"/>
        <v>136.77</v>
      </c>
    </row>
    <row r="314" ht="15" spans="1:12">
      <c r="A314" s="48" t="s">
        <v>142</v>
      </c>
      <c r="B314" s="54" t="s">
        <v>80</v>
      </c>
      <c r="C314" s="50" t="s">
        <v>33</v>
      </c>
      <c r="D314" s="51" t="s">
        <v>28</v>
      </c>
      <c r="E314" s="50" t="s">
        <v>29</v>
      </c>
      <c r="F314" s="55" t="s">
        <v>79</v>
      </c>
      <c r="G314" s="56">
        <f t="shared" si="20"/>
        <v>7.84696174043511</v>
      </c>
      <c r="H314" s="57">
        <f t="shared" si="21"/>
        <v>94.14</v>
      </c>
      <c r="I314" s="28">
        <v>104.6</v>
      </c>
      <c r="J314" s="57">
        <f t="shared" si="22"/>
        <v>109.83</v>
      </c>
      <c r="K314" s="57">
        <f t="shared" si="23"/>
        <v>88.4916</v>
      </c>
      <c r="L314" s="57">
        <f t="shared" si="24"/>
        <v>98.324</v>
      </c>
    </row>
    <row r="315" ht="15" spans="1:12">
      <c r="A315" s="48" t="s">
        <v>142</v>
      </c>
      <c r="B315" s="54" t="s">
        <v>80</v>
      </c>
      <c r="C315" s="50" t="s">
        <v>27</v>
      </c>
      <c r="D315" s="51" t="s">
        <v>28</v>
      </c>
      <c r="E315" s="50" t="s">
        <v>29</v>
      </c>
      <c r="F315" s="55" t="s">
        <v>79</v>
      </c>
      <c r="G315" s="56">
        <f t="shared" si="20"/>
        <v>8.6781695423856</v>
      </c>
      <c r="H315" s="57">
        <f t="shared" si="21"/>
        <v>104.112</v>
      </c>
      <c r="I315" s="28">
        <v>115.68</v>
      </c>
      <c r="J315" s="57">
        <f t="shared" si="22"/>
        <v>121.464</v>
      </c>
      <c r="K315" s="57">
        <f t="shared" si="23"/>
        <v>97.86528</v>
      </c>
      <c r="L315" s="57">
        <f t="shared" si="24"/>
        <v>108.7392</v>
      </c>
    </row>
    <row r="316" ht="15" spans="1:12">
      <c r="A316" s="48" t="s">
        <v>142</v>
      </c>
      <c r="B316" s="54" t="s">
        <v>80</v>
      </c>
      <c r="C316" s="50" t="s">
        <v>47</v>
      </c>
      <c r="D316" s="51" t="s">
        <v>28</v>
      </c>
      <c r="E316" s="50" t="s">
        <v>29</v>
      </c>
      <c r="F316" s="55" t="s">
        <v>79</v>
      </c>
      <c r="G316" s="56">
        <f t="shared" si="20"/>
        <v>12.0007501875469</v>
      </c>
      <c r="H316" s="57">
        <f t="shared" si="21"/>
        <v>143.973</v>
      </c>
      <c r="I316" s="28">
        <v>159.97</v>
      </c>
      <c r="J316" s="57">
        <f t="shared" si="22"/>
        <v>167.9685</v>
      </c>
      <c r="K316" s="57">
        <f t="shared" si="23"/>
        <v>135.33462</v>
      </c>
      <c r="L316" s="57">
        <f t="shared" si="24"/>
        <v>150.3718</v>
      </c>
    </row>
    <row r="317" ht="15" spans="1:12">
      <c r="A317" s="48" t="s">
        <v>142</v>
      </c>
      <c r="B317" s="54" t="s">
        <v>83</v>
      </c>
      <c r="C317" s="50" t="s">
        <v>35</v>
      </c>
      <c r="D317" s="51" t="s">
        <v>28</v>
      </c>
      <c r="E317" s="50" t="s">
        <v>29</v>
      </c>
      <c r="F317" s="55" t="s">
        <v>82</v>
      </c>
      <c r="G317" s="56">
        <f t="shared" si="20"/>
        <v>8.16429107276819</v>
      </c>
      <c r="H317" s="57">
        <f t="shared" si="21"/>
        <v>97.947</v>
      </c>
      <c r="I317" s="28">
        <v>108.83</v>
      </c>
      <c r="J317" s="57">
        <f t="shared" si="22"/>
        <v>114.2715</v>
      </c>
      <c r="K317" s="57">
        <f t="shared" si="23"/>
        <v>92.07018</v>
      </c>
      <c r="L317" s="57">
        <f t="shared" si="24"/>
        <v>102.3002</v>
      </c>
    </row>
    <row r="318" ht="15" spans="1:12">
      <c r="A318" s="48" t="s">
        <v>142</v>
      </c>
      <c r="B318" s="54" t="s">
        <v>83</v>
      </c>
      <c r="C318" s="50" t="s">
        <v>33</v>
      </c>
      <c r="D318" s="51" t="s">
        <v>28</v>
      </c>
      <c r="E318" s="50" t="s">
        <v>29</v>
      </c>
      <c r="F318" s="55" t="s">
        <v>82</v>
      </c>
      <c r="G318" s="56">
        <f t="shared" si="20"/>
        <v>8.16429107276819</v>
      </c>
      <c r="H318" s="57">
        <f t="shared" si="21"/>
        <v>97.947</v>
      </c>
      <c r="I318" s="28">
        <v>108.83</v>
      </c>
      <c r="J318" s="57">
        <f t="shared" si="22"/>
        <v>114.2715</v>
      </c>
      <c r="K318" s="57">
        <f t="shared" si="23"/>
        <v>92.07018</v>
      </c>
      <c r="L318" s="57">
        <f t="shared" si="24"/>
        <v>102.3002</v>
      </c>
    </row>
    <row r="319" ht="15" spans="1:12">
      <c r="A319" s="48" t="s">
        <v>142</v>
      </c>
      <c r="B319" s="54" t="s">
        <v>83</v>
      </c>
      <c r="C319" s="50" t="s">
        <v>27</v>
      </c>
      <c r="D319" s="51" t="s">
        <v>28</v>
      </c>
      <c r="E319" s="50" t="s">
        <v>29</v>
      </c>
      <c r="F319" s="55" t="s">
        <v>82</v>
      </c>
      <c r="G319" s="56">
        <f t="shared" si="20"/>
        <v>8.95198799699925</v>
      </c>
      <c r="H319" s="57">
        <f t="shared" si="21"/>
        <v>107.397</v>
      </c>
      <c r="I319" s="28">
        <v>119.33</v>
      </c>
      <c r="J319" s="57">
        <f t="shared" si="22"/>
        <v>125.2965</v>
      </c>
      <c r="K319" s="57">
        <f t="shared" si="23"/>
        <v>100.95318</v>
      </c>
      <c r="L319" s="57">
        <f t="shared" si="24"/>
        <v>112.1702</v>
      </c>
    </row>
    <row r="320" ht="15" spans="1:12">
      <c r="A320" s="48" t="s">
        <v>142</v>
      </c>
      <c r="B320" s="54" t="s">
        <v>83</v>
      </c>
      <c r="C320" s="50" t="s">
        <v>27</v>
      </c>
      <c r="D320" s="51" t="s">
        <v>28</v>
      </c>
      <c r="E320" s="50" t="s">
        <v>29</v>
      </c>
      <c r="F320" s="55" t="s">
        <v>146</v>
      </c>
      <c r="G320" s="56">
        <f t="shared" si="20"/>
        <v>11.0870217554389</v>
      </c>
      <c r="H320" s="57">
        <f t="shared" si="21"/>
        <v>133.011</v>
      </c>
      <c r="I320" s="28">
        <v>147.79</v>
      </c>
      <c r="J320" s="57">
        <f t="shared" si="22"/>
        <v>155.1795</v>
      </c>
      <c r="K320" s="57">
        <f t="shared" si="23"/>
        <v>125.03034</v>
      </c>
      <c r="L320" s="57">
        <f t="shared" si="24"/>
        <v>138.9226</v>
      </c>
    </row>
    <row r="321" ht="15" spans="1:12">
      <c r="A321" s="48" t="s">
        <v>142</v>
      </c>
      <c r="B321" s="54" t="s">
        <v>83</v>
      </c>
      <c r="C321" s="50" t="s">
        <v>47</v>
      </c>
      <c r="D321" s="51" t="s">
        <v>28</v>
      </c>
      <c r="E321" s="50" t="s">
        <v>29</v>
      </c>
      <c r="F321" s="55" t="s">
        <v>82</v>
      </c>
      <c r="G321" s="56">
        <f t="shared" si="20"/>
        <v>12.2708177044261</v>
      </c>
      <c r="H321" s="57">
        <f t="shared" si="21"/>
        <v>147.213</v>
      </c>
      <c r="I321" s="28">
        <v>163.57</v>
      </c>
      <c r="J321" s="57">
        <f t="shared" si="22"/>
        <v>171.7485</v>
      </c>
      <c r="K321" s="57">
        <f t="shared" si="23"/>
        <v>138.38022</v>
      </c>
      <c r="L321" s="57">
        <f t="shared" si="24"/>
        <v>153.7558</v>
      </c>
    </row>
    <row r="322" ht="15" spans="1:12">
      <c r="A322" s="48" t="s">
        <v>142</v>
      </c>
      <c r="B322" s="54" t="s">
        <v>84</v>
      </c>
      <c r="C322" s="50" t="s">
        <v>33</v>
      </c>
      <c r="D322" s="51" t="s">
        <v>28</v>
      </c>
      <c r="E322" s="50" t="s">
        <v>29</v>
      </c>
      <c r="F322" s="55" t="s">
        <v>37</v>
      </c>
      <c r="G322" s="56">
        <f t="shared" si="20"/>
        <v>8.13353338334584</v>
      </c>
      <c r="H322" s="57">
        <f t="shared" si="21"/>
        <v>97.578</v>
      </c>
      <c r="I322" s="28">
        <v>108.42</v>
      </c>
      <c r="J322" s="57">
        <f t="shared" si="22"/>
        <v>113.841</v>
      </c>
      <c r="K322" s="57">
        <f t="shared" si="23"/>
        <v>91.72332</v>
      </c>
      <c r="L322" s="57">
        <f t="shared" si="24"/>
        <v>101.9148</v>
      </c>
    </row>
    <row r="323" ht="15" spans="1:12">
      <c r="A323" s="48" t="s">
        <v>142</v>
      </c>
      <c r="B323" s="54" t="s">
        <v>84</v>
      </c>
      <c r="C323" s="50" t="s">
        <v>27</v>
      </c>
      <c r="D323" s="51" t="s">
        <v>28</v>
      </c>
      <c r="E323" s="50" t="s">
        <v>29</v>
      </c>
      <c r="F323" s="55" t="s">
        <v>37</v>
      </c>
      <c r="G323" s="56">
        <f t="shared" si="20"/>
        <v>8.35108777194299</v>
      </c>
      <c r="H323" s="57">
        <f t="shared" si="21"/>
        <v>100.188</v>
      </c>
      <c r="I323" s="28">
        <v>111.32</v>
      </c>
      <c r="J323" s="57">
        <f t="shared" si="22"/>
        <v>116.886</v>
      </c>
      <c r="K323" s="57">
        <f t="shared" si="23"/>
        <v>94.17672</v>
      </c>
      <c r="L323" s="57">
        <f t="shared" si="24"/>
        <v>104.6408</v>
      </c>
    </row>
    <row r="324" ht="15" spans="1:12">
      <c r="A324" s="48" t="s">
        <v>142</v>
      </c>
      <c r="B324" s="54" t="s">
        <v>36</v>
      </c>
      <c r="C324" s="50" t="s">
        <v>33</v>
      </c>
      <c r="D324" s="51" t="s">
        <v>28</v>
      </c>
      <c r="E324" s="50" t="s">
        <v>29</v>
      </c>
      <c r="F324" s="55" t="s">
        <v>37</v>
      </c>
      <c r="G324" s="56">
        <f t="shared" si="20"/>
        <v>8.29257314328582</v>
      </c>
      <c r="H324" s="57">
        <f t="shared" si="21"/>
        <v>99.486</v>
      </c>
      <c r="I324" s="28">
        <v>110.54</v>
      </c>
      <c r="J324" s="57">
        <f t="shared" si="22"/>
        <v>116.067</v>
      </c>
      <c r="K324" s="57">
        <f t="shared" si="23"/>
        <v>93.51684</v>
      </c>
      <c r="L324" s="57">
        <f t="shared" si="24"/>
        <v>103.9076</v>
      </c>
    </row>
    <row r="325" ht="15" spans="1:12">
      <c r="A325" s="48" t="s">
        <v>142</v>
      </c>
      <c r="B325" s="54" t="s">
        <v>36</v>
      </c>
      <c r="C325" s="50" t="s">
        <v>27</v>
      </c>
      <c r="D325" s="51" t="s">
        <v>28</v>
      </c>
      <c r="E325" s="50" t="s">
        <v>29</v>
      </c>
      <c r="F325" s="55" t="s">
        <v>37</v>
      </c>
      <c r="G325" s="56">
        <f t="shared" si="20"/>
        <v>8.84096024006002</v>
      </c>
      <c r="H325" s="57">
        <f t="shared" si="21"/>
        <v>106.065</v>
      </c>
      <c r="I325" s="28">
        <v>117.85</v>
      </c>
      <c r="J325" s="57">
        <f t="shared" si="22"/>
        <v>123.7425</v>
      </c>
      <c r="K325" s="57">
        <f t="shared" si="23"/>
        <v>99.7011</v>
      </c>
      <c r="L325" s="57">
        <f t="shared" si="24"/>
        <v>110.779</v>
      </c>
    </row>
    <row r="326" ht="15" spans="1:12">
      <c r="A326" s="48" t="s">
        <v>142</v>
      </c>
      <c r="B326" s="54" t="s">
        <v>36</v>
      </c>
      <c r="C326" s="50" t="s">
        <v>47</v>
      </c>
      <c r="D326" s="51" t="s">
        <v>28</v>
      </c>
      <c r="E326" s="50" t="s">
        <v>29</v>
      </c>
      <c r="F326" s="55" t="s">
        <v>37</v>
      </c>
      <c r="G326" s="56">
        <f t="shared" si="20"/>
        <v>12.1282820705176</v>
      </c>
      <c r="H326" s="57">
        <f t="shared" si="21"/>
        <v>145.503</v>
      </c>
      <c r="I326" s="28">
        <v>161.67</v>
      </c>
      <c r="J326" s="57">
        <f t="shared" si="22"/>
        <v>169.7535</v>
      </c>
      <c r="K326" s="57">
        <f t="shared" si="23"/>
        <v>136.77282</v>
      </c>
      <c r="L326" s="57">
        <f t="shared" si="24"/>
        <v>151.9698</v>
      </c>
    </row>
    <row r="327" ht="15" spans="1:12">
      <c r="A327" s="48" t="s">
        <v>142</v>
      </c>
      <c r="B327" s="54" t="s">
        <v>86</v>
      </c>
      <c r="C327" s="50" t="s">
        <v>33</v>
      </c>
      <c r="D327" s="51" t="s">
        <v>28</v>
      </c>
      <c r="E327" s="50" t="s">
        <v>29</v>
      </c>
      <c r="F327" s="55" t="s">
        <v>37</v>
      </c>
      <c r="G327" s="56">
        <f t="shared" si="20"/>
        <v>8.28882220555139</v>
      </c>
      <c r="H327" s="57">
        <f t="shared" si="21"/>
        <v>99.441</v>
      </c>
      <c r="I327" s="28">
        <v>110.49</v>
      </c>
      <c r="J327" s="57">
        <f t="shared" si="22"/>
        <v>116.0145</v>
      </c>
      <c r="K327" s="57">
        <f t="shared" si="23"/>
        <v>93.47454</v>
      </c>
      <c r="L327" s="57">
        <f t="shared" si="24"/>
        <v>103.8606</v>
      </c>
    </row>
    <row r="328" ht="15" spans="1:12">
      <c r="A328" s="48" t="s">
        <v>142</v>
      </c>
      <c r="B328" s="54" t="s">
        <v>86</v>
      </c>
      <c r="C328" s="50" t="s">
        <v>27</v>
      </c>
      <c r="D328" s="51" t="s">
        <v>28</v>
      </c>
      <c r="E328" s="50" t="s">
        <v>29</v>
      </c>
      <c r="F328" s="55" t="s">
        <v>37</v>
      </c>
      <c r="G328" s="56">
        <f t="shared" si="20"/>
        <v>8.93173293323331</v>
      </c>
      <c r="H328" s="57">
        <f t="shared" si="21"/>
        <v>107.154</v>
      </c>
      <c r="I328" s="28">
        <v>119.06</v>
      </c>
      <c r="J328" s="57">
        <f t="shared" si="22"/>
        <v>125.013</v>
      </c>
      <c r="K328" s="57">
        <f t="shared" si="23"/>
        <v>100.72476</v>
      </c>
      <c r="L328" s="57">
        <f t="shared" si="24"/>
        <v>111.9164</v>
      </c>
    </row>
    <row r="329" ht="15" spans="1:12">
      <c r="A329" s="48" t="s">
        <v>142</v>
      </c>
      <c r="B329" s="54" t="s">
        <v>86</v>
      </c>
      <c r="C329" s="50" t="s">
        <v>47</v>
      </c>
      <c r="D329" s="51" t="s">
        <v>28</v>
      </c>
      <c r="E329" s="50" t="s">
        <v>29</v>
      </c>
      <c r="F329" s="55" t="s">
        <v>37</v>
      </c>
      <c r="G329" s="56">
        <f t="shared" si="20"/>
        <v>12.2550637659415</v>
      </c>
      <c r="H329" s="57">
        <f t="shared" si="21"/>
        <v>147.024</v>
      </c>
      <c r="I329" s="28">
        <v>163.36</v>
      </c>
      <c r="J329" s="57">
        <f t="shared" si="22"/>
        <v>171.528</v>
      </c>
      <c r="K329" s="57">
        <f t="shared" si="23"/>
        <v>138.20256</v>
      </c>
      <c r="L329" s="57">
        <f t="shared" si="24"/>
        <v>153.5584</v>
      </c>
    </row>
    <row r="330" ht="15" spans="1:12">
      <c r="A330" s="48" t="s">
        <v>142</v>
      </c>
      <c r="B330" s="54" t="s">
        <v>89</v>
      </c>
      <c r="C330" s="50" t="s">
        <v>33</v>
      </c>
      <c r="D330" s="51" t="s">
        <v>28</v>
      </c>
      <c r="E330" s="50" t="s">
        <v>29</v>
      </c>
      <c r="F330" s="55" t="s">
        <v>39</v>
      </c>
      <c r="G330" s="56">
        <f t="shared" si="20"/>
        <v>9.50037509377344</v>
      </c>
      <c r="H330" s="57">
        <f t="shared" si="21"/>
        <v>113.976</v>
      </c>
      <c r="I330" s="28">
        <v>126.64</v>
      </c>
      <c r="J330" s="57">
        <f t="shared" si="22"/>
        <v>132.972</v>
      </c>
      <c r="K330" s="57">
        <f t="shared" si="23"/>
        <v>107.13744</v>
      </c>
      <c r="L330" s="57">
        <f t="shared" si="24"/>
        <v>119.0416</v>
      </c>
    </row>
    <row r="331" ht="15" spans="1:12">
      <c r="A331" s="48" t="s">
        <v>142</v>
      </c>
      <c r="B331" s="54" t="s">
        <v>89</v>
      </c>
      <c r="C331" s="50" t="s">
        <v>27</v>
      </c>
      <c r="D331" s="51" t="s">
        <v>28</v>
      </c>
      <c r="E331" s="50" t="s">
        <v>29</v>
      </c>
      <c r="F331" s="55" t="s">
        <v>39</v>
      </c>
      <c r="G331" s="56">
        <f t="shared" ref="G331:G394" si="25">I331/13.33</f>
        <v>10.2955738934734</v>
      </c>
      <c r="H331" s="57">
        <f t="shared" ref="H331:H394" si="26">I331*0.9</f>
        <v>123.516</v>
      </c>
      <c r="I331" s="28">
        <v>137.24</v>
      </c>
      <c r="J331" s="57">
        <f t="shared" ref="J331:J394" si="27">I331*1.05</f>
        <v>144.102</v>
      </c>
      <c r="K331" s="57">
        <f t="shared" ref="K331:K394" si="28">H331*0.94</f>
        <v>116.10504</v>
      </c>
      <c r="L331" s="57">
        <f t="shared" ref="L331:L394" si="29">I331*0.94</f>
        <v>129.0056</v>
      </c>
    </row>
    <row r="332" ht="15" spans="1:12">
      <c r="A332" s="48" t="s">
        <v>142</v>
      </c>
      <c r="B332" s="54" t="s">
        <v>89</v>
      </c>
      <c r="C332" s="50" t="s">
        <v>47</v>
      </c>
      <c r="D332" s="51" t="s">
        <v>28</v>
      </c>
      <c r="E332" s="50" t="s">
        <v>29</v>
      </c>
      <c r="F332" s="55" t="s">
        <v>39</v>
      </c>
      <c r="G332" s="56">
        <f t="shared" si="25"/>
        <v>13.7861965491373</v>
      </c>
      <c r="H332" s="57">
        <f t="shared" si="26"/>
        <v>165.393</v>
      </c>
      <c r="I332" s="28">
        <v>183.77</v>
      </c>
      <c r="J332" s="57">
        <f t="shared" si="27"/>
        <v>192.9585</v>
      </c>
      <c r="K332" s="57">
        <f t="shared" si="28"/>
        <v>155.46942</v>
      </c>
      <c r="L332" s="57">
        <f t="shared" si="29"/>
        <v>172.7438</v>
      </c>
    </row>
    <row r="333" ht="15" spans="1:12">
      <c r="A333" s="48" t="s">
        <v>142</v>
      </c>
      <c r="B333" s="54" t="s">
        <v>38</v>
      </c>
      <c r="C333" s="50" t="s">
        <v>33</v>
      </c>
      <c r="D333" s="51" t="s">
        <v>28</v>
      </c>
      <c r="E333" s="50" t="s">
        <v>29</v>
      </c>
      <c r="F333" s="55" t="s">
        <v>39</v>
      </c>
      <c r="G333" s="56">
        <f t="shared" si="25"/>
        <v>9.50112528132033</v>
      </c>
      <c r="H333" s="57">
        <f t="shared" si="26"/>
        <v>113.985</v>
      </c>
      <c r="I333" s="28">
        <v>126.65</v>
      </c>
      <c r="J333" s="57">
        <f t="shared" si="27"/>
        <v>132.9825</v>
      </c>
      <c r="K333" s="57">
        <f t="shared" si="28"/>
        <v>107.1459</v>
      </c>
      <c r="L333" s="57">
        <f t="shared" si="29"/>
        <v>119.051</v>
      </c>
    </row>
    <row r="334" ht="15" spans="1:12">
      <c r="A334" s="48" t="s">
        <v>142</v>
      </c>
      <c r="B334" s="54" t="s">
        <v>38</v>
      </c>
      <c r="C334" s="50" t="s">
        <v>27</v>
      </c>
      <c r="D334" s="51" t="s">
        <v>28</v>
      </c>
      <c r="E334" s="50" t="s">
        <v>29</v>
      </c>
      <c r="F334" s="55" t="s">
        <v>39</v>
      </c>
      <c r="G334" s="56">
        <f t="shared" si="25"/>
        <v>10.3915978994749</v>
      </c>
      <c r="H334" s="57">
        <f t="shared" si="26"/>
        <v>124.668</v>
      </c>
      <c r="I334" s="28">
        <v>138.52</v>
      </c>
      <c r="J334" s="57">
        <f t="shared" si="27"/>
        <v>145.446</v>
      </c>
      <c r="K334" s="57">
        <f t="shared" si="28"/>
        <v>117.18792</v>
      </c>
      <c r="L334" s="57">
        <f t="shared" si="29"/>
        <v>130.2088</v>
      </c>
    </row>
    <row r="335" ht="15" spans="1:12">
      <c r="A335" s="48" t="s">
        <v>142</v>
      </c>
      <c r="B335" s="54" t="s">
        <v>40</v>
      </c>
      <c r="C335" s="50" t="s">
        <v>33</v>
      </c>
      <c r="D335" s="51" t="s">
        <v>28</v>
      </c>
      <c r="E335" s="50" t="s">
        <v>29</v>
      </c>
      <c r="F335" s="55" t="s">
        <v>42</v>
      </c>
      <c r="G335" s="56">
        <f t="shared" si="25"/>
        <v>8.46361590397599</v>
      </c>
      <c r="H335" s="57">
        <f t="shared" si="26"/>
        <v>101.538</v>
      </c>
      <c r="I335" s="28">
        <v>112.82</v>
      </c>
      <c r="J335" s="57">
        <f t="shared" si="27"/>
        <v>118.461</v>
      </c>
      <c r="K335" s="57">
        <f t="shared" si="28"/>
        <v>95.44572</v>
      </c>
      <c r="L335" s="57">
        <f t="shared" si="29"/>
        <v>106.0508</v>
      </c>
    </row>
    <row r="336" ht="15" spans="1:12">
      <c r="A336" s="48" t="s">
        <v>142</v>
      </c>
      <c r="B336" s="54" t="s">
        <v>90</v>
      </c>
      <c r="C336" s="50" t="s">
        <v>47</v>
      </c>
      <c r="D336" s="51" t="s">
        <v>28</v>
      </c>
      <c r="E336" s="50" t="s">
        <v>29</v>
      </c>
      <c r="F336" s="55" t="s">
        <v>42</v>
      </c>
      <c r="G336" s="56">
        <f t="shared" si="25"/>
        <v>13.231807951988</v>
      </c>
      <c r="H336" s="57">
        <f t="shared" si="26"/>
        <v>158.742</v>
      </c>
      <c r="I336" s="28">
        <v>176.38</v>
      </c>
      <c r="J336" s="57">
        <f t="shared" si="27"/>
        <v>185.199</v>
      </c>
      <c r="K336" s="57">
        <f t="shared" si="28"/>
        <v>149.21748</v>
      </c>
      <c r="L336" s="57">
        <f t="shared" si="29"/>
        <v>165.7972</v>
      </c>
    </row>
    <row r="337" ht="15" spans="1:12">
      <c r="A337" s="48" t="s">
        <v>142</v>
      </c>
      <c r="B337" s="54" t="s">
        <v>91</v>
      </c>
      <c r="C337" s="50" t="s">
        <v>33</v>
      </c>
      <c r="D337" s="51" t="s">
        <v>41</v>
      </c>
      <c r="E337" s="50" t="s">
        <v>29</v>
      </c>
      <c r="F337" s="55" t="s">
        <v>42</v>
      </c>
      <c r="G337" s="56">
        <f t="shared" si="25"/>
        <v>9.47336834208552</v>
      </c>
      <c r="H337" s="57">
        <f t="shared" si="26"/>
        <v>113.652</v>
      </c>
      <c r="I337" s="28">
        <v>126.28</v>
      </c>
      <c r="J337" s="57">
        <f t="shared" si="27"/>
        <v>132.594</v>
      </c>
      <c r="K337" s="57">
        <f t="shared" si="28"/>
        <v>106.83288</v>
      </c>
      <c r="L337" s="57">
        <f t="shared" si="29"/>
        <v>118.7032</v>
      </c>
    </row>
    <row r="338" ht="15" spans="1:12">
      <c r="A338" s="48" t="s">
        <v>142</v>
      </c>
      <c r="B338" s="54" t="s">
        <v>91</v>
      </c>
      <c r="C338" s="50" t="s">
        <v>27</v>
      </c>
      <c r="D338" s="51" t="s">
        <v>41</v>
      </c>
      <c r="E338" s="50" t="s">
        <v>29</v>
      </c>
      <c r="F338" s="55" t="s">
        <v>42</v>
      </c>
      <c r="G338" s="56">
        <f t="shared" si="25"/>
        <v>10.0405101275319</v>
      </c>
      <c r="H338" s="57">
        <f t="shared" si="26"/>
        <v>120.456</v>
      </c>
      <c r="I338" s="28">
        <v>133.84</v>
      </c>
      <c r="J338" s="57">
        <f t="shared" si="27"/>
        <v>140.532</v>
      </c>
      <c r="K338" s="57">
        <f t="shared" si="28"/>
        <v>113.22864</v>
      </c>
      <c r="L338" s="57">
        <f t="shared" si="29"/>
        <v>125.8096</v>
      </c>
    </row>
    <row r="339" ht="15" spans="1:12">
      <c r="A339" s="48" t="s">
        <v>142</v>
      </c>
      <c r="B339" s="54" t="s">
        <v>91</v>
      </c>
      <c r="C339" s="50" t="s">
        <v>47</v>
      </c>
      <c r="D339" s="51" t="s">
        <v>41</v>
      </c>
      <c r="E339" s="50" t="s">
        <v>29</v>
      </c>
      <c r="F339" s="55" t="s">
        <v>42</v>
      </c>
      <c r="G339" s="56">
        <f t="shared" si="25"/>
        <v>13.3503375843961</v>
      </c>
      <c r="H339" s="57">
        <f t="shared" si="26"/>
        <v>160.164</v>
      </c>
      <c r="I339" s="28">
        <v>177.96</v>
      </c>
      <c r="J339" s="57">
        <f t="shared" si="27"/>
        <v>186.858</v>
      </c>
      <c r="K339" s="57">
        <f t="shared" si="28"/>
        <v>150.55416</v>
      </c>
      <c r="L339" s="57">
        <f t="shared" si="29"/>
        <v>167.2824</v>
      </c>
    </row>
    <row r="340" ht="15" spans="1:12">
      <c r="A340" s="59" t="s">
        <v>142</v>
      </c>
      <c r="B340" s="60" t="s">
        <v>92</v>
      </c>
      <c r="C340" s="61" t="s">
        <v>27</v>
      </c>
      <c r="D340" s="58" t="s">
        <v>41</v>
      </c>
      <c r="E340" s="61" t="s">
        <v>29</v>
      </c>
      <c r="F340" s="63" t="s">
        <v>44</v>
      </c>
      <c r="G340" s="56">
        <f t="shared" si="25"/>
        <v>11.7074268567142</v>
      </c>
      <c r="H340" s="62">
        <f t="shared" si="26"/>
        <v>140.454</v>
      </c>
      <c r="I340" s="28">
        <v>156.06</v>
      </c>
      <c r="J340" s="62">
        <f t="shared" si="27"/>
        <v>163.863</v>
      </c>
      <c r="K340" s="62">
        <f t="shared" si="28"/>
        <v>132.02676</v>
      </c>
      <c r="L340" s="62">
        <f t="shared" si="29"/>
        <v>146.6964</v>
      </c>
    </row>
    <row r="341" ht="15" spans="1:12">
      <c r="A341" s="48" t="s">
        <v>142</v>
      </c>
      <c r="B341" s="54" t="s">
        <v>92</v>
      </c>
      <c r="C341" s="50" t="s">
        <v>47</v>
      </c>
      <c r="D341" s="51" t="s">
        <v>41</v>
      </c>
      <c r="E341" s="50" t="s">
        <v>29</v>
      </c>
      <c r="F341" s="55" t="s">
        <v>42</v>
      </c>
      <c r="G341" s="56">
        <f t="shared" si="25"/>
        <v>15.6676669167292</v>
      </c>
      <c r="H341" s="57">
        <f t="shared" si="26"/>
        <v>187.965</v>
      </c>
      <c r="I341" s="28">
        <v>208.85</v>
      </c>
      <c r="J341" s="57">
        <f t="shared" si="27"/>
        <v>219.2925</v>
      </c>
      <c r="K341" s="57">
        <f t="shared" si="28"/>
        <v>176.6871</v>
      </c>
      <c r="L341" s="57">
        <f t="shared" si="29"/>
        <v>196.319</v>
      </c>
    </row>
    <row r="342" ht="15" spans="1:12">
      <c r="A342" s="48" t="s">
        <v>142</v>
      </c>
      <c r="B342" s="54" t="s">
        <v>92</v>
      </c>
      <c r="C342" s="50" t="s">
        <v>77</v>
      </c>
      <c r="D342" s="51" t="s">
        <v>41</v>
      </c>
      <c r="E342" s="50" t="s">
        <v>29</v>
      </c>
      <c r="F342" s="55" t="s">
        <v>42</v>
      </c>
      <c r="G342" s="56">
        <f t="shared" si="25"/>
        <v>18.5558889722431</v>
      </c>
      <c r="H342" s="57">
        <f t="shared" si="26"/>
        <v>222.615</v>
      </c>
      <c r="I342" s="28">
        <v>247.35</v>
      </c>
      <c r="J342" s="57">
        <f t="shared" si="27"/>
        <v>259.7175</v>
      </c>
      <c r="K342" s="57">
        <f t="shared" si="28"/>
        <v>209.2581</v>
      </c>
      <c r="L342" s="57">
        <f t="shared" si="29"/>
        <v>232.509</v>
      </c>
    </row>
    <row r="343" ht="15" spans="1:12">
      <c r="A343" s="48" t="s">
        <v>142</v>
      </c>
      <c r="B343" s="54" t="s">
        <v>43</v>
      </c>
      <c r="C343" s="50" t="s">
        <v>35</v>
      </c>
      <c r="D343" s="51" t="s">
        <v>41</v>
      </c>
      <c r="E343" s="50" t="s">
        <v>29</v>
      </c>
      <c r="F343" s="55" t="s">
        <v>46</v>
      </c>
      <c r="G343" s="56">
        <f t="shared" si="25"/>
        <v>10.0240060015004</v>
      </c>
      <c r="H343" s="57">
        <f t="shared" si="26"/>
        <v>120.258</v>
      </c>
      <c r="I343" s="28">
        <v>133.62</v>
      </c>
      <c r="J343" s="57">
        <f t="shared" si="27"/>
        <v>140.301</v>
      </c>
      <c r="K343" s="57">
        <f t="shared" si="28"/>
        <v>113.04252</v>
      </c>
      <c r="L343" s="57">
        <f t="shared" si="29"/>
        <v>125.6028</v>
      </c>
    </row>
    <row r="344" ht="15" spans="1:12">
      <c r="A344" s="48" t="s">
        <v>142</v>
      </c>
      <c r="B344" s="54" t="s">
        <v>43</v>
      </c>
      <c r="C344" s="50" t="s">
        <v>33</v>
      </c>
      <c r="D344" s="51" t="s">
        <v>41</v>
      </c>
      <c r="E344" s="50" t="s">
        <v>29</v>
      </c>
      <c r="F344" s="55" t="s">
        <v>44</v>
      </c>
      <c r="G344" s="56">
        <f t="shared" si="25"/>
        <v>10.5146286571643</v>
      </c>
      <c r="H344" s="57">
        <f t="shared" si="26"/>
        <v>126.144</v>
      </c>
      <c r="I344" s="28">
        <v>140.16</v>
      </c>
      <c r="J344" s="57">
        <f t="shared" si="27"/>
        <v>147.168</v>
      </c>
      <c r="K344" s="57">
        <f t="shared" si="28"/>
        <v>118.57536</v>
      </c>
      <c r="L344" s="57">
        <f t="shared" si="29"/>
        <v>131.7504</v>
      </c>
    </row>
    <row r="345" ht="15" spans="1:12">
      <c r="A345" s="48" t="s">
        <v>142</v>
      </c>
      <c r="B345" s="54" t="s">
        <v>43</v>
      </c>
      <c r="C345" s="50" t="s">
        <v>27</v>
      </c>
      <c r="D345" s="51" t="s">
        <v>41</v>
      </c>
      <c r="E345" s="50" t="s">
        <v>29</v>
      </c>
      <c r="F345" s="55" t="s">
        <v>44</v>
      </c>
      <c r="G345" s="56">
        <f t="shared" si="25"/>
        <v>11.2048012003001</v>
      </c>
      <c r="H345" s="57">
        <f t="shared" si="26"/>
        <v>134.424</v>
      </c>
      <c r="I345" s="28">
        <v>149.36</v>
      </c>
      <c r="J345" s="57">
        <f t="shared" si="27"/>
        <v>156.828</v>
      </c>
      <c r="K345" s="57">
        <f t="shared" si="28"/>
        <v>126.35856</v>
      </c>
      <c r="L345" s="57">
        <f t="shared" si="29"/>
        <v>140.3984</v>
      </c>
    </row>
    <row r="346" ht="15" spans="1:12">
      <c r="A346" s="48" t="s">
        <v>142</v>
      </c>
      <c r="B346" s="54" t="s">
        <v>43</v>
      </c>
      <c r="C346" s="50" t="s">
        <v>47</v>
      </c>
      <c r="D346" s="51" t="s">
        <v>41</v>
      </c>
      <c r="E346" s="50" t="s">
        <v>29</v>
      </c>
      <c r="F346" s="55" t="s">
        <v>44</v>
      </c>
      <c r="G346" s="56">
        <f t="shared" si="25"/>
        <v>14.4231057764441</v>
      </c>
      <c r="H346" s="57">
        <f t="shared" si="26"/>
        <v>173.034</v>
      </c>
      <c r="I346" s="28">
        <v>192.26</v>
      </c>
      <c r="J346" s="57">
        <f t="shared" si="27"/>
        <v>201.873</v>
      </c>
      <c r="K346" s="57">
        <f t="shared" si="28"/>
        <v>162.65196</v>
      </c>
      <c r="L346" s="57">
        <f t="shared" si="29"/>
        <v>180.7244</v>
      </c>
    </row>
    <row r="347" ht="15" spans="1:12">
      <c r="A347" s="48" t="s">
        <v>142</v>
      </c>
      <c r="B347" s="54" t="s">
        <v>45</v>
      </c>
      <c r="C347" s="50" t="s">
        <v>33</v>
      </c>
      <c r="D347" s="51" t="s">
        <v>41</v>
      </c>
      <c r="E347" s="50" t="s">
        <v>29</v>
      </c>
      <c r="F347" s="55" t="s">
        <v>46</v>
      </c>
      <c r="G347" s="56">
        <f t="shared" si="25"/>
        <v>10.5633908477119</v>
      </c>
      <c r="H347" s="57">
        <f t="shared" si="26"/>
        <v>126.729</v>
      </c>
      <c r="I347" s="28">
        <v>140.81</v>
      </c>
      <c r="J347" s="57">
        <f t="shared" si="27"/>
        <v>147.8505</v>
      </c>
      <c r="K347" s="57">
        <f t="shared" si="28"/>
        <v>119.12526</v>
      </c>
      <c r="L347" s="57">
        <f t="shared" si="29"/>
        <v>132.3614</v>
      </c>
    </row>
    <row r="348" ht="15" spans="1:12">
      <c r="A348" s="48" t="s">
        <v>142</v>
      </c>
      <c r="B348" s="54" t="s">
        <v>45</v>
      </c>
      <c r="C348" s="50" t="s">
        <v>27</v>
      </c>
      <c r="D348" s="51" t="s">
        <v>41</v>
      </c>
      <c r="E348" s="50" t="s">
        <v>29</v>
      </c>
      <c r="F348" s="55" t="s">
        <v>46</v>
      </c>
      <c r="G348" s="56">
        <f t="shared" si="25"/>
        <v>11.3480870217554</v>
      </c>
      <c r="H348" s="57">
        <f t="shared" si="26"/>
        <v>136.143</v>
      </c>
      <c r="I348" s="28">
        <v>151.27</v>
      </c>
      <c r="J348" s="57">
        <f t="shared" si="27"/>
        <v>158.8335</v>
      </c>
      <c r="K348" s="57">
        <f t="shared" si="28"/>
        <v>127.97442</v>
      </c>
      <c r="L348" s="57">
        <f t="shared" si="29"/>
        <v>142.1938</v>
      </c>
    </row>
    <row r="349" ht="15" spans="1:12">
      <c r="A349" s="48" t="s">
        <v>142</v>
      </c>
      <c r="B349" s="54" t="s">
        <v>45</v>
      </c>
      <c r="C349" s="50" t="s">
        <v>47</v>
      </c>
      <c r="D349" s="51" t="s">
        <v>41</v>
      </c>
      <c r="E349" s="50" t="s">
        <v>29</v>
      </c>
      <c r="F349" s="55" t="s">
        <v>46</v>
      </c>
      <c r="G349" s="56">
        <f t="shared" si="25"/>
        <v>14.9767441860465</v>
      </c>
      <c r="H349" s="57">
        <f t="shared" si="26"/>
        <v>179.676</v>
      </c>
      <c r="I349" s="28">
        <v>199.64</v>
      </c>
      <c r="J349" s="57">
        <f t="shared" si="27"/>
        <v>209.622</v>
      </c>
      <c r="K349" s="57">
        <f t="shared" si="28"/>
        <v>168.89544</v>
      </c>
      <c r="L349" s="57">
        <f t="shared" si="29"/>
        <v>187.6616</v>
      </c>
    </row>
    <row r="350" ht="15" spans="1:12">
      <c r="A350" s="48" t="s">
        <v>142</v>
      </c>
      <c r="B350" s="54" t="s">
        <v>45</v>
      </c>
      <c r="C350" s="50" t="s">
        <v>61</v>
      </c>
      <c r="D350" s="51" t="s">
        <v>41</v>
      </c>
      <c r="E350" s="50" t="s">
        <v>29</v>
      </c>
      <c r="F350" s="55" t="s">
        <v>46</v>
      </c>
      <c r="G350" s="56">
        <f t="shared" si="25"/>
        <v>23.609152288072</v>
      </c>
      <c r="H350" s="57">
        <f t="shared" si="26"/>
        <v>283.239</v>
      </c>
      <c r="I350" s="28">
        <v>314.71</v>
      </c>
      <c r="J350" s="57">
        <f t="shared" si="27"/>
        <v>330.4455</v>
      </c>
      <c r="K350" s="57">
        <f t="shared" si="28"/>
        <v>266.24466</v>
      </c>
      <c r="L350" s="57">
        <f t="shared" si="29"/>
        <v>295.8274</v>
      </c>
    </row>
    <row r="351" ht="15" spans="1:12">
      <c r="A351" s="48" t="s">
        <v>142</v>
      </c>
      <c r="B351" s="54" t="s">
        <v>48</v>
      </c>
      <c r="C351" s="50" t="s">
        <v>33</v>
      </c>
      <c r="D351" s="51" t="s">
        <v>41</v>
      </c>
      <c r="E351" s="50" t="s">
        <v>29</v>
      </c>
      <c r="F351" s="55" t="s">
        <v>49</v>
      </c>
      <c r="G351" s="56">
        <f t="shared" si="25"/>
        <v>11.5251312828207</v>
      </c>
      <c r="H351" s="57">
        <f t="shared" si="26"/>
        <v>138.267</v>
      </c>
      <c r="I351" s="28">
        <v>153.63</v>
      </c>
      <c r="J351" s="57">
        <f t="shared" si="27"/>
        <v>161.3115</v>
      </c>
      <c r="K351" s="57">
        <f t="shared" si="28"/>
        <v>129.97098</v>
      </c>
      <c r="L351" s="57">
        <f t="shared" si="29"/>
        <v>144.4122</v>
      </c>
    </row>
    <row r="352" ht="15" spans="1:12">
      <c r="A352" s="48" t="s">
        <v>142</v>
      </c>
      <c r="B352" s="54" t="s">
        <v>48</v>
      </c>
      <c r="C352" s="50" t="s">
        <v>27</v>
      </c>
      <c r="D352" s="51" t="s">
        <v>41</v>
      </c>
      <c r="E352" s="50" t="s">
        <v>29</v>
      </c>
      <c r="F352" s="55" t="s">
        <v>49</v>
      </c>
      <c r="G352" s="56">
        <f t="shared" si="25"/>
        <v>12.0450112528132</v>
      </c>
      <c r="H352" s="57">
        <f t="shared" si="26"/>
        <v>144.504</v>
      </c>
      <c r="I352" s="28">
        <v>160.56</v>
      </c>
      <c r="J352" s="57">
        <f t="shared" si="27"/>
        <v>168.588</v>
      </c>
      <c r="K352" s="57">
        <f t="shared" si="28"/>
        <v>135.83376</v>
      </c>
      <c r="L352" s="57">
        <f t="shared" si="29"/>
        <v>150.9264</v>
      </c>
    </row>
    <row r="353" ht="15" spans="1:12">
      <c r="A353" s="48" t="s">
        <v>142</v>
      </c>
      <c r="B353" s="54" t="s">
        <v>48</v>
      </c>
      <c r="C353" s="50" t="s">
        <v>47</v>
      </c>
      <c r="D353" s="51" t="s">
        <v>41</v>
      </c>
      <c r="E353" s="50" t="s">
        <v>29</v>
      </c>
      <c r="F353" s="55" t="s">
        <v>49</v>
      </c>
      <c r="G353" s="56">
        <f t="shared" si="25"/>
        <v>15.4718679669917</v>
      </c>
      <c r="H353" s="57">
        <f t="shared" si="26"/>
        <v>185.616</v>
      </c>
      <c r="I353" s="28">
        <v>206.24</v>
      </c>
      <c r="J353" s="57">
        <f t="shared" si="27"/>
        <v>216.552</v>
      </c>
      <c r="K353" s="57">
        <f t="shared" si="28"/>
        <v>174.47904</v>
      </c>
      <c r="L353" s="57">
        <f t="shared" si="29"/>
        <v>193.8656</v>
      </c>
    </row>
    <row r="354" ht="15" spans="1:12">
      <c r="A354" s="48" t="s">
        <v>142</v>
      </c>
      <c r="B354" s="54" t="s">
        <v>94</v>
      </c>
      <c r="C354" s="50" t="s">
        <v>33</v>
      </c>
      <c r="D354" s="51" t="s">
        <v>41</v>
      </c>
      <c r="E354" s="50" t="s">
        <v>29</v>
      </c>
      <c r="F354" s="55" t="s">
        <v>49</v>
      </c>
      <c r="G354" s="56">
        <f t="shared" si="25"/>
        <v>11.8379594898725</v>
      </c>
      <c r="H354" s="57">
        <f t="shared" si="26"/>
        <v>142.02</v>
      </c>
      <c r="I354" s="28">
        <v>157.8</v>
      </c>
      <c r="J354" s="57">
        <f t="shared" si="27"/>
        <v>165.69</v>
      </c>
      <c r="K354" s="57">
        <f t="shared" si="28"/>
        <v>133.4988</v>
      </c>
      <c r="L354" s="57">
        <f t="shared" si="29"/>
        <v>148.332</v>
      </c>
    </row>
    <row r="355" ht="15" spans="1:12">
      <c r="A355" s="48" t="s">
        <v>142</v>
      </c>
      <c r="B355" s="54" t="s">
        <v>94</v>
      </c>
      <c r="C355" s="50" t="s">
        <v>27</v>
      </c>
      <c r="D355" s="51" t="s">
        <v>41</v>
      </c>
      <c r="E355" s="50" t="s">
        <v>29</v>
      </c>
      <c r="F355" s="55" t="s">
        <v>49</v>
      </c>
      <c r="G355" s="56">
        <f t="shared" si="25"/>
        <v>12.2805701425356</v>
      </c>
      <c r="H355" s="57">
        <f t="shared" si="26"/>
        <v>147.33</v>
      </c>
      <c r="I355" s="28">
        <v>163.7</v>
      </c>
      <c r="J355" s="57">
        <f t="shared" si="27"/>
        <v>171.885</v>
      </c>
      <c r="K355" s="57">
        <f t="shared" si="28"/>
        <v>138.4902</v>
      </c>
      <c r="L355" s="57">
        <f t="shared" si="29"/>
        <v>153.878</v>
      </c>
    </row>
    <row r="356" ht="15" spans="1:12">
      <c r="A356" s="48" t="s">
        <v>142</v>
      </c>
      <c r="B356" s="54" t="s">
        <v>94</v>
      </c>
      <c r="C356" s="50" t="s">
        <v>47</v>
      </c>
      <c r="D356" s="51" t="s">
        <v>41</v>
      </c>
      <c r="E356" s="50" t="s">
        <v>29</v>
      </c>
      <c r="F356" s="55" t="s">
        <v>49</v>
      </c>
      <c r="G356" s="56">
        <f t="shared" si="25"/>
        <v>15.9437359339835</v>
      </c>
      <c r="H356" s="57">
        <f t="shared" si="26"/>
        <v>191.277</v>
      </c>
      <c r="I356" s="28">
        <v>212.53</v>
      </c>
      <c r="J356" s="57">
        <f t="shared" si="27"/>
        <v>223.1565</v>
      </c>
      <c r="K356" s="57">
        <f t="shared" si="28"/>
        <v>179.80038</v>
      </c>
      <c r="L356" s="57">
        <f t="shared" si="29"/>
        <v>199.7782</v>
      </c>
    </row>
    <row r="357" ht="15" spans="1:12">
      <c r="A357" s="48" t="s">
        <v>142</v>
      </c>
      <c r="B357" s="54" t="s">
        <v>97</v>
      </c>
      <c r="C357" s="50" t="s">
        <v>33</v>
      </c>
      <c r="D357" s="51" t="s">
        <v>41</v>
      </c>
      <c r="E357" s="50" t="s">
        <v>29</v>
      </c>
      <c r="F357" s="55" t="s">
        <v>96</v>
      </c>
      <c r="G357" s="56">
        <f t="shared" si="25"/>
        <v>12.8889722430608</v>
      </c>
      <c r="H357" s="57">
        <f t="shared" si="26"/>
        <v>154.629</v>
      </c>
      <c r="I357" s="28">
        <v>171.81</v>
      </c>
      <c r="J357" s="57">
        <f t="shared" si="27"/>
        <v>180.4005</v>
      </c>
      <c r="K357" s="57">
        <f t="shared" si="28"/>
        <v>145.35126</v>
      </c>
      <c r="L357" s="57">
        <f t="shared" si="29"/>
        <v>161.5014</v>
      </c>
    </row>
    <row r="358" ht="15" spans="1:12">
      <c r="A358" s="48" t="s">
        <v>142</v>
      </c>
      <c r="B358" s="54" t="s">
        <v>97</v>
      </c>
      <c r="C358" s="50" t="s">
        <v>27</v>
      </c>
      <c r="D358" s="51" t="s">
        <v>41</v>
      </c>
      <c r="E358" s="50" t="s">
        <v>29</v>
      </c>
      <c r="F358" s="55" t="s">
        <v>96</v>
      </c>
      <c r="G358" s="56">
        <f t="shared" si="25"/>
        <v>13.3480870217554</v>
      </c>
      <c r="H358" s="57">
        <f t="shared" si="26"/>
        <v>160.137</v>
      </c>
      <c r="I358" s="28">
        <v>177.93</v>
      </c>
      <c r="J358" s="57">
        <f t="shared" si="27"/>
        <v>186.8265</v>
      </c>
      <c r="K358" s="57">
        <f t="shared" si="28"/>
        <v>150.52878</v>
      </c>
      <c r="L358" s="57">
        <f t="shared" si="29"/>
        <v>167.2542</v>
      </c>
    </row>
    <row r="359" ht="15" spans="1:12">
      <c r="A359" s="48" t="s">
        <v>142</v>
      </c>
      <c r="B359" s="54" t="s">
        <v>97</v>
      </c>
      <c r="C359" s="50" t="s">
        <v>47</v>
      </c>
      <c r="D359" s="51" t="s">
        <v>41</v>
      </c>
      <c r="E359" s="50" t="s">
        <v>29</v>
      </c>
      <c r="F359" s="55" t="s">
        <v>96</v>
      </c>
      <c r="G359" s="56">
        <f t="shared" si="25"/>
        <v>16.7441860465116</v>
      </c>
      <c r="H359" s="57">
        <f t="shared" si="26"/>
        <v>200.88</v>
      </c>
      <c r="I359" s="28">
        <v>223.2</v>
      </c>
      <c r="J359" s="57">
        <f t="shared" si="27"/>
        <v>234.36</v>
      </c>
      <c r="K359" s="57">
        <f t="shared" si="28"/>
        <v>188.8272</v>
      </c>
      <c r="L359" s="57">
        <f t="shared" si="29"/>
        <v>209.808</v>
      </c>
    </row>
    <row r="360" ht="15" spans="1:12">
      <c r="A360" s="48" t="s">
        <v>142</v>
      </c>
      <c r="B360" s="54" t="s">
        <v>98</v>
      </c>
      <c r="C360" s="50" t="s">
        <v>27</v>
      </c>
      <c r="D360" s="51" t="s">
        <v>41</v>
      </c>
      <c r="E360" s="50" t="s">
        <v>29</v>
      </c>
      <c r="F360" s="55" t="s">
        <v>96</v>
      </c>
      <c r="G360" s="56">
        <f t="shared" si="25"/>
        <v>13.9189797449362</v>
      </c>
      <c r="H360" s="57">
        <f t="shared" si="26"/>
        <v>166.986</v>
      </c>
      <c r="I360" s="28">
        <v>185.54</v>
      </c>
      <c r="J360" s="57">
        <f t="shared" si="27"/>
        <v>194.817</v>
      </c>
      <c r="K360" s="57">
        <f t="shared" si="28"/>
        <v>156.96684</v>
      </c>
      <c r="L360" s="57">
        <f t="shared" si="29"/>
        <v>174.4076</v>
      </c>
    </row>
    <row r="361" ht="15" spans="1:12">
      <c r="A361" s="48" t="s">
        <v>142</v>
      </c>
      <c r="B361" s="54" t="s">
        <v>26</v>
      </c>
      <c r="C361" s="50" t="s">
        <v>35</v>
      </c>
      <c r="D361" s="51" t="s">
        <v>41</v>
      </c>
      <c r="E361" s="50" t="s">
        <v>29</v>
      </c>
      <c r="F361" s="55" t="s">
        <v>30</v>
      </c>
      <c r="G361" s="56">
        <f t="shared" si="25"/>
        <v>13.9984996249062</v>
      </c>
      <c r="H361" s="57">
        <f t="shared" si="26"/>
        <v>167.94</v>
      </c>
      <c r="I361" s="28">
        <v>186.6</v>
      </c>
      <c r="J361" s="57">
        <f t="shared" si="27"/>
        <v>195.93</v>
      </c>
      <c r="K361" s="57">
        <f t="shared" si="28"/>
        <v>157.8636</v>
      </c>
      <c r="L361" s="57">
        <f t="shared" si="29"/>
        <v>175.404</v>
      </c>
    </row>
    <row r="362" ht="15" spans="1:12">
      <c r="A362" s="48" t="s">
        <v>142</v>
      </c>
      <c r="B362" s="54" t="s">
        <v>26</v>
      </c>
      <c r="C362" s="50" t="s">
        <v>33</v>
      </c>
      <c r="D362" s="51" t="s">
        <v>41</v>
      </c>
      <c r="E362" s="50" t="s">
        <v>29</v>
      </c>
      <c r="F362" s="55" t="s">
        <v>30</v>
      </c>
      <c r="G362" s="56">
        <f t="shared" si="25"/>
        <v>14.1305326331583</v>
      </c>
      <c r="H362" s="57">
        <f t="shared" si="26"/>
        <v>169.524</v>
      </c>
      <c r="I362" s="28">
        <v>188.36</v>
      </c>
      <c r="J362" s="57">
        <f t="shared" si="27"/>
        <v>197.778</v>
      </c>
      <c r="K362" s="57">
        <f t="shared" si="28"/>
        <v>159.35256</v>
      </c>
      <c r="L362" s="57">
        <f t="shared" si="29"/>
        <v>177.0584</v>
      </c>
    </row>
    <row r="363" ht="15" spans="1:12">
      <c r="A363" s="48" t="s">
        <v>142</v>
      </c>
      <c r="B363" s="54" t="s">
        <v>26</v>
      </c>
      <c r="C363" s="50" t="s">
        <v>27</v>
      </c>
      <c r="D363" s="51" t="s">
        <v>41</v>
      </c>
      <c r="E363" s="50" t="s">
        <v>29</v>
      </c>
      <c r="F363" s="55" t="s">
        <v>30</v>
      </c>
      <c r="G363" s="56">
        <f t="shared" si="25"/>
        <v>14.543135783946</v>
      </c>
      <c r="H363" s="57">
        <f t="shared" si="26"/>
        <v>174.474</v>
      </c>
      <c r="I363" s="28">
        <v>193.86</v>
      </c>
      <c r="J363" s="57">
        <f t="shared" si="27"/>
        <v>203.553</v>
      </c>
      <c r="K363" s="57">
        <f t="shared" si="28"/>
        <v>164.00556</v>
      </c>
      <c r="L363" s="57">
        <f t="shared" si="29"/>
        <v>182.2284</v>
      </c>
    </row>
    <row r="364" ht="15" spans="1:12">
      <c r="A364" s="48" t="s">
        <v>142</v>
      </c>
      <c r="B364" s="54" t="s">
        <v>26</v>
      </c>
      <c r="C364" s="50" t="s">
        <v>47</v>
      </c>
      <c r="D364" s="51" t="s">
        <v>41</v>
      </c>
      <c r="E364" s="50" t="s">
        <v>29</v>
      </c>
      <c r="F364" s="55" t="s">
        <v>30</v>
      </c>
      <c r="G364" s="56">
        <f t="shared" si="25"/>
        <v>17.8432108027007</v>
      </c>
      <c r="H364" s="57">
        <f t="shared" si="26"/>
        <v>214.065</v>
      </c>
      <c r="I364" s="28">
        <v>237.85</v>
      </c>
      <c r="J364" s="57">
        <f t="shared" si="27"/>
        <v>249.7425</v>
      </c>
      <c r="K364" s="57">
        <f t="shared" si="28"/>
        <v>201.2211</v>
      </c>
      <c r="L364" s="57">
        <f t="shared" si="29"/>
        <v>223.579</v>
      </c>
    </row>
    <row r="365" ht="15" spans="1:12">
      <c r="A365" s="48" t="s">
        <v>142</v>
      </c>
      <c r="B365" s="54" t="s">
        <v>26</v>
      </c>
      <c r="C365" s="50" t="s">
        <v>77</v>
      </c>
      <c r="D365" s="51" t="s">
        <v>41</v>
      </c>
      <c r="E365" s="50" t="s">
        <v>29</v>
      </c>
      <c r="F365" s="55" t="s">
        <v>96</v>
      </c>
      <c r="G365" s="56">
        <f t="shared" si="25"/>
        <v>22.3203300825206</v>
      </c>
      <c r="H365" s="57">
        <f t="shared" si="26"/>
        <v>267.777</v>
      </c>
      <c r="I365" s="28">
        <v>297.53</v>
      </c>
      <c r="J365" s="57">
        <f t="shared" si="27"/>
        <v>312.4065</v>
      </c>
      <c r="K365" s="57">
        <f t="shared" si="28"/>
        <v>251.71038</v>
      </c>
      <c r="L365" s="57">
        <f t="shared" si="29"/>
        <v>279.6782</v>
      </c>
    </row>
    <row r="366" ht="15" spans="1:12">
      <c r="A366" s="48" t="s">
        <v>142</v>
      </c>
      <c r="B366" s="54" t="s">
        <v>99</v>
      </c>
      <c r="C366" s="50" t="s">
        <v>47</v>
      </c>
      <c r="D366" s="51" t="s">
        <v>41</v>
      </c>
      <c r="E366" s="50" t="s">
        <v>29</v>
      </c>
      <c r="F366" s="55" t="s">
        <v>30</v>
      </c>
      <c r="G366" s="56">
        <f t="shared" si="25"/>
        <v>19.1815453863466</v>
      </c>
      <c r="H366" s="57">
        <f t="shared" si="26"/>
        <v>230.121</v>
      </c>
      <c r="I366" s="28">
        <v>255.69</v>
      </c>
      <c r="J366" s="57">
        <f t="shared" si="27"/>
        <v>268.4745</v>
      </c>
      <c r="K366" s="57">
        <f t="shared" si="28"/>
        <v>216.31374</v>
      </c>
      <c r="L366" s="57">
        <f t="shared" si="29"/>
        <v>240.3486</v>
      </c>
    </row>
    <row r="367" ht="15" spans="1:12">
      <c r="A367" s="48" t="s">
        <v>142</v>
      </c>
      <c r="B367" s="54" t="s">
        <v>100</v>
      </c>
      <c r="C367" s="50" t="s">
        <v>33</v>
      </c>
      <c r="D367" s="51" t="s">
        <v>41</v>
      </c>
      <c r="E367" s="50" t="s">
        <v>29</v>
      </c>
      <c r="F367" s="55" t="s">
        <v>101</v>
      </c>
      <c r="G367" s="56">
        <f t="shared" si="25"/>
        <v>15.549887471868</v>
      </c>
      <c r="H367" s="57">
        <f t="shared" si="26"/>
        <v>186.552</v>
      </c>
      <c r="I367" s="28">
        <v>207.28</v>
      </c>
      <c r="J367" s="57">
        <f t="shared" si="27"/>
        <v>217.644</v>
      </c>
      <c r="K367" s="57">
        <f t="shared" si="28"/>
        <v>175.35888</v>
      </c>
      <c r="L367" s="57">
        <f t="shared" si="29"/>
        <v>194.8432</v>
      </c>
    </row>
    <row r="368" ht="15" spans="1:12">
      <c r="A368" s="48" t="s">
        <v>142</v>
      </c>
      <c r="B368" s="54" t="s">
        <v>100</v>
      </c>
      <c r="C368" s="50" t="s">
        <v>27</v>
      </c>
      <c r="D368" s="51" t="s">
        <v>41</v>
      </c>
      <c r="E368" s="50" t="s">
        <v>29</v>
      </c>
      <c r="F368" s="55" t="s">
        <v>101</v>
      </c>
      <c r="G368" s="56">
        <f t="shared" si="25"/>
        <v>15.9609902475619</v>
      </c>
      <c r="H368" s="57">
        <f t="shared" si="26"/>
        <v>191.484</v>
      </c>
      <c r="I368" s="28">
        <v>212.76</v>
      </c>
      <c r="J368" s="57">
        <f t="shared" si="27"/>
        <v>223.398</v>
      </c>
      <c r="K368" s="57">
        <f t="shared" si="28"/>
        <v>179.99496</v>
      </c>
      <c r="L368" s="57">
        <f t="shared" si="29"/>
        <v>199.9944</v>
      </c>
    </row>
    <row r="369" ht="15" spans="1:12">
      <c r="A369" s="48" t="s">
        <v>142</v>
      </c>
      <c r="B369" s="54" t="s">
        <v>103</v>
      </c>
      <c r="C369" s="50" t="s">
        <v>33</v>
      </c>
      <c r="D369" s="51" t="s">
        <v>41</v>
      </c>
      <c r="E369" s="50" t="s">
        <v>29</v>
      </c>
      <c r="F369" s="55" t="s">
        <v>104</v>
      </c>
      <c r="G369" s="56">
        <f t="shared" si="25"/>
        <v>15.9699924981245</v>
      </c>
      <c r="H369" s="57">
        <f t="shared" si="26"/>
        <v>191.592</v>
      </c>
      <c r="I369" s="28">
        <v>212.88</v>
      </c>
      <c r="J369" s="57">
        <f t="shared" si="27"/>
        <v>223.524</v>
      </c>
      <c r="K369" s="57">
        <f t="shared" si="28"/>
        <v>180.09648</v>
      </c>
      <c r="L369" s="57">
        <f t="shared" si="29"/>
        <v>200.1072</v>
      </c>
    </row>
    <row r="370" ht="15" spans="1:12">
      <c r="A370" s="48" t="s">
        <v>142</v>
      </c>
      <c r="B370" s="54" t="s">
        <v>103</v>
      </c>
      <c r="C370" s="50" t="s">
        <v>27</v>
      </c>
      <c r="D370" s="51" t="s">
        <v>41</v>
      </c>
      <c r="E370" s="50" t="s">
        <v>29</v>
      </c>
      <c r="F370" s="55" t="s">
        <v>104</v>
      </c>
      <c r="G370" s="56">
        <f t="shared" si="25"/>
        <v>16.8514628657164</v>
      </c>
      <c r="H370" s="57">
        <f t="shared" si="26"/>
        <v>202.167</v>
      </c>
      <c r="I370" s="28">
        <v>224.63</v>
      </c>
      <c r="J370" s="57">
        <f t="shared" si="27"/>
        <v>235.8615</v>
      </c>
      <c r="K370" s="57">
        <f t="shared" si="28"/>
        <v>190.03698</v>
      </c>
      <c r="L370" s="57">
        <f t="shared" si="29"/>
        <v>211.1522</v>
      </c>
    </row>
    <row r="371" ht="15" spans="1:12">
      <c r="A371" s="48" t="s">
        <v>142</v>
      </c>
      <c r="B371" s="54" t="s">
        <v>108</v>
      </c>
      <c r="C371" s="50" t="s">
        <v>27</v>
      </c>
      <c r="D371" s="51" t="s">
        <v>41</v>
      </c>
      <c r="E371" s="50" t="s">
        <v>29</v>
      </c>
      <c r="F371" s="55" t="s">
        <v>109</v>
      </c>
      <c r="G371" s="56">
        <f t="shared" si="25"/>
        <v>20.2175543885972</v>
      </c>
      <c r="H371" s="57">
        <f t="shared" si="26"/>
        <v>242.55</v>
      </c>
      <c r="I371" s="28">
        <v>269.5</v>
      </c>
      <c r="J371" s="57">
        <f t="shared" si="27"/>
        <v>282.975</v>
      </c>
      <c r="K371" s="57">
        <f t="shared" si="28"/>
        <v>227.997</v>
      </c>
      <c r="L371" s="57">
        <f t="shared" si="29"/>
        <v>253.33</v>
      </c>
    </row>
    <row r="372" ht="15" spans="1:12">
      <c r="A372" s="48" t="s">
        <v>142</v>
      </c>
      <c r="B372" s="54" t="s">
        <v>134</v>
      </c>
      <c r="C372" s="50" t="s">
        <v>27</v>
      </c>
      <c r="D372" s="51" t="s">
        <v>41</v>
      </c>
      <c r="E372" s="50" t="s">
        <v>29</v>
      </c>
      <c r="F372" s="55" t="s">
        <v>135</v>
      </c>
      <c r="G372" s="56">
        <f t="shared" si="25"/>
        <v>22.5146286571643</v>
      </c>
      <c r="H372" s="57">
        <f t="shared" si="26"/>
        <v>270.108</v>
      </c>
      <c r="I372" s="28">
        <v>300.12</v>
      </c>
      <c r="J372" s="57">
        <f t="shared" si="27"/>
        <v>315.126</v>
      </c>
      <c r="K372" s="57">
        <f t="shared" si="28"/>
        <v>253.90152</v>
      </c>
      <c r="L372" s="57">
        <f t="shared" si="29"/>
        <v>282.1128</v>
      </c>
    </row>
    <row r="373" ht="15" spans="1:12">
      <c r="A373" s="48" t="s">
        <v>147</v>
      </c>
      <c r="B373" s="60" t="s">
        <v>70</v>
      </c>
      <c r="C373" s="61" t="s">
        <v>27</v>
      </c>
      <c r="D373" s="58" t="s">
        <v>28</v>
      </c>
      <c r="E373" s="61" t="s">
        <v>29</v>
      </c>
      <c r="F373" s="63" t="s">
        <v>69</v>
      </c>
      <c r="G373" s="65">
        <f t="shared" si="25"/>
        <v>5.98274568642161</v>
      </c>
      <c r="H373" s="62">
        <f t="shared" si="26"/>
        <v>71.775</v>
      </c>
      <c r="I373" s="28">
        <v>79.75</v>
      </c>
      <c r="J373" s="57">
        <f t="shared" si="27"/>
        <v>83.7375</v>
      </c>
      <c r="K373" s="57">
        <f t="shared" si="28"/>
        <v>67.4685</v>
      </c>
      <c r="L373" s="57">
        <f t="shared" si="29"/>
        <v>74.965</v>
      </c>
    </row>
    <row r="374" ht="15" spans="1:12">
      <c r="A374" s="48" t="s">
        <v>148</v>
      </c>
      <c r="B374" s="54" t="s">
        <v>149</v>
      </c>
      <c r="C374" s="50" t="s">
        <v>27</v>
      </c>
      <c r="D374" s="51" t="s">
        <v>28</v>
      </c>
      <c r="E374" s="50" t="s">
        <v>53</v>
      </c>
      <c r="F374" s="55" t="s">
        <v>150</v>
      </c>
      <c r="G374" s="56">
        <f t="shared" si="25"/>
        <v>6.60540135033758</v>
      </c>
      <c r="H374" s="57">
        <f t="shared" si="26"/>
        <v>79.245</v>
      </c>
      <c r="I374" s="28">
        <v>88.05</v>
      </c>
      <c r="J374" s="57">
        <f t="shared" si="27"/>
        <v>92.4525</v>
      </c>
      <c r="K374" s="57">
        <f t="shared" si="28"/>
        <v>74.4903</v>
      </c>
      <c r="L374" s="57">
        <f t="shared" si="29"/>
        <v>82.767</v>
      </c>
    </row>
    <row r="375" ht="15" spans="1:12">
      <c r="A375" s="48" t="s">
        <v>148</v>
      </c>
      <c r="B375" s="54" t="s">
        <v>56</v>
      </c>
      <c r="C375" s="50" t="s">
        <v>27</v>
      </c>
      <c r="D375" s="51" t="s">
        <v>28</v>
      </c>
      <c r="E375" s="50" t="s">
        <v>53</v>
      </c>
      <c r="F375" s="55" t="s">
        <v>57</v>
      </c>
      <c r="G375" s="56">
        <f t="shared" si="25"/>
        <v>6.47411852963241</v>
      </c>
      <c r="H375" s="57">
        <f t="shared" si="26"/>
        <v>77.67</v>
      </c>
      <c r="I375" s="28">
        <v>86.3</v>
      </c>
      <c r="J375" s="57">
        <f t="shared" si="27"/>
        <v>90.615</v>
      </c>
      <c r="K375" s="57">
        <f t="shared" si="28"/>
        <v>73.0098</v>
      </c>
      <c r="L375" s="57">
        <f t="shared" si="29"/>
        <v>81.122</v>
      </c>
    </row>
    <row r="376" ht="15" spans="1:12">
      <c r="A376" s="48" t="s">
        <v>148</v>
      </c>
      <c r="B376" s="54" t="s">
        <v>56</v>
      </c>
      <c r="C376" s="50" t="s">
        <v>60</v>
      </c>
      <c r="D376" s="51" t="s">
        <v>28</v>
      </c>
      <c r="E376" s="50" t="s">
        <v>53</v>
      </c>
      <c r="F376" s="55" t="s">
        <v>57</v>
      </c>
      <c r="G376" s="56">
        <f t="shared" si="25"/>
        <v>8.21530382595649</v>
      </c>
      <c r="H376" s="57">
        <f t="shared" si="26"/>
        <v>98.559</v>
      </c>
      <c r="I376" s="28">
        <v>109.51</v>
      </c>
      <c r="J376" s="57">
        <f t="shared" si="27"/>
        <v>114.9855</v>
      </c>
      <c r="K376" s="57">
        <f t="shared" si="28"/>
        <v>92.64546</v>
      </c>
      <c r="L376" s="57">
        <f t="shared" si="29"/>
        <v>102.9394</v>
      </c>
    </row>
    <row r="377" ht="15" spans="1:12">
      <c r="A377" s="48" t="s">
        <v>148</v>
      </c>
      <c r="B377" s="54" t="s">
        <v>151</v>
      </c>
      <c r="C377" s="50" t="s">
        <v>27</v>
      </c>
      <c r="D377" s="51" t="s">
        <v>28</v>
      </c>
      <c r="E377" s="50" t="s">
        <v>53</v>
      </c>
      <c r="F377" s="55" t="s">
        <v>125</v>
      </c>
      <c r="G377" s="56">
        <f t="shared" si="25"/>
        <v>6.83945986496624</v>
      </c>
      <c r="H377" s="57">
        <f t="shared" si="26"/>
        <v>82.053</v>
      </c>
      <c r="I377" s="28">
        <v>91.17</v>
      </c>
      <c r="J377" s="57">
        <f t="shared" si="27"/>
        <v>95.7285</v>
      </c>
      <c r="K377" s="57">
        <f t="shared" si="28"/>
        <v>77.12982</v>
      </c>
      <c r="L377" s="57">
        <f t="shared" si="29"/>
        <v>85.6998</v>
      </c>
    </row>
    <row r="378" ht="15" spans="1:12">
      <c r="A378" s="48" t="s">
        <v>148</v>
      </c>
      <c r="B378" s="54" t="s">
        <v>151</v>
      </c>
      <c r="C378" s="50" t="s">
        <v>47</v>
      </c>
      <c r="D378" s="51" t="s">
        <v>28</v>
      </c>
      <c r="E378" s="50" t="s">
        <v>53</v>
      </c>
      <c r="F378" s="55" t="s">
        <v>125</v>
      </c>
      <c r="G378" s="56">
        <f t="shared" si="25"/>
        <v>9.75393848462116</v>
      </c>
      <c r="H378" s="57">
        <f t="shared" si="26"/>
        <v>117.018</v>
      </c>
      <c r="I378" s="28">
        <v>130.02</v>
      </c>
      <c r="J378" s="57">
        <f t="shared" si="27"/>
        <v>136.521</v>
      </c>
      <c r="K378" s="57">
        <f t="shared" si="28"/>
        <v>109.99692</v>
      </c>
      <c r="L378" s="57">
        <f t="shared" si="29"/>
        <v>122.2188</v>
      </c>
    </row>
    <row r="379" ht="15" spans="1:12">
      <c r="A379" s="48" t="s">
        <v>148</v>
      </c>
      <c r="B379" s="54" t="s">
        <v>151</v>
      </c>
      <c r="C379" s="50" t="s">
        <v>61</v>
      </c>
      <c r="D379" s="51" t="s">
        <v>28</v>
      </c>
      <c r="E379" s="50" t="s">
        <v>53</v>
      </c>
      <c r="F379" s="55" t="s">
        <v>125</v>
      </c>
      <c r="G379" s="56">
        <f t="shared" si="25"/>
        <v>18.8259564891223</v>
      </c>
      <c r="H379" s="57">
        <f t="shared" si="26"/>
        <v>225.855</v>
      </c>
      <c r="I379" s="28">
        <v>250.95</v>
      </c>
      <c r="J379" s="57">
        <f t="shared" si="27"/>
        <v>263.4975</v>
      </c>
      <c r="K379" s="57">
        <f t="shared" si="28"/>
        <v>212.3037</v>
      </c>
      <c r="L379" s="57">
        <f t="shared" si="29"/>
        <v>235.893</v>
      </c>
    </row>
    <row r="380" ht="15" spans="1:12">
      <c r="A380" s="48" t="s">
        <v>148</v>
      </c>
      <c r="B380" s="54" t="s">
        <v>152</v>
      </c>
      <c r="C380" s="50" t="s">
        <v>27</v>
      </c>
      <c r="D380" s="51" t="s">
        <v>28</v>
      </c>
      <c r="E380" s="50" t="s">
        <v>29</v>
      </c>
      <c r="F380" s="55" t="s">
        <v>67</v>
      </c>
      <c r="G380" s="56">
        <f t="shared" si="25"/>
        <v>7.70742685671418</v>
      </c>
      <c r="H380" s="57">
        <f t="shared" si="26"/>
        <v>92.466</v>
      </c>
      <c r="I380" s="28">
        <v>102.74</v>
      </c>
      <c r="J380" s="57">
        <f t="shared" si="27"/>
        <v>107.877</v>
      </c>
      <c r="K380" s="57">
        <f t="shared" si="28"/>
        <v>86.91804</v>
      </c>
      <c r="L380" s="57">
        <f t="shared" si="29"/>
        <v>96.5756</v>
      </c>
    </row>
    <row r="381" ht="15" spans="1:12">
      <c r="A381" s="48" t="s">
        <v>148</v>
      </c>
      <c r="B381" s="54" t="s">
        <v>152</v>
      </c>
      <c r="C381" s="50" t="s">
        <v>47</v>
      </c>
      <c r="D381" s="51" t="s">
        <v>28</v>
      </c>
      <c r="E381" s="50" t="s">
        <v>29</v>
      </c>
      <c r="F381" s="55" t="s">
        <v>67</v>
      </c>
      <c r="G381" s="56">
        <f t="shared" si="25"/>
        <v>10.7276819204801</v>
      </c>
      <c r="H381" s="57">
        <f t="shared" si="26"/>
        <v>128.7</v>
      </c>
      <c r="I381" s="28">
        <v>143</v>
      </c>
      <c r="J381" s="57">
        <f t="shared" si="27"/>
        <v>150.15</v>
      </c>
      <c r="K381" s="57">
        <f t="shared" si="28"/>
        <v>120.978</v>
      </c>
      <c r="L381" s="57">
        <f t="shared" si="29"/>
        <v>134.42</v>
      </c>
    </row>
    <row r="382" ht="15" spans="1:12">
      <c r="A382" s="48" t="s">
        <v>148</v>
      </c>
      <c r="B382" s="54" t="s">
        <v>71</v>
      </c>
      <c r="C382" s="50" t="s">
        <v>27</v>
      </c>
      <c r="D382" s="51" t="s">
        <v>28</v>
      </c>
      <c r="E382" s="50" t="s">
        <v>29</v>
      </c>
      <c r="F382" s="55" t="s">
        <v>72</v>
      </c>
      <c r="G382" s="56">
        <f t="shared" si="25"/>
        <v>8.32708177044261</v>
      </c>
      <c r="H382" s="57">
        <f t="shared" si="26"/>
        <v>99.9</v>
      </c>
      <c r="I382" s="28">
        <v>111</v>
      </c>
      <c r="J382" s="57">
        <f t="shared" si="27"/>
        <v>116.55</v>
      </c>
      <c r="K382" s="57">
        <f t="shared" si="28"/>
        <v>93.906</v>
      </c>
      <c r="L382" s="57">
        <f t="shared" si="29"/>
        <v>104.34</v>
      </c>
    </row>
    <row r="383" ht="15" spans="1:12">
      <c r="A383" s="48" t="s">
        <v>148</v>
      </c>
      <c r="B383" s="54" t="s">
        <v>153</v>
      </c>
      <c r="C383" s="50" t="s">
        <v>47</v>
      </c>
      <c r="D383" s="51" t="s">
        <v>28</v>
      </c>
      <c r="E383" s="50" t="s">
        <v>29</v>
      </c>
      <c r="F383" s="55" t="s">
        <v>72</v>
      </c>
      <c r="G383" s="56">
        <f t="shared" si="25"/>
        <v>11.6279069767442</v>
      </c>
      <c r="H383" s="57">
        <f t="shared" si="26"/>
        <v>139.5</v>
      </c>
      <c r="I383" s="28">
        <v>155</v>
      </c>
      <c r="J383" s="57">
        <f t="shared" si="27"/>
        <v>162.75</v>
      </c>
      <c r="K383" s="57">
        <f t="shared" si="28"/>
        <v>131.13</v>
      </c>
      <c r="L383" s="57">
        <f t="shared" si="29"/>
        <v>145.7</v>
      </c>
    </row>
    <row r="384" ht="15" spans="1:12">
      <c r="A384" s="48" t="s">
        <v>154</v>
      </c>
      <c r="B384" s="54" t="s">
        <v>149</v>
      </c>
      <c r="C384" s="50" t="s">
        <v>27</v>
      </c>
      <c r="D384" s="51" t="s">
        <v>28</v>
      </c>
      <c r="E384" s="50" t="s">
        <v>53</v>
      </c>
      <c r="F384" s="55" t="s">
        <v>155</v>
      </c>
      <c r="G384" s="56">
        <f t="shared" si="25"/>
        <v>6.81245311327832</v>
      </c>
      <c r="H384" s="57">
        <f t="shared" si="26"/>
        <v>81.729</v>
      </c>
      <c r="I384" s="28">
        <v>90.81</v>
      </c>
      <c r="J384" s="57">
        <f t="shared" si="27"/>
        <v>95.3505</v>
      </c>
      <c r="K384" s="57">
        <f t="shared" si="28"/>
        <v>76.82526</v>
      </c>
      <c r="L384" s="57">
        <f t="shared" si="29"/>
        <v>85.3614</v>
      </c>
    </row>
    <row r="385" ht="15" spans="1:12">
      <c r="A385" s="48" t="s">
        <v>154</v>
      </c>
      <c r="B385" s="54" t="s">
        <v>149</v>
      </c>
      <c r="C385" s="50" t="s">
        <v>60</v>
      </c>
      <c r="D385" s="51" t="s">
        <v>28</v>
      </c>
      <c r="E385" s="50" t="s">
        <v>53</v>
      </c>
      <c r="F385" s="55" t="s">
        <v>155</v>
      </c>
      <c r="G385" s="56">
        <f t="shared" si="25"/>
        <v>8.75393848462116</v>
      </c>
      <c r="H385" s="57">
        <f t="shared" si="26"/>
        <v>105.021</v>
      </c>
      <c r="I385" s="28">
        <v>116.69</v>
      </c>
      <c r="J385" s="57">
        <f t="shared" si="27"/>
        <v>122.5245</v>
      </c>
      <c r="K385" s="57">
        <f t="shared" si="28"/>
        <v>98.71974</v>
      </c>
      <c r="L385" s="57">
        <f t="shared" si="29"/>
        <v>109.6886</v>
      </c>
    </row>
    <row r="386" ht="15" spans="1:12">
      <c r="A386" s="48" t="s">
        <v>154</v>
      </c>
      <c r="B386" s="54" t="s">
        <v>149</v>
      </c>
      <c r="C386" s="50" t="s">
        <v>60</v>
      </c>
      <c r="D386" s="51" t="s">
        <v>28</v>
      </c>
      <c r="E386" s="50" t="s">
        <v>53</v>
      </c>
      <c r="F386" s="55" t="s">
        <v>52</v>
      </c>
      <c r="G386" s="56">
        <f t="shared" si="25"/>
        <v>8.7344336084021</v>
      </c>
      <c r="H386" s="57">
        <f t="shared" si="26"/>
        <v>104.787</v>
      </c>
      <c r="I386" s="28">
        <v>116.43</v>
      </c>
      <c r="J386" s="57">
        <f t="shared" si="27"/>
        <v>122.2515</v>
      </c>
      <c r="K386" s="57">
        <f t="shared" si="28"/>
        <v>98.49978</v>
      </c>
      <c r="L386" s="57">
        <f t="shared" si="29"/>
        <v>109.4442</v>
      </c>
    </row>
    <row r="387" ht="15" spans="1:12">
      <c r="A387" s="48" t="s">
        <v>154</v>
      </c>
      <c r="B387" s="54" t="s">
        <v>156</v>
      </c>
      <c r="C387" s="50" t="s">
        <v>27</v>
      </c>
      <c r="D387" s="51" t="s">
        <v>28</v>
      </c>
      <c r="E387" s="50" t="s">
        <v>53</v>
      </c>
      <c r="F387" s="55" t="s">
        <v>157</v>
      </c>
      <c r="G387" s="56">
        <f t="shared" si="25"/>
        <v>7.67516879219805</v>
      </c>
      <c r="H387" s="57">
        <f t="shared" si="26"/>
        <v>92.079</v>
      </c>
      <c r="I387" s="28">
        <v>102.31</v>
      </c>
      <c r="J387" s="57">
        <f t="shared" si="27"/>
        <v>107.4255</v>
      </c>
      <c r="K387" s="57">
        <f t="shared" si="28"/>
        <v>86.55426</v>
      </c>
      <c r="L387" s="57">
        <f t="shared" si="29"/>
        <v>96.1714</v>
      </c>
    </row>
    <row r="388" ht="15" spans="1:12">
      <c r="A388" s="48" t="s">
        <v>154</v>
      </c>
      <c r="B388" s="54" t="s">
        <v>51</v>
      </c>
      <c r="C388" s="50" t="s">
        <v>27</v>
      </c>
      <c r="D388" s="51" t="s">
        <v>28</v>
      </c>
      <c r="E388" s="50" t="s">
        <v>53</v>
      </c>
      <c r="F388" s="55" t="s">
        <v>155</v>
      </c>
      <c r="G388" s="56">
        <f t="shared" si="25"/>
        <v>7.20405101275319</v>
      </c>
      <c r="H388" s="57">
        <f t="shared" si="26"/>
        <v>86.427</v>
      </c>
      <c r="I388" s="28">
        <v>96.03</v>
      </c>
      <c r="J388" s="57">
        <f t="shared" si="27"/>
        <v>100.8315</v>
      </c>
      <c r="K388" s="57">
        <f t="shared" si="28"/>
        <v>81.24138</v>
      </c>
      <c r="L388" s="57">
        <f t="shared" si="29"/>
        <v>90.2682</v>
      </c>
    </row>
    <row r="389" ht="15" spans="1:12">
      <c r="A389" s="48" t="s">
        <v>154</v>
      </c>
      <c r="B389" s="54" t="s">
        <v>51</v>
      </c>
      <c r="C389" s="50" t="s">
        <v>47</v>
      </c>
      <c r="D389" s="51" t="s">
        <v>28</v>
      </c>
      <c r="E389" s="50" t="s">
        <v>53</v>
      </c>
      <c r="F389" s="55" t="s">
        <v>155</v>
      </c>
      <c r="G389" s="56">
        <f t="shared" si="25"/>
        <v>10.7134283570893</v>
      </c>
      <c r="H389" s="57">
        <f t="shared" si="26"/>
        <v>128.529</v>
      </c>
      <c r="I389" s="28">
        <v>142.81</v>
      </c>
      <c r="J389" s="57">
        <f t="shared" si="27"/>
        <v>149.9505</v>
      </c>
      <c r="K389" s="57">
        <f t="shared" si="28"/>
        <v>120.81726</v>
      </c>
      <c r="L389" s="57">
        <f t="shared" si="29"/>
        <v>134.2414</v>
      </c>
    </row>
    <row r="390" ht="15" spans="1:12">
      <c r="A390" s="48" t="s">
        <v>154</v>
      </c>
      <c r="B390" s="54" t="s">
        <v>121</v>
      </c>
      <c r="C390" s="50" t="s">
        <v>27</v>
      </c>
      <c r="D390" s="51" t="s">
        <v>28</v>
      </c>
      <c r="E390" s="50" t="s">
        <v>53</v>
      </c>
      <c r="F390" s="55" t="s">
        <v>122</v>
      </c>
      <c r="G390" s="56">
        <f t="shared" si="25"/>
        <v>7.02475618904726</v>
      </c>
      <c r="H390" s="57">
        <f t="shared" si="26"/>
        <v>84.276</v>
      </c>
      <c r="I390" s="28">
        <v>93.64</v>
      </c>
      <c r="J390" s="57">
        <f t="shared" si="27"/>
        <v>98.322</v>
      </c>
      <c r="K390" s="57">
        <f t="shared" si="28"/>
        <v>79.21944</v>
      </c>
      <c r="L390" s="57">
        <f t="shared" si="29"/>
        <v>88.0216</v>
      </c>
    </row>
    <row r="391" ht="15" spans="1:12">
      <c r="A391" s="48" t="s">
        <v>154</v>
      </c>
      <c r="B391" s="54" t="s">
        <v>54</v>
      </c>
      <c r="C391" s="50" t="s">
        <v>27</v>
      </c>
      <c r="D391" s="51" t="s">
        <v>28</v>
      </c>
      <c r="E391" s="50" t="s">
        <v>29</v>
      </c>
      <c r="F391" s="55" t="s">
        <v>57</v>
      </c>
      <c r="G391" s="56">
        <f t="shared" si="25"/>
        <v>7.25731432858215</v>
      </c>
      <c r="H391" s="57">
        <f t="shared" si="26"/>
        <v>87.066</v>
      </c>
      <c r="I391" s="28">
        <v>96.74</v>
      </c>
      <c r="J391" s="57">
        <f t="shared" si="27"/>
        <v>101.577</v>
      </c>
      <c r="K391" s="57">
        <f t="shared" si="28"/>
        <v>81.84204</v>
      </c>
      <c r="L391" s="57">
        <f t="shared" si="29"/>
        <v>90.9356</v>
      </c>
    </row>
    <row r="392" ht="15" spans="1:12">
      <c r="A392" s="48" t="s">
        <v>154</v>
      </c>
      <c r="B392" s="54" t="s">
        <v>54</v>
      </c>
      <c r="C392" s="50" t="s">
        <v>47</v>
      </c>
      <c r="D392" s="51" t="s">
        <v>28</v>
      </c>
      <c r="E392" s="50" t="s">
        <v>29</v>
      </c>
      <c r="F392" s="55" t="s">
        <v>57</v>
      </c>
      <c r="G392" s="56">
        <f t="shared" si="25"/>
        <v>10.6961740435109</v>
      </c>
      <c r="H392" s="57">
        <f t="shared" si="26"/>
        <v>128.322</v>
      </c>
      <c r="I392" s="28">
        <v>142.58</v>
      </c>
      <c r="J392" s="57">
        <f t="shared" si="27"/>
        <v>149.709</v>
      </c>
      <c r="K392" s="57">
        <f t="shared" si="28"/>
        <v>120.62268</v>
      </c>
      <c r="L392" s="57">
        <f t="shared" si="29"/>
        <v>134.0252</v>
      </c>
    </row>
    <row r="393" ht="15" spans="1:12">
      <c r="A393" s="48" t="s">
        <v>154</v>
      </c>
      <c r="B393" s="54" t="s">
        <v>54</v>
      </c>
      <c r="C393" s="50" t="s">
        <v>47</v>
      </c>
      <c r="D393" s="51" t="s">
        <v>28</v>
      </c>
      <c r="E393" s="50" t="s">
        <v>53</v>
      </c>
      <c r="F393" s="55" t="s">
        <v>57</v>
      </c>
      <c r="G393" s="56">
        <f t="shared" si="25"/>
        <v>10.5138784696174</v>
      </c>
      <c r="H393" s="57">
        <f t="shared" si="26"/>
        <v>126.135</v>
      </c>
      <c r="I393" s="28">
        <v>140.15</v>
      </c>
      <c r="J393" s="57">
        <f t="shared" si="27"/>
        <v>147.1575</v>
      </c>
      <c r="K393" s="57">
        <f t="shared" si="28"/>
        <v>118.5669</v>
      </c>
      <c r="L393" s="57">
        <f t="shared" si="29"/>
        <v>131.741</v>
      </c>
    </row>
    <row r="394" ht="15" spans="1:12">
      <c r="A394" s="48" t="s">
        <v>154</v>
      </c>
      <c r="B394" s="54" t="s">
        <v>56</v>
      </c>
      <c r="C394" s="50" t="s">
        <v>27</v>
      </c>
      <c r="D394" s="51" t="s">
        <v>28</v>
      </c>
      <c r="E394" s="50" t="s">
        <v>53</v>
      </c>
      <c r="F394" s="55" t="s">
        <v>57</v>
      </c>
      <c r="G394" s="56">
        <f t="shared" si="25"/>
        <v>7.16204051012753</v>
      </c>
      <c r="H394" s="57">
        <f t="shared" si="26"/>
        <v>85.923</v>
      </c>
      <c r="I394" s="28">
        <v>95.47</v>
      </c>
      <c r="J394" s="57">
        <f t="shared" si="27"/>
        <v>100.2435</v>
      </c>
      <c r="K394" s="57">
        <f t="shared" si="28"/>
        <v>80.76762</v>
      </c>
      <c r="L394" s="57">
        <f t="shared" si="29"/>
        <v>89.7418</v>
      </c>
    </row>
    <row r="395" ht="15" spans="1:12">
      <c r="A395" s="48" t="s">
        <v>154</v>
      </c>
      <c r="B395" s="54" t="s">
        <v>56</v>
      </c>
      <c r="C395" s="50" t="s">
        <v>27</v>
      </c>
      <c r="D395" s="51" t="s">
        <v>28</v>
      </c>
      <c r="E395" s="50" t="s">
        <v>29</v>
      </c>
      <c r="F395" s="55" t="s">
        <v>55</v>
      </c>
      <c r="G395" s="56">
        <f t="shared" ref="G395:G458" si="30">I395/13.33</f>
        <v>7.16204051012753</v>
      </c>
      <c r="H395" s="57">
        <f t="shared" ref="H395:H458" si="31">I395*0.9</f>
        <v>85.923</v>
      </c>
      <c r="I395" s="28">
        <v>95.47</v>
      </c>
      <c r="J395" s="57">
        <f t="shared" ref="J395:J458" si="32">I395*1.05</f>
        <v>100.2435</v>
      </c>
      <c r="K395" s="57">
        <f t="shared" ref="K395:K458" si="33">H395*0.94</f>
        <v>80.76762</v>
      </c>
      <c r="L395" s="57">
        <f t="shared" ref="L395:L458" si="34">I395*0.94</f>
        <v>89.7418</v>
      </c>
    </row>
    <row r="396" ht="15" spans="1:12">
      <c r="A396" s="48" t="s">
        <v>154</v>
      </c>
      <c r="B396" s="54" t="s">
        <v>56</v>
      </c>
      <c r="C396" s="50" t="s">
        <v>47</v>
      </c>
      <c r="D396" s="51" t="s">
        <v>28</v>
      </c>
      <c r="E396" s="50" t="s">
        <v>53</v>
      </c>
      <c r="F396" s="55" t="s">
        <v>57</v>
      </c>
      <c r="G396" s="56">
        <f t="shared" si="30"/>
        <v>10.8124531132783</v>
      </c>
      <c r="H396" s="57">
        <f t="shared" si="31"/>
        <v>129.717</v>
      </c>
      <c r="I396" s="28">
        <v>144.13</v>
      </c>
      <c r="J396" s="57">
        <f t="shared" si="32"/>
        <v>151.3365</v>
      </c>
      <c r="K396" s="57">
        <f t="shared" si="33"/>
        <v>121.93398</v>
      </c>
      <c r="L396" s="57">
        <f t="shared" si="34"/>
        <v>135.4822</v>
      </c>
    </row>
    <row r="397" ht="15" spans="1:12">
      <c r="A397" s="48" t="s">
        <v>154</v>
      </c>
      <c r="B397" s="54" t="s">
        <v>56</v>
      </c>
      <c r="C397" s="50" t="s">
        <v>47</v>
      </c>
      <c r="D397" s="51" t="s">
        <v>28</v>
      </c>
      <c r="E397" s="50" t="s">
        <v>53</v>
      </c>
      <c r="F397" s="55" t="s">
        <v>55</v>
      </c>
      <c r="G397" s="56">
        <f t="shared" si="30"/>
        <v>10.8124531132783</v>
      </c>
      <c r="H397" s="57">
        <f t="shared" si="31"/>
        <v>129.717</v>
      </c>
      <c r="I397" s="28">
        <v>144.13</v>
      </c>
      <c r="J397" s="57">
        <f t="shared" si="32"/>
        <v>151.3365</v>
      </c>
      <c r="K397" s="57">
        <f t="shared" si="33"/>
        <v>121.93398</v>
      </c>
      <c r="L397" s="57">
        <f t="shared" si="34"/>
        <v>135.4822</v>
      </c>
    </row>
    <row r="398" ht="15" spans="1:12">
      <c r="A398" s="48" t="s">
        <v>154</v>
      </c>
      <c r="B398" s="54" t="s">
        <v>56</v>
      </c>
      <c r="C398" s="50" t="s">
        <v>61</v>
      </c>
      <c r="D398" s="51" t="s">
        <v>28</v>
      </c>
      <c r="E398" s="50" t="s">
        <v>53</v>
      </c>
      <c r="F398" s="55" t="s">
        <v>122</v>
      </c>
      <c r="G398" s="56">
        <f t="shared" si="30"/>
        <v>19.8724681170293</v>
      </c>
      <c r="H398" s="57">
        <f t="shared" si="31"/>
        <v>238.41</v>
      </c>
      <c r="I398" s="28">
        <v>264.9</v>
      </c>
      <c r="J398" s="57">
        <f t="shared" si="32"/>
        <v>278.145</v>
      </c>
      <c r="K398" s="57">
        <f t="shared" si="33"/>
        <v>224.1054</v>
      </c>
      <c r="L398" s="57">
        <f t="shared" si="34"/>
        <v>249.006</v>
      </c>
    </row>
    <row r="399" ht="15" spans="1:12">
      <c r="A399" s="48" t="s">
        <v>154</v>
      </c>
      <c r="B399" s="54" t="s">
        <v>144</v>
      </c>
      <c r="C399" s="50" t="s">
        <v>27</v>
      </c>
      <c r="D399" s="51" t="s">
        <v>28</v>
      </c>
      <c r="E399" s="50" t="s">
        <v>29</v>
      </c>
      <c r="F399" s="55" t="s">
        <v>57</v>
      </c>
      <c r="G399" s="56">
        <f t="shared" si="30"/>
        <v>7.44036009002251</v>
      </c>
      <c r="H399" s="57">
        <f t="shared" si="31"/>
        <v>89.262</v>
      </c>
      <c r="I399" s="28">
        <v>99.18</v>
      </c>
      <c r="J399" s="57">
        <f t="shared" si="32"/>
        <v>104.139</v>
      </c>
      <c r="K399" s="57">
        <f t="shared" si="33"/>
        <v>83.90628</v>
      </c>
      <c r="L399" s="57">
        <f t="shared" si="34"/>
        <v>93.2292</v>
      </c>
    </row>
    <row r="400" ht="15" spans="1:12">
      <c r="A400" s="48" t="s">
        <v>154</v>
      </c>
      <c r="B400" s="54" t="s">
        <v>144</v>
      </c>
      <c r="C400" s="50" t="s">
        <v>47</v>
      </c>
      <c r="D400" s="51" t="s">
        <v>28</v>
      </c>
      <c r="E400" s="50" t="s">
        <v>29</v>
      </c>
      <c r="F400" s="55" t="s">
        <v>57</v>
      </c>
      <c r="G400" s="56">
        <f t="shared" si="30"/>
        <v>10.6136534133533</v>
      </c>
      <c r="H400" s="57">
        <f t="shared" si="31"/>
        <v>127.332</v>
      </c>
      <c r="I400" s="28">
        <v>141.48</v>
      </c>
      <c r="J400" s="57">
        <f t="shared" si="32"/>
        <v>148.554</v>
      </c>
      <c r="K400" s="57">
        <f t="shared" si="33"/>
        <v>119.69208</v>
      </c>
      <c r="L400" s="57">
        <f t="shared" si="34"/>
        <v>132.9912</v>
      </c>
    </row>
    <row r="401" ht="15" spans="1:12">
      <c r="A401" s="48" t="s">
        <v>154</v>
      </c>
      <c r="B401" s="54" t="s">
        <v>58</v>
      </c>
      <c r="C401" s="50" t="s">
        <v>27</v>
      </c>
      <c r="D401" s="51" t="s">
        <v>28</v>
      </c>
      <c r="E401" s="50" t="s">
        <v>53</v>
      </c>
      <c r="F401" s="55" t="s">
        <v>59</v>
      </c>
      <c r="G401" s="56">
        <f t="shared" si="30"/>
        <v>7.18904726181545</v>
      </c>
      <c r="H401" s="57">
        <f t="shared" si="31"/>
        <v>86.247</v>
      </c>
      <c r="I401" s="28">
        <v>95.83</v>
      </c>
      <c r="J401" s="57">
        <f t="shared" si="32"/>
        <v>100.6215</v>
      </c>
      <c r="K401" s="57">
        <f t="shared" si="33"/>
        <v>81.07218</v>
      </c>
      <c r="L401" s="57">
        <f t="shared" si="34"/>
        <v>90.0802</v>
      </c>
    </row>
    <row r="402" ht="15" spans="1:12">
      <c r="A402" s="48" t="s">
        <v>154</v>
      </c>
      <c r="B402" s="54" t="s">
        <v>58</v>
      </c>
      <c r="C402" s="50" t="s">
        <v>47</v>
      </c>
      <c r="D402" s="51" t="s">
        <v>28</v>
      </c>
      <c r="E402" s="50" t="s">
        <v>53</v>
      </c>
      <c r="F402" s="55" t="s">
        <v>59</v>
      </c>
      <c r="G402" s="56">
        <f t="shared" si="30"/>
        <v>11.0165041260315</v>
      </c>
      <c r="H402" s="57">
        <f t="shared" si="31"/>
        <v>132.165</v>
      </c>
      <c r="I402" s="28">
        <v>146.85</v>
      </c>
      <c r="J402" s="57">
        <f t="shared" si="32"/>
        <v>154.1925</v>
      </c>
      <c r="K402" s="57">
        <f t="shared" si="33"/>
        <v>124.2351</v>
      </c>
      <c r="L402" s="57">
        <f t="shared" si="34"/>
        <v>138.039</v>
      </c>
    </row>
    <row r="403" ht="15" spans="1:12">
      <c r="A403" s="48" t="s">
        <v>154</v>
      </c>
      <c r="B403" s="60" t="s">
        <v>58</v>
      </c>
      <c r="C403" s="61" t="s">
        <v>47</v>
      </c>
      <c r="D403" s="58" t="s">
        <v>28</v>
      </c>
      <c r="E403" s="61" t="s">
        <v>53</v>
      </c>
      <c r="F403" s="63" t="s">
        <v>158</v>
      </c>
      <c r="G403" s="56">
        <f t="shared" si="30"/>
        <v>12.1942985746437</v>
      </c>
      <c r="H403" s="57">
        <f t="shared" si="31"/>
        <v>146.295</v>
      </c>
      <c r="I403" s="28">
        <v>162.55</v>
      </c>
      <c r="J403" s="57">
        <f t="shared" si="32"/>
        <v>170.6775</v>
      </c>
      <c r="K403" s="57">
        <f t="shared" si="33"/>
        <v>137.5173</v>
      </c>
      <c r="L403" s="57">
        <f t="shared" si="34"/>
        <v>152.797</v>
      </c>
    </row>
    <row r="404" ht="15" spans="1:12">
      <c r="A404" s="48" t="s">
        <v>154</v>
      </c>
      <c r="B404" s="54" t="s">
        <v>151</v>
      </c>
      <c r="C404" s="50" t="s">
        <v>27</v>
      </c>
      <c r="D404" s="51" t="s">
        <v>28</v>
      </c>
      <c r="E404" s="50" t="s">
        <v>53</v>
      </c>
      <c r="F404" s="55" t="s">
        <v>59</v>
      </c>
      <c r="G404" s="56">
        <f t="shared" si="30"/>
        <v>7.18904726181545</v>
      </c>
      <c r="H404" s="57">
        <f t="shared" si="31"/>
        <v>86.247</v>
      </c>
      <c r="I404" s="28">
        <v>95.83</v>
      </c>
      <c r="J404" s="57">
        <f t="shared" si="32"/>
        <v>100.6215</v>
      </c>
      <c r="K404" s="57">
        <f t="shared" si="33"/>
        <v>81.07218</v>
      </c>
      <c r="L404" s="57">
        <f t="shared" si="34"/>
        <v>90.0802</v>
      </c>
    </row>
    <row r="405" ht="15" spans="1:12">
      <c r="A405" s="48" t="s">
        <v>154</v>
      </c>
      <c r="B405" s="54" t="s">
        <v>151</v>
      </c>
      <c r="C405" s="50" t="s">
        <v>47</v>
      </c>
      <c r="D405" s="51" t="s">
        <v>28</v>
      </c>
      <c r="E405" s="50" t="s">
        <v>53</v>
      </c>
      <c r="F405" s="55" t="s">
        <v>125</v>
      </c>
      <c r="G405" s="56">
        <f t="shared" si="30"/>
        <v>10.9744936234059</v>
      </c>
      <c r="H405" s="57">
        <f t="shared" si="31"/>
        <v>131.661</v>
      </c>
      <c r="I405" s="28">
        <v>146.29</v>
      </c>
      <c r="J405" s="57">
        <f t="shared" si="32"/>
        <v>153.6045</v>
      </c>
      <c r="K405" s="57">
        <f t="shared" si="33"/>
        <v>123.76134</v>
      </c>
      <c r="L405" s="57">
        <f t="shared" si="34"/>
        <v>137.5126</v>
      </c>
    </row>
    <row r="406" ht="15" spans="1:12">
      <c r="A406" s="48" t="s">
        <v>154</v>
      </c>
      <c r="B406" s="54" t="s">
        <v>151</v>
      </c>
      <c r="C406" s="50" t="s">
        <v>47</v>
      </c>
      <c r="D406" s="51" t="s">
        <v>28</v>
      </c>
      <c r="E406" s="50" t="s">
        <v>53</v>
      </c>
      <c r="F406" s="55" t="s">
        <v>59</v>
      </c>
      <c r="G406" s="56">
        <f t="shared" si="30"/>
        <v>10.6939234808702</v>
      </c>
      <c r="H406" s="57">
        <f t="shared" si="31"/>
        <v>128.295</v>
      </c>
      <c r="I406" s="28">
        <v>142.55</v>
      </c>
      <c r="J406" s="57">
        <f t="shared" si="32"/>
        <v>149.6775</v>
      </c>
      <c r="K406" s="57">
        <f t="shared" si="33"/>
        <v>120.5973</v>
      </c>
      <c r="L406" s="57">
        <f t="shared" si="34"/>
        <v>133.997</v>
      </c>
    </row>
    <row r="407" ht="15" spans="1:12">
      <c r="A407" s="48" t="s">
        <v>154</v>
      </c>
      <c r="B407" s="54" t="s">
        <v>151</v>
      </c>
      <c r="C407" s="50" t="s">
        <v>60</v>
      </c>
      <c r="D407" s="51" t="s">
        <v>28</v>
      </c>
      <c r="E407" s="50" t="s">
        <v>53</v>
      </c>
      <c r="F407" s="55" t="s">
        <v>159</v>
      </c>
      <c r="G407" s="56">
        <f t="shared" si="30"/>
        <v>9.20255063765942</v>
      </c>
      <c r="H407" s="57">
        <f t="shared" si="31"/>
        <v>110.403</v>
      </c>
      <c r="I407" s="28">
        <v>122.67</v>
      </c>
      <c r="J407" s="57">
        <f t="shared" si="32"/>
        <v>128.8035</v>
      </c>
      <c r="K407" s="57">
        <f t="shared" si="33"/>
        <v>103.77882</v>
      </c>
      <c r="L407" s="57">
        <f t="shared" si="34"/>
        <v>115.3098</v>
      </c>
    </row>
    <row r="408" ht="15" spans="1:12">
      <c r="A408" s="59" t="s">
        <v>154</v>
      </c>
      <c r="B408" s="60" t="s">
        <v>151</v>
      </c>
      <c r="C408" s="61" t="s">
        <v>127</v>
      </c>
      <c r="D408" s="58" t="s">
        <v>28</v>
      </c>
      <c r="E408" s="61" t="s">
        <v>53</v>
      </c>
      <c r="F408" s="63" t="s">
        <v>62</v>
      </c>
      <c r="G408" s="56">
        <f t="shared" si="30"/>
        <v>17.6714178544636</v>
      </c>
      <c r="H408" s="62">
        <f t="shared" si="31"/>
        <v>212.004</v>
      </c>
      <c r="I408" s="28">
        <v>235.56</v>
      </c>
      <c r="J408" s="62">
        <f t="shared" si="32"/>
        <v>247.338</v>
      </c>
      <c r="K408" s="62">
        <f t="shared" si="33"/>
        <v>199.28376</v>
      </c>
      <c r="L408" s="62">
        <f t="shared" si="34"/>
        <v>221.4264</v>
      </c>
    </row>
    <row r="409" ht="15" spans="1:12">
      <c r="A409" s="59" t="s">
        <v>154</v>
      </c>
      <c r="B409" s="60" t="s">
        <v>151</v>
      </c>
      <c r="C409" s="61" t="s">
        <v>61</v>
      </c>
      <c r="D409" s="58" t="s">
        <v>28</v>
      </c>
      <c r="E409" s="61" t="s">
        <v>53</v>
      </c>
      <c r="F409" s="63" t="s">
        <v>125</v>
      </c>
      <c r="G409" s="56">
        <f t="shared" si="30"/>
        <v>19.7674418604651</v>
      </c>
      <c r="H409" s="62">
        <f t="shared" si="31"/>
        <v>237.15</v>
      </c>
      <c r="I409" s="28">
        <v>263.5</v>
      </c>
      <c r="J409" s="62">
        <f t="shared" si="32"/>
        <v>276.675</v>
      </c>
      <c r="K409" s="62">
        <f t="shared" si="33"/>
        <v>222.921</v>
      </c>
      <c r="L409" s="62">
        <f t="shared" si="34"/>
        <v>247.69</v>
      </c>
    </row>
    <row r="410" ht="15" spans="1:12">
      <c r="A410" s="59" t="s">
        <v>154</v>
      </c>
      <c r="B410" s="60" t="s">
        <v>151</v>
      </c>
      <c r="C410" s="61" t="s">
        <v>61</v>
      </c>
      <c r="D410" s="58" t="s">
        <v>28</v>
      </c>
      <c r="E410" s="61" t="s">
        <v>53</v>
      </c>
      <c r="F410" s="63" t="s">
        <v>62</v>
      </c>
      <c r="G410" s="56">
        <f t="shared" si="30"/>
        <v>22.093023255814</v>
      </c>
      <c r="H410" s="62">
        <f t="shared" si="31"/>
        <v>265.05</v>
      </c>
      <c r="I410" s="28">
        <v>294.5</v>
      </c>
      <c r="J410" s="62">
        <f t="shared" si="32"/>
        <v>309.225</v>
      </c>
      <c r="K410" s="62">
        <f t="shared" si="33"/>
        <v>249.147</v>
      </c>
      <c r="L410" s="62">
        <f t="shared" si="34"/>
        <v>276.83</v>
      </c>
    </row>
    <row r="411" ht="15" spans="1:12">
      <c r="A411" s="48" t="s">
        <v>154</v>
      </c>
      <c r="B411" s="54" t="s">
        <v>160</v>
      </c>
      <c r="C411" s="50" t="s">
        <v>47</v>
      </c>
      <c r="D411" s="51" t="s">
        <v>28</v>
      </c>
      <c r="E411" s="50" t="s">
        <v>29</v>
      </c>
      <c r="F411" s="55" t="s">
        <v>59</v>
      </c>
      <c r="G411" s="56">
        <f t="shared" si="30"/>
        <v>11.0015003750938</v>
      </c>
      <c r="H411" s="57">
        <f t="shared" si="31"/>
        <v>131.985</v>
      </c>
      <c r="I411" s="28">
        <v>146.65</v>
      </c>
      <c r="J411" s="57">
        <f t="shared" si="32"/>
        <v>153.9825</v>
      </c>
      <c r="K411" s="57">
        <f t="shared" si="33"/>
        <v>124.0659</v>
      </c>
      <c r="L411" s="57">
        <f t="shared" si="34"/>
        <v>137.851</v>
      </c>
    </row>
    <row r="412" ht="15" spans="1:12">
      <c r="A412" s="48" t="s">
        <v>154</v>
      </c>
      <c r="B412" s="54" t="s">
        <v>64</v>
      </c>
      <c r="C412" s="50" t="s">
        <v>27</v>
      </c>
      <c r="D412" s="51" t="s">
        <v>28</v>
      </c>
      <c r="E412" s="50" t="s">
        <v>53</v>
      </c>
      <c r="F412" s="55" t="s">
        <v>59</v>
      </c>
      <c r="G412" s="56">
        <f t="shared" si="30"/>
        <v>7.56039009752438</v>
      </c>
      <c r="H412" s="57">
        <f t="shared" si="31"/>
        <v>90.702</v>
      </c>
      <c r="I412" s="28">
        <v>100.78</v>
      </c>
      <c r="J412" s="57">
        <f t="shared" si="32"/>
        <v>105.819</v>
      </c>
      <c r="K412" s="57">
        <f t="shared" si="33"/>
        <v>85.25988</v>
      </c>
      <c r="L412" s="57">
        <f t="shared" si="34"/>
        <v>94.7332</v>
      </c>
    </row>
    <row r="413" ht="15" spans="1:12">
      <c r="A413" s="48" t="s">
        <v>154</v>
      </c>
      <c r="B413" s="54" t="s">
        <v>64</v>
      </c>
      <c r="C413" s="50" t="s">
        <v>47</v>
      </c>
      <c r="D413" s="51" t="s">
        <v>28</v>
      </c>
      <c r="E413" s="50" t="s">
        <v>53</v>
      </c>
      <c r="F413" s="55" t="s">
        <v>59</v>
      </c>
      <c r="G413" s="56">
        <f t="shared" si="30"/>
        <v>11.0052513128282</v>
      </c>
      <c r="H413" s="57">
        <f t="shared" si="31"/>
        <v>132.03</v>
      </c>
      <c r="I413" s="28">
        <v>146.7</v>
      </c>
      <c r="J413" s="57">
        <f t="shared" si="32"/>
        <v>154.035</v>
      </c>
      <c r="K413" s="57">
        <f t="shared" si="33"/>
        <v>124.1082</v>
      </c>
      <c r="L413" s="57">
        <f t="shared" si="34"/>
        <v>137.898</v>
      </c>
    </row>
    <row r="414" ht="15" spans="1:12">
      <c r="A414" s="59" t="s">
        <v>154</v>
      </c>
      <c r="B414" s="60" t="s">
        <v>152</v>
      </c>
      <c r="C414" s="61" t="s">
        <v>61</v>
      </c>
      <c r="D414" s="58" t="s">
        <v>28</v>
      </c>
      <c r="E414" s="61" t="s">
        <v>53</v>
      </c>
      <c r="F414" s="63" t="s">
        <v>65</v>
      </c>
      <c r="G414" s="56">
        <f t="shared" si="30"/>
        <v>22.3135783945987</v>
      </c>
      <c r="H414" s="62">
        <f t="shared" si="31"/>
        <v>267.696</v>
      </c>
      <c r="I414" s="28">
        <v>297.44</v>
      </c>
      <c r="J414" s="62">
        <f t="shared" si="32"/>
        <v>312.312</v>
      </c>
      <c r="K414" s="62">
        <f t="shared" si="33"/>
        <v>251.63424</v>
      </c>
      <c r="L414" s="62">
        <f t="shared" si="34"/>
        <v>279.5936</v>
      </c>
    </row>
    <row r="415" ht="15" spans="1:12">
      <c r="A415" s="48" t="s">
        <v>154</v>
      </c>
      <c r="B415" s="54" t="s">
        <v>161</v>
      </c>
      <c r="C415" s="50" t="s">
        <v>27</v>
      </c>
      <c r="D415" s="51" t="s">
        <v>28</v>
      </c>
      <c r="E415" s="50" t="s">
        <v>53</v>
      </c>
      <c r="F415" s="55" t="s">
        <v>69</v>
      </c>
      <c r="G415" s="56">
        <f t="shared" si="30"/>
        <v>7.74868717179295</v>
      </c>
      <c r="H415" s="57">
        <f t="shared" si="31"/>
        <v>92.961</v>
      </c>
      <c r="I415" s="28">
        <v>103.29</v>
      </c>
      <c r="J415" s="57">
        <f t="shared" si="32"/>
        <v>108.4545</v>
      </c>
      <c r="K415" s="57">
        <f t="shared" si="33"/>
        <v>87.38334</v>
      </c>
      <c r="L415" s="57">
        <f t="shared" si="34"/>
        <v>97.0926</v>
      </c>
    </row>
    <row r="416" ht="15" spans="1:12">
      <c r="A416" s="48" t="s">
        <v>154</v>
      </c>
      <c r="B416" s="54" t="s">
        <v>161</v>
      </c>
      <c r="C416" s="50" t="s">
        <v>47</v>
      </c>
      <c r="D416" s="51" t="s">
        <v>28</v>
      </c>
      <c r="E416" s="50" t="s">
        <v>53</v>
      </c>
      <c r="F416" s="55" t="s">
        <v>69</v>
      </c>
      <c r="G416" s="56">
        <f t="shared" si="30"/>
        <v>11.3923480870218</v>
      </c>
      <c r="H416" s="57">
        <f t="shared" si="31"/>
        <v>136.674</v>
      </c>
      <c r="I416" s="28">
        <v>151.86</v>
      </c>
      <c r="J416" s="57">
        <f t="shared" si="32"/>
        <v>159.453</v>
      </c>
      <c r="K416" s="57">
        <f t="shared" si="33"/>
        <v>128.47356</v>
      </c>
      <c r="L416" s="57">
        <f t="shared" si="34"/>
        <v>142.7484</v>
      </c>
    </row>
    <row r="417" ht="15" spans="1:12">
      <c r="A417" s="48" t="s">
        <v>154</v>
      </c>
      <c r="B417" s="54" t="s">
        <v>162</v>
      </c>
      <c r="C417" s="50" t="s">
        <v>27</v>
      </c>
      <c r="D417" s="51" t="s">
        <v>28</v>
      </c>
      <c r="E417" s="50" t="s">
        <v>53</v>
      </c>
      <c r="F417" s="55" t="s">
        <v>34</v>
      </c>
      <c r="G417" s="56">
        <f t="shared" si="30"/>
        <v>9.34958739684921</v>
      </c>
      <c r="H417" s="57">
        <f t="shared" si="31"/>
        <v>112.167</v>
      </c>
      <c r="I417" s="28">
        <v>124.63</v>
      </c>
      <c r="J417" s="57">
        <f t="shared" si="32"/>
        <v>130.8615</v>
      </c>
      <c r="K417" s="57">
        <f t="shared" si="33"/>
        <v>105.43698</v>
      </c>
      <c r="L417" s="57">
        <f t="shared" si="34"/>
        <v>117.1522</v>
      </c>
    </row>
    <row r="418" ht="15" spans="1:12">
      <c r="A418" s="48" t="s">
        <v>154</v>
      </c>
      <c r="B418" s="54" t="s">
        <v>162</v>
      </c>
      <c r="C418" s="50" t="s">
        <v>47</v>
      </c>
      <c r="D418" s="51" t="s">
        <v>28</v>
      </c>
      <c r="E418" s="50" t="s">
        <v>53</v>
      </c>
      <c r="F418" s="55" t="s">
        <v>34</v>
      </c>
      <c r="G418" s="56">
        <f t="shared" si="30"/>
        <v>12.9189797449362</v>
      </c>
      <c r="H418" s="57">
        <f t="shared" si="31"/>
        <v>154.989</v>
      </c>
      <c r="I418" s="28">
        <v>172.21</v>
      </c>
      <c r="J418" s="57">
        <f t="shared" si="32"/>
        <v>180.8205</v>
      </c>
      <c r="K418" s="57">
        <f t="shared" si="33"/>
        <v>145.68966</v>
      </c>
      <c r="L418" s="57">
        <f t="shared" si="34"/>
        <v>161.8774</v>
      </c>
    </row>
    <row r="419" ht="15" spans="1:12">
      <c r="A419" s="48" t="s">
        <v>154</v>
      </c>
      <c r="B419" s="54" t="s">
        <v>32</v>
      </c>
      <c r="C419" s="50" t="s">
        <v>60</v>
      </c>
      <c r="D419" s="51" t="s">
        <v>28</v>
      </c>
      <c r="E419" s="50" t="s">
        <v>53</v>
      </c>
      <c r="F419" s="55" t="s">
        <v>34</v>
      </c>
      <c r="G419" s="56">
        <f t="shared" si="30"/>
        <v>11.2775693923481</v>
      </c>
      <c r="H419" s="57">
        <f t="shared" si="31"/>
        <v>135.297</v>
      </c>
      <c r="I419" s="28">
        <v>150.33</v>
      </c>
      <c r="J419" s="57">
        <f t="shared" si="32"/>
        <v>157.8465</v>
      </c>
      <c r="K419" s="57">
        <f t="shared" si="33"/>
        <v>127.17918</v>
      </c>
      <c r="L419" s="57">
        <f t="shared" si="34"/>
        <v>141.3102</v>
      </c>
    </row>
    <row r="420" ht="15" spans="1:12">
      <c r="A420" s="48" t="s">
        <v>154</v>
      </c>
      <c r="B420" s="54" t="s">
        <v>153</v>
      </c>
      <c r="C420" s="50" t="s">
        <v>27</v>
      </c>
      <c r="D420" s="51" t="s">
        <v>28</v>
      </c>
      <c r="E420" s="50" t="s">
        <v>53</v>
      </c>
      <c r="F420" s="55" t="s">
        <v>72</v>
      </c>
      <c r="G420" s="56">
        <f t="shared" si="30"/>
        <v>9.64516129032258</v>
      </c>
      <c r="H420" s="57">
        <f t="shared" si="31"/>
        <v>115.713</v>
      </c>
      <c r="I420" s="28">
        <v>128.57</v>
      </c>
      <c r="J420" s="57">
        <f t="shared" si="32"/>
        <v>134.9985</v>
      </c>
      <c r="K420" s="57">
        <f t="shared" si="33"/>
        <v>108.77022</v>
      </c>
      <c r="L420" s="57">
        <f t="shared" si="34"/>
        <v>120.8558</v>
      </c>
    </row>
    <row r="421" ht="15" spans="1:12">
      <c r="A421" s="48" t="s">
        <v>154</v>
      </c>
      <c r="B421" s="54" t="s">
        <v>153</v>
      </c>
      <c r="C421" s="50" t="s">
        <v>47</v>
      </c>
      <c r="D421" s="51" t="s">
        <v>28</v>
      </c>
      <c r="E421" s="50" t="s">
        <v>53</v>
      </c>
      <c r="F421" s="55" t="s">
        <v>72</v>
      </c>
      <c r="G421" s="56">
        <f t="shared" si="30"/>
        <v>13.23855963991</v>
      </c>
      <c r="H421" s="57">
        <f t="shared" si="31"/>
        <v>158.823</v>
      </c>
      <c r="I421" s="28">
        <v>176.47</v>
      </c>
      <c r="J421" s="57">
        <f t="shared" si="32"/>
        <v>185.2935</v>
      </c>
      <c r="K421" s="57">
        <f t="shared" si="33"/>
        <v>149.29362</v>
      </c>
      <c r="L421" s="57">
        <f t="shared" si="34"/>
        <v>165.8818</v>
      </c>
    </row>
    <row r="422" ht="15" spans="1:12">
      <c r="A422" s="48" t="s">
        <v>154</v>
      </c>
      <c r="B422" s="54" t="s">
        <v>153</v>
      </c>
      <c r="C422" s="50" t="s">
        <v>27</v>
      </c>
      <c r="D422" s="51" t="s">
        <v>28</v>
      </c>
      <c r="E422" s="50" t="s">
        <v>53</v>
      </c>
      <c r="F422" s="55" t="s">
        <v>163</v>
      </c>
      <c r="G422" s="56">
        <f t="shared" si="30"/>
        <v>9.74418604651163</v>
      </c>
      <c r="H422" s="57">
        <f t="shared" si="31"/>
        <v>116.901</v>
      </c>
      <c r="I422" s="28">
        <v>129.89</v>
      </c>
      <c r="J422" s="57">
        <f t="shared" si="32"/>
        <v>136.3845</v>
      </c>
      <c r="K422" s="57">
        <f t="shared" si="33"/>
        <v>109.88694</v>
      </c>
      <c r="L422" s="57">
        <f t="shared" si="34"/>
        <v>122.0966</v>
      </c>
    </row>
    <row r="423" ht="15" spans="1:12">
      <c r="A423" s="48" t="s">
        <v>154</v>
      </c>
      <c r="B423" s="54" t="s">
        <v>164</v>
      </c>
      <c r="C423" s="50" t="s">
        <v>27</v>
      </c>
      <c r="D423" s="51" t="s">
        <v>28</v>
      </c>
      <c r="E423" s="50" t="s">
        <v>53</v>
      </c>
      <c r="F423" s="55" t="s">
        <v>74</v>
      </c>
      <c r="G423" s="56">
        <f t="shared" si="30"/>
        <v>9.26481620405101</v>
      </c>
      <c r="H423" s="57">
        <f t="shared" si="31"/>
        <v>111.15</v>
      </c>
      <c r="I423" s="28">
        <v>123.5</v>
      </c>
      <c r="J423" s="57">
        <f t="shared" si="32"/>
        <v>129.675</v>
      </c>
      <c r="K423" s="57">
        <f t="shared" si="33"/>
        <v>104.481</v>
      </c>
      <c r="L423" s="57">
        <f t="shared" si="34"/>
        <v>116.09</v>
      </c>
    </row>
    <row r="424" ht="15" spans="1:12">
      <c r="A424" s="48" t="s">
        <v>154</v>
      </c>
      <c r="B424" s="54" t="s">
        <v>164</v>
      </c>
      <c r="C424" s="50" t="s">
        <v>27</v>
      </c>
      <c r="D424" s="51" t="s">
        <v>28</v>
      </c>
      <c r="E424" s="50" t="s">
        <v>29</v>
      </c>
      <c r="F424" s="55" t="s">
        <v>163</v>
      </c>
      <c r="G424" s="56">
        <f t="shared" si="30"/>
        <v>10.5183795948987</v>
      </c>
      <c r="H424" s="57">
        <f t="shared" si="31"/>
        <v>126.189</v>
      </c>
      <c r="I424" s="28">
        <v>140.21</v>
      </c>
      <c r="J424" s="57">
        <f t="shared" si="32"/>
        <v>147.2205</v>
      </c>
      <c r="K424" s="57">
        <f t="shared" si="33"/>
        <v>118.61766</v>
      </c>
      <c r="L424" s="57">
        <f t="shared" si="34"/>
        <v>131.7974</v>
      </c>
    </row>
    <row r="425" ht="15" spans="1:12">
      <c r="A425" s="48" t="s">
        <v>154</v>
      </c>
      <c r="B425" s="54" t="s">
        <v>73</v>
      </c>
      <c r="C425" s="50" t="s">
        <v>47</v>
      </c>
      <c r="D425" s="51" t="s">
        <v>28</v>
      </c>
      <c r="E425" s="50" t="s">
        <v>53</v>
      </c>
      <c r="F425" s="55" t="s">
        <v>74</v>
      </c>
      <c r="G425" s="56">
        <f t="shared" si="30"/>
        <v>12.966991747937</v>
      </c>
      <c r="H425" s="57">
        <f t="shared" si="31"/>
        <v>155.565</v>
      </c>
      <c r="I425" s="28">
        <v>172.85</v>
      </c>
      <c r="J425" s="57">
        <f t="shared" si="32"/>
        <v>181.4925</v>
      </c>
      <c r="K425" s="57">
        <f t="shared" si="33"/>
        <v>146.2311</v>
      </c>
      <c r="L425" s="57">
        <f t="shared" si="34"/>
        <v>162.479</v>
      </c>
    </row>
    <row r="426" ht="15" spans="1:12">
      <c r="A426" s="48" t="s">
        <v>154</v>
      </c>
      <c r="B426" s="54" t="s">
        <v>75</v>
      </c>
      <c r="C426" s="50" t="s">
        <v>47</v>
      </c>
      <c r="D426" s="51" t="s">
        <v>28</v>
      </c>
      <c r="E426" s="50" t="s">
        <v>53</v>
      </c>
      <c r="F426" s="55" t="s">
        <v>74</v>
      </c>
      <c r="G426" s="56">
        <f t="shared" si="30"/>
        <v>13.126031507877</v>
      </c>
      <c r="H426" s="57">
        <f t="shared" si="31"/>
        <v>157.473</v>
      </c>
      <c r="I426" s="28">
        <v>174.97</v>
      </c>
      <c r="J426" s="57">
        <f t="shared" si="32"/>
        <v>183.7185</v>
      </c>
      <c r="K426" s="57">
        <f t="shared" si="33"/>
        <v>148.02462</v>
      </c>
      <c r="L426" s="57">
        <f t="shared" si="34"/>
        <v>164.4718</v>
      </c>
    </row>
    <row r="427" ht="15" spans="1:12">
      <c r="A427" s="48" t="s">
        <v>154</v>
      </c>
      <c r="B427" s="54" t="s">
        <v>165</v>
      </c>
      <c r="C427" s="50" t="s">
        <v>47</v>
      </c>
      <c r="D427" s="51" t="s">
        <v>28</v>
      </c>
      <c r="E427" s="50" t="s">
        <v>53</v>
      </c>
      <c r="F427" s="63" t="s">
        <v>163</v>
      </c>
      <c r="G427" s="56">
        <f t="shared" si="30"/>
        <v>14.8912228057014</v>
      </c>
      <c r="H427" s="57">
        <f t="shared" si="31"/>
        <v>178.65</v>
      </c>
      <c r="I427" s="28">
        <v>198.5</v>
      </c>
      <c r="J427" s="57">
        <f t="shared" si="32"/>
        <v>208.425</v>
      </c>
      <c r="K427" s="57">
        <f t="shared" si="33"/>
        <v>167.931</v>
      </c>
      <c r="L427" s="57">
        <f t="shared" si="34"/>
        <v>186.59</v>
      </c>
    </row>
    <row r="428" ht="15" spans="1:12">
      <c r="A428" s="48" t="s">
        <v>154</v>
      </c>
      <c r="B428" s="54" t="s">
        <v>165</v>
      </c>
      <c r="C428" s="50" t="s">
        <v>61</v>
      </c>
      <c r="D428" s="51" t="s">
        <v>28</v>
      </c>
      <c r="E428" s="50" t="s">
        <v>53</v>
      </c>
      <c r="F428" s="63" t="s">
        <v>163</v>
      </c>
      <c r="G428" s="56">
        <f t="shared" si="30"/>
        <v>24.4186046511628</v>
      </c>
      <c r="H428" s="57">
        <f t="shared" si="31"/>
        <v>292.95</v>
      </c>
      <c r="I428" s="28">
        <v>325.5</v>
      </c>
      <c r="J428" s="57">
        <f t="shared" si="32"/>
        <v>341.775</v>
      </c>
      <c r="K428" s="57">
        <f t="shared" si="33"/>
        <v>275.373</v>
      </c>
      <c r="L428" s="57">
        <f t="shared" si="34"/>
        <v>305.97</v>
      </c>
    </row>
    <row r="429" ht="15" spans="1:12">
      <c r="A429" s="48" t="s">
        <v>154</v>
      </c>
      <c r="B429" s="54" t="s">
        <v>76</v>
      </c>
      <c r="C429" s="50" t="s">
        <v>27</v>
      </c>
      <c r="D429" s="51" t="s">
        <v>28</v>
      </c>
      <c r="E429" s="50" t="s">
        <v>53</v>
      </c>
      <c r="F429" s="55" t="s">
        <v>74</v>
      </c>
      <c r="G429" s="56">
        <f t="shared" si="30"/>
        <v>9.79594898724681</v>
      </c>
      <c r="H429" s="57">
        <f t="shared" si="31"/>
        <v>117.522</v>
      </c>
      <c r="I429" s="28">
        <v>130.58</v>
      </c>
      <c r="J429" s="57">
        <f t="shared" si="32"/>
        <v>137.109</v>
      </c>
      <c r="K429" s="57">
        <f t="shared" si="33"/>
        <v>110.47068</v>
      </c>
      <c r="L429" s="57">
        <f t="shared" si="34"/>
        <v>122.7452</v>
      </c>
    </row>
    <row r="430" ht="15" spans="1:12">
      <c r="A430" s="48" t="s">
        <v>154</v>
      </c>
      <c r="B430" s="54" t="s">
        <v>76</v>
      </c>
      <c r="C430" s="50" t="s">
        <v>47</v>
      </c>
      <c r="D430" s="51" t="s">
        <v>28</v>
      </c>
      <c r="E430" s="50" t="s">
        <v>53</v>
      </c>
      <c r="F430" s="55" t="s">
        <v>74</v>
      </c>
      <c r="G430" s="56">
        <f t="shared" si="30"/>
        <v>13.1290322580645</v>
      </c>
      <c r="H430" s="57">
        <f t="shared" si="31"/>
        <v>157.509</v>
      </c>
      <c r="I430" s="28">
        <v>175.01</v>
      </c>
      <c r="J430" s="57">
        <f t="shared" si="32"/>
        <v>183.7605</v>
      </c>
      <c r="K430" s="57">
        <f t="shared" si="33"/>
        <v>148.05846</v>
      </c>
      <c r="L430" s="57">
        <f t="shared" si="34"/>
        <v>164.5094</v>
      </c>
    </row>
    <row r="431" ht="15" spans="1:12">
      <c r="A431" s="48" t="s">
        <v>154</v>
      </c>
      <c r="B431" s="54" t="s">
        <v>166</v>
      </c>
      <c r="C431" s="50" t="s">
        <v>61</v>
      </c>
      <c r="D431" s="51" t="s">
        <v>28</v>
      </c>
      <c r="E431" s="50" t="s">
        <v>53</v>
      </c>
      <c r="F431" s="55" t="s">
        <v>74</v>
      </c>
      <c r="G431" s="56">
        <f t="shared" si="30"/>
        <v>21.4928732183046</v>
      </c>
      <c r="H431" s="57">
        <f t="shared" si="31"/>
        <v>257.85</v>
      </c>
      <c r="I431" s="28">
        <v>286.5</v>
      </c>
      <c r="J431" s="57">
        <f t="shared" si="32"/>
        <v>300.825</v>
      </c>
      <c r="K431" s="57">
        <f t="shared" si="33"/>
        <v>242.379</v>
      </c>
      <c r="L431" s="57">
        <f t="shared" si="34"/>
        <v>269.31</v>
      </c>
    </row>
    <row r="432" ht="15" spans="1:12">
      <c r="A432" s="48" t="s">
        <v>154</v>
      </c>
      <c r="B432" s="54" t="s">
        <v>167</v>
      </c>
      <c r="C432" s="50" t="s">
        <v>27</v>
      </c>
      <c r="D432" s="51" t="s">
        <v>28</v>
      </c>
      <c r="E432" s="50" t="s">
        <v>53</v>
      </c>
      <c r="F432" s="55" t="s">
        <v>82</v>
      </c>
      <c r="G432" s="56">
        <f t="shared" si="30"/>
        <v>11.2963240810203</v>
      </c>
      <c r="H432" s="57">
        <f t="shared" si="31"/>
        <v>135.522</v>
      </c>
      <c r="I432" s="28">
        <v>150.58</v>
      </c>
      <c r="J432" s="57">
        <f t="shared" si="32"/>
        <v>158.109</v>
      </c>
      <c r="K432" s="57">
        <f t="shared" si="33"/>
        <v>127.39068</v>
      </c>
      <c r="L432" s="57">
        <f t="shared" si="34"/>
        <v>141.5452</v>
      </c>
    </row>
    <row r="433" ht="15" spans="1:12">
      <c r="A433" s="48" t="s">
        <v>154</v>
      </c>
      <c r="B433" s="54" t="s">
        <v>167</v>
      </c>
      <c r="C433" s="50" t="s">
        <v>47</v>
      </c>
      <c r="D433" s="51" t="s">
        <v>28</v>
      </c>
      <c r="E433" s="50" t="s">
        <v>53</v>
      </c>
      <c r="F433" s="55" t="s">
        <v>82</v>
      </c>
      <c r="G433" s="56">
        <f t="shared" si="30"/>
        <v>14.8492123030758</v>
      </c>
      <c r="H433" s="57">
        <f t="shared" si="31"/>
        <v>178.146</v>
      </c>
      <c r="I433" s="28">
        <v>197.94</v>
      </c>
      <c r="J433" s="57">
        <f t="shared" si="32"/>
        <v>207.837</v>
      </c>
      <c r="K433" s="57">
        <f t="shared" si="33"/>
        <v>167.45724</v>
      </c>
      <c r="L433" s="57">
        <f t="shared" si="34"/>
        <v>186.0636</v>
      </c>
    </row>
    <row r="434" ht="15" spans="1:12">
      <c r="A434" s="48" t="s">
        <v>154</v>
      </c>
      <c r="B434" s="54" t="s">
        <v>167</v>
      </c>
      <c r="C434" s="50" t="s">
        <v>61</v>
      </c>
      <c r="D434" s="51" t="s">
        <v>28</v>
      </c>
      <c r="E434" s="50" t="s">
        <v>53</v>
      </c>
      <c r="F434" s="55" t="s">
        <v>82</v>
      </c>
      <c r="G434" s="56">
        <f t="shared" si="30"/>
        <v>24.145536384096</v>
      </c>
      <c r="H434" s="57">
        <f t="shared" si="31"/>
        <v>289.674</v>
      </c>
      <c r="I434" s="28">
        <v>321.86</v>
      </c>
      <c r="J434" s="57">
        <f t="shared" si="32"/>
        <v>337.953</v>
      </c>
      <c r="K434" s="57">
        <f t="shared" si="33"/>
        <v>272.29356</v>
      </c>
      <c r="L434" s="57">
        <f t="shared" si="34"/>
        <v>302.5484</v>
      </c>
    </row>
    <row r="435" ht="15" spans="1:12">
      <c r="A435" s="59" t="s">
        <v>154</v>
      </c>
      <c r="B435" s="60" t="s">
        <v>168</v>
      </c>
      <c r="C435" s="61" t="s">
        <v>27</v>
      </c>
      <c r="D435" s="58" t="s">
        <v>28</v>
      </c>
      <c r="E435" s="61" t="s">
        <v>53</v>
      </c>
      <c r="F435" s="63" t="s">
        <v>146</v>
      </c>
      <c r="G435" s="56">
        <f t="shared" si="30"/>
        <v>13.9977494373593</v>
      </c>
      <c r="H435" s="62">
        <f t="shared" si="31"/>
        <v>167.931</v>
      </c>
      <c r="I435" s="28">
        <v>186.59</v>
      </c>
      <c r="J435" s="62">
        <f t="shared" si="32"/>
        <v>195.9195</v>
      </c>
      <c r="K435" s="62">
        <f t="shared" si="33"/>
        <v>157.85514</v>
      </c>
      <c r="L435" s="62">
        <f t="shared" si="34"/>
        <v>175.3946</v>
      </c>
    </row>
    <row r="436" ht="15" spans="1:12">
      <c r="A436" s="48" t="s">
        <v>154</v>
      </c>
      <c r="B436" s="54" t="s">
        <v>86</v>
      </c>
      <c r="C436" s="50" t="s">
        <v>47</v>
      </c>
      <c r="D436" s="51" t="s">
        <v>28</v>
      </c>
      <c r="E436" s="50" t="s">
        <v>53</v>
      </c>
      <c r="F436" s="55" t="s">
        <v>37</v>
      </c>
      <c r="G436" s="56">
        <f t="shared" si="30"/>
        <v>15.3555888972243</v>
      </c>
      <c r="H436" s="57">
        <f t="shared" si="31"/>
        <v>184.221</v>
      </c>
      <c r="I436" s="28">
        <v>204.69</v>
      </c>
      <c r="J436" s="57">
        <f t="shared" si="32"/>
        <v>214.9245</v>
      </c>
      <c r="K436" s="57">
        <f t="shared" si="33"/>
        <v>173.16774</v>
      </c>
      <c r="L436" s="57">
        <f t="shared" si="34"/>
        <v>192.4086</v>
      </c>
    </row>
    <row r="437" ht="15" spans="1:12">
      <c r="A437" s="48" t="s">
        <v>154</v>
      </c>
      <c r="B437" s="54" t="s">
        <v>169</v>
      </c>
      <c r="C437" s="50" t="s">
        <v>27</v>
      </c>
      <c r="D437" s="51" t="s">
        <v>28</v>
      </c>
      <c r="E437" s="50" t="s">
        <v>53</v>
      </c>
      <c r="F437" s="55" t="s">
        <v>42</v>
      </c>
      <c r="G437" s="56">
        <f t="shared" si="30"/>
        <v>12.6406601650413</v>
      </c>
      <c r="H437" s="57">
        <f t="shared" si="31"/>
        <v>151.65</v>
      </c>
      <c r="I437" s="28">
        <v>168.5</v>
      </c>
      <c r="J437" s="57">
        <f t="shared" si="32"/>
        <v>176.925</v>
      </c>
      <c r="K437" s="57">
        <f t="shared" si="33"/>
        <v>142.551</v>
      </c>
      <c r="L437" s="57">
        <f t="shared" si="34"/>
        <v>158.39</v>
      </c>
    </row>
    <row r="438" ht="15" spans="1:12">
      <c r="A438" s="48" t="s">
        <v>154</v>
      </c>
      <c r="B438" s="54" t="s">
        <v>91</v>
      </c>
      <c r="C438" s="50" t="s">
        <v>27</v>
      </c>
      <c r="D438" s="51" t="s">
        <v>41</v>
      </c>
      <c r="E438" s="50" t="s">
        <v>53</v>
      </c>
      <c r="F438" s="55" t="s">
        <v>42</v>
      </c>
      <c r="G438" s="56">
        <f t="shared" si="30"/>
        <v>13.2948237059265</v>
      </c>
      <c r="H438" s="57">
        <f t="shared" si="31"/>
        <v>159.498</v>
      </c>
      <c r="I438" s="28">
        <v>177.22</v>
      </c>
      <c r="J438" s="57">
        <f t="shared" si="32"/>
        <v>186.081</v>
      </c>
      <c r="K438" s="57">
        <f t="shared" si="33"/>
        <v>149.92812</v>
      </c>
      <c r="L438" s="57">
        <f t="shared" si="34"/>
        <v>166.5868</v>
      </c>
    </row>
    <row r="439" ht="15" spans="1:12">
      <c r="A439" s="48" t="s">
        <v>154</v>
      </c>
      <c r="B439" s="54" t="s">
        <v>91</v>
      </c>
      <c r="C439" s="50" t="s">
        <v>47</v>
      </c>
      <c r="D439" s="51" t="s">
        <v>41</v>
      </c>
      <c r="E439" s="50" t="s">
        <v>53</v>
      </c>
      <c r="F439" s="55" t="s">
        <v>42</v>
      </c>
      <c r="G439" s="56">
        <f t="shared" si="30"/>
        <v>16.7449362340585</v>
      </c>
      <c r="H439" s="57">
        <f t="shared" si="31"/>
        <v>200.889</v>
      </c>
      <c r="I439" s="28">
        <v>223.21</v>
      </c>
      <c r="J439" s="57">
        <f t="shared" si="32"/>
        <v>234.3705</v>
      </c>
      <c r="K439" s="57">
        <f t="shared" si="33"/>
        <v>188.83566</v>
      </c>
      <c r="L439" s="57">
        <f t="shared" si="34"/>
        <v>209.8174</v>
      </c>
    </row>
    <row r="440" ht="15" spans="1:12">
      <c r="A440" s="48" t="s">
        <v>154</v>
      </c>
      <c r="B440" s="54" t="s">
        <v>170</v>
      </c>
      <c r="C440" s="50" t="s">
        <v>47</v>
      </c>
      <c r="D440" s="51" t="s">
        <v>41</v>
      </c>
      <c r="E440" s="50" t="s">
        <v>53</v>
      </c>
      <c r="F440" s="55" t="s">
        <v>171</v>
      </c>
      <c r="G440" s="56">
        <f t="shared" si="30"/>
        <v>22.5281320330083</v>
      </c>
      <c r="H440" s="57">
        <f t="shared" si="31"/>
        <v>270.27</v>
      </c>
      <c r="I440" s="28">
        <v>300.3</v>
      </c>
      <c r="J440" s="57">
        <f t="shared" si="32"/>
        <v>315.315</v>
      </c>
      <c r="K440" s="57">
        <f t="shared" si="33"/>
        <v>254.0538</v>
      </c>
      <c r="L440" s="57">
        <f t="shared" si="34"/>
        <v>282.282</v>
      </c>
    </row>
    <row r="441" ht="15" spans="1:12">
      <c r="A441" s="48" t="s">
        <v>154</v>
      </c>
      <c r="B441" s="54" t="s">
        <v>43</v>
      </c>
      <c r="C441" s="50" t="s">
        <v>27</v>
      </c>
      <c r="D441" s="51" t="s">
        <v>41</v>
      </c>
      <c r="E441" s="50" t="s">
        <v>53</v>
      </c>
      <c r="F441" s="55" t="s">
        <v>44</v>
      </c>
      <c r="G441" s="56">
        <f t="shared" si="30"/>
        <v>15.4973743435859</v>
      </c>
      <c r="H441" s="57">
        <f t="shared" si="31"/>
        <v>185.922</v>
      </c>
      <c r="I441" s="28">
        <v>206.58</v>
      </c>
      <c r="J441" s="57">
        <f t="shared" si="32"/>
        <v>216.909</v>
      </c>
      <c r="K441" s="57">
        <f t="shared" si="33"/>
        <v>174.76668</v>
      </c>
      <c r="L441" s="57">
        <f t="shared" si="34"/>
        <v>194.1852</v>
      </c>
    </row>
    <row r="442" ht="15" spans="1:12">
      <c r="A442" s="48" t="s">
        <v>154</v>
      </c>
      <c r="B442" s="54" t="s">
        <v>43</v>
      </c>
      <c r="C442" s="50" t="s">
        <v>47</v>
      </c>
      <c r="D442" s="51" t="s">
        <v>41</v>
      </c>
      <c r="E442" s="50" t="s">
        <v>53</v>
      </c>
      <c r="F442" s="55" t="s">
        <v>44</v>
      </c>
      <c r="G442" s="56">
        <f t="shared" si="30"/>
        <v>19.390847711928</v>
      </c>
      <c r="H442" s="57">
        <f t="shared" si="31"/>
        <v>232.632</v>
      </c>
      <c r="I442" s="28">
        <v>258.48</v>
      </c>
      <c r="J442" s="57">
        <f t="shared" si="32"/>
        <v>271.404</v>
      </c>
      <c r="K442" s="57">
        <f t="shared" si="33"/>
        <v>218.67408</v>
      </c>
      <c r="L442" s="57">
        <f t="shared" si="34"/>
        <v>242.9712</v>
      </c>
    </row>
    <row r="443" ht="15" spans="1:12">
      <c r="A443" s="48" t="s">
        <v>154</v>
      </c>
      <c r="B443" s="54" t="s">
        <v>172</v>
      </c>
      <c r="C443" s="50" t="s">
        <v>61</v>
      </c>
      <c r="D443" s="51" t="s">
        <v>41</v>
      </c>
      <c r="E443" s="50" t="s">
        <v>53</v>
      </c>
      <c r="F443" s="55" t="s">
        <v>44</v>
      </c>
      <c r="G443" s="56">
        <f t="shared" si="30"/>
        <v>26.781695423856</v>
      </c>
      <c r="H443" s="57">
        <f t="shared" si="31"/>
        <v>321.3</v>
      </c>
      <c r="I443" s="28">
        <v>357</v>
      </c>
      <c r="J443" s="57">
        <f t="shared" si="32"/>
        <v>374.85</v>
      </c>
      <c r="K443" s="57">
        <f t="shared" si="33"/>
        <v>302.022</v>
      </c>
      <c r="L443" s="57">
        <f t="shared" si="34"/>
        <v>335.58</v>
      </c>
    </row>
    <row r="444" ht="15" spans="1:12">
      <c r="A444" s="48" t="s">
        <v>154</v>
      </c>
      <c r="B444" s="54" t="s">
        <v>45</v>
      </c>
      <c r="C444" s="50" t="s">
        <v>27</v>
      </c>
      <c r="D444" s="51" t="s">
        <v>41</v>
      </c>
      <c r="E444" s="50" t="s">
        <v>53</v>
      </c>
      <c r="F444" s="55" t="s">
        <v>46</v>
      </c>
      <c r="G444" s="56">
        <f t="shared" si="30"/>
        <v>16.2040510127532</v>
      </c>
      <c r="H444" s="57">
        <f t="shared" si="31"/>
        <v>194.4</v>
      </c>
      <c r="I444" s="28">
        <v>216</v>
      </c>
      <c r="J444" s="57">
        <f t="shared" si="32"/>
        <v>226.8</v>
      </c>
      <c r="K444" s="57">
        <f t="shared" si="33"/>
        <v>182.736</v>
      </c>
      <c r="L444" s="57">
        <f t="shared" si="34"/>
        <v>203.04</v>
      </c>
    </row>
    <row r="445" ht="15" spans="1:12">
      <c r="A445" s="48" t="s">
        <v>154</v>
      </c>
      <c r="B445" s="54" t="s">
        <v>45</v>
      </c>
      <c r="C445" s="50" t="s">
        <v>47</v>
      </c>
      <c r="D445" s="51" t="s">
        <v>41</v>
      </c>
      <c r="E445" s="50" t="s">
        <v>53</v>
      </c>
      <c r="F445" s="55" t="s">
        <v>46</v>
      </c>
      <c r="G445" s="56">
        <f t="shared" si="30"/>
        <v>19.1402850712678</v>
      </c>
      <c r="H445" s="57">
        <f t="shared" si="31"/>
        <v>229.626</v>
      </c>
      <c r="I445" s="28">
        <v>255.14</v>
      </c>
      <c r="J445" s="57">
        <f t="shared" si="32"/>
        <v>267.897</v>
      </c>
      <c r="K445" s="57">
        <f t="shared" si="33"/>
        <v>215.84844</v>
      </c>
      <c r="L445" s="57">
        <f t="shared" si="34"/>
        <v>239.8316</v>
      </c>
    </row>
    <row r="446" ht="15" spans="1:12">
      <c r="A446" s="48" t="s">
        <v>154</v>
      </c>
      <c r="B446" s="60" t="s">
        <v>48</v>
      </c>
      <c r="C446" s="61" t="s">
        <v>27</v>
      </c>
      <c r="D446" s="58" t="s">
        <v>41</v>
      </c>
      <c r="E446" s="61" t="s">
        <v>53</v>
      </c>
      <c r="F446" s="63" t="s">
        <v>49</v>
      </c>
      <c r="G446" s="56">
        <f t="shared" si="30"/>
        <v>16.6354088522131</v>
      </c>
      <c r="H446" s="57">
        <f t="shared" si="31"/>
        <v>199.575</v>
      </c>
      <c r="I446" s="28">
        <v>221.75</v>
      </c>
      <c r="J446" s="57">
        <f t="shared" si="32"/>
        <v>232.8375</v>
      </c>
      <c r="K446" s="57">
        <f t="shared" si="33"/>
        <v>187.6005</v>
      </c>
      <c r="L446" s="57">
        <f t="shared" si="34"/>
        <v>208.445</v>
      </c>
    </row>
    <row r="447" ht="15" spans="1:12">
      <c r="A447" s="48" t="s">
        <v>154</v>
      </c>
      <c r="B447" s="54" t="s">
        <v>94</v>
      </c>
      <c r="C447" s="50" t="s">
        <v>47</v>
      </c>
      <c r="D447" s="51" t="s">
        <v>41</v>
      </c>
      <c r="E447" s="50" t="s">
        <v>53</v>
      </c>
      <c r="F447" s="55" t="s">
        <v>49</v>
      </c>
      <c r="G447" s="56">
        <f t="shared" si="30"/>
        <v>21.2700675168792</v>
      </c>
      <c r="H447" s="57">
        <f t="shared" si="31"/>
        <v>255.177</v>
      </c>
      <c r="I447" s="28">
        <v>283.53</v>
      </c>
      <c r="J447" s="57">
        <f t="shared" si="32"/>
        <v>297.7065</v>
      </c>
      <c r="K447" s="57">
        <f t="shared" si="33"/>
        <v>239.86638</v>
      </c>
      <c r="L447" s="57">
        <f t="shared" si="34"/>
        <v>266.5182</v>
      </c>
    </row>
    <row r="448" ht="15" spans="1:12">
      <c r="A448" s="48" t="s">
        <v>154</v>
      </c>
      <c r="B448" s="54" t="s">
        <v>97</v>
      </c>
      <c r="C448" s="50" t="s">
        <v>27</v>
      </c>
      <c r="D448" s="51" t="s">
        <v>41</v>
      </c>
      <c r="E448" s="50" t="s">
        <v>53</v>
      </c>
      <c r="F448" s="55" t="s">
        <v>96</v>
      </c>
      <c r="G448" s="56">
        <f t="shared" si="30"/>
        <v>18.1560390097524</v>
      </c>
      <c r="H448" s="57">
        <f t="shared" si="31"/>
        <v>217.818</v>
      </c>
      <c r="I448" s="28">
        <v>242.02</v>
      </c>
      <c r="J448" s="57">
        <f t="shared" si="32"/>
        <v>254.121</v>
      </c>
      <c r="K448" s="57">
        <f t="shared" si="33"/>
        <v>204.74892</v>
      </c>
      <c r="L448" s="57">
        <f t="shared" si="34"/>
        <v>227.4988</v>
      </c>
    </row>
    <row r="449" ht="15" spans="1:12">
      <c r="A449" s="48" t="s">
        <v>154</v>
      </c>
      <c r="B449" s="54" t="s">
        <v>97</v>
      </c>
      <c r="C449" s="50" t="s">
        <v>47</v>
      </c>
      <c r="D449" s="51" t="s">
        <v>41</v>
      </c>
      <c r="E449" s="50" t="s">
        <v>53</v>
      </c>
      <c r="F449" s="55" t="s">
        <v>96</v>
      </c>
      <c r="G449" s="56">
        <f t="shared" si="30"/>
        <v>21.8972243060765</v>
      </c>
      <c r="H449" s="57">
        <f t="shared" si="31"/>
        <v>262.701</v>
      </c>
      <c r="I449" s="28">
        <v>291.89</v>
      </c>
      <c r="J449" s="57">
        <f t="shared" si="32"/>
        <v>306.4845</v>
      </c>
      <c r="K449" s="57">
        <f t="shared" si="33"/>
        <v>246.93894</v>
      </c>
      <c r="L449" s="57">
        <f t="shared" si="34"/>
        <v>274.3766</v>
      </c>
    </row>
    <row r="450" ht="15" spans="1:12">
      <c r="A450" s="48" t="s">
        <v>154</v>
      </c>
      <c r="B450" s="54" t="s">
        <v>26</v>
      </c>
      <c r="C450" s="50" t="s">
        <v>27</v>
      </c>
      <c r="D450" s="51" t="s">
        <v>41</v>
      </c>
      <c r="E450" s="50" t="s">
        <v>53</v>
      </c>
      <c r="F450" s="55" t="s">
        <v>30</v>
      </c>
      <c r="G450" s="56">
        <f t="shared" si="30"/>
        <v>20.3135783945986</v>
      </c>
      <c r="H450" s="57">
        <f t="shared" si="31"/>
        <v>243.702</v>
      </c>
      <c r="I450" s="28">
        <v>270.78</v>
      </c>
      <c r="J450" s="57">
        <f t="shared" si="32"/>
        <v>284.319</v>
      </c>
      <c r="K450" s="57">
        <f t="shared" si="33"/>
        <v>229.07988</v>
      </c>
      <c r="L450" s="57">
        <f t="shared" si="34"/>
        <v>254.5332</v>
      </c>
    </row>
    <row r="451" ht="15" spans="1:12">
      <c r="A451" s="48" t="s">
        <v>154</v>
      </c>
      <c r="B451" s="54" t="s">
        <v>105</v>
      </c>
      <c r="C451" s="50" t="s">
        <v>47</v>
      </c>
      <c r="D451" s="51" t="s">
        <v>41</v>
      </c>
      <c r="E451" s="50" t="s">
        <v>29</v>
      </c>
      <c r="F451" s="55" t="s">
        <v>107</v>
      </c>
      <c r="G451" s="56">
        <f t="shared" si="30"/>
        <v>28.6571642910728</v>
      </c>
      <c r="H451" s="57">
        <f t="shared" si="31"/>
        <v>343.8</v>
      </c>
      <c r="I451" s="28">
        <v>382</v>
      </c>
      <c r="J451" s="57">
        <f t="shared" si="32"/>
        <v>401.1</v>
      </c>
      <c r="K451" s="57">
        <f t="shared" si="33"/>
        <v>323.172</v>
      </c>
      <c r="L451" s="57">
        <f t="shared" si="34"/>
        <v>359.08</v>
      </c>
    </row>
    <row r="452" ht="15" spans="1:12">
      <c r="A452" s="48" t="s">
        <v>154</v>
      </c>
      <c r="B452" s="54" t="s">
        <v>105</v>
      </c>
      <c r="C452" s="50" t="s">
        <v>47</v>
      </c>
      <c r="D452" s="51" t="s">
        <v>41</v>
      </c>
      <c r="E452" s="50" t="s">
        <v>53</v>
      </c>
      <c r="F452" s="55" t="s">
        <v>107</v>
      </c>
      <c r="G452" s="56">
        <f t="shared" si="30"/>
        <v>28.6571642910728</v>
      </c>
      <c r="H452" s="57">
        <f t="shared" si="31"/>
        <v>343.8</v>
      </c>
      <c r="I452" s="28">
        <v>382</v>
      </c>
      <c r="J452" s="57">
        <f t="shared" si="32"/>
        <v>401.1</v>
      </c>
      <c r="K452" s="57">
        <f t="shared" si="33"/>
        <v>323.172</v>
      </c>
      <c r="L452" s="57">
        <f t="shared" si="34"/>
        <v>359.08</v>
      </c>
    </row>
    <row r="453" ht="15" spans="1:12">
      <c r="A453" s="48" t="s">
        <v>173</v>
      </c>
      <c r="B453" s="60" t="s">
        <v>51</v>
      </c>
      <c r="C453" s="61" t="s">
        <v>27</v>
      </c>
      <c r="D453" s="58" t="s">
        <v>28</v>
      </c>
      <c r="E453" s="61" t="s">
        <v>53</v>
      </c>
      <c r="F453" s="63" t="s">
        <v>122</v>
      </c>
      <c r="G453" s="56">
        <f t="shared" si="30"/>
        <v>7.94673668417104</v>
      </c>
      <c r="H453" s="57">
        <f t="shared" si="31"/>
        <v>95.337</v>
      </c>
      <c r="I453" s="28">
        <v>105.93</v>
      </c>
      <c r="J453" s="57">
        <f t="shared" si="32"/>
        <v>111.2265</v>
      </c>
      <c r="K453" s="57">
        <f t="shared" si="33"/>
        <v>89.61678</v>
      </c>
      <c r="L453" s="57">
        <f t="shared" si="34"/>
        <v>99.5742</v>
      </c>
    </row>
    <row r="454" ht="15" spans="1:12">
      <c r="A454" s="48" t="s">
        <v>173</v>
      </c>
      <c r="B454" s="54" t="s">
        <v>56</v>
      </c>
      <c r="C454" s="50" t="s">
        <v>27</v>
      </c>
      <c r="D454" s="51" t="s">
        <v>28</v>
      </c>
      <c r="E454" s="61" t="s">
        <v>174</v>
      </c>
      <c r="F454" s="55" t="s">
        <v>55</v>
      </c>
      <c r="G454" s="56">
        <f t="shared" si="30"/>
        <v>8.25356339084771</v>
      </c>
      <c r="H454" s="57">
        <f t="shared" si="31"/>
        <v>99.018</v>
      </c>
      <c r="I454" s="28">
        <v>110.02</v>
      </c>
      <c r="J454" s="57">
        <f t="shared" si="32"/>
        <v>115.521</v>
      </c>
      <c r="K454" s="57">
        <f t="shared" si="33"/>
        <v>93.07692</v>
      </c>
      <c r="L454" s="57">
        <f t="shared" si="34"/>
        <v>103.4188</v>
      </c>
    </row>
    <row r="455" ht="15" spans="1:12">
      <c r="A455" s="48" t="s">
        <v>173</v>
      </c>
      <c r="B455" s="54" t="s">
        <v>56</v>
      </c>
      <c r="C455" s="50" t="s">
        <v>47</v>
      </c>
      <c r="D455" s="51" t="s">
        <v>28</v>
      </c>
      <c r="E455" s="61" t="s">
        <v>174</v>
      </c>
      <c r="F455" s="55" t="s">
        <v>55</v>
      </c>
      <c r="G455" s="56">
        <f t="shared" si="30"/>
        <v>12.6031507876969</v>
      </c>
      <c r="H455" s="57">
        <f t="shared" si="31"/>
        <v>151.2</v>
      </c>
      <c r="I455" s="28">
        <v>168</v>
      </c>
      <c r="J455" s="57">
        <f t="shared" si="32"/>
        <v>176.4</v>
      </c>
      <c r="K455" s="57">
        <f t="shared" si="33"/>
        <v>142.128</v>
      </c>
      <c r="L455" s="57">
        <f t="shared" si="34"/>
        <v>157.92</v>
      </c>
    </row>
    <row r="456" ht="15" spans="1:12">
      <c r="A456" s="48" t="s">
        <v>173</v>
      </c>
      <c r="B456" s="54" t="s">
        <v>56</v>
      </c>
      <c r="C456" s="50" t="s">
        <v>27</v>
      </c>
      <c r="D456" s="51" t="s">
        <v>28</v>
      </c>
      <c r="E456" s="50" t="s">
        <v>175</v>
      </c>
      <c r="F456" s="55" t="s">
        <v>122</v>
      </c>
      <c r="G456" s="56">
        <f t="shared" si="30"/>
        <v>7.94673668417104</v>
      </c>
      <c r="H456" s="57">
        <f t="shared" si="31"/>
        <v>95.337</v>
      </c>
      <c r="I456" s="28">
        <v>105.93</v>
      </c>
      <c r="J456" s="57">
        <f t="shared" si="32"/>
        <v>111.2265</v>
      </c>
      <c r="K456" s="57">
        <f t="shared" si="33"/>
        <v>89.61678</v>
      </c>
      <c r="L456" s="57">
        <f t="shared" si="34"/>
        <v>99.5742</v>
      </c>
    </row>
    <row r="457" ht="15" spans="1:12">
      <c r="A457" s="59" t="s">
        <v>173</v>
      </c>
      <c r="B457" s="60" t="s">
        <v>58</v>
      </c>
      <c r="C457" s="61" t="s">
        <v>47</v>
      </c>
      <c r="D457" s="58" t="s">
        <v>28</v>
      </c>
      <c r="E457" s="61" t="s">
        <v>174</v>
      </c>
      <c r="F457" s="55" t="s">
        <v>59</v>
      </c>
      <c r="G457" s="56">
        <f t="shared" si="30"/>
        <v>12.3030757689422</v>
      </c>
      <c r="H457" s="62">
        <f t="shared" si="31"/>
        <v>147.6</v>
      </c>
      <c r="I457" s="28">
        <v>164</v>
      </c>
      <c r="J457" s="62">
        <f t="shared" si="32"/>
        <v>172.2</v>
      </c>
      <c r="K457" s="62">
        <f t="shared" si="33"/>
        <v>138.744</v>
      </c>
      <c r="L457" s="62">
        <f t="shared" si="34"/>
        <v>154.16</v>
      </c>
    </row>
    <row r="458" ht="15" spans="1:12">
      <c r="A458" s="59" t="s">
        <v>173</v>
      </c>
      <c r="B458" s="60" t="s">
        <v>151</v>
      </c>
      <c r="C458" s="61" t="s">
        <v>47</v>
      </c>
      <c r="D458" s="58" t="s">
        <v>28</v>
      </c>
      <c r="E458" s="61" t="s">
        <v>53</v>
      </c>
      <c r="F458" s="63" t="s">
        <v>125</v>
      </c>
      <c r="G458" s="56">
        <f t="shared" si="30"/>
        <v>12.562640660165</v>
      </c>
      <c r="H458" s="62">
        <f t="shared" si="31"/>
        <v>150.714</v>
      </c>
      <c r="I458" s="28">
        <v>167.46</v>
      </c>
      <c r="J458" s="62">
        <f t="shared" si="32"/>
        <v>175.833</v>
      </c>
      <c r="K458" s="62">
        <f t="shared" si="33"/>
        <v>141.67116</v>
      </c>
      <c r="L458" s="62">
        <f t="shared" si="34"/>
        <v>157.4124</v>
      </c>
    </row>
    <row r="459" ht="15" spans="1:12">
      <c r="A459" s="48" t="s">
        <v>173</v>
      </c>
      <c r="B459" s="54" t="s">
        <v>160</v>
      </c>
      <c r="C459" s="50" t="s">
        <v>27</v>
      </c>
      <c r="D459" s="51" t="s">
        <v>28</v>
      </c>
      <c r="E459" s="50" t="s">
        <v>53</v>
      </c>
      <c r="F459" s="55" t="s">
        <v>59</v>
      </c>
      <c r="G459" s="56">
        <f t="shared" ref="G459:G522" si="35">I459/13.33</f>
        <v>8.23405851462866</v>
      </c>
      <c r="H459" s="57">
        <f t="shared" ref="H459:H522" si="36">I459*0.9</f>
        <v>98.784</v>
      </c>
      <c r="I459" s="28">
        <v>109.76</v>
      </c>
      <c r="J459" s="57">
        <f t="shared" ref="J459:J522" si="37">I459*1.05</f>
        <v>115.248</v>
      </c>
      <c r="K459" s="57">
        <f t="shared" ref="K459:K522" si="38">H459*0.94</f>
        <v>92.85696</v>
      </c>
      <c r="L459" s="57">
        <f t="shared" ref="L459:L522" si="39">I459*0.94</f>
        <v>103.1744</v>
      </c>
    </row>
    <row r="460" ht="15" spans="1:12">
      <c r="A460" s="48" t="s">
        <v>173</v>
      </c>
      <c r="B460" s="54" t="s">
        <v>160</v>
      </c>
      <c r="C460" s="50" t="s">
        <v>60</v>
      </c>
      <c r="D460" s="51" t="s">
        <v>28</v>
      </c>
      <c r="E460" s="50" t="s">
        <v>53</v>
      </c>
      <c r="F460" s="55" t="s">
        <v>59</v>
      </c>
      <c r="G460" s="56">
        <f t="shared" si="35"/>
        <v>10.1635408852213</v>
      </c>
      <c r="H460" s="57">
        <f t="shared" si="36"/>
        <v>121.932</v>
      </c>
      <c r="I460" s="28">
        <v>135.48</v>
      </c>
      <c r="J460" s="57">
        <f t="shared" si="37"/>
        <v>142.254</v>
      </c>
      <c r="K460" s="57">
        <f t="shared" si="38"/>
        <v>114.61608</v>
      </c>
      <c r="L460" s="57">
        <f t="shared" si="39"/>
        <v>127.3512</v>
      </c>
    </row>
    <row r="461" ht="15" spans="1:12">
      <c r="A461" s="48" t="s">
        <v>173</v>
      </c>
      <c r="B461" s="54" t="s">
        <v>160</v>
      </c>
      <c r="C461" s="50" t="s">
        <v>47</v>
      </c>
      <c r="D461" s="51" t="s">
        <v>28</v>
      </c>
      <c r="E461" s="50" t="s">
        <v>53</v>
      </c>
      <c r="F461" s="55" t="s">
        <v>65</v>
      </c>
      <c r="G461" s="56">
        <f t="shared" si="35"/>
        <v>12.3323330832708</v>
      </c>
      <c r="H461" s="57">
        <f t="shared" si="36"/>
        <v>147.951</v>
      </c>
      <c r="I461" s="28">
        <v>164.39</v>
      </c>
      <c r="J461" s="57">
        <f t="shared" si="37"/>
        <v>172.6095</v>
      </c>
      <c r="K461" s="57">
        <f t="shared" si="38"/>
        <v>139.07394</v>
      </c>
      <c r="L461" s="57">
        <f t="shared" si="39"/>
        <v>154.5266</v>
      </c>
    </row>
    <row r="462" ht="15" spans="1:12">
      <c r="A462" s="48" t="s">
        <v>173</v>
      </c>
      <c r="B462" s="60" t="s">
        <v>152</v>
      </c>
      <c r="C462" s="61" t="s">
        <v>27</v>
      </c>
      <c r="D462" s="58" t="s">
        <v>28</v>
      </c>
      <c r="E462" s="61" t="s">
        <v>53</v>
      </c>
      <c r="F462" s="63" t="s">
        <v>67</v>
      </c>
      <c r="G462" s="56">
        <f t="shared" si="35"/>
        <v>8.6271567891973</v>
      </c>
      <c r="H462" s="57">
        <f t="shared" si="36"/>
        <v>103.5</v>
      </c>
      <c r="I462" s="28">
        <v>115</v>
      </c>
      <c r="J462" s="57">
        <f t="shared" si="37"/>
        <v>120.75</v>
      </c>
      <c r="K462" s="57">
        <f t="shared" si="38"/>
        <v>97.29</v>
      </c>
      <c r="L462" s="57">
        <f t="shared" si="39"/>
        <v>108.1</v>
      </c>
    </row>
    <row r="463" ht="15" spans="1:12">
      <c r="A463" s="48" t="s">
        <v>173</v>
      </c>
      <c r="B463" s="60" t="s">
        <v>152</v>
      </c>
      <c r="C463" s="61" t="s">
        <v>27</v>
      </c>
      <c r="D463" s="58" t="s">
        <v>28</v>
      </c>
      <c r="E463" s="61" t="s">
        <v>53</v>
      </c>
      <c r="F463" s="63" t="s">
        <v>176</v>
      </c>
      <c r="G463" s="56">
        <f t="shared" si="35"/>
        <v>9.72243060765191</v>
      </c>
      <c r="H463" s="57">
        <f t="shared" si="36"/>
        <v>116.64</v>
      </c>
      <c r="I463" s="28">
        <v>129.6</v>
      </c>
      <c r="J463" s="57">
        <f t="shared" si="37"/>
        <v>136.08</v>
      </c>
      <c r="K463" s="57">
        <f t="shared" si="38"/>
        <v>109.6416</v>
      </c>
      <c r="L463" s="57">
        <f t="shared" si="39"/>
        <v>121.824</v>
      </c>
    </row>
    <row r="464" ht="15" spans="1:12">
      <c r="A464" s="48" t="s">
        <v>173</v>
      </c>
      <c r="B464" s="60" t="s">
        <v>152</v>
      </c>
      <c r="C464" s="61" t="s">
        <v>60</v>
      </c>
      <c r="D464" s="58" t="s">
        <v>28</v>
      </c>
      <c r="E464" s="61" t="s">
        <v>53</v>
      </c>
      <c r="F464" s="63" t="s">
        <v>67</v>
      </c>
      <c r="G464" s="56">
        <f t="shared" si="35"/>
        <v>11.0277569392348</v>
      </c>
      <c r="H464" s="57">
        <f t="shared" si="36"/>
        <v>132.3</v>
      </c>
      <c r="I464" s="28">
        <v>147</v>
      </c>
      <c r="J464" s="57">
        <f t="shared" si="37"/>
        <v>154.35</v>
      </c>
      <c r="K464" s="57">
        <f t="shared" si="38"/>
        <v>124.362</v>
      </c>
      <c r="L464" s="57">
        <f t="shared" si="39"/>
        <v>138.18</v>
      </c>
    </row>
    <row r="465" ht="15" spans="1:12">
      <c r="A465" s="48" t="s">
        <v>173</v>
      </c>
      <c r="B465" s="60" t="s">
        <v>70</v>
      </c>
      <c r="C465" s="61" t="s">
        <v>27</v>
      </c>
      <c r="D465" s="58" t="s">
        <v>28</v>
      </c>
      <c r="E465" s="61" t="s">
        <v>53</v>
      </c>
      <c r="F465" s="63" t="s">
        <v>34</v>
      </c>
      <c r="G465" s="56">
        <f t="shared" si="35"/>
        <v>10.6526631657914</v>
      </c>
      <c r="H465" s="57">
        <f t="shared" si="36"/>
        <v>127.8</v>
      </c>
      <c r="I465" s="28">
        <v>142</v>
      </c>
      <c r="J465" s="57">
        <f t="shared" si="37"/>
        <v>149.1</v>
      </c>
      <c r="K465" s="57">
        <f t="shared" si="38"/>
        <v>120.132</v>
      </c>
      <c r="L465" s="57">
        <f t="shared" si="39"/>
        <v>133.48</v>
      </c>
    </row>
    <row r="466" ht="15" spans="1:12">
      <c r="A466" s="48" t="s">
        <v>173</v>
      </c>
      <c r="B466" s="60" t="s">
        <v>177</v>
      </c>
      <c r="C466" s="61" t="s">
        <v>61</v>
      </c>
      <c r="D466" s="58" t="s">
        <v>28</v>
      </c>
      <c r="E466" s="61" t="s">
        <v>53</v>
      </c>
      <c r="F466" s="63" t="s">
        <v>82</v>
      </c>
      <c r="G466" s="56">
        <f t="shared" si="35"/>
        <v>25.5063765941485</v>
      </c>
      <c r="H466" s="57">
        <f t="shared" si="36"/>
        <v>306</v>
      </c>
      <c r="I466" s="28">
        <v>340</v>
      </c>
      <c r="J466" s="57">
        <f t="shared" si="37"/>
        <v>357</v>
      </c>
      <c r="K466" s="57">
        <f t="shared" si="38"/>
        <v>287.64</v>
      </c>
      <c r="L466" s="57">
        <f t="shared" si="39"/>
        <v>319.6</v>
      </c>
    </row>
    <row r="467" ht="15" spans="1:12">
      <c r="A467" s="48" t="s">
        <v>173</v>
      </c>
      <c r="B467" s="60" t="s">
        <v>132</v>
      </c>
      <c r="C467" s="61" t="s">
        <v>27</v>
      </c>
      <c r="D467" s="58" t="s">
        <v>28</v>
      </c>
      <c r="E467" s="61" t="s">
        <v>174</v>
      </c>
      <c r="F467" s="63" t="s">
        <v>37</v>
      </c>
      <c r="G467" s="56">
        <f t="shared" si="35"/>
        <v>13.0307576894224</v>
      </c>
      <c r="H467" s="57">
        <f t="shared" si="36"/>
        <v>156.33</v>
      </c>
      <c r="I467" s="28">
        <v>173.7</v>
      </c>
      <c r="J467" s="57">
        <f t="shared" si="37"/>
        <v>182.385</v>
      </c>
      <c r="K467" s="57">
        <f t="shared" si="38"/>
        <v>146.9502</v>
      </c>
      <c r="L467" s="57">
        <f t="shared" si="39"/>
        <v>163.278</v>
      </c>
    </row>
    <row r="468" ht="15" spans="1:12">
      <c r="A468" s="48" t="s">
        <v>173</v>
      </c>
      <c r="B468" s="60" t="s">
        <v>89</v>
      </c>
      <c r="C468" s="61" t="s">
        <v>27</v>
      </c>
      <c r="D468" s="58" t="s">
        <v>28</v>
      </c>
      <c r="E468" s="61" t="s">
        <v>53</v>
      </c>
      <c r="F468" s="1" t="s">
        <v>39</v>
      </c>
      <c r="G468" s="56">
        <f t="shared" si="35"/>
        <v>15.0412603150788</v>
      </c>
      <c r="H468" s="57">
        <f t="shared" si="36"/>
        <v>180.45</v>
      </c>
      <c r="I468" s="28">
        <v>200.5</v>
      </c>
      <c r="J468" s="57">
        <f t="shared" si="37"/>
        <v>210.525</v>
      </c>
      <c r="K468" s="57">
        <f t="shared" si="38"/>
        <v>169.623</v>
      </c>
      <c r="L468" s="57">
        <f t="shared" si="39"/>
        <v>188.47</v>
      </c>
    </row>
    <row r="469" ht="15" spans="1:12">
      <c r="A469" s="48" t="s">
        <v>173</v>
      </c>
      <c r="B469" s="60" t="s">
        <v>91</v>
      </c>
      <c r="C469" s="61" t="s">
        <v>27</v>
      </c>
      <c r="D469" s="58" t="s">
        <v>28</v>
      </c>
      <c r="E469" s="61" t="s">
        <v>174</v>
      </c>
      <c r="F469" s="63" t="s">
        <v>42</v>
      </c>
      <c r="G469" s="56">
        <f t="shared" si="35"/>
        <v>16.0540135033758</v>
      </c>
      <c r="H469" s="57">
        <f t="shared" si="36"/>
        <v>192.6</v>
      </c>
      <c r="I469" s="28">
        <v>214</v>
      </c>
      <c r="J469" s="57">
        <f t="shared" si="37"/>
        <v>224.7</v>
      </c>
      <c r="K469" s="57">
        <f t="shared" si="38"/>
        <v>181.044</v>
      </c>
      <c r="L469" s="57">
        <f t="shared" si="39"/>
        <v>201.16</v>
      </c>
    </row>
    <row r="470" ht="15" spans="1:12">
      <c r="A470" s="48" t="s">
        <v>173</v>
      </c>
      <c r="B470" s="60" t="s">
        <v>98</v>
      </c>
      <c r="C470" s="61" t="s">
        <v>47</v>
      </c>
      <c r="D470" s="58" t="s">
        <v>28</v>
      </c>
      <c r="E470" s="61" t="s">
        <v>174</v>
      </c>
      <c r="F470" s="63" t="s">
        <v>96</v>
      </c>
      <c r="G470" s="56">
        <f t="shared" si="35"/>
        <v>25.8064516129032</v>
      </c>
      <c r="H470" s="57">
        <f t="shared" si="36"/>
        <v>309.6</v>
      </c>
      <c r="I470" s="28">
        <v>344</v>
      </c>
      <c r="J470" s="57">
        <f t="shared" si="37"/>
        <v>361.2</v>
      </c>
      <c r="K470" s="57">
        <f t="shared" si="38"/>
        <v>291.024</v>
      </c>
      <c r="L470" s="57">
        <f t="shared" si="39"/>
        <v>323.36</v>
      </c>
    </row>
    <row r="471" ht="15" spans="1:12">
      <c r="A471" s="48" t="s">
        <v>178</v>
      </c>
      <c r="B471" s="54" t="s">
        <v>153</v>
      </c>
      <c r="C471" s="50" t="s">
        <v>27</v>
      </c>
      <c r="D471" s="51" t="s">
        <v>28</v>
      </c>
      <c r="E471" s="50" t="s">
        <v>53</v>
      </c>
      <c r="F471" s="55" t="s">
        <v>163</v>
      </c>
      <c r="G471" s="56">
        <f t="shared" si="35"/>
        <v>12.6256564141035</v>
      </c>
      <c r="H471" s="57">
        <f t="shared" si="36"/>
        <v>151.47</v>
      </c>
      <c r="I471" s="28">
        <v>168.3</v>
      </c>
      <c r="J471" s="57">
        <f t="shared" si="37"/>
        <v>176.715</v>
      </c>
      <c r="K471" s="57">
        <f t="shared" si="38"/>
        <v>142.3818</v>
      </c>
      <c r="L471" s="57">
        <f t="shared" si="39"/>
        <v>158.202</v>
      </c>
    </row>
    <row r="472" ht="15" spans="1:12">
      <c r="A472" s="48" t="s">
        <v>178</v>
      </c>
      <c r="B472" s="54" t="s">
        <v>91</v>
      </c>
      <c r="C472" s="50" t="s">
        <v>47</v>
      </c>
      <c r="D472" s="58" t="s">
        <v>28</v>
      </c>
      <c r="E472" s="50" t="s">
        <v>53</v>
      </c>
      <c r="F472" s="55" t="s">
        <v>171</v>
      </c>
      <c r="G472" s="56">
        <f t="shared" si="35"/>
        <v>29.6046511627907</v>
      </c>
      <c r="H472" s="57">
        <f t="shared" si="36"/>
        <v>355.167</v>
      </c>
      <c r="I472" s="28">
        <v>394.63</v>
      </c>
      <c r="J472" s="57">
        <f t="shared" si="37"/>
        <v>414.3615</v>
      </c>
      <c r="K472" s="57">
        <f t="shared" si="38"/>
        <v>333.85698</v>
      </c>
      <c r="L472" s="57">
        <f t="shared" si="39"/>
        <v>370.9522</v>
      </c>
    </row>
    <row r="473" ht="15" spans="1:12">
      <c r="A473" s="48" t="s">
        <v>179</v>
      </c>
      <c r="B473" s="54" t="s">
        <v>56</v>
      </c>
      <c r="C473" s="50" t="s">
        <v>47</v>
      </c>
      <c r="D473" s="51" t="s">
        <v>28</v>
      </c>
      <c r="E473" s="50" t="s">
        <v>53</v>
      </c>
      <c r="F473" s="55" t="s">
        <v>57</v>
      </c>
      <c r="G473" s="56">
        <f t="shared" si="35"/>
        <v>13.8312078019505</v>
      </c>
      <c r="H473" s="57">
        <f t="shared" si="36"/>
        <v>165.933</v>
      </c>
      <c r="I473" s="28">
        <v>184.37</v>
      </c>
      <c r="J473" s="57">
        <f t="shared" si="37"/>
        <v>193.5885</v>
      </c>
      <c r="K473" s="57">
        <f t="shared" si="38"/>
        <v>155.97702</v>
      </c>
      <c r="L473" s="57">
        <f t="shared" si="39"/>
        <v>173.3078</v>
      </c>
    </row>
    <row r="474" ht="15" spans="1:12">
      <c r="A474" s="48" t="s">
        <v>179</v>
      </c>
      <c r="B474" s="54" t="s">
        <v>151</v>
      </c>
      <c r="C474" s="50" t="s">
        <v>27</v>
      </c>
      <c r="D474" s="51" t="s">
        <v>28</v>
      </c>
      <c r="E474" s="50" t="s">
        <v>53</v>
      </c>
      <c r="F474" s="55" t="s">
        <v>158</v>
      </c>
      <c r="G474" s="56">
        <f t="shared" si="35"/>
        <v>11.0307576894224</v>
      </c>
      <c r="H474" s="57">
        <f t="shared" si="36"/>
        <v>132.336</v>
      </c>
      <c r="I474" s="28">
        <v>147.04</v>
      </c>
      <c r="J474" s="57">
        <f t="shared" si="37"/>
        <v>154.392</v>
      </c>
      <c r="K474" s="57">
        <f t="shared" si="38"/>
        <v>124.39584</v>
      </c>
      <c r="L474" s="57">
        <f t="shared" si="39"/>
        <v>138.2176</v>
      </c>
    </row>
    <row r="475" ht="15" spans="1:12">
      <c r="A475" s="48" t="s">
        <v>179</v>
      </c>
      <c r="B475" s="54" t="s">
        <v>151</v>
      </c>
      <c r="C475" s="50" t="s">
        <v>60</v>
      </c>
      <c r="D475" s="51" t="s">
        <v>28</v>
      </c>
      <c r="E475" s="50" t="s">
        <v>53</v>
      </c>
      <c r="F475" s="55" t="s">
        <v>158</v>
      </c>
      <c r="G475" s="56">
        <f t="shared" si="35"/>
        <v>12.9429857464366</v>
      </c>
      <c r="H475" s="57">
        <f t="shared" si="36"/>
        <v>155.277</v>
      </c>
      <c r="I475" s="28">
        <v>172.53</v>
      </c>
      <c r="J475" s="57">
        <f t="shared" si="37"/>
        <v>181.1565</v>
      </c>
      <c r="K475" s="57">
        <f t="shared" si="38"/>
        <v>145.96038</v>
      </c>
      <c r="L475" s="57">
        <f t="shared" si="39"/>
        <v>162.1782</v>
      </c>
    </row>
    <row r="476" ht="15" spans="1:12">
      <c r="A476" s="48" t="s">
        <v>179</v>
      </c>
      <c r="B476" s="54" t="s">
        <v>151</v>
      </c>
      <c r="C476" s="50" t="s">
        <v>47</v>
      </c>
      <c r="D476" s="51" t="s">
        <v>28</v>
      </c>
      <c r="E476" s="50" t="s">
        <v>53</v>
      </c>
      <c r="F476" s="55" t="s">
        <v>62</v>
      </c>
      <c r="G476" s="56">
        <f t="shared" si="35"/>
        <v>14.2408102025506</v>
      </c>
      <c r="H476" s="57">
        <f t="shared" si="36"/>
        <v>170.847</v>
      </c>
      <c r="I476" s="28">
        <v>189.83</v>
      </c>
      <c r="J476" s="57">
        <f t="shared" si="37"/>
        <v>199.3215</v>
      </c>
      <c r="K476" s="57">
        <f t="shared" si="38"/>
        <v>160.59618</v>
      </c>
      <c r="L476" s="57">
        <f t="shared" si="39"/>
        <v>178.4402</v>
      </c>
    </row>
    <row r="477" ht="15" spans="1:12">
      <c r="A477" s="48" t="s">
        <v>179</v>
      </c>
      <c r="B477" s="54" t="s">
        <v>151</v>
      </c>
      <c r="C477" s="50" t="s">
        <v>47</v>
      </c>
      <c r="D477" s="51" t="s">
        <v>28</v>
      </c>
      <c r="E477" s="50" t="s">
        <v>53</v>
      </c>
      <c r="F477" s="55" t="s">
        <v>125</v>
      </c>
      <c r="G477" s="56">
        <f t="shared" si="35"/>
        <v>14.4546136534134</v>
      </c>
      <c r="H477" s="57">
        <f t="shared" si="36"/>
        <v>173.412</v>
      </c>
      <c r="I477" s="28">
        <v>192.68</v>
      </c>
      <c r="J477" s="57">
        <f t="shared" si="37"/>
        <v>202.314</v>
      </c>
      <c r="K477" s="57">
        <f t="shared" si="38"/>
        <v>163.00728</v>
      </c>
      <c r="L477" s="57">
        <f t="shared" si="39"/>
        <v>181.1192</v>
      </c>
    </row>
    <row r="478" ht="15" spans="1:12">
      <c r="A478" s="48" t="s">
        <v>179</v>
      </c>
      <c r="B478" s="54" t="s">
        <v>180</v>
      </c>
      <c r="C478" s="50" t="s">
        <v>27</v>
      </c>
      <c r="D478" s="51" t="s">
        <v>28</v>
      </c>
      <c r="E478" s="50" t="s">
        <v>53</v>
      </c>
      <c r="F478" s="55" t="s">
        <v>158</v>
      </c>
      <c r="G478" s="56">
        <f t="shared" si="35"/>
        <v>14.2175543885972</v>
      </c>
      <c r="H478" s="57">
        <f t="shared" si="36"/>
        <v>170.568</v>
      </c>
      <c r="I478" s="28">
        <v>189.52</v>
      </c>
      <c r="J478" s="57">
        <f t="shared" si="37"/>
        <v>198.996</v>
      </c>
      <c r="K478" s="57">
        <f t="shared" si="38"/>
        <v>160.33392</v>
      </c>
      <c r="L478" s="57">
        <f t="shared" si="39"/>
        <v>178.1488</v>
      </c>
    </row>
    <row r="479" ht="15" spans="1:12">
      <c r="A479" s="48" t="s">
        <v>179</v>
      </c>
      <c r="B479" s="54" t="s">
        <v>180</v>
      </c>
      <c r="C479" s="50" t="s">
        <v>47</v>
      </c>
      <c r="D479" s="51" t="s">
        <v>28</v>
      </c>
      <c r="E479" s="50" t="s">
        <v>53</v>
      </c>
      <c r="F479" s="55" t="s">
        <v>59</v>
      </c>
      <c r="G479" s="56">
        <f t="shared" si="35"/>
        <v>12.7374343585896</v>
      </c>
      <c r="H479" s="57">
        <f t="shared" si="36"/>
        <v>152.811</v>
      </c>
      <c r="I479" s="28">
        <v>169.79</v>
      </c>
      <c r="J479" s="57">
        <f t="shared" si="37"/>
        <v>178.2795</v>
      </c>
      <c r="K479" s="57">
        <f t="shared" si="38"/>
        <v>143.64234</v>
      </c>
      <c r="L479" s="57">
        <f t="shared" si="39"/>
        <v>159.6026</v>
      </c>
    </row>
    <row r="480" ht="15" spans="1:12">
      <c r="A480" s="48" t="s">
        <v>179</v>
      </c>
      <c r="B480" s="54" t="s">
        <v>160</v>
      </c>
      <c r="C480" s="50" t="s">
        <v>60</v>
      </c>
      <c r="D480" s="51" t="s">
        <v>28</v>
      </c>
      <c r="E480" s="50" t="s">
        <v>53</v>
      </c>
      <c r="F480" s="55" t="s">
        <v>59</v>
      </c>
      <c r="G480" s="56">
        <f t="shared" si="35"/>
        <v>12.0585146286572</v>
      </c>
      <c r="H480" s="57">
        <f t="shared" si="36"/>
        <v>144.666</v>
      </c>
      <c r="I480" s="28">
        <v>160.74</v>
      </c>
      <c r="J480" s="57">
        <f t="shared" si="37"/>
        <v>168.777</v>
      </c>
      <c r="K480" s="57">
        <f t="shared" si="38"/>
        <v>135.98604</v>
      </c>
      <c r="L480" s="57">
        <f t="shared" si="39"/>
        <v>151.0956</v>
      </c>
    </row>
    <row r="481" ht="15" spans="1:12">
      <c r="A481" s="48" t="s">
        <v>179</v>
      </c>
      <c r="B481" s="54" t="s">
        <v>160</v>
      </c>
      <c r="C481" s="50" t="s">
        <v>47</v>
      </c>
      <c r="D481" s="51" t="s">
        <v>28</v>
      </c>
      <c r="E481" s="50" t="s">
        <v>53</v>
      </c>
      <c r="F481" s="55" t="s">
        <v>59</v>
      </c>
      <c r="G481" s="56">
        <f t="shared" si="35"/>
        <v>14.0292573143286</v>
      </c>
      <c r="H481" s="57">
        <f t="shared" si="36"/>
        <v>168.309</v>
      </c>
      <c r="I481" s="28">
        <v>187.01</v>
      </c>
      <c r="J481" s="57">
        <f t="shared" si="37"/>
        <v>196.3605</v>
      </c>
      <c r="K481" s="57">
        <f t="shared" si="38"/>
        <v>158.21046</v>
      </c>
      <c r="L481" s="57">
        <f t="shared" si="39"/>
        <v>175.7894</v>
      </c>
    </row>
    <row r="482" ht="15" spans="1:12">
      <c r="A482" s="48" t="s">
        <v>179</v>
      </c>
      <c r="B482" s="54" t="s">
        <v>152</v>
      </c>
      <c r="C482" s="50" t="s">
        <v>47</v>
      </c>
      <c r="D482" s="51" t="s">
        <v>28</v>
      </c>
      <c r="E482" s="50" t="s">
        <v>53</v>
      </c>
      <c r="F482" s="55" t="s">
        <v>65</v>
      </c>
      <c r="G482" s="56">
        <f t="shared" si="35"/>
        <v>15.4396099024756</v>
      </c>
      <c r="H482" s="57">
        <f t="shared" si="36"/>
        <v>185.229</v>
      </c>
      <c r="I482" s="28">
        <v>205.81</v>
      </c>
      <c r="J482" s="57">
        <f t="shared" si="37"/>
        <v>216.1005</v>
      </c>
      <c r="K482" s="57">
        <f t="shared" si="38"/>
        <v>174.11526</v>
      </c>
      <c r="L482" s="57">
        <f t="shared" si="39"/>
        <v>193.4614</v>
      </c>
    </row>
    <row r="483" ht="15" spans="1:12">
      <c r="A483" s="48" t="s">
        <v>179</v>
      </c>
      <c r="B483" s="54" t="s">
        <v>70</v>
      </c>
      <c r="C483" s="50" t="s">
        <v>61</v>
      </c>
      <c r="D483" s="51" t="s">
        <v>28</v>
      </c>
      <c r="E483" s="50" t="s">
        <v>53</v>
      </c>
      <c r="F483" s="55" t="s">
        <v>181</v>
      </c>
      <c r="G483" s="56">
        <f t="shared" si="35"/>
        <v>24.9519879969993</v>
      </c>
      <c r="H483" s="57">
        <f t="shared" si="36"/>
        <v>299.349</v>
      </c>
      <c r="I483" s="28">
        <v>332.61</v>
      </c>
      <c r="J483" s="57">
        <f t="shared" si="37"/>
        <v>349.2405</v>
      </c>
      <c r="K483" s="57">
        <f t="shared" si="38"/>
        <v>281.38806</v>
      </c>
      <c r="L483" s="57">
        <f t="shared" si="39"/>
        <v>312.6534</v>
      </c>
    </row>
    <row r="484" ht="15" spans="1:12">
      <c r="A484" s="48" t="s">
        <v>179</v>
      </c>
      <c r="B484" s="54" t="s">
        <v>162</v>
      </c>
      <c r="C484" s="50" t="s">
        <v>61</v>
      </c>
      <c r="D484" s="51" t="s">
        <v>28</v>
      </c>
      <c r="E484" s="50" t="s">
        <v>29</v>
      </c>
      <c r="F484" s="55" t="s">
        <v>34</v>
      </c>
      <c r="G484" s="56">
        <f t="shared" si="35"/>
        <v>22.0555138784696</v>
      </c>
      <c r="H484" s="57">
        <f t="shared" si="36"/>
        <v>264.6</v>
      </c>
      <c r="I484" s="28">
        <v>294</v>
      </c>
      <c r="J484" s="57">
        <f t="shared" si="37"/>
        <v>308.7</v>
      </c>
      <c r="K484" s="57">
        <f t="shared" si="38"/>
        <v>248.724</v>
      </c>
      <c r="L484" s="57">
        <f t="shared" si="39"/>
        <v>276.36</v>
      </c>
    </row>
    <row r="485" ht="15" spans="1:12">
      <c r="A485" s="48" t="s">
        <v>179</v>
      </c>
      <c r="B485" s="54" t="s">
        <v>167</v>
      </c>
      <c r="C485" s="50" t="s">
        <v>47</v>
      </c>
      <c r="D485" s="51" t="s">
        <v>28</v>
      </c>
      <c r="E485" s="50" t="s">
        <v>53</v>
      </c>
      <c r="F485" s="55" t="s">
        <v>130</v>
      </c>
      <c r="G485" s="56">
        <f t="shared" si="35"/>
        <v>23.0255063765941</v>
      </c>
      <c r="H485" s="57">
        <f t="shared" si="36"/>
        <v>276.237</v>
      </c>
      <c r="I485" s="28">
        <v>306.93</v>
      </c>
      <c r="J485" s="57">
        <f t="shared" si="37"/>
        <v>322.2765</v>
      </c>
      <c r="K485" s="57">
        <f t="shared" si="38"/>
        <v>259.66278</v>
      </c>
      <c r="L485" s="57">
        <f t="shared" si="39"/>
        <v>288.5142</v>
      </c>
    </row>
    <row r="486" ht="15" spans="1:12">
      <c r="A486" s="48" t="s">
        <v>179</v>
      </c>
      <c r="B486" s="54" t="s">
        <v>182</v>
      </c>
      <c r="C486" s="50" t="s">
        <v>27</v>
      </c>
      <c r="D486" s="51" t="s">
        <v>28</v>
      </c>
      <c r="E486" s="50" t="s">
        <v>29</v>
      </c>
      <c r="F486" s="55" t="s">
        <v>183</v>
      </c>
      <c r="G486" s="56">
        <f t="shared" si="35"/>
        <v>23.529632408102</v>
      </c>
      <c r="H486" s="57">
        <f t="shared" si="36"/>
        <v>282.285</v>
      </c>
      <c r="I486" s="28">
        <v>313.65</v>
      </c>
      <c r="J486" s="57">
        <f t="shared" si="37"/>
        <v>329.3325</v>
      </c>
      <c r="K486" s="57">
        <f t="shared" si="38"/>
        <v>265.3479</v>
      </c>
      <c r="L486" s="57">
        <f t="shared" si="39"/>
        <v>294.831</v>
      </c>
    </row>
    <row r="487" ht="15" spans="1:12">
      <c r="A487" s="48" t="s">
        <v>184</v>
      </c>
      <c r="B487" s="54" t="s">
        <v>151</v>
      </c>
      <c r="C487" s="50" t="s">
        <v>27</v>
      </c>
      <c r="D487" s="51" t="s">
        <v>28</v>
      </c>
      <c r="E487" s="50" t="s">
        <v>174</v>
      </c>
      <c r="F487" s="55" t="s">
        <v>158</v>
      </c>
      <c r="G487" s="56">
        <f t="shared" si="35"/>
        <v>9.87996999249812</v>
      </c>
      <c r="H487" s="57">
        <f t="shared" si="36"/>
        <v>118.53</v>
      </c>
      <c r="I487" s="28">
        <v>131.7</v>
      </c>
      <c r="J487" s="57">
        <f t="shared" si="37"/>
        <v>138.285</v>
      </c>
      <c r="K487" s="57">
        <f t="shared" si="38"/>
        <v>111.4182</v>
      </c>
      <c r="L487" s="57">
        <f t="shared" si="39"/>
        <v>123.798</v>
      </c>
    </row>
    <row r="488" ht="15" spans="1:12">
      <c r="A488" s="48" t="s">
        <v>184</v>
      </c>
      <c r="B488" s="54" t="s">
        <v>151</v>
      </c>
      <c r="C488" s="50" t="s">
        <v>47</v>
      </c>
      <c r="D488" s="51" t="s">
        <v>28</v>
      </c>
      <c r="E488" s="50" t="s">
        <v>174</v>
      </c>
      <c r="F488" s="55" t="s">
        <v>158</v>
      </c>
      <c r="G488" s="56">
        <f t="shared" si="35"/>
        <v>14.0195048762191</v>
      </c>
      <c r="H488" s="57">
        <f t="shared" si="36"/>
        <v>168.192</v>
      </c>
      <c r="I488" s="28">
        <v>186.88</v>
      </c>
      <c r="J488" s="57">
        <f t="shared" si="37"/>
        <v>196.224</v>
      </c>
      <c r="K488" s="57">
        <f t="shared" si="38"/>
        <v>158.10048</v>
      </c>
      <c r="L488" s="57">
        <f t="shared" si="39"/>
        <v>175.6672</v>
      </c>
    </row>
    <row r="489" ht="15" spans="1:12">
      <c r="A489" s="48" t="s">
        <v>184</v>
      </c>
      <c r="B489" s="54" t="s">
        <v>160</v>
      </c>
      <c r="C489" s="50" t="s">
        <v>47</v>
      </c>
      <c r="D489" s="51" t="s">
        <v>28</v>
      </c>
      <c r="E489" s="50" t="s">
        <v>174</v>
      </c>
      <c r="F489" s="55" t="s">
        <v>158</v>
      </c>
      <c r="G489" s="56">
        <f t="shared" si="35"/>
        <v>15.6099024756189</v>
      </c>
      <c r="H489" s="57">
        <f t="shared" si="36"/>
        <v>187.272</v>
      </c>
      <c r="I489" s="28">
        <v>208.08</v>
      </c>
      <c r="J489" s="57">
        <f t="shared" si="37"/>
        <v>218.484</v>
      </c>
      <c r="K489" s="57">
        <f t="shared" si="38"/>
        <v>176.03568</v>
      </c>
      <c r="L489" s="57">
        <f t="shared" si="39"/>
        <v>195.5952</v>
      </c>
    </row>
    <row r="490" ht="15" spans="1:12">
      <c r="A490" s="48" t="s">
        <v>184</v>
      </c>
      <c r="B490" s="54" t="s">
        <v>152</v>
      </c>
      <c r="C490" s="50" t="s">
        <v>47</v>
      </c>
      <c r="D490" s="51" t="s">
        <v>28</v>
      </c>
      <c r="E490" s="50" t="s">
        <v>174</v>
      </c>
      <c r="F490" s="55" t="s">
        <v>65</v>
      </c>
      <c r="G490" s="56">
        <f t="shared" si="35"/>
        <v>14.8507126781695</v>
      </c>
      <c r="H490" s="57">
        <f t="shared" si="36"/>
        <v>178.164</v>
      </c>
      <c r="I490" s="28">
        <v>197.96</v>
      </c>
      <c r="J490" s="57">
        <f t="shared" si="37"/>
        <v>207.858</v>
      </c>
      <c r="K490" s="57">
        <f t="shared" si="38"/>
        <v>167.47416</v>
      </c>
      <c r="L490" s="57">
        <f t="shared" si="39"/>
        <v>186.0824</v>
      </c>
    </row>
    <row r="491" ht="15" spans="1:12">
      <c r="A491" s="48" t="s">
        <v>184</v>
      </c>
      <c r="B491" s="54" t="s">
        <v>153</v>
      </c>
      <c r="C491" s="50" t="s">
        <v>47</v>
      </c>
      <c r="D491" s="51" t="s">
        <v>28</v>
      </c>
      <c r="E491" s="50" t="s">
        <v>174</v>
      </c>
      <c r="F491" s="55" t="s">
        <v>163</v>
      </c>
      <c r="G491" s="56">
        <f t="shared" si="35"/>
        <v>15.4126031507877</v>
      </c>
      <c r="H491" s="57">
        <f t="shared" si="36"/>
        <v>184.905</v>
      </c>
      <c r="I491" s="28">
        <v>205.45</v>
      </c>
      <c r="J491" s="57">
        <f t="shared" si="37"/>
        <v>215.7225</v>
      </c>
      <c r="K491" s="57">
        <f t="shared" si="38"/>
        <v>173.8107</v>
      </c>
      <c r="L491" s="57">
        <f t="shared" si="39"/>
        <v>193.123</v>
      </c>
    </row>
    <row r="492" ht="15" spans="1:12">
      <c r="A492" s="48" t="s">
        <v>184</v>
      </c>
      <c r="B492" s="54" t="s">
        <v>167</v>
      </c>
      <c r="C492" s="50" t="s">
        <v>47</v>
      </c>
      <c r="D492" s="51" t="s">
        <v>28</v>
      </c>
      <c r="E492" s="50" t="s">
        <v>174</v>
      </c>
      <c r="F492" s="55" t="s">
        <v>82</v>
      </c>
      <c r="G492" s="56">
        <f t="shared" si="35"/>
        <v>16.4366091522881</v>
      </c>
      <c r="H492" s="57">
        <f t="shared" si="36"/>
        <v>197.19</v>
      </c>
      <c r="I492" s="28">
        <v>219.1</v>
      </c>
      <c r="J492" s="57">
        <f t="shared" si="37"/>
        <v>230.055</v>
      </c>
      <c r="K492" s="57">
        <f t="shared" si="38"/>
        <v>185.3586</v>
      </c>
      <c r="L492" s="57">
        <f t="shared" si="39"/>
        <v>205.954</v>
      </c>
    </row>
    <row r="493" ht="15" spans="1:12">
      <c r="A493" s="48" t="s">
        <v>184</v>
      </c>
      <c r="B493" s="54" t="s">
        <v>167</v>
      </c>
      <c r="C493" s="50" t="s">
        <v>47</v>
      </c>
      <c r="D493" s="51" t="s">
        <v>28</v>
      </c>
      <c r="E493" s="50" t="s">
        <v>174</v>
      </c>
      <c r="F493" s="55" t="s">
        <v>146</v>
      </c>
      <c r="G493" s="56">
        <f t="shared" si="35"/>
        <v>18.9197299324831</v>
      </c>
      <c r="H493" s="57">
        <f t="shared" si="36"/>
        <v>226.98</v>
      </c>
      <c r="I493" s="28">
        <v>252.2</v>
      </c>
      <c r="J493" s="57">
        <f t="shared" si="37"/>
        <v>264.81</v>
      </c>
      <c r="K493" s="57">
        <f t="shared" si="38"/>
        <v>213.3612</v>
      </c>
      <c r="L493" s="57">
        <f t="shared" si="39"/>
        <v>237.068</v>
      </c>
    </row>
    <row r="494" ht="15" spans="1:12">
      <c r="A494" s="48" t="s">
        <v>184</v>
      </c>
      <c r="B494" s="54" t="s">
        <v>185</v>
      </c>
      <c r="C494" s="50" t="s">
        <v>47</v>
      </c>
      <c r="D494" s="51" t="s">
        <v>41</v>
      </c>
      <c r="E494" s="50" t="s">
        <v>174</v>
      </c>
      <c r="F494" s="55" t="s">
        <v>186</v>
      </c>
      <c r="G494" s="56">
        <f t="shared" si="35"/>
        <v>29.1755438859715</v>
      </c>
      <c r="H494" s="57">
        <f t="shared" si="36"/>
        <v>350.019</v>
      </c>
      <c r="I494" s="28">
        <v>388.91</v>
      </c>
      <c r="J494" s="57">
        <f t="shared" si="37"/>
        <v>408.3555</v>
      </c>
      <c r="K494" s="57">
        <f t="shared" si="38"/>
        <v>329.01786</v>
      </c>
      <c r="L494" s="57">
        <f t="shared" si="39"/>
        <v>365.5754</v>
      </c>
    </row>
    <row r="495" ht="15" spans="1:12">
      <c r="A495" s="48" t="s">
        <v>187</v>
      </c>
      <c r="B495" s="54" t="s">
        <v>56</v>
      </c>
      <c r="C495" s="50" t="s">
        <v>127</v>
      </c>
      <c r="D495" s="51" t="s">
        <v>28</v>
      </c>
      <c r="E495" s="50" t="s">
        <v>53</v>
      </c>
      <c r="F495" s="55" t="s">
        <v>122</v>
      </c>
      <c r="G495" s="56">
        <f t="shared" si="35"/>
        <v>19.5491372843211</v>
      </c>
      <c r="H495" s="57">
        <f t="shared" si="36"/>
        <v>234.531</v>
      </c>
      <c r="I495" s="28">
        <v>260.59</v>
      </c>
      <c r="J495" s="57">
        <f t="shared" si="37"/>
        <v>273.6195</v>
      </c>
      <c r="K495" s="57">
        <f t="shared" si="38"/>
        <v>220.45914</v>
      </c>
      <c r="L495" s="57">
        <f t="shared" si="39"/>
        <v>244.9546</v>
      </c>
    </row>
    <row r="496" ht="15" spans="1:12">
      <c r="A496" s="48" t="s">
        <v>187</v>
      </c>
      <c r="B496" s="54" t="s">
        <v>56</v>
      </c>
      <c r="C496" s="50" t="s">
        <v>61</v>
      </c>
      <c r="D496" s="51" t="s">
        <v>28</v>
      </c>
      <c r="E496" s="50" t="s">
        <v>53</v>
      </c>
      <c r="F496" s="55" t="s">
        <v>57</v>
      </c>
      <c r="G496" s="56">
        <f t="shared" si="35"/>
        <v>23.3353338334584</v>
      </c>
      <c r="H496" s="57">
        <f t="shared" si="36"/>
        <v>279.954</v>
      </c>
      <c r="I496" s="28">
        <v>311.06</v>
      </c>
      <c r="J496" s="57">
        <f t="shared" si="37"/>
        <v>326.613</v>
      </c>
      <c r="K496" s="57">
        <f t="shared" si="38"/>
        <v>263.15676</v>
      </c>
      <c r="L496" s="57">
        <f t="shared" si="39"/>
        <v>292.3964</v>
      </c>
    </row>
    <row r="497" ht="15" spans="1:12">
      <c r="A497" s="48" t="s">
        <v>187</v>
      </c>
      <c r="B497" s="54" t="s">
        <v>151</v>
      </c>
      <c r="C497" s="50" t="s">
        <v>27</v>
      </c>
      <c r="D497" s="51" t="s">
        <v>28</v>
      </c>
      <c r="E497" s="50" t="s">
        <v>53</v>
      </c>
      <c r="F497" s="55" t="s">
        <v>158</v>
      </c>
      <c r="G497" s="56">
        <f t="shared" si="35"/>
        <v>11.4778694673668</v>
      </c>
      <c r="H497" s="57">
        <f t="shared" si="36"/>
        <v>137.7</v>
      </c>
      <c r="I497" s="28">
        <v>153</v>
      </c>
      <c r="J497" s="57">
        <f t="shared" si="37"/>
        <v>160.65</v>
      </c>
      <c r="K497" s="57">
        <f t="shared" si="38"/>
        <v>129.438</v>
      </c>
      <c r="L497" s="57">
        <f t="shared" si="39"/>
        <v>143.82</v>
      </c>
    </row>
    <row r="498" ht="15" spans="1:12">
      <c r="A498" s="48" t="s">
        <v>187</v>
      </c>
      <c r="B498" s="54" t="s">
        <v>151</v>
      </c>
      <c r="C498" s="50" t="s">
        <v>47</v>
      </c>
      <c r="D498" s="51" t="s">
        <v>28</v>
      </c>
      <c r="E498" s="50" t="s">
        <v>53</v>
      </c>
      <c r="F498" s="55" t="s">
        <v>158</v>
      </c>
      <c r="G498" s="56">
        <f t="shared" si="35"/>
        <v>14.6594148537134</v>
      </c>
      <c r="H498" s="57">
        <f t="shared" si="36"/>
        <v>175.869</v>
      </c>
      <c r="I498" s="28">
        <v>195.41</v>
      </c>
      <c r="J498" s="57">
        <f t="shared" si="37"/>
        <v>205.1805</v>
      </c>
      <c r="K498" s="57">
        <f t="shared" si="38"/>
        <v>165.31686</v>
      </c>
      <c r="L498" s="57">
        <f t="shared" si="39"/>
        <v>183.6854</v>
      </c>
    </row>
    <row r="499" ht="15" spans="1:12">
      <c r="A499" s="48" t="s">
        <v>187</v>
      </c>
      <c r="B499" s="54" t="s">
        <v>151</v>
      </c>
      <c r="C499" s="50" t="s">
        <v>47</v>
      </c>
      <c r="D499" s="51" t="s">
        <v>28</v>
      </c>
      <c r="E499" s="50" t="s">
        <v>174</v>
      </c>
      <c r="F499" s="55" t="s">
        <v>158</v>
      </c>
      <c r="G499" s="56">
        <f t="shared" si="35"/>
        <v>16.1567891972993</v>
      </c>
      <c r="H499" s="57">
        <f t="shared" si="36"/>
        <v>193.833</v>
      </c>
      <c r="I499" s="28">
        <v>215.37</v>
      </c>
      <c r="J499" s="57">
        <f t="shared" si="37"/>
        <v>226.1385</v>
      </c>
      <c r="K499" s="57">
        <f t="shared" si="38"/>
        <v>182.20302</v>
      </c>
      <c r="L499" s="57">
        <f t="shared" si="39"/>
        <v>202.4478</v>
      </c>
    </row>
    <row r="500" ht="15" spans="1:12">
      <c r="A500" s="48" t="s">
        <v>187</v>
      </c>
      <c r="B500" s="54" t="s">
        <v>180</v>
      </c>
      <c r="C500" s="50" t="s">
        <v>47</v>
      </c>
      <c r="D500" s="51" t="s">
        <v>28</v>
      </c>
      <c r="E500" s="50" t="s">
        <v>53</v>
      </c>
      <c r="F500" s="55" t="s">
        <v>158</v>
      </c>
      <c r="G500" s="56">
        <f t="shared" si="35"/>
        <v>25.6534133533383</v>
      </c>
      <c r="H500" s="57">
        <f t="shared" si="36"/>
        <v>307.764</v>
      </c>
      <c r="I500" s="28">
        <v>341.96</v>
      </c>
      <c r="J500" s="57">
        <f t="shared" si="37"/>
        <v>359.058</v>
      </c>
      <c r="K500" s="57">
        <f t="shared" si="38"/>
        <v>289.29816</v>
      </c>
      <c r="L500" s="57">
        <f t="shared" si="39"/>
        <v>321.4424</v>
      </c>
    </row>
    <row r="501" ht="15" spans="1:12">
      <c r="A501" s="48" t="s">
        <v>187</v>
      </c>
      <c r="B501" s="54" t="s">
        <v>160</v>
      </c>
      <c r="C501" s="50" t="s">
        <v>47</v>
      </c>
      <c r="D501" s="51" t="s">
        <v>28</v>
      </c>
      <c r="E501" s="50" t="s">
        <v>53</v>
      </c>
      <c r="F501" s="55" t="s">
        <v>59</v>
      </c>
      <c r="G501" s="56">
        <f t="shared" si="35"/>
        <v>14.8957239309827</v>
      </c>
      <c r="H501" s="57">
        <f t="shared" si="36"/>
        <v>178.704</v>
      </c>
      <c r="I501" s="28">
        <v>198.56</v>
      </c>
      <c r="J501" s="57">
        <f t="shared" si="37"/>
        <v>208.488</v>
      </c>
      <c r="K501" s="57">
        <f t="shared" si="38"/>
        <v>167.98176</v>
      </c>
      <c r="L501" s="57">
        <f t="shared" si="39"/>
        <v>186.6464</v>
      </c>
    </row>
    <row r="502" ht="15" spans="1:12">
      <c r="A502" s="48" t="s">
        <v>187</v>
      </c>
      <c r="B502" s="54" t="s">
        <v>160</v>
      </c>
      <c r="C502" s="50" t="s">
        <v>47</v>
      </c>
      <c r="D502" s="51" t="s">
        <v>28</v>
      </c>
      <c r="E502" s="50" t="s">
        <v>53</v>
      </c>
      <c r="F502" s="55" t="s">
        <v>65</v>
      </c>
      <c r="G502" s="56">
        <f t="shared" si="35"/>
        <v>15.6054013503376</v>
      </c>
      <c r="H502" s="57">
        <f t="shared" si="36"/>
        <v>187.218</v>
      </c>
      <c r="I502" s="28">
        <v>208.02</v>
      </c>
      <c r="J502" s="57">
        <f t="shared" si="37"/>
        <v>218.421</v>
      </c>
      <c r="K502" s="57">
        <f t="shared" si="38"/>
        <v>175.98492</v>
      </c>
      <c r="L502" s="57">
        <f t="shared" si="39"/>
        <v>195.5388</v>
      </c>
    </row>
    <row r="503" ht="15" spans="1:12">
      <c r="A503" s="48" t="s">
        <v>187</v>
      </c>
      <c r="B503" s="54" t="s">
        <v>160</v>
      </c>
      <c r="C503" s="50" t="s">
        <v>47</v>
      </c>
      <c r="D503" s="51" t="s">
        <v>28</v>
      </c>
      <c r="E503" s="50" t="s">
        <v>174</v>
      </c>
      <c r="F503" s="55" t="s">
        <v>59</v>
      </c>
      <c r="G503" s="56">
        <f t="shared" si="35"/>
        <v>15.9159789947487</v>
      </c>
      <c r="H503" s="57">
        <f t="shared" si="36"/>
        <v>190.944</v>
      </c>
      <c r="I503" s="28">
        <v>212.16</v>
      </c>
      <c r="J503" s="57">
        <f t="shared" si="37"/>
        <v>222.768</v>
      </c>
      <c r="K503" s="57">
        <f t="shared" si="38"/>
        <v>179.48736</v>
      </c>
      <c r="L503" s="57">
        <f t="shared" si="39"/>
        <v>199.4304</v>
      </c>
    </row>
    <row r="504" ht="15" spans="1:12">
      <c r="A504" s="48" t="s">
        <v>187</v>
      </c>
      <c r="B504" s="54" t="s">
        <v>152</v>
      </c>
      <c r="C504" s="50" t="s">
        <v>60</v>
      </c>
      <c r="D504" s="51" t="s">
        <v>28</v>
      </c>
      <c r="E504" s="50" t="s">
        <v>53</v>
      </c>
      <c r="F504" s="55" t="s">
        <v>65</v>
      </c>
      <c r="G504" s="56">
        <f t="shared" si="35"/>
        <v>13.7134283570893</v>
      </c>
      <c r="H504" s="57">
        <f t="shared" si="36"/>
        <v>164.52</v>
      </c>
      <c r="I504" s="28">
        <v>182.8</v>
      </c>
      <c r="J504" s="57">
        <f t="shared" si="37"/>
        <v>191.94</v>
      </c>
      <c r="K504" s="57">
        <f t="shared" si="38"/>
        <v>154.6488</v>
      </c>
      <c r="L504" s="57">
        <f t="shared" si="39"/>
        <v>171.832</v>
      </c>
    </row>
    <row r="505" ht="15" spans="1:12">
      <c r="A505" s="48" t="s">
        <v>187</v>
      </c>
      <c r="B505" s="54" t="s">
        <v>152</v>
      </c>
      <c r="C505" s="50" t="s">
        <v>47</v>
      </c>
      <c r="D505" s="51" t="s">
        <v>28</v>
      </c>
      <c r="E505" s="50" t="s">
        <v>53</v>
      </c>
      <c r="F505" s="55" t="s">
        <v>65</v>
      </c>
      <c r="G505" s="56">
        <f t="shared" si="35"/>
        <v>16.1567891972993</v>
      </c>
      <c r="H505" s="57">
        <f t="shared" si="36"/>
        <v>193.833</v>
      </c>
      <c r="I505" s="28">
        <v>215.37</v>
      </c>
      <c r="J505" s="57">
        <f t="shared" si="37"/>
        <v>226.1385</v>
      </c>
      <c r="K505" s="57">
        <f t="shared" si="38"/>
        <v>182.20302</v>
      </c>
      <c r="L505" s="57">
        <f t="shared" si="39"/>
        <v>202.4478</v>
      </c>
    </row>
    <row r="506" ht="15" spans="1:12">
      <c r="A506" s="48" t="s">
        <v>187</v>
      </c>
      <c r="B506" s="54" t="s">
        <v>162</v>
      </c>
      <c r="C506" s="50" t="s">
        <v>47</v>
      </c>
      <c r="D506" s="51" t="s">
        <v>28</v>
      </c>
      <c r="E506" s="50" t="s">
        <v>53</v>
      </c>
      <c r="F506" s="55" t="s">
        <v>34</v>
      </c>
      <c r="G506" s="56">
        <f t="shared" si="35"/>
        <v>16.8289572393098</v>
      </c>
      <c r="H506" s="57">
        <f t="shared" si="36"/>
        <v>201.897</v>
      </c>
      <c r="I506" s="28">
        <v>224.33</v>
      </c>
      <c r="J506" s="57">
        <f t="shared" si="37"/>
        <v>235.5465</v>
      </c>
      <c r="K506" s="57">
        <f t="shared" si="38"/>
        <v>189.78318</v>
      </c>
      <c r="L506" s="57">
        <f t="shared" si="39"/>
        <v>210.8702</v>
      </c>
    </row>
    <row r="507" ht="15" spans="1:12">
      <c r="A507" s="48" t="s">
        <v>187</v>
      </c>
      <c r="B507" s="54" t="s">
        <v>153</v>
      </c>
      <c r="C507" s="50" t="s">
        <v>47</v>
      </c>
      <c r="D507" s="51" t="s">
        <v>28</v>
      </c>
      <c r="E507" s="50" t="s">
        <v>53</v>
      </c>
      <c r="F507" s="55" t="s">
        <v>163</v>
      </c>
      <c r="G507" s="56">
        <f t="shared" si="35"/>
        <v>21.3585896474119</v>
      </c>
      <c r="H507" s="57">
        <f t="shared" si="36"/>
        <v>256.239</v>
      </c>
      <c r="I507" s="28">
        <v>284.71</v>
      </c>
      <c r="J507" s="57">
        <f t="shared" si="37"/>
        <v>298.9455</v>
      </c>
      <c r="K507" s="57">
        <f t="shared" si="38"/>
        <v>240.86466</v>
      </c>
      <c r="L507" s="57">
        <f t="shared" si="39"/>
        <v>267.6274</v>
      </c>
    </row>
    <row r="508" ht="15" spans="1:12">
      <c r="A508" s="48" t="s">
        <v>187</v>
      </c>
      <c r="B508" s="54" t="s">
        <v>153</v>
      </c>
      <c r="C508" s="50" t="s">
        <v>127</v>
      </c>
      <c r="D508" s="51" t="s">
        <v>28</v>
      </c>
      <c r="E508" s="50" t="s">
        <v>53</v>
      </c>
      <c r="F508" s="55" t="s">
        <v>188</v>
      </c>
      <c r="G508" s="56">
        <f t="shared" si="35"/>
        <v>21.3803450862716</v>
      </c>
      <c r="H508" s="57">
        <f t="shared" si="36"/>
        <v>256.5</v>
      </c>
      <c r="I508" s="28">
        <v>285</v>
      </c>
      <c r="J508" s="57">
        <f t="shared" si="37"/>
        <v>299.25</v>
      </c>
      <c r="K508" s="57">
        <f t="shared" si="38"/>
        <v>241.11</v>
      </c>
      <c r="L508" s="57">
        <f t="shared" si="39"/>
        <v>267.9</v>
      </c>
    </row>
    <row r="509" ht="15" spans="1:12">
      <c r="A509" s="48" t="s">
        <v>187</v>
      </c>
      <c r="B509" s="54" t="s">
        <v>167</v>
      </c>
      <c r="C509" s="50" t="s">
        <v>47</v>
      </c>
      <c r="D509" s="51" t="s">
        <v>28</v>
      </c>
      <c r="E509" s="50" t="s">
        <v>174</v>
      </c>
      <c r="F509" s="55" t="s">
        <v>146</v>
      </c>
      <c r="G509" s="56">
        <f t="shared" si="35"/>
        <v>25.4808702175544</v>
      </c>
      <c r="H509" s="57">
        <f t="shared" si="36"/>
        <v>305.694</v>
      </c>
      <c r="I509" s="28">
        <v>339.66</v>
      </c>
      <c r="J509" s="57">
        <f t="shared" si="37"/>
        <v>356.643</v>
      </c>
      <c r="K509" s="57">
        <f t="shared" si="38"/>
        <v>287.35236</v>
      </c>
      <c r="L509" s="57">
        <f t="shared" si="39"/>
        <v>319.2804</v>
      </c>
    </row>
    <row r="510" ht="15" spans="1:12">
      <c r="A510" s="48" t="s">
        <v>187</v>
      </c>
      <c r="B510" s="54" t="s">
        <v>167</v>
      </c>
      <c r="C510" s="50" t="s">
        <v>47</v>
      </c>
      <c r="D510" s="51" t="s">
        <v>28</v>
      </c>
      <c r="E510" s="50" t="s">
        <v>53</v>
      </c>
      <c r="F510" s="55" t="s">
        <v>146</v>
      </c>
      <c r="G510" s="56">
        <f t="shared" si="35"/>
        <v>28.6099024756189</v>
      </c>
      <c r="H510" s="57">
        <f t="shared" si="36"/>
        <v>343.233</v>
      </c>
      <c r="I510" s="28">
        <v>381.37</v>
      </c>
      <c r="J510" s="57">
        <f t="shared" si="37"/>
        <v>400.4385</v>
      </c>
      <c r="K510" s="57">
        <f t="shared" si="38"/>
        <v>322.63902</v>
      </c>
      <c r="L510" s="57">
        <f t="shared" si="39"/>
        <v>358.4878</v>
      </c>
    </row>
    <row r="511" ht="15" spans="1:12">
      <c r="A511" s="48" t="s">
        <v>187</v>
      </c>
      <c r="B511" s="54" t="s">
        <v>189</v>
      </c>
      <c r="C511" s="50" t="s">
        <v>47</v>
      </c>
      <c r="D511" s="51" t="s">
        <v>28</v>
      </c>
      <c r="E511" s="50" t="s">
        <v>53</v>
      </c>
      <c r="F511" s="55" t="s">
        <v>146</v>
      </c>
      <c r="G511" s="56">
        <f t="shared" si="35"/>
        <v>27.735183795949</v>
      </c>
      <c r="H511" s="57">
        <f t="shared" si="36"/>
        <v>332.739</v>
      </c>
      <c r="I511" s="28">
        <v>369.71</v>
      </c>
      <c r="J511" s="57">
        <f t="shared" si="37"/>
        <v>388.1955</v>
      </c>
      <c r="K511" s="57">
        <f t="shared" si="38"/>
        <v>312.77466</v>
      </c>
      <c r="L511" s="57">
        <f t="shared" si="39"/>
        <v>347.5274</v>
      </c>
    </row>
    <row r="512" ht="15" spans="1:12">
      <c r="A512" s="48" t="s">
        <v>187</v>
      </c>
      <c r="B512" s="60" t="s">
        <v>43</v>
      </c>
      <c r="C512" s="61" t="s">
        <v>27</v>
      </c>
      <c r="D512" s="58" t="s">
        <v>28</v>
      </c>
      <c r="E512" s="61" t="s">
        <v>53</v>
      </c>
      <c r="F512" s="55" t="s">
        <v>171</v>
      </c>
      <c r="G512" s="56">
        <f t="shared" si="35"/>
        <v>30.5551387846962</v>
      </c>
      <c r="H512" s="57">
        <f t="shared" si="36"/>
        <v>366.57</v>
      </c>
      <c r="I512" s="28">
        <v>407.3</v>
      </c>
      <c r="J512" s="57">
        <f t="shared" si="37"/>
        <v>427.665</v>
      </c>
      <c r="K512" s="57">
        <f t="shared" si="38"/>
        <v>344.5758</v>
      </c>
      <c r="L512" s="57">
        <f t="shared" si="39"/>
        <v>382.862</v>
      </c>
    </row>
    <row r="513" ht="15" spans="1:12">
      <c r="A513" s="48" t="s">
        <v>187</v>
      </c>
      <c r="B513" s="60" t="s">
        <v>26</v>
      </c>
      <c r="C513" s="61" t="s">
        <v>47</v>
      </c>
      <c r="D513" s="58" t="s">
        <v>28</v>
      </c>
      <c r="E513" s="61" t="s">
        <v>53</v>
      </c>
      <c r="F513" s="55" t="s">
        <v>190</v>
      </c>
      <c r="G513" s="56">
        <f t="shared" si="35"/>
        <v>37.6594148537134</v>
      </c>
      <c r="H513" s="57">
        <f t="shared" si="36"/>
        <v>451.8</v>
      </c>
      <c r="I513" s="28">
        <v>502</v>
      </c>
      <c r="J513" s="57">
        <f t="shared" si="37"/>
        <v>527.1</v>
      </c>
      <c r="K513" s="57">
        <f t="shared" si="38"/>
        <v>424.692</v>
      </c>
      <c r="L513" s="57">
        <f t="shared" si="39"/>
        <v>471.88</v>
      </c>
    </row>
    <row r="514" ht="15" spans="1:12">
      <c r="A514" s="48" t="s">
        <v>191</v>
      </c>
      <c r="B514" s="60" t="s">
        <v>149</v>
      </c>
      <c r="C514" s="50" t="s">
        <v>27</v>
      </c>
      <c r="D514" s="51" t="s">
        <v>28</v>
      </c>
      <c r="E514" s="50" t="s">
        <v>192</v>
      </c>
      <c r="F514" s="55" t="s">
        <v>52</v>
      </c>
      <c r="G514" s="56">
        <f t="shared" si="35"/>
        <v>11.1777944486122</v>
      </c>
      <c r="H514" s="57">
        <f t="shared" si="36"/>
        <v>134.1</v>
      </c>
      <c r="I514" s="28">
        <v>149</v>
      </c>
      <c r="J514" s="57">
        <f t="shared" si="37"/>
        <v>156.45</v>
      </c>
      <c r="K514" s="57">
        <f t="shared" si="38"/>
        <v>126.054</v>
      </c>
      <c r="L514" s="57">
        <f t="shared" si="39"/>
        <v>140.06</v>
      </c>
    </row>
    <row r="515" ht="15" spans="1:12">
      <c r="A515" s="48" t="s">
        <v>193</v>
      </c>
      <c r="B515" s="54" t="s">
        <v>56</v>
      </c>
      <c r="C515" s="50" t="s">
        <v>27</v>
      </c>
      <c r="D515" s="51" t="s">
        <v>28</v>
      </c>
      <c r="E515" s="50" t="s">
        <v>192</v>
      </c>
      <c r="F515" s="55" t="s">
        <v>122</v>
      </c>
      <c r="G515" s="56">
        <f t="shared" si="35"/>
        <v>12.7891972993248</v>
      </c>
      <c r="H515" s="57">
        <f t="shared" si="36"/>
        <v>153.432</v>
      </c>
      <c r="I515" s="28">
        <v>170.48</v>
      </c>
      <c r="J515" s="57">
        <f t="shared" si="37"/>
        <v>179.004</v>
      </c>
      <c r="K515" s="57">
        <f t="shared" si="38"/>
        <v>144.22608</v>
      </c>
      <c r="L515" s="57">
        <f t="shared" si="39"/>
        <v>160.2512</v>
      </c>
    </row>
    <row r="516" ht="15" spans="1:12">
      <c r="A516" s="48" t="s">
        <v>193</v>
      </c>
      <c r="B516" s="54" t="s">
        <v>151</v>
      </c>
      <c r="C516" s="50" t="s">
        <v>27</v>
      </c>
      <c r="D516" s="51" t="s">
        <v>28</v>
      </c>
      <c r="E516" s="50" t="s">
        <v>192</v>
      </c>
      <c r="F516" s="55" t="s">
        <v>194</v>
      </c>
      <c r="G516" s="56">
        <f t="shared" si="35"/>
        <v>14.6811702925731</v>
      </c>
      <c r="H516" s="57">
        <f t="shared" si="36"/>
        <v>176.13</v>
      </c>
      <c r="I516" s="28">
        <v>195.7</v>
      </c>
      <c r="J516" s="57">
        <f t="shared" si="37"/>
        <v>205.485</v>
      </c>
      <c r="K516" s="57">
        <f t="shared" si="38"/>
        <v>165.5622</v>
      </c>
      <c r="L516" s="57">
        <f t="shared" si="39"/>
        <v>183.958</v>
      </c>
    </row>
    <row r="517" ht="15" spans="1:12">
      <c r="A517" s="48" t="s">
        <v>193</v>
      </c>
      <c r="B517" s="54" t="s">
        <v>160</v>
      </c>
      <c r="C517" s="50" t="s">
        <v>27</v>
      </c>
      <c r="D517" s="51" t="s">
        <v>28</v>
      </c>
      <c r="E517" s="50" t="s">
        <v>192</v>
      </c>
      <c r="F517" s="55" t="s">
        <v>176</v>
      </c>
      <c r="G517" s="56">
        <f t="shared" si="35"/>
        <v>14.8357089272318</v>
      </c>
      <c r="H517" s="57">
        <f t="shared" si="36"/>
        <v>177.984</v>
      </c>
      <c r="I517" s="28">
        <v>197.76</v>
      </c>
      <c r="J517" s="57">
        <f t="shared" si="37"/>
        <v>207.648</v>
      </c>
      <c r="K517" s="57">
        <f t="shared" si="38"/>
        <v>167.30496</v>
      </c>
      <c r="L517" s="57">
        <f t="shared" si="39"/>
        <v>185.8944</v>
      </c>
    </row>
    <row r="518" ht="15" spans="1:12">
      <c r="A518" s="48" t="s">
        <v>193</v>
      </c>
      <c r="B518" s="54" t="s">
        <v>160</v>
      </c>
      <c r="C518" s="50" t="s">
        <v>47</v>
      </c>
      <c r="D518" s="51" t="s">
        <v>28</v>
      </c>
      <c r="E518" s="50" t="s">
        <v>192</v>
      </c>
      <c r="F518" s="55" t="s">
        <v>65</v>
      </c>
      <c r="G518" s="56">
        <f t="shared" si="35"/>
        <v>20.0285071267817</v>
      </c>
      <c r="H518" s="57">
        <f t="shared" si="36"/>
        <v>240.282</v>
      </c>
      <c r="I518" s="28">
        <v>266.98</v>
      </c>
      <c r="J518" s="57">
        <f t="shared" si="37"/>
        <v>280.329</v>
      </c>
      <c r="K518" s="57">
        <f t="shared" si="38"/>
        <v>225.86508</v>
      </c>
      <c r="L518" s="57">
        <f t="shared" si="39"/>
        <v>250.9612</v>
      </c>
    </row>
    <row r="519" ht="15" spans="1:12">
      <c r="A519" s="48" t="s">
        <v>193</v>
      </c>
      <c r="B519" s="54" t="s">
        <v>152</v>
      </c>
      <c r="C519" s="50" t="s">
        <v>27</v>
      </c>
      <c r="D519" s="51" t="s">
        <v>28</v>
      </c>
      <c r="E519" s="50" t="s">
        <v>192</v>
      </c>
      <c r="F519" s="55" t="s">
        <v>176</v>
      </c>
      <c r="G519" s="56">
        <f t="shared" si="35"/>
        <v>17.5146286571643</v>
      </c>
      <c r="H519" s="57">
        <f t="shared" si="36"/>
        <v>210.123</v>
      </c>
      <c r="I519" s="28">
        <v>233.47</v>
      </c>
      <c r="J519" s="57">
        <f t="shared" si="37"/>
        <v>245.1435</v>
      </c>
      <c r="K519" s="57">
        <f t="shared" si="38"/>
        <v>197.51562</v>
      </c>
      <c r="L519" s="57">
        <f t="shared" si="39"/>
        <v>219.4618</v>
      </c>
    </row>
    <row r="520" ht="15" spans="1:12">
      <c r="A520" s="48" t="s">
        <v>193</v>
      </c>
      <c r="B520" s="54" t="s">
        <v>195</v>
      </c>
      <c r="C520" s="50" t="s">
        <v>47</v>
      </c>
      <c r="D520" s="51" t="s">
        <v>28</v>
      </c>
      <c r="E520" s="50" t="s">
        <v>192</v>
      </c>
      <c r="F520" s="55" t="s">
        <v>176</v>
      </c>
      <c r="G520" s="56">
        <f t="shared" si="35"/>
        <v>24.8117029257314</v>
      </c>
      <c r="H520" s="57">
        <f t="shared" si="36"/>
        <v>297.666</v>
      </c>
      <c r="I520" s="28">
        <v>330.74</v>
      </c>
      <c r="J520" s="57">
        <f t="shared" si="37"/>
        <v>347.277</v>
      </c>
      <c r="K520" s="57">
        <f t="shared" si="38"/>
        <v>279.80604</v>
      </c>
      <c r="L520" s="57">
        <f t="shared" si="39"/>
        <v>310.8956</v>
      </c>
    </row>
    <row r="521" ht="15" spans="1:12">
      <c r="A521" s="48" t="s">
        <v>193</v>
      </c>
      <c r="B521" s="54" t="s">
        <v>161</v>
      </c>
      <c r="C521" s="50" t="s">
        <v>27</v>
      </c>
      <c r="D521" s="51" t="s">
        <v>28</v>
      </c>
      <c r="E521" s="50" t="s">
        <v>192</v>
      </c>
      <c r="F521" s="55" t="s">
        <v>181</v>
      </c>
      <c r="G521" s="56">
        <f t="shared" si="35"/>
        <v>18.9744936234059</v>
      </c>
      <c r="H521" s="57">
        <f t="shared" si="36"/>
        <v>227.637</v>
      </c>
      <c r="I521" s="28">
        <v>252.93</v>
      </c>
      <c r="J521" s="57">
        <f t="shared" si="37"/>
        <v>265.5765</v>
      </c>
      <c r="K521" s="57">
        <f t="shared" si="38"/>
        <v>213.97878</v>
      </c>
      <c r="L521" s="57">
        <f t="shared" si="39"/>
        <v>237.7542</v>
      </c>
    </row>
    <row r="522" ht="15" spans="1:12">
      <c r="A522" s="48" t="s">
        <v>193</v>
      </c>
      <c r="B522" s="54" t="s">
        <v>167</v>
      </c>
      <c r="C522" s="50" t="s">
        <v>27</v>
      </c>
      <c r="D522" s="51" t="s">
        <v>28</v>
      </c>
      <c r="E522" s="50" t="s">
        <v>192</v>
      </c>
      <c r="F522" s="55" t="s">
        <v>146</v>
      </c>
      <c r="G522" s="56">
        <f t="shared" si="35"/>
        <v>28.589647411853</v>
      </c>
      <c r="H522" s="57">
        <f t="shared" si="36"/>
        <v>342.99</v>
      </c>
      <c r="I522" s="28">
        <v>381.1</v>
      </c>
      <c r="J522" s="57">
        <f t="shared" si="37"/>
        <v>400.155</v>
      </c>
      <c r="K522" s="57">
        <f t="shared" si="38"/>
        <v>322.4106</v>
      </c>
      <c r="L522" s="57">
        <f t="shared" si="39"/>
        <v>358.234</v>
      </c>
    </row>
    <row r="523" ht="15" spans="1:12">
      <c r="A523" s="48" t="s">
        <v>196</v>
      </c>
      <c r="B523" s="60" t="s">
        <v>143</v>
      </c>
      <c r="C523" s="61" t="s">
        <v>27</v>
      </c>
      <c r="D523" s="51" t="s">
        <v>28</v>
      </c>
      <c r="E523" s="50" t="s">
        <v>53</v>
      </c>
      <c r="F523" s="55" t="s">
        <v>197</v>
      </c>
      <c r="G523" s="56">
        <f t="shared" ref="G523:G578" si="40">I523/13.33</f>
        <v>9.09977494373593</v>
      </c>
      <c r="H523" s="57">
        <f t="shared" ref="H523:H578" si="41">I523*0.9</f>
        <v>109.17</v>
      </c>
      <c r="I523" s="28">
        <v>121.3</v>
      </c>
      <c r="J523" s="57">
        <f t="shared" ref="J523:J578" si="42">I523*1.05</f>
        <v>127.365</v>
      </c>
      <c r="K523" s="57">
        <f t="shared" ref="K523:K578" si="43">H523*0.94</f>
        <v>102.6198</v>
      </c>
      <c r="L523" s="57">
        <f t="shared" ref="L523:L578" si="44">I523*0.94</f>
        <v>114.022</v>
      </c>
    </row>
    <row r="524" ht="15" spans="1:12">
      <c r="A524" s="48" t="s">
        <v>196</v>
      </c>
      <c r="B524" s="60" t="s">
        <v>143</v>
      </c>
      <c r="C524" s="61" t="s">
        <v>27</v>
      </c>
      <c r="D524" s="51" t="s">
        <v>28</v>
      </c>
      <c r="E524" s="50" t="s">
        <v>174</v>
      </c>
      <c r="F524" s="55" t="s">
        <v>197</v>
      </c>
      <c r="G524" s="56">
        <f t="shared" si="40"/>
        <v>9.76744186046512</v>
      </c>
      <c r="H524" s="57">
        <f t="shared" si="41"/>
        <v>117.18</v>
      </c>
      <c r="I524" s="28">
        <v>130.2</v>
      </c>
      <c r="J524" s="57">
        <f t="shared" si="42"/>
        <v>136.71</v>
      </c>
      <c r="K524" s="57">
        <f t="shared" si="43"/>
        <v>110.1492</v>
      </c>
      <c r="L524" s="57">
        <f t="shared" si="44"/>
        <v>122.388</v>
      </c>
    </row>
    <row r="525" ht="15" spans="1:12">
      <c r="A525" s="48" t="s">
        <v>196</v>
      </c>
      <c r="B525" s="60" t="s">
        <v>143</v>
      </c>
      <c r="C525" s="61" t="s">
        <v>27</v>
      </c>
      <c r="D525" s="51" t="s">
        <v>28</v>
      </c>
      <c r="E525" s="50" t="s">
        <v>192</v>
      </c>
      <c r="F525" s="55" t="s">
        <v>52</v>
      </c>
      <c r="G525" s="56">
        <f t="shared" si="40"/>
        <v>12.3030757689422</v>
      </c>
      <c r="H525" s="57">
        <f t="shared" si="41"/>
        <v>147.6</v>
      </c>
      <c r="I525" s="28">
        <v>164</v>
      </c>
      <c r="J525" s="57">
        <f t="shared" si="42"/>
        <v>172.2</v>
      </c>
      <c r="K525" s="57">
        <f t="shared" si="43"/>
        <v>138.744</v>
      </c>
      <c r="L525" s="57">
        <f t="shared" si="44"/>
        <v>154.16</v>
      </c>
    </row>
    <row r="526" ht="15" spans="1:12">
      <c r="A526" s="48" t="s">
        <v>196</v>
      </c>
      <c r="B526" s="54" t="s">
        <v>143</v>
      </c>
      <c r="C526" s="50" t="s">
        <v>47</v>
      </c>
      <c r="D526" s="51" t="s">
        <v>28</v>
      </c>
      <c r="E526" s="50" t="s">
        <v>174</v>
      </c>
      <c r="F526" s="55" t="s">
        <v>197</v>
      </c>
      <c r="G526" s="56">
        <f t="shared" si="40"/>
        <v>14.0450112528132</v>
      </c>
      <c r="H526" s="57">
        <f t="shared" si="41"/>
        <v>168.498</v>
      </c>
      <c r="I526" s="28">
        <v>187.22</v>
      </c>
      <c r="J526" s="57">
        <f t="shared" si="42"/>
        <v>196.581</v>
      </c>
      <c r="K526" s="57">
        <f t="shared" si="43"/>
        <v>158.38812</v>
      </c>
      <c r="L526" s="57">
        <f t="shared" si="44"/>
        <v>175.9868</v>
      </c>
    </row>
    <row r="527" ht="15" spans="1:12">
      <c r="A527" s="48" t="s">
        <v>196</v>
      </c>
      <c r="B527" s="54" t="s">
        <v>56</v>
      </c>
      <c r="C527" s="50" t="s">
        <v>27</v>
      </c>
      <c r="D527" s="51" t="s">
        <v>28</v>
      </c>
      <c r="E527" s="50" t="s">
        <v>174</v>
      </c>
      <c r="F527" s="55" t="s">
        <v>122</v>
      </c>
      <c r="G527" s="56">
        <f t="shared" si="40"/>
        <v>10.0442610652663</v>
      </c>
      <c r="H527" s="57">
        <f t="shared" si="41"/>
        <v>120.501</v>
      </c>
      <c r="I527" s="28">
        <v>133.89</v>
      </c>
      <c r="J527" s="57">
        <f t="shared" si="42"/>
        <v>140.5845</v>
      </c>
      <c r="K527" s="57">
        <f t="shared" si="43"/>
        <v>113.27094</v>
      </c>
      <c r="L527" s="57">
        <f t="shared" si="44"/>
        <v>125.8566</v>
      </c>
    </row>
    <row r="528" ht="15" spans="1:12">
      <c r="A528" s="48" t="s">
        <v>196</v>
      </c>
      <c r="B528" s="54" t="s">
        <v>56</v>
      </c>
      <c r="C528" s="50" t="s">
        <v>60</v>
      </c>
      <c r="D528" s="51" t="s">
        <v>28</v>
      </c>
      <c r="E528" s="50" t="s">
        <v>174</v>
      </c>
      <c r="F528" s="55" t="s">
        <v>122</v>
      </c>
      <c r="G528" s="56">
        <f t="shared" si="40"/>
        <v>12.2573143285821</v>
      </c>
      <c r="H528" s="57">
        <f t="shared" si="41"/>
        <v>147.051</v>
      </c>
      <c r="I528" s="28">
        <v>163.39</v>
      </c>
      <c r="J528" s="57">
        <f t="shared" si="42"/>
        <v>171.5595</v>
      </c>
      <c r="K528" s="57">
        <f t="shared" si="43"/>
        <v>138.22794</v>
      </c>
      <c r="L528" s="57">
        <f t="shared" si="44"/>
        <v>153.5866</v>
      </c>
    </row>
    <row r="529" ht="15" spans="1:12">
      <c r="A529" s="48" t="s">
        <v>196</v>
      </c>
      <c r="B529" s="54" t="s">
        <v>56</v>
      </c>
      <c r="C529" s="50" t="s">
        <v>47</v>
      </c>
      <c r="D529" s="51" t="s">
        <v>28</v>
      </c>
      <c r="E529" s="50" t="s">
        <v>53</v>
      </c>
      <c r="F529" s="55" t="s">
        <v>122</v>
      </c>
      <c r="G529" s="56">
        <f t="shared" si="40"/>
        <v>14.4088522130533</v>
      </c>
      <c r="H529" s="57">
        <f t="shared" si="41"/>
        <v>172.863</v>
      </c>
      <c r="I529" s="28">
        <v>192.07</v>
      </c>
      <c r="J529" s="57">
        <f t="shared" si="42"/>
        <v>201.6735</v>
      </c>
      <c r="K529" s="57">
        <f t="shared" si="43"/>
        <v>162.49122</v>
      </c>
      <c r="L529" s="57">
        <f t="shared" si="44"/>
        <v>180.5458</v>
      </c>
    </row>
    <row r="530" ht="15" spans="1:12">
      <c r="A530" s="48" t="s">
        <v>196</v>
      </c>
      <c r="B530" s="54" t="s">
        <v>56</v>
      </c>
      <c r="C530" s="50" t="s">
        <v>127</v>
      </c>
      <c r="D530" s="51" t="s">
        <v>28</v>
      </c>
      <c r="E530" s="50" t="s">
        <v>198</v>
      </c>
      <c r="F530" s="55" t="s">
        <v>122</v>
      </c>
      <c r="G530" s="56">
        <f t="shared" si="40"/>
        <v>18.9099774943736</v>
      </c>
      <c r="H530" s="57">
        <f t="shared" si="41"/>
        <v>226.863</v>
      </c>
      <c r="I530" s="28">
        <v>252.07</v>
      </c>
      <c r="J530" s="57">
        <f t="shared" si="42"/>
        <v>264.6735</v>
      </c>
      <c r="K530" s="57">
        <f t="shared" si="43"/>
        <v>213.25122</v>
      </c>
      <c r="L530" s="57">
        <f t="shared" si="44"/>
        <v>236.9458</v>
      </c>
    </row>
    <row r="531" ht="15" spans="1:12">
      <c r="A531" s="48" t="s">
        <v>196</v>
      </c>
      <c r="B531" s="54" t="s">
        <v>56</v>
      </c>
      <c r="C531" s="50" t="s">
        <v>61</v>
      </c>
      <c r="D531" s="51" t="s">
        <v>28</v>
      </c>
      <c r="E531" s="50" t="s">
        <v>53</v>
      </c>
      <c r="F531" s="55" t="s">
        <v>122</v>
      </c>
      <c r="G531" s="56">
        <f t="shared" si="40"/>
        <v>23.2393098274569</v>
      </c>
      <c r="H531" s="57">
        <f t="shared" si="41"/>
        <v>278.802</v>
      </c>
      <c r="I531" s="28">
        <v>309.78</v>
      </c>
      <c r="J531" s="57">
        <f t="shared" si="42"/>
        <v>325.269</v>
      </c>
      <c r="K531" s="57">
        <f t="shared" si="43"/>
        <v>262.07388</v>
      </c>
      <c r="L531" s="57">
        <f t="shared" si="44"/>
        <v>291.1932</v>
      </c>
    </row>
    <row r="532" ht="15" spans="1:12">
      <c r="A532" s="59" t="s">
        <v>196</v>
      </c>
      <c r="B532" s="60" t="s">
        <v>199</v>
      </c>
      <c r="C532" s="61" t="s">
        <v>47</v>
      </c>
      <c r="D532" s="58" t="s">
        <v>28</v>
      </c>
      <c r="E532" s="61" t="s">
        <v>53</v>
      </c>
      <c r="F532" s="63" t="s">
        <v>122</v>
      </c>
      <c r="G532" s="56">
        <f t="shared" si="40"/>
        <v>16.0697674418605</v>
      </c>
      <c r="H532" s="62">
        <f t="shared" si="41"/>
        <v>192.789</v>
      </c>
      <c r="I532" s="28">
        <v>214.21</v>
      </c>
      <c r="J532" s="62">
        <f t="shared" si="42"/>
        <v>224.9205</v>
      </c>
      <c r="K532" s="62">
        <f t="shared" si="43"/>
        <v>181.22166</v>
      </c>
      <c r="L532" s="62">
        <f t="shared" si="44"/>
        <v>201.3574</v>
      </c>
    </row>
    <row r="533" ht="15" spans="1:12">
      <c r="A533" s="48" t="s">
        <v>196</v>
      </c>
      <c r="B533" s="54" t="s">
        <v>151</v>
      </c>
      <c r="C533" s="50" t="s">
        <v>27</v>
      </c>
      <c r="D533" s="51" t="s">
        <v>28</v>
      </c>
      <c r="E533" s="50" t="s">
        <v>174</v>
      </c>
      <c r="F533" s="55" t="s">
        <v>194</v>
      </c>
      <c r="G533" s="56">
        <f t="shared" si="40"/>
        <v>12.4523630907727</v>
      </c>
      <c r="H533" s="57">
        <f t="shared" si="41"/>
        <v>149.391</v>
      </c>
      <c r="I533" s="28">
        <v>165.99</v>
      </c>
      <c r="J533" s="57">
        <f t="shared" si="42"/>
        <v>174.2895</v>
      </c>
      <c r="K533" s="57">
        <f t="shared" si="43"/>
        <v>140.42754</v>
      </c>
      <c r="L533" s="57">
        <f t="shared" si="44"/>
        <v>156.0306</v>
      </c>
    </row>
    <row r="534" ht="15" spans="1:12">
      <c r="A534" s="48" t="s">
        <v>196</v>
      </c>
      <c r="B534" s="54" t="s">
        <v>151</v>
      </c>
      <c r="C534" s="50" t="s">
        <v>60</v>
      </c>
      <c r="D534" s="51" t="s">
        <v>28</v>
      </c>
      <c r="E534" s="50" t="s">
        <v>174</v>
      </c>
      <c r="F534" s="55" t="s">
        <v>194</v>
      </c>
      <c r="G534" s="56">
        <f t="shared" si="40"/>
        <v>14.3165791447862</v>
      </c>
      <c r="H534" s="57">
        <f t="shared" si="41"/>
        <v>171.756</v>
      </c>
      <c r="I534" s="28">
        <v>190.84</v>
      </c>
      <c r="J534" s="57">
        <f t="shared" si="42"/>
        <v>200.382</v>
      </c>
      <c r="K534" s="57">
        <f t="shared" si="43"/>
        <v>161.45064</v>
      </c>
      <c r="L534" s="57">
        <f t="shared" si="44"/>
        <v>179.3896</v>
      </c>
    </row>
    <row r="535" ht="15" spans="1:12">
      <c r="A535" s="48" t="s">
        <v>196</v>
      </c>
      <c r="B535" s="66" t="s">
        <v>151</v>
      </c>
      <c r="C535" s="67" t="s">
        <v>47</v>
      </c>
      <c r="D535" s="68" t="s">
        <v>28</v>
      </c>
      <c r="E535" s="67" t="s">
        <v>174</v>
      </c>
      <c r="F535" s="69" t="s">
        <v>122</v>
      </c>
      <c r="G535" s="56">
        <f t="shared" si="40"/>
        <v>15.5581395348837</v>
      </c>
      <c r="H535" s="57">
        <f t="shared" si="41"/>
        <v>186.651</v>
      </c>
      <c r="I535" s="28">
        <v>207.39</v>
      </c>
      <c r="J535" s="57">
        <f t="shared" si="42"/>
        <v>217.7595</v>
      </c>
      <c r="K535" s="57">
        <f t="shared" si="43"/>
        <v>175.45194</v>
      </c>
      <c r="L535" s="57">
        <f t="shared" si="44"/>
        <v>194.9466</v>
      </c>
    </row>
    <row r="536" ht="15" spans="1:12">
      <c r="A536" s="48" t="s">
        <v>196</v>
      </c>
      <c r="B536" s="54" t="s">
        <v>151</v>
      </c>
      <c r="C536" s="50" t="s">
        <v>47</v>
      </c>
      <c r="D536" s="51" t="s">
        <v>28</v>
      </c>
      <c r="E536" s="50" t="s">
        <v>174</v>
      </c>
      <c r="F536" s="55" t="s">
        <v>194</v>
      </c>
      <c r="G536" s="56">
        <f t="shared" si="40"/>
        <v>16.145536384096</v>
      </c>
      <c r="H536" s="57">
        <f t="shared" si="41"/>
        <v>193.698</v>
      </c>
      <c r="I536" s="28">
        <v>215.22</v>
      </c>
      <c r="J536" s="57">
        <f t="shared" si="42"/>
        <v>225.981</v>
      </c>
      <c r="K536" s="57">
        <f t="shared" si="43"/>
        <v>182.07612</v>
      </c>
      <c r="L536" s="57">
        <f t="shared" si="44"/>
        <v>202.3068</v>
      </c>
    </row>
    <row r="537" ht="15" spans="1:12">
      <c r="A537" s="48" t="s">
        <v>196</v>
      </c>
      <c r="B537" s="54" t="s">
        <v>151</v>
      </c>
      <c r="C537" s="50" t="s">
        <v>47</v>
      </c>
      <c r="D537" s="51" t="s">
        <v>28</v>
      </c>
      <c r="E537" s="50" t="s">
        <v>200</v>
      </c>
      <c r="F537" s="55" t="s">
        <v>122</v>
      </c>
      <c r="G537" s="56">
        <f t="shared" si="40"/>
        <v>18.7066766691673</v>
      </c>
      <c r="H537" s="57">
        <f t="shared" si="41"/>
        <v>224.424</v>
      </c>
      <c r="I537" s="28">
        <v>249.36</v>
      </c>
      <c r="J537" s="57">
        <f t="shared" si="42"/>
        <v>261.828</v>
      </c>
      <c r="K537" s="57">
        <f t="shared" si="43"/>
        <v>210.95856</v>
      </c>
      <c r="L537" s="57">
        <f t="shared" si="44"/>
        <v>234.3984</v>
      </c>
    </row>
    <row r="538" ht="15" spans="1:12">
      <c r="A538" s="48" t="s">
        <v>196</v>
      </c>
      <c r="B538" s="54" t="s">
        <v>151</v>
      </c>
      <c r="C538" s="50" t="s">
        <v>47</v>
      </c>
      <c r="D538" s="51" t="s">
        <v>28</v>
      </c>
      <c r="E538" s="50" t="s">
        <v>200</v>
      </c>
      <c r="F538" s="55" t="s">
        <v>194</v>
      </c>
      <c r="G538" s="56">
        <f t="shared" si="40"/>
        <v>20.5153788447112</v>
      </c>
      <c r="H538" s="57">
        <f t="shared" si="41"/>
        <v>246.123</v>
      </c>
      <c r="I538" s="28">
        <v>273.47</v>
      </c>
      <c r="J538" s="57">
        <f t="shared" si="42"/>
        <v>287.1435</v>
      </c>
      <c r="K538" s="57">
        <f t="shared" si="43"/>
        <v>231.35562</v>
      </c>
      <c r="L538" s="57">
        <f t="shared" si="44"/>
        <v>257.0618</v>
      </c>
    </row>
    <row r="539" ht="15" spans="1:12">
      <c r="A539" s="48" t="s">
        <v>196</v>
      </c>
      <c r="B539" s="54" t="s">
        <v>151</v>
      </c>
      <c r="C539" s="50" t="s">
        <v>127</v>
      </c>
      <c r="D539" s="51" t="s">
        <v>28</v>
      </c>
      <c r="E539" s="50" t="s">
        <v>198</v>
      </c>
      <c r="F539" s="55" t="s">
        <v>194</v>
      </c>
      <c r="G539" s="56">
        <f t="shared" si="40"/>
        <v>22.3480870217554</v>
      </c>
      <c r="H539" s="57">
        <f t="shared" si="41"/>
        <v>268.11</v>
      </c>
      <c r="I539" s="28">
        <v>297.9</v>
      </c>
      <c r="J539" s="57">
        <f t="shared" si="42"/>
        <v>312.795</v>
      </c>
      <c r="K539" s="57">
        <f t="shared" si="43"/>
        <v>252.0234</v>
      </c>
      <c r="L539" s="57">
        <f t="shared" si="44"/>
        <v>280.026</v>
      </c>
    </row>
    <row r="540" ht="15" spans="1:12">
      <c r="A540" s="48" t="s">
        <v>196</v>
      </c>
      <c r="B540" s="54" t="s">
        <v>151</v>
      </c>
      <c r="C540" s="50" t="s">
        <v>61</v>
      </c>
      <c r="D540" s="51" t="s">
        <v>28</v>
      </c>
      <c r="E540" s="50" t="s">
        <v>53</v>
      </c>
      <c r="F540" s="55" t="s">
        <v>194</v>
      </c>
      <c r="G540" s="56">
        <f t="shared" si="40"/>
        <v>25.6151537884471</v>
      </c>
      <c r="H540" s="57">
        <f t="shared" si="41"/>
        <v>307.305</v>
      </c>
      <c r="I540" s="28">
        <v>341.45</v>
      </c>
      <c r="J540" s="57">
        <f t="shared" si="42"/>
        <v>358.5225</v>
      </c>
      <c r="K540" s="57">
        <f t="shared" si="43"/>
        <v>288.8667</v>
      </c>
      <c r="L540" s="57">
        <f t="shared" si="44"/>
        <v>320.963</v>
      </c>
    </row>
    <row r="541" ht="15" spans="1:12">
      <c r="A541" s="59" t="s">
        <v>196</v>
      </c>
      <c r="B541" s="60" t="s">
        <v>151</v>
      </c>
      <c r="C541" s="61" t="s">
        <v>127</v>
      </c>
      <c r="D541" s="58" t="s">
        <v>28</v>
      </c>
      <c r="E541" s="61" t="s">
        <v>198</v>
      </c>
      <c r="F541" s="63" t="s">
        <v>201</v>
      </c>
      <c r="G541" s="56">
        <f t="shared" si="40"/>
        <v>21.0712678169542</v>
      </c>
      <c r="H541" s="62">
        <f t="shared" si="41"/>
        <v>252.792</v>
      </c>
      <c r="I541" s="28">
        <v>280.88</v>
      </c>
      <c r="J541" s="62">
        <f t="shared" si="42"/>
        <v>294.924</v>
      </c>
      <c r="K541" s="62">
        <f t="shared" si="43"/>
        <v>237.62448</v>
      </c>
      <c r="L541" s="62">
        <f t="shared" si="44"/>
        <v>264.0272</v>
      </c>
    </row>
    <row r="542" ht="15" spans="1:12">
      <c r="A542" s="59" t="s">
        <v>196</v>
      </c>
      <c r="B542" s="66" t="s">
        <v>151</v>
      </c>
      <c r="C542" s="67" t="s">
        <v>61</v>
      </c>
      <c r="D542" s="68" t="s">
        <v>28</v>
      </c>
      <c r="E542" s="67" t="s">
        <v>53</v>
      </c>
      <c r="F542" s="69" t="s">
        <v>201</v>
      </c>
      <c r="G542" s="56">
        <f t="shared" si="40"/>
        <v>25.9362340585146</v>
      </c>
      <c r="H542" s="62">
        <f t="shared" si="41"/>
        <v>311.157</v>
      </c>
      <c r="I542" s="28">
        <v>345.73</v>
      </c>
      <c r="J542" s="62">
        <f t="shared" si="42"/>
        <v>363.0165</v>
      </c>
      <c r="K542" s="62">
        <f t="shared" si="43"/>
        <v>292.48758</v>
      </c>
      <c r="L542" s="62">
        <f t="shared" si="44"/>
        <v>324.9862</v>
      </c>
    </row>
    <row r="543" ht="15" spans="1:12">
      <c r="A543" s="59" t="s">
        <v>196</v>
      </c>
      <c r="B543" s="60" t="s">
        <v>63</v>
      </c>
      <c r="C543" s="61" t="s">
        <v>27</v>
      </c>
      <c r="D543" s="58" t="s">
        <v>28</v>
      </c>
      <c r="E543" s="61" t="s">
        <v>174</v>
      </c>
      <c r="F543" s="63" t="s">
        <v>194</v>
      </c>
      <c r="G543" s="56">
        <f t="shared" si="40"/>
        <v>12.4531132783196</v>
      </c>
      <c r="H543" s="57">
        <f t="shared" si="41"/>
        <v>149.4</v>
      </c>
      <c r="I543" s="28">
        <v>166</v>
      </c>
      <c r="J543" s="57">
        <f t="shared" si="42"/>
        <v>174.3</v>
      </c>
      <c r="K543" s="57">
        <f t="shared" si="43"/>
        <v>140.436</v>
      </c>
      <c r="L543" s="57">
        <f t="shared" si="44"/>
        <v>156.04</v>
      </c>
    </row>
    <row r="544" ht="15" spans="1:12">
      <c r="A544" s="59" t="s">
        <v>196</v>
      </c>
      <c r="B544" s="60" t="s">
        <v>63</v>
      </c>
      <c r="C544" s="61" t="s">
        <v>202</v>
      </c>
      <c r="D544" s="58" t="s">
        <v>28</v>
      </c>
      <c r="E544" s="61" t="s">
        <v>198</v>
      </c>
      <c r="F544" s="63" t="s">
        <v>194</v>
      </c>
      <c r="G544" s="56">
        <f t="shared" si="40"/>
        <v>19.8799699924981</v>
      </c>
      <c r="H544" s="57">
        <f t="shared" si="41"/>
        <v>238.5</v>
      </c>
      <c r="I544" s="28">
        <v>265</v>
      </c>
      <c r="J544" s="57">
        <f t="shared" si="42"/>
        <v>278.25</v>
      </c>
      <c r="K544" s="57">
        <f t="shared" si="43"/>
        <v>224.19</v>
      </c>
      <c r="L544" s="57">
        <f t="shared" si="44"/>
        <v>249.1</v>
      </c>
    </row>
    <row r="545" ht="15" spans="1:12">
      <c r="A545" s="48" t="s">
        <v>196</v>
      </c>
      <c r="B545" s="54" t="s">
        <v>160</v>
      </c>
      <c r="C545" s="50" t="s">
        <v>27</v>
      </c>
      <c r="D545" s="51" t="s">
        <v>28</v>
      </c>
      <c r="E545" s="50" t="s">
        <v>174</v>
      </c>
      <c r="F545" s="55" t="s">
        <v>176</v>
      </c>
      <c r="G545" s="56">
        <f t="shared" si="40"/>
        <v>12.7786946736684</v>
      </c>
      <c r="H545" s="57">
        <f t="shared" si="41"/>
        <v>153.306</v>
      </c>
      <c r="I545" s="28">
        <v>170.34</v>
      </c>
      <c r="J545" s="57">
        <f t="shared" si="42"/>
        <v>178.857</v>
      </c>
      <c r="K545" s="57">
        <f t="shared" si="43"/>
        <v>144.10764</v>
      </c>
      <c r="L545" s="57">
        <f t="shared" si="44"/>
        <v>160.1196</v>
      </c>
    </row>
    <row r="546" ht="15" spans="1:12">
      <c r="A546" s="48" t="s">
        <v>196</v>
      </c>
      <c r="B546" s="54" t="s">
        <v>160</v>
      </c>
      <c r="C546" s="50" t="s">
        <v>60</v>
      </c>
      <c r="D546" s="51" t="s">
        <v>28</v>
      </c>
      <c r="E546" s="50" t="s">
        <v>174</v>
      </c>
      <c r="F546" s="55" t="s">
        <v>176</v>
      </c>
      <c r="G546" s="56">
        <f t="shared" si="40"/>
        <v>14.5198799699925</v>
      </c>
      <c r="H546" s="57">
        <f t="shared" si="41"/>
        <v>174.195</v>
      </c>
      <c r="I546" s="28">
        <v>193.55</v>
      </c>
      <c r="J546" s="57">
        <f t="shared" si="42"/>
        <v>203.2275</v>
      </c>
      <c r="K546" s="57">
        <f t="shared" si="43"/>
        <v>163.7433</v>
      </c>
      <c r="L546" s="57">
        <f t="shared" si="44"/>
        <v>181.937</v>
      </c>
    </row>
    <row r="547" ht="15" spans="1:12">
      <c r="A547" s="59" t="s">
        <v>196</v>
      </c>
      <c r="B547" s="60" t="s">
        <v>160</v>
      </c>
      <c r="C547" s="61" t="s">
        <v>47</v>
      </c>
      <c r="D547" s="58" t="s">
        <v>28</v>
      </c>
      <c r="E547" s="61" t="s">
        <v>53</v>
      </c>
      <c r="F547" s="63" t="s">
        <v>59</v>
      </c>
      <c r="G547" s="56">
        <f t="shared" si="40"/>
        <v>15.6039009752438</v>
      </c>
      <c r="H547" s="62">
        <f t="shared" si="41"/>
        <v>187.2</v>
      </c>
      <c r="I547" s="28">
        <v>208</v>
      </c>
      <c r="J547" s="62">
        <f t="shared" si="42"/>
        <v>218.4</v>
      </c>
      <c r="K547" s="62">
        <f t="shared" si="43"/>
        <v>175.968</v>
      </c>
      <c r="L547" s="62">
        <f t="shared" si="44"/>
        <v>195.52</v>
      </c>
    </row>
    <row r="548" ht="15" spans="1:12">
      <c r="A548" s="48" t="s">
        <v>196</v>
      </c>
      <c r="B548" s="54" t="s">
        <v>160</v>
      </c>
      <c r="C548" s="50" t="s">
        <v>47</v>
      </c>
      <c r="D548" s="51" t="s">
        <v>28</v>
      </c>
      <c r="E548" s="50" t="s">
        <v>174</v>
      </c>
      <c r="F548" s="55" t="s">
        <v>176</v>
      </c>
      <c r="G548" s="56">
        <f t="shared" si="40"/>
        <v>16.8657164291073</v>
      </c>
      <c r="H548" s="57">
        <f t="shared" si="41"/>
        <v>202.338</v>
      </c>
      <c r="I548" s="28">
        <v>224.82</v>
      </c>
      <c r="J548" s="57">
        <f t="shared" si="42"/>
        <v>236.061</v>
      </c>
      <c r="K548" s="57">
        <f t="shared" si="43"/>
        <v>190.19772</v>
      </c>
      <c r="L548" s="57">
        <f t="shared" si="44"/>
        <v>211.3308</v>
      </c>
    </row>
    <row r="549" ht="15" spans="1:12">
      <c r="A549" s="59" t="s">
        <v>196</v>
      </c>
      <c r="B549" s="60" t="s">
        <v>160</v>
      </c>
      <c r="C549" s="61" t="s">
        <v>47</v>
      </c>
      <c r="D549" s="58" t="s">
        <v>28</v>
      </c>
      <c r="E549" s="61" t="s">
        <v>174</v>
      </c>
      <c r="F549" s="63" t="s">
        <v>59</v>
      </c>
      <c r="G549" s="56">
        <f t="shared" si="40"/>
        <v>16.76144036009</v>
      </c>
      <c r="H549" s="62">
        <f t="shared" si="41"/>
        <v>201.087</v>
      </c>
      <c r="I549" s="28">
        <v>223.43</v>
      </c>
      <c r="J549" s="62">
        <f t="shared" si="42"/>
        <v>234.6015</v>
      </c>
      <c r="K549" s="62">
        <f t="shared" si="43"/>
        <v>189.02178</v>
      </c>
      <c r="L549" s="62">
        <f t="shared" si="44"/>
        <v>210.0242</v>
      </c>
    </row>
    <row r="550" ht="15" spans="1:12">
      <c r="A550" s="59" t="s">
        <v>196</v>
      </c>
      <c r="B550" s="60" t="s">
        <v>160</v>
      </c>
      <c r="C550" s="61" t="s">
        <v>61</v>
      </c>
      <c r="D550" s="58" t="s">
        <v>28</v>
      </c>
      <c r="E550" s="61" t="s">
        <v>53</v>
      </c>
      <c r="F550" s="63" t="s">
        <v>59</v>
      </c>
      <c r="G550" s="56">
        <f t="shared" si="40"/>
        <v>25.9564891222806</v>
      </c>
      <c r="H550" s="62">
        <f t="shared" si="41"/>
        <v>311.4</v>
      </c>
      <c r="I550" s="28">
        <v>346</v>
      </c>
      <c r="J550" s="62">
        <f t="shared" si="42"/>
        <v>363.3</v>
      </c>
      <c r="K550" s="62">
        <f t="shared" si="43"/>
        <v>292.716</v>
      </c>
      <c r="L550" s="62">
        <f t="shared" si="44"/>
        <v>325.24</v>
      </c>
    </row>
    <row r="551" ht="15" spans="1:12">
      <c r="A551" s="48" t="s">
        <v>196</v>
      </c>
      <c r="B551" s="54" t="s">
        <v>152</v>
      </c>
      <c r="C551" s="50" t="s">
        <v>27</v>
      </c>
      <c r="D551" s="51" t="s">
        <v>28</v>
      </c>
      <c r="E551" s="50" t="s">
        <v>29</v>
      </c>
      <c r="F551" s="55" t="s">
        <v>176</v>
      </c>
      <c r="G551" s="56">
        <f t="shared" si="40"/>
        <v>11.8867216804201</v>
      </c>
      <c r="H551" s="57">
        <f t="shared" si="41"/>
        <v>142.605</v>
      </c>
      <c r="I551" s="28">
        <v>158.45</v>
      </c>
      <c r="J551" s="57">
        <f t="shared" si="42"/>
        <v>166.3725</v>
      </c>
      <c r="K551" s="57">
        <f t="shared" si="43"/>
        <v>134.0487</v>
      </c>
      <c r="L551" s="57">
        <f t="shared" si="44"/>
        <v>148.943</v>
      </c>
    </row>
    <row r="552" ht="15" spans="1:12">
      <c r="A552" s="48" t="s">
        <v>196</v>
      </c>
      <c r="B552" s="54" t="s">
        <v>152</v>
      </c>
      <c r="C552" s="50" t="s">
        <v>61</v>
      </c>
      <c r="D552" s="51" t="s">
        <v>28</v>
      </c>
      <c r="E552" s="50" t="s">
        <v>53</v>
      </c>
      <c r="F552" s="55" t="s">
        <v>65</v>
      </c>
      <c r="G552" s="56">
        <f t="shared" si="40"/>
        <v>26.5791447861966</v>
      </c>
      <c r="H552" s="57">
        <f t="shared" si="41"/>
        <v>318.87</v>
      </c>
      <c r="I552" s="28">
        <v>354.3</v>
      </c>
      <c r="J552" s="57">
        <f t="shared" si="42"/>
        <v>372.015</v>
      </c>
      <c r="K552" s="57">
        <f t="shared" si="43"/>
        <v>299.7378</v>
      </c>
      <c r="L552" s="57">
        <f t="shared" si="44"/>
        <v>333.042</v>
      </c>
    </row>
    <row r="553" ht="15" spans="1:12">
      <c r="A553" s="48" t="s">
        <v>196</v>
      </c>
      <c r="B553" s="54" t="s">
        <v>203</v>
      </c>
      <c r="C553" s="50" t="s">
        <v>47</v>
      </c>
      <c r="D553" s="51" t="s">
        <v>28</v>
      </c>
      <c r="E553" s="50" t="s">
        <v>174</v>
      </c>
      <c r="F553" s="55" t="s">
        <v>181</v>
      </c>
      <c r="G553" s="56">
        <f t="shared" si="40"/>
        <v>19.6549137284321</v>
      </c>
      <c r="H553" s="57">
        <f t="shared" si="41"/>
        <v>235.8</v>
      </c>
      <c r="I553" s="28">
        <v>262</v>
      </c>
      <c r="J553" s="57">
        <f t="shared" si="42"/>
        <v>275.1</v>
      </c>
      <c r="K553" s="57">
        <f t="shared" si="43"/>
        <v>221.652</v>
      </c>
      <c r="L553" s="57">
        <f t="shared" si="44"/>
        <v>246.28</v>
      </c>
    </row>
    <row r="554" ht="15" spans="1:12">
      <c r="A554" s="48" t="s">
        <v>196</v>
      </c>
      <c r="B554" s="60" t="s">
        <v>32</v>
      </c>
      <c r="C554" s="61" t="s">
        <v>47</v>
      </c>
      <c r="D554" s="58" t="s">
        <v>28</v>
      </c>
      <c r="E554" s="50" t="s">
        <v>53</v>
      </c>
      <c r="F554" s="55" t="s">
        <v>34</v>
      </c>
      <c r="G554" s="56">
        <f t="shared" si="40"/>
        <v>19.9549887471868</v>
      </c>
      <c r="H554" s="57">
        <f t="shared" si="41"/>
        <v>239.4</v>
      </c>
      <c r="I554" s="28">
        <v>266</v>
      </c>
      <c r="J554" s="57">
        <f t="shared" si="42"/>
        <v>279.3</v>
      </c>
      <c r="K554" s="57">
        <f t="shared" si="43"/>
        <v>225.036</v>
      </c>
      <c r="L554" s="57">
        <f t="shared" si="44"/>
        <v>250.04</v>
      </c>
    </row>
    <row r="555" ht="15" spans="1:12">
      <c r="A555" s="48" t="s">
        <v>196</v>
      </c>
      <c r="B555" s="54" t="s">
        <v>162</v>
      </c>
      <c r="C555" s="50" t="s">
        <v>47</v>
      </c>
      <c r="D555" s="51" t="s">
        <v>28</v>
      </c>
      <c r="E555" s="50" t="s">
        <v>53</v>
      </c>
      <c r="F555" s="55" t="s">
        <v>34</v>
      </c>
      <c r="G555" s="56">
        <f t="shared" si="40"/>
        <v>20.0120030007502</v>
      </c>
      <c r="H555" s="57">
        <f t="shared" si="41"/>
        <v>240.084</v>
      </c>
      <c r="I555" s="28">
        <v>266.76</v>
      </c>
      <c r="J555" s="57">
        <f t="shared" si="42"/>
        <v>280.098</v>
      </c>
      <c r="K555" s="57">
        <f t="shared" si="43"/>
        <v>225.67896</v>
      </c>
      <c r="L555" s="57">
        <f t="shared" si="44"/>
        <v>250.7544</v>
      </c>
    </row>
    <row r="556" ht="15" spans="1:12">
      <c r="A556" s="48" t="s">
        <v>196</v>
      </c>
      <c r="B556" s="54" t="s">
        <v>162</v>
      </c>
      <c r="C556" s="50" t="s">
        <v>47</v>
      </c>
      <c r="D556" s="51" t="s">
        <v>28</v>
      </c>
      <c r="E556" s="50" t="s">
        <v>174</v>
      </c>
      <c r="F556" s="55" t="s">
        <v>34</v>
      </c>
      <c r="G556" s="56">
        <f t="shared" si="40"/>
        <v>20.1800450112528</v>
      </c>
      <c r="H556" s="57">
        <f t="shared" si="41"/>
        <v>242.1</v>
      </c>
      <c r="I556" s="28">
        <v>269</v>
      </c>
      <c r="J556" s="57">
        <f t="shared" si="42"/>
        <v>282.45</v>
      </c>
      <c r="K556" s="57">
        <f t="shared" si="43"/>
        <v>227.574</v>
      </c>
      <c r="L556" s="57">
        <f t="shared" si="44"/>
        <v>252.86</v>
      </c>
    </row>
    <row r="557" ht="15" spans="1:12">
      <c r="A557" s="48" t="s">
        <v>196</v>
      </c>
      <c r="B557" s="54" t="s">
        <v>162</v>
      </c>
      <c r="C557" s="50" t="s">
        <v>61</v>
      </c>
      <c r="D557" s="51" t="s">
        <v>28</v>
      </c>
      <c r="E557" s="50" t="s">
        <v>53</v>
      </c>
      <c r="F557" s="55" t="s">
        <v>34</v>
      </c>
      <c r="G557" s="56">
        <f t="shared" si="40"/>
        <v>29.7074268567142</v>
      </c>
      <c r="H557" s="57">
        <f t="shared" si="41"/>
        <v>356.4</v>
      </c>
      <c r="I557" s="28">
        <v>396</v>
      </c>
      <c r="J557" s="57">
        <f t="shared" si="42"/>
        <v>415.8</v>
      </c>
      <c r="K557" s="57">
        <f t="shared" si="43"/>
        <v>335.016</v>
      </c>
      <c r="L557" s="57">
        <f t="shared" si="44"/>
        <v>372.24</v>
      </c>
    </row>
    <row r="558" ht="15" spans="1:12">
      <c r="A558" s="59" t="s">
        <v>196</v>
      </c>
      <c r="B558" s="60" t="s">
        <v>204</v>
      </c>
      <c r="C558" s="61" t="s">
        <v>27</v>
      </c>
      <c r="D558" s="58" t="s">
        <v>41</v>
      </c>
      <c r="E558" s="61" t="s">
        <v>174</v>
      </c>
      <c r="F558" s="63" t="s">
        <v>183</v>
      </c>
      <c r="G558" s="56">
        <f t="shared" si="40"/>
        <v>30.7576894223556</v>
      </c>
      <c r="H558" s="62">
        <f t="shared" si="41"/>
        <v>369</v>
      </c>
      <c r="I558" s="28">
        <v>410</v>
      </c>
      <c r="J558" s="62">
        <f t="shared" si="42"/>
        <v>430.5</v>
      </c>
      <c r="K558" s="62">
        <f t="shared" si="43"/>
        <v>346.86</v>
      </c>
      <c r="L558" s="62">
        <f t="shared" si="44"/>
        <v>385.4</v>
      </c>
    </row>
    <row r="559" ht="15" spans="1:12">
      <c r="A559" s="59" t="s">
        <v>196</v>
      </c>
      <c r="B559" s="60" t="s">
        <v>205</v>
      </c>
      <c r="C559" s="61" t="s">
        <v>27</v>
      </c>
      <c r="D559" s="58" t="s">
        <v>41</v>
      </c>
      <c r="E559" s="61" t="s">
        <v>174</v>
      </c>
      <c r="F559" s="63" t="s">
        <v>206</v>
      </c>
      <c r="G559" s="56">
        <f t="shared" si="40"/>
        <v>32.60240060015</v>
      </c>
      <c r="H559" s="62">
        <f t="shared" si="41"/>
        <v>391.131</v>
      </c>
      <c r="I559" s="28">
        <v>434.59</v>
      </c>
      <c r="J559" s="62">
        <f t="shared" si="42"/>
        <v>456.3195</v>
      </c>
      <c r="K559" s="62">
        <f t="shared" si="43"/>
        <v>367.66314</v>
      </c>
      <c r="L559" s="62">
        <f t="shared" si="44"/>
        <v>408.5146</v>
      </c>
    </row>
    <row r="560" ht="15" spans="1:12">
      <c r="A560" s="48" t="s">
        <v>196</v>
      </c>
      <c r="B560" s="60" t="s">
        <v>43</v>
      </c>
      <c r="C560" s="61" t="s">
        <v>27</v>
      </c>
      <c r="D560" s="51" t="s">
        <v>41</v>
      </c>
      <c r="E560" s="50" t="s">
        <v>174</v>
      </c>
      <c r="F560" s="55" t="s">
        <v>171</v>
      </c>
      <c r="G560" s="56">
        <f t="shared" si="40"/>
        <v>37.9827456864216</v>
      </c>
      <c r="H560" s="57">
        <f t="shared" si="41"/>
        <v>455.679</v>
      </c>
      <c r="I560" s="28">
        <v>506.31</v>
      </c>
      <c r="J560" s="57">
        <f t="shared" si="42"/>
        <v>531.6255</v>
      </c>
      <c r="K560" s="57">
        <f t="shared" si="43"/>
        <v>428.33826</v>
      </c>
      <c r="L560" s="57">
        <f t="shared" si="44"/>
        <v>475.9314</v>
      </c>
    </row>
    <row r="561" ht="15" spans="1:12">
      <c r="A561" s="48" t="s">
        <v>196</v>
      </c>
      <c r="B561" s="60" t="s">
        <v>207</v>
      </c>
      <c r="C561" s="61" t="s">
        <v>27</v>
      </c>
      <c r="D561" s="58" t="s">
        <v>28</v>
      </c>
      <c r="E561" s="50" t="s">
        <v>53</v>
      </c>
      <c r="F561" s="55" t="s">
        <v>171</v>
      </c>
      <c r="G561" s="56">
        <f t="shared" si="40"/>
        <v>38.8597149287322</v>
      </c>
      <c r="H561" s="57">
        <f t="shared" si="41"/>
        <v>466.2</v>
      </c>
      <c r="I561" s="28">
        <v>518</v>
      </c>
      <c r="J561" s="57">
        <f t="shared" si="42"/>
        <v>543.9</v>
      </c>
      <c r="K561" s="57">
        <f t="shared" si="43"/>
        <v>438.228</v>
      </c>
      <c r="L561" s="57">
        <f t="shared" si="44"/>
        <v>486.92</v>
      </c>
    </row>
    <row r="562" ht="15" spans="1:12">
      <c r="A562" s="48" t="s">
        <v>196</v>
      </c>
      <c r="B562" s="54" t="s">
        <v>93</v>
      </c>
      <c r="C562" s="50" t="s">
        <v>47</v>
      </c>
      <c r="D562" s="51" t="s">
        <v>41</v>
      </c>
      <c r="E562" s="50" t="s">
        <v>174</v>
      </c>
      <c r="F562" s="55" t="s">
        <v>171</v>
      </c>
      <c r="G562" s="56">
        <f t="shared" si="40"/>
        <v>42.2700675168792</v>
      </c>
      <c r="H562" s="57">
        <f t="shared" si="41"/>
        <v>507.114</v>
      </c>
      <c r="I562" s="28">
        <v>563.46</v>
      </c>
      <c r="J562" s="57">
        <f t="shared" si="42"/>
        <v>591.633</v>
      </c>
      <c r="K562" s="57">
        <f t="shared" si="43"/>
        <v>476.68716</v>
      </c>
      <c r="L562" s="57">
        <f t="shared" si="44"/>
        <v>529.6524</v>
      </c>
    </row>
    <row r="563" ht="15" spans="1:12">
      <c r="A563" s="48" t="s">
        <v>196</v>
      </c>
      <c r="B563" s="54" t="s">
        <v>26</v>
      </c>
      <c r="C563" s="50" t="s">
        <v>47</v>
      </c>
      <c r="D563" s="51" t="s">
        <v>41</v>
      </c>
      <c r="E563" s="50" t="s">
        <v>53</v>
      </c>
      <c r="F563" s="55" t="s">
        <v>190</v>
      </c>
      <c r="G563" s="56">
        <f t="shared" si="40"/>
        <v>61.2153038259565</v>
      </c>
      <c r="H563" s="57">
        <f t="shared" si="41"/>
        <v>734.4</v>
      </c>
      <c r="I563" s="28">
        <v>816</v>
      </c>
      <c r="J563" s="57">
        <f t="shared" si="42"/>
        <v>856.8</v>
      </c>
      <c r="K563" s="57">
        <f t="shared" si="43"/>
        <v>690.336</v>
      </c>
      <c r="L563" s="57">
        <f t="shared" si="44"/>
        <v>767.04</v>
      </c>
    </row>
    <row r="564" ht="15" spans="1:12">
      <c r="A564" s="48" t="s">
        <v>208</v>
      </c>
      <c r="B564" s="54" t="s">
        <v>54</v>
      </c>
      <c r="C564" s="50" t="s">
        <v>61</v>
      </c>
      <c r="D564" s="51" t="s">
        <v>28</v>
      </c>
      <c r="E564" s="50" t="s">
        <v>53</v>
      </c>
      <c r="F564" s="55" t="s">
        <v>122</v>
      </c>
      <c r="G564" s="56">
        <f t="shared" si="40"/>
        <v>28.9399849962491</v>
      </c>
      <c r="H564" s="57">
        <f t="shared" si="41"/>
        <v>347.193</v>
      </c>
      <c r="I564" s="28">
        <v>385.77</v>
      </c>
      <c r="J564" s="57">
        <f t="shared" si="42"/>
        <v>405.0585</v>
      </c>
      <c r="K564" s="57">
        <f t="shared" si="43"/>
        <v>326.36142</v>
      </c>
      <c r="L564" s="57">
        <f t="shared" si="44"/>
        <v>362.6238</v>
      </c>
    </row>
    <row r="565" ht="15" spans="1:12">
      <c r="A565" s="48" t="s">
        <v>208</v>
      </c>
      <c r="B565" s="60" t="s">
        <v>58</v>
      </c>
      <c r="C565" s="61" t="s">
        <v>27</v>
      </c>
      <c r="D565" s="58" t="s">
        <v>28</v>
      </c>
      <c r="E565" s="61" t="s">
        <v>175</v>
      </c>
      <c r="F565" s="63" t="s">
        <v>122</v>
      </c>
      <c r="G565" s="56">
        <f t="shared" si="40"/>
        <v>14.6286571642911</v>
      </c>
      <c r="H565" s="57">
        <f t="shared" si="41"/>
        <v>175.5</v>
      </c>
      <c r="I565" s="28">
        <v>195</v>
      </c>
      <c r="J565" s="57">
        <f t="shared" si="42"/>
        <v>204.75</v>
      </c>
      <c r="K565" s="57">
        <f t="shared" si="43"/>
        <v>164.97</v>
      </c>
      <c r="L565" s="57">
        <f t="shared" si="44"/>
        <v>183.3</v>
      </c>
    </row>
    <row r="566" ht="15" spans="1:12">
      <c r="A566" s="48" t="s">
        <v>208</v>
      </c>
      <c r="B566" s="54" t="s">
        <v>151</v>
      </c>
      <c r="C566" s="50" t="s">
        <v>47</v>
      </c>
      <c r="D566" s="51" t="s">
        <v>28</v>
      </c>
      <c r="E566" s="50" t="s">
        <v>174</v>
      </c>
      <c r="F566" s="55" t="s">
        <v>122</v>
      </c>
      <c r="G566" s="56">
        <f t="shared" si="40"/>
        <v>20.1170292573143</v>
      </c>
      <c r="H566" s="57">
        <f t="shared" si="41"/>
        <v>241.344</v>
      </c>
      <c r="I566" s="28">
        <v>268.16</v>
      </c>
      <c r="J566" s="57">
        <f t="shared" si="42"/>
        <v>281.568</v>
      </c>
      <c r="K566" s="57">
        <f t="shared" si="43"/>
        <v>226.86336</v>
      </c>
      <c r="L566" s="57">
        <f t="shared" si="44"/>
        <v>252.0704</v>
      </c>
    </row>
    <row r="567" ht="15" spans="1:12">
      <c r="A567" s="48" t="s">
        <v>208</v>
      </c>
      <c r="B567" s="60" t="s">
        <v>63</v>
      </c>
      <c r="C567" s="61" t="s">
        <v>127</v>
      </c>
      <c r="D567" s="58" t="s">
        <v>28</v>
      </c>
      <c r="E567" s="61" t="s">
        <v>53</v>
      </c>
      <c r="F567" s="63" t="s">
        <v>201</v>
      </c>
      <c r="G567" s="56">
        <f t="shared" si="40"/>
        <v>34.6586646661665</v>
      </c>
      <c r="H567" s="57">
        <f t="shared" si="41"/>
        <v>415.8</v>
      </c>
      <c r="I567" s="28">
        <v>462</v>
      </c>
      <c r="J567" s="57">
        <f t="shared" si="42"/>
        <v>485.1</v>
      </c>
      <c r="K567" s="57">
        <f t="shared" si="43"/>
        <v>390.852</v>
      </c>
      <c r="L567" s="57">
        <f t="shared" si="44"/>
        <v>434.28</v>
      </c>
    </row>
    <row r="568" ht="15" spans="1:12">
      <c r="A568" s="48" t="s">
        <v>208</v>
      </c>
      <c r="B568" s="60" t="s">
        <v>63</v>
      </c>
      <c r="C568" s="61" t="s">
        <v>61</v>
      </c>
      <c r="D568" s="58" t="s">
        <v>28</v>
      </c>
      <c r="E568" s="61" t="s">
        <v>53</v>
      </c>
      <c r="F568" s="63" t="s">
        <v>201</v>
      </c>
      <c r="G568" s="56">
        <f t="shared" si="40"/>
        <v>41.2603150787697</v>
      </c>
      <c r="H568" s="57">
        <f t="shared" si="41"/>
        <v>495</v>
      </c>
      <c r="I568" s="28">
        <v>550</v>
      </c>
      <c r="J568" s="57">
        <f t="shared" si="42"/>
        <v>577.5</v>
      </c>
      <c r="K568" s="57">
        <f t="shared" si="43"/>
        <v>465.3</v>
      </c>
      <c r="L568" s="57">
        <f t="shared" si="44"/>
        <v>517</v>
      </c>
    </row>
    <row r="569" ht="15" spans="1:12">
      <c r="A569" s="48" t="s">
        <v>209</v>
      </c>
      <c r="B569" s="54" t="s">
        <v>162</v>
      </c>
      <c r="C569" s="50" t="s">
        <v>60</v>
      </c>
      <c r="D569" s="51" t="s">
        <v>28</v>
      </c>
      <c r="E569" s="67" t="s">
        <v>175</v>
      </c>
      <c r="F569" s="69" t="s">
        <v>34</v>
      </c>
      <c r="G569" s="56">
        <f t="shared" si="40"/>
        <v>24.6061515378845</v>
      </c>
      <c r="H569" s="57">
        <f t="shared" si="41"/>
        <v>295.2</v>
      </c>
      <c r="I569" s="28">
        <v>328</v>
      </c>
      <c r="J569" s="57">
        <f t="shared" si="42"/>
        <v>344.4</v>
      </c>
      <c r="K569" s="57">
        <f t="shared" si="43"/>
        <v>277.488</v>
      </c>
      <c r="L569" s="57">
        <f t="shared" si="44"/>
        <v>308.32</v>
      </c>
    </row>
    <row r="570" ht="15" spans="1:12">
      <c r="A570" s="48" t="s">
        <v>209</v>
      </c>
      <c r="B570" s="54" t="s">
        <v>164</v>
      </c>
      <c r="C570" s="50" t="s">
        <v>61</v>
      </c>
      <c r="D570" s="51" t="s">
        <v>28</v>
      </c>
      <c r="E570" s="67" t="s">
        <v>53</v>
      </c>
      <c r="F570" s="69" t="s">
        <v>163</v>
      </c>
      <c r="G570" s="56">
        <f t="shared" si="40"/>
        <v>43.1357839459865</v>
      </c>
      <c r="H570" s="57">
        <f t="shared" si="41"/>
        <v>517.5</v>
      </c>
      <c r="I570" s="28">
        <v>575</v>
      </c>
      <c r="J570" s="57">
        <f t="shared" si="42"/>
        <v>603.75</v>
      </c>
      <c r="K570" s="57">
        <f t="shared" si="43"/>
        <v>486.45</v>
      </c>
      <c r="L570" s="57">
        <f t="shared" si="44"/>
        <v>540.5</v>
      </c>
    </row>
    <row r="571" ht="15" spans="1:12">
      <c r="A571" s="48" t="s">
        <v>210</v>
      </c>
      <c r="B571" s="54" t="s">
        <v>56</v>
      </c>
      <c r="C571" s="50" t="s">
        <v>27</v>
      </c>
      <c r="D571" s="51" t="s">
        <v>28</v>
      </c>
      <c r="E571" s="50" t="s">
        <v>175</v>
      </c>
      <c r="F571" s="55" t="s">
        <v>122</v>
      </c>
      <c r="G571" s="56">
        <f t="shared" si="40"/>
        <v>16.9482370592648</v>
      </c>
      <c r="H571" s="57">
        <f t="shared" si="41"/>
        <v>203.328</v>
      </c>
      <c r="I571" s="28">
        <v>225.92</v>
      </c>
      <c r="J571" s="57">
        <f t="shared" si="42"/>
        <v>237.216</v>
      </c>
      <c r="K571" s="57">
        <f t="shared" si="43"/>
        <v>191.12832</v>
      </c>
      <c r="L571" s="57">
        <f t="shared" si="44"/>
        <v>212.3648</v>
      </c>
    </row>
    <row r="572" ht="15" spans="1:12">
      <c r="A572" s="48" t="s">
        <v>210</v>
      </c>
      <c r="B572" s="54" t="s">
        <v>56</v>
      </c>
      <c r="C572" s="50" t="s">
        <v>47</v>
      </c>
      <c r="D572" s="51" t="s">
        <v>28</v>
      </c>
      <c r="E572" s="50" t="s">
        <v>175</v>
      </c>
      <c r="F572" s="55" t="s">
        <v>122</v>
      </c>
      <c r="G572" s="56">
        <f t="shared" si="40"/>
        <v>22.6369092273068</v>
      </c>
      <c r="H572" s="57">
        <f t="shared" si="41"/>
        <v>271.575</v>
      </c>
      <c r="I572" s="28">
        <v>301.75</v>
      </c>
      <c r="J572" s="57">
        <f t="shared" si="42"/>
        <v>316.8375</v>
      </c>
      <c r="K572" s="57">
        <f t="shared" si="43"/>
        <v>255.2805</v>
      </c>
      <c r="L572" s="57">
        <f t="shared" si="44"/>
        <v>283.645</v>
      </c>
    </row>
    <row r="573" ht="15" spans="1:12">
      <c r="A573" s="48" t="s">
        <v>210</v>
      </c>
      <c r="B573" s="54" t="s">
        <v>151</v>
      </c>
      <c r="C573" s="50" t="s">
        <v>27</v>
      </c>
      <c r="D573" s="51" t="s">
        <v>28</v>
      </c>
      <c r="E573" s="50" t="s">
        <v>175</v>
      </c>
      <c r="F573" s="55" t="s">
        <v>194</v>
      </c>
      <c r="G573" s="56">
        <f t="shared" si="40"/>
        <v>25.8454613653413</v>
      </c>
      <c r="H573" s="57">
        <f t="shared" si="41"/>
        <v>310.068</v>
      </c>
      <c r="I573" s="28">
        <v>344.52</v>
      </c>
      <c r="J573" s="57">
        <f t="shared" si="42"/>
        <v>361.746</v>
      </c>
      <c r="K573" s="57">
        <f t="shared" si="43"/>
        <v>291.46392</v>
      </c>
      <c r="L573" s="57">
        <f t="shared" si="44"/>
        <v>323.8488</v>
      </c>
    </row>
    <row r="574" ht="15" spans="1:12">
      <c r="A574" s="48" t="s">
        <v>210</v>
      </c>
      <c r="B574" s="54" t="s">
        <v>151</v>
      </c>
      <c r="C574" s="50" t="s">
        <v>61</v>
      </c>
      <c r="D574" s="51" t="s">
        <v>28</v>
      </c>
      <c r="E574" s="50" t="s">
        <v>53</v>
      </c>
      <c r="F574" s="55" t="s">
        <v>194</v>
      </c>
      <c r="G574" s="56">
        <f t="shared" si="40"/>
        <v>41.7981995498875</v>
      </c>
      <c r="H574" s="57">
        <f t="shared" si="41"/>
        <v>501.453</v>
      </c>
      <c r="I574" s="28">
        <v>557.17</v>
      </c>
      <c r="J574" s="57">
        <f t="shared" si="42"/>
        <v>585.0285</v>
      </c>
      <c r="K574" s="57">
        <f t="shared" si="43"/>
        <v>471.36582</v>
      </c>
      <c r="L574" s="57">
        <f t="shared" si="44"/>
        <v>523.7398</v>
      </c>
    </row>
    <row r="575" ht="15" spans="1:12">
      <c r="A575" s="48" t="s">
        <v>210</v>
      </c>
      <c r="B575" s="54" t="s">
        <v>160</v>
      </c>
      <c r="C575" s="50" t="s">
        <v>27</v>
      </c>
      <c r="D575" s="51" t="s">
        <v>28</v>
      </c>
      <c r="E575" s="50" t="s">
        <v>175</v>
      </c>
      <c r="F575" s="55" t="s">
        <v>176</v>
      </c>
      <c r="G575" s="56">
        <f t="shared" si="40"/>
        <v>25.2213053263316</v>
      </c>
      <c r="H575" s="57">
        <f t="shared" si="41"/>
        <v>302.58</v>
      </c>
      <c r="I575" s="28">
        <v>336.2</v>
      </c>
      <c r="J575" s="57">
        <f t="shared" si="42"/>
        <v>353.01</v>
      </c>
      <c r="K575" s="57">
        <f t="shared" si="43"/>
        <v>284.4252</v>
      </c>
      <c r="L575" s="57">
        <f t="shared" si="44"/>
        <v>316.028</v>
      </c>
    </row>
    <row r="576" ht="15" spans="1:12">
      <c r="A576" s="48" t="s">
        <v>210</v>
      </c>
      <c r="B576" s="54" t="s">
        <v>152</v>
      </c>
      <c r="C576" s="50" t="s">
        <v>27</v>
      </c>
      <c r="D576" s="51" t="s">
        <v>28</v>
      </c>
      <c r="E576" s="50" t="s">
        <v>175</v>
      </c>
      <c r="F576" s="55" t="s">
        <v>176</v>
      </c>
      <c r="G576" s="56">
        <f t="shared" si="40"/>
        <v>32.6736684171043</v>
      </c>
      <c r="H576" s="57">
        <f t="shared" si="41"/>
        <v>391.986</v>
      </c>
      <c r="I576" s="28">
        <v>435.54</v>
      </c>
      <c r="J576" s="57">
        <f t="shared" si="42"/>
        <v>457.317</v>
      </c>
      <c r="K576" s="57">
        <f t="shared" si="43"/>
        <v>368.46684</v>
      </c>
      <c r="L576" s="57">
        <f t="shared" si="44"/>
        <v>409.4076</v>
      </c>
    </row>
    <row r="577" ht="15" spans="1:12">
      <c r="A577" s="48" t="s">
        <v>210</v>
      </c>
      <c r="B577" s="54" t="s">
        <v>161</v>
      </c>
      <c r="C577" s="50" t="s">
        <v>27</v>
      </c>
      <c r="D577" s="51" t="s">
        <v>28</v>
      </c>
      <c r="E577" s="50" t="s">
        <v>175</v>
      </c>
      <c r="F577" s="55" t="s">
        <v>181</v>
      </c>
      <c r="G577" s="56">
        <f t="shared" si="40"/>
        <v>35.887471867967</v>
      </c>
      <c r="H577" s="57">
        <f t="shared" si="41"/>
        <v>430.542</v>
      </c>
      <c r="I577" s="28">
        <v>478.38</v>
      </c>
      <c r="J577" s="57">
        <f t="shared" si="42"/>
        <v>502.299</v>
      </c>
      <c r="K577" s="57">
        <f t="shared" si="43"/>
        <v>404.70948</v>
      </c>
      <c r="L577" s="57">
        <f t="shared" si="44"/>
        <v>449.6772</v>
      </c>
    </row>
    <row r="578" ht="15" spans="1:12">
      <c r="A578" s="48" t="s">
        <v>211</v>
      </c>
      <c r="B578" s="54" t="s">
        <v>64</v>
      </c>
      <c r="C578" s="50" t="s">
        <v>27</v>
      </c>
      <c r="D578" s="51" t="s">
        <v>28</v>
      </c>
      <c r="E578" s="50" t="s">
        <v>212</v>
      </c>
      <c r="F578" s="55" t="s">
        <v>176</v>
      </c>
      <c r="G578" s="56">
        <f t="shared" si="40"/>
        <v>18.9047261815454</v>
      </c>
      <c r="H578" s="57">
        <f t="shared" si="41"/>
        <v>226.8</v>
      </c>
      <c r="I578" s="28">
        <v>252</v>
      </c>
      <c r="J578" s="57">
        <f t="shared" si="42"/>
        <v>264.6</v>
      </c>
      <c r="K578" s="57">
        <f t="shared" si="43"/>
        <v>213.192</v>
      </c>
      <c r="L578" s="57">
        <f t="shared" si="44"/>
        <v>236.88</v>
      </c>
    </row>
    <row r="582" ht="15.6" spans="1:12">
      <c r="A582" s="38" t="s">
        <v>213</v>
      </c>
      <c r="B582" s="38"/>
      <c r="C582" s="38"/>
      <c r="D582" s="38"/>
      <c r="E582" s="38"/>
      <c r="F582" s="38"/>
      <c r="G582" s="38"/>
      <c r="H582" s="38"/>
      <c r="J582" s="38"/>
      <c r="K582" s="38"/>
      <c r="L582" s="38"/>
    </row>
    <row r="583" ht="15.6" spans="1:12">
      <c r="A583" s="38" t="s">
        <v>214</v>
      </c>
      <c r="B583" s="38"/>
      <c r="C583" s="38"/>
      <c r="D583" s="38"/>
      <c r="E583" s="38"/>
      <c r="F583" s="38"/>
      <c r="G583" s="38"/>
      <c r="H583" s="38"/>
      <c r="J583" s="38"/>
      <c r="K583" s="38"/>
      <c r="L583" s="38"/>
    </row>
    <row r="584" ht="15.6" spans="1:12">
      <c r="A584" s="38" t="s">
        <v>215</v>
      </c>
      <c r="B584" s="38"/>
      <c r="C584" s="38"/>
      <c r="D584" s="38"/>
      <c r="E584" s="38"/>
      <c r="F584" s="38"/>
      <c r="G584" s="38"/>
      <c r="H584" s="38"/>
      <c r="J584" s="38"/>
      <c r="K584" s="38"/>
      <c r="L584" s="38"/>
    </row>
  </sheetData>
  <mergeCells count="9">
    <mergeCell ref="A1:L1"/>
    <mergeCell ref="A2:L2"/>
    <mergeCell ref="A3:L3"/>
    <mergeCell ref="A4:L4"/>
    <mergeCell ref="A5:L5"/>
    <mergeCell ref="A6:L6"/>
    <mergeCell ref="A7:L7"/>
    <mergeCell ref="A8:L8"/>
    <mergeCell ref="G9:L9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7"/>
  <sheetViews>
    <sheetView tabSelected="1" workbookViewId="0">
      <selection activeCell="A1" sqref="A$1:A$1048576"/>
    </sheetView>
  </sheetViews>
  <sheetFormatPr defaultColWidth="8.88888888888889" defaultRowHeight="14.4"/>
  <cols>
    <col min="1" max="1" width="11.7777777777778" style="1" customWidth="1"/>
    <col min="2" max="2" width="10.2222222222222" style="1" customWidth="1"/>
    <col min="3" max="3" width="13.4444444444444" style="1" customWidth="1"/>
    <col min="4" max="4" width="13.4444444444444" style="2" customWidth="1"/>
    <col min="5" max="5" width="10.3333333333333" style="1" customWidth="1"/>
    <col min="6" max="6" width="9.66666666666667" style="3" customWidth="1"/>
    <col min="7" max="7" width="7.66666666666667" style="1" customWidth="1"/>
    <col min="8" max="8" width="10.6666666666667" style="1" customWidth="1"/>
    <col min="9" max="9" width="14.1111111111111" style="1" customWidth="1"/>
    <col min="10" max="10" width="7.11111111111111" style="1" customWidth="1"/>
  </cols>
  <sheetData>
    <row r="1" ht="45" spans="1:10">
      <c r="A1" s="4" t="s">
        <v>0</v>
      </c>
      <c r="B1" s="4"/>
      <c r="C1" s="4"/>
      <c r="D1" s="5"/>
      <c r="E1" s="4"/>
      <c r="F1" s="4"/>
      <c r="G1" s="6"/>
      <c r="H1" s="6"/>
      <c r="I1" s="6"/>
      <c r="J1" s="6"/>
    </row>
    <row r="2" spans="1:10">
      <c r="A2" s="7" t="s">
        <v>1</v>
      </c>
      <c r="B2" s="8"/>
      <c r="C2" s="7"/>
      <c r="D2" s="9"/>
      <c r="E2" s="7"/>
      <c r="F2" s="7"/>
      <c r="G2" s="10"/>
      <c r="H2" s="11"/>
      <c r="I2" s="12"/>
      <c r="J2" s="12"/>
    </row>
    <row r="3" spans="1:10">
      <c r="A3" s="7" t="s">
        <v>2</v>
      </c>
      <c r="B3" s="8"/>
      <c r="C3" s="7"/>
      <c r="D3" s="9"/>
      <c r="E3" s="7"/>
      <c r="F3" s="7"/>
      <c r="G3" s="10"/>
      <c r="H3" s="11"/>
      <c r="I3" s="12"/>
      <c r="J3" s="12"/>
    </row>
    <row r="4" spans="1:10">
      <c r="A4" s="7" t="s">
        <v>216</v>
      </c>
      <c r="B4" s="8"/>
      <c r="C4" s="7"/>
      <c r="D4" s="9"/>
      <c r="E4" s="7"/>
      <c r="F4" s="7"/>
      <c r="G4" s="10"/>
      <c r="H4" s="11"/>
      <c r="I4" s="12"/>
      <c r="J4" s="12"/>
    </row>
    <row r="5" spans="1:10">
      <c r="A5" s="7" t="s">
        <v>4</v>
      </c>
      <c r="B5" s="8"/>
      <c r="C5" s="7"/>
      <c r="D5" s="9"/>
      <c r="E5" s="7"/>
      <c r="F5" s="7"/>
      <c r="G5" s="10"/>
      <c r="H5" s="11"/>
      <c r="I5" s="12"/>
      <c r="J5" s="12"/>
    </row>
    <row r="6" spans="1:10">
      <c r="A6" s="7" t="s">
        <v>5</v>
      </c>
      <c r="B6" s="8"/>
      <c r="C6" s="7"/>
      <c r="D6" s="9"/>
      <c r="E6" s="7"/>
      <c r="F6" s="7"/>
      <c r="G6" s="10"/>
      <c r="H6" s="11"/>
      <c r="I6" s="12"/>
      <c r="J6" s="12"/>
    </row>
    <row r="7" spans="1:10">
      <c r="A7" s="7" t="s">
        <v>6</v>
      </c>
      <c r="B7" s="8"/>
      <c r="C7" s="7"/>
      <c r="D7" s="9"/>
      <c r="E7" s="7"/>
      <c r="F7" s="7"/>
      <c r="G7" s="10"/>
      <c r="H7" s="11"/>
      <c r="I7" s="12"/>
      <c r="J7" s="12"/>
    </row>
    <row r="8" spans="1:10">
      <c r="A8" s="7"/>
      <c r="B8" s="8"/>
      <c r="C8" s="7"/>
      <c r="D8" s="9"/>
      <c r="E8" s="7"/>
      <c r="F8" s="7"/>
      <c r="G8" s="10"/>
      <c r="H8" s="11"/>
      <c r="I8" s="12"/>
      <c r="J8" s="12"/>
    </row>
    <row r="9" spans="1:10">
      <c r="A9" s="13" t="s">
        <v>217</v>
      </c>
      <c r="B9" s="13" t="s">
        <v>218</v>
      </c>
      <c r="C9" s="13" t="s">
        <v>219</v>
      </c>
      <c r="D9" s="14" t="s">
        <v>219</v>
      </c>
      <c r="E9" s="13" t="s">
        <v>220</v>
      </c>
      <c r="F9" s="15" t="s">
        <v>221</v>
      </c>
      <c r="G9" s="16"/>
      <c r="H9" s="16"/>
      <c r="I9" s="16"/>
      <c r="J9" s="17"/>
    </row>
    <row r="10" spans="1:10">
      <c r="A10" s="18" t="s">
        <v>222</v>
      </c>
      <c r="B10" s="18" t="s">
        <v>223</v>
      </c>
      <c r="C10" s="18" t="s">
        <v>224</v>
      </c>
      <c r="D10" s="19" t="s">
        <v>224</v>
      </c>
      <c r="E10" s="18" t="s">
        <v>225</v>
      </c>
      <c r="F10" s="20" t="s">
        <v>226</v>
      </c>
      <c r="G10" s="21" t="s">
        <v>227</v>
      </c>
      <c r="H10" s="21" t="s">
        <v>228</v>
      </c>
      <c r="I10" s="21"/>
      <c r="J10" s="21"/>
    </row>
    <row r="11" spans="1:10">
      <c r="A11" s="22" t="s">
        <v>229</v>
      </c>
      <c r="B11" s="23">
        <v>7628</v>
      </c>
      <c r="C11" s="24" t="s">
        <v>230</v>
      </c>
      <c r="D11" s="25">
        <v>0.48</v>
      </c>
      <c r="E11" s="26">
        <v>150</v>
      </c>
      <c r="F11" s="27">
        <f t="shared" ref="F11:F74" si="0">G11/13.12</f>
        <v>1.53048780487805</v>
      </c>
      <c r="G11" s="28">
        <v>20.08</v>
      </c>
      <c r="H11" s="29">
        <f t="shared" ref="H11:H74" si="1">G11*E11</f>
        <v>3012</v>
      </c>
      <c r="I11" s="25"/>
      <c r="J11" s="25"/>
    </row>
    <row r="12" spans="1:10">
      <c r="A12" s="22" t="s">
        <v>231</v>
      </c>
      <c r="B12" s="23">
        <v>7628</v>
      </c>
      <c r="C12" s="24" t="s">
        <v>232</v>
      </c>
      <c r="D12" s="25">
        <v>0.43</v>
      </c>
      <c r="E12" s="26">
        <v>150</v>
      </c>
      <c r="F12" s="27">
        <f t="shared" si="0"/>
        <v>1.40853658536585</v>
      </c>
      <c r="G12" s="28">
        <v>18.48</v>
      </c>
      <c r="H12" s="29">
        <f t="shared" si="1"/>
        <v>2772</v>
      </c>
      <c r="I12" s="25"/>
      <c r="J12" s="25"/>
    </row>
    <row r="13" spans="1:10">
      <c r="A13" s="22" t="s">
        <v>231</v>
      </c>
      <c r="B13" s="23">
        <v>7628</v>
      </c>
      <c r="C13" s="24" t="s">
        <v>233</v>
      </c>
      <c r="D13" s="25">
        <v>0.44</v>
      </c>
      <c r="E13" s="26">
        <v>150</v>
      </c>
      <c r="F13" s="27">
        <f t="shared" si="0"/>
        <v>1.40853658536585</v>
      </c>
      <c r="G13" s="28">
        <v>18.48</v>
      </c>
      <c r="H13" s="29">
        <f t="shared" si="1"/>
        <v>2772</v>
      </c>
      <c r="I13" s="25"/>
      <c r="J13" s="25"/>
    </row>
    <row r="14" spans="1:10">
      <c r="A14" s="22" t="s">
        <v>231</v>
      </c>
      <c r="B14" s="23">
        <v>7628</v>
      </c>
      <c r="C14" s="24" t="s">
        <v>234</v>
      </c>
      <c r="D14" s="25">
        <v>0.45</v>
      </c>
      <c r="E14" s="26">
        <v>150</v>
      </c>
      <c r="F14" s="27">
        <f t="shared" si="0"/>
        <v>1.46265243902439</v>
      </c>
      <c r="G14" s="28">
        <v>19.19</v>
      </c>
      <c r="H14" s="29">
        <f t="shared" si="1"/>
        <v>2878.5</v>
      </c>
      <c r="I14" s="25"/>
      <c r="J14" s="25"/>
    </row>
    <row r="15" spans="1:10">
      <c r="A15" s="22" t="s">
        <v>231</v>
      </c>
      <c r="B15" s="23">
        <v>7628</v>
      </c>
      <c r="C15" s="24" t="s">
        <v>235</v>
      </c>
      <c r="D15" s="25">
        <v>0.46</v>
      </c>
      <c r="E15" s="26">
        <v>150</v>
      </c>
      <c r="F15" s="27">
        <f t="shared" si="0"/>
        <v>1.47560975609756</v>
      </c>
      <c r="G15" s="28">
        <v>19.36</v>
      </c>
      <c r="H15" s="29">
        <f t="shared" si="1"/>
        <v>2904</v>
      </c>
      <c r="I15" s="25"/>
      <c r="J15" s="25"/>
    </row>
    <row r="16" spans="1:10">
      <c r="A16" s="22" t="s">
        <v>231</v>
      </c>
      <c r="B16" s="23">
        <v>7628</v>
      </c>
      <c r="C16" s="24" t="s">
        <v>236</v>
      </c>
      <c r="D16" s="25">
        <v>0.47</v>
      </c>
      <c r="E16" s="26">
        <v>150</v>
      </c>
      <c r="F16" s="27">
        <f t="shared" si="0"/>
        <v>1.47713414634146</v>
      </c>
      <c r="G16" s="28">
        <v>19.38</v>
      </c>
      <c r="H16" s="29">
        <f t="shared" si="1"/>
        <v>2907</v>
      </c>
      <c r="I16" s="25"/>
      <c r="J16" s="25"/>
    </row>
    <row r="17" spans="1:10">
      <c r="A17" s="22" t="s">
        <v>231</v>
      </c>
      <c r="B17" s="23">
        <v>7628</v>
      </c>
      <c r="C17" s="24" t="s">
        <v>230</v>
      </c>
      <c r="D17" s="25">
        <v>0.48</v>
      </c>
      <c r="E17" s="26">
        <v>150</v>
      </c>
      <c r="F17" s="27">
        <f t="shared" si="0"/>
        <v>1.47713414634146</v>
      </c>
      <c r="G17" s="28">
        <v>19.38</v>
      </c>
      <c r="H17" s="29">
        <f t="shared" si="1"/>
        <v>2907</v>
      </c>
      <c r="I17" s="25"/>
      <c r="J17" s="25"/>
    </row>
    <row r="18" spans="1:10">
      <c r="A18" s="22" t="s">
        <v>231</v>
      </c>
      <c r="B18" s="23">
        <v>7628</v>
      </c>
      <c r="C18" s="24" t="s">
        <v>237</v>
      </c>
      <c r="D18" s="25">
        <v>0.49</v>
      </c>
      <c r="E18" s="26">
        <v>150</v>
      </c>
      <c r="F18" s="27">
        <f t="shared" si="0"/>
        <v>1.51524390243902</v>
      </c>
      <c r="G18" s="28">
        <v>19.88</v>
      </c>
      <c r="H18" s="29">
        <f t="shared" si="1"/>
        <v>2982</v>
      </c>
      <c r="I18" s="25"/>
      <c r="J18" s="25"/>
    </row>
    <row r="19" spans="1:10">
      <c r="A19" s="22" t="s">
        <v>231</v>
      </c>
      <c r="B19" s="23">
        <v>7628</v>
      </c>
      <c r="C19" s="24" t="s">
        <v>238</v>
      </c>
      <c r="D19" s="25">
        <v>0.5</v>
      </c>
      <c r="E19" s="26">
        <v>150</v>
      </c>
      <c r="F19" s="27">
        <f t="shared" si="0"/>
        <v>1.48856707317073</v>
      </c>
      <c r="G19" s="28">
        <v>19.53</v>
      </c>
      <c r="H19" s="29">
        <f t="shared" si="1"/>
        <v>2929.5</v>
      </c>
      <c r="I19" s="25"/>
      <c r="J19" s="25"/>
    </row>
    <row r="20" spans="1:10">
      <c r="A20" s="22" t="s">
        <v>231</v>
      </c>
      <c r="B20" s="23">
        <v>7628</v>
      </c>
      <c r="C20" s="24" t="s">
        <v>239</v>
      </c>
      <c r="D20" s="25">
        <v>0.52</v>
      </c>
      <c r="E20" s="26">
        <v>150</v>
      </c>
      <c r="F20" s="27">
        <f t="shared" si="0"/>
        <v>1.54801829268293</v>
      </c>
      <c r="G20" s="28">
        <v>20.31</v>
      </c>
      <c r="H20" s="29">
        <f t="shared" si="1"/>
        <v>3046.5</v>
      </c>
      <c r="I20" s="25"/>
      <c r="J20" s="25"/>
    </row>
    <row r="21" spans="1:10">
      <c r="A21" s="22" t="s">
        <v>231</v>
      </c>
      <c r="B21" s="23">
        <v>3313</v>
      </c>
      <c r="C21" s="24" t="s">
        <v>240</v>
      </c>
      <c r="D21" s="25">
        <v>0.57</v>
      </c>
      <c r="E21" s="26">
        <v>300</v>
      </c>
      <c r="F21" s="27">
        <f t="shared" si="0"/>
        <v>1.5655487804878</v>
      </c>
      <c r="G21" s="28">
        <v>20.54</v>
      </c>
      <c r="H21" s="29">
        <f t="shared" si="1"/>
        <v>6162</v>
      </c>
      <c r="I21" s="25"/>
      <c r="J21" s="25"/>
    </row>
    <row r="22" spans="1:10">
      <c r="A22" s="22" t="s">
        <v>231</v>
      </c>
      <c r="B22" s="23">
        <v>3313</v>
      </c>
      <c r="C22" s="24" t="s">
        <v>241</v>
      </c>
      <c r="D22" s="25">
        <v>0.59</v>
      </c>
      <c r="E22" s="26">
        <v>300</v>
      </c>
      <c r="F22" s="27">
        <f t="shared" si="0"/>
        <v>1.71189024390244</v>
      </c>
      <c r="G22" s="28">
        <v>22.46</v>
      </c>
      <c r="H22" s="29">
        <f t="shared" si="1"/>
        <v>6738</v>
      </c>
      <c r="I22" s="30"/>
      <c r="J22" s="30"/>
    </row>
    <row r="23" spans="1:10">
      <c r="A23" s="22" t="s">
        <v>231</v>
      </c>
      <c r="B23" s="23">
        <v>3313</v>
      </c>
      <c r="C23" s="24" t="s">
        <v>242</v>
      </c>
      <c r="D23" s="25">
        <v>0.6</v>
      </c>
      <c r="E23" s="26">
        <v>300</v>
      </c>
      <c r="F23" s="27">
        <f t="shared" si="0"/>
        <v>1.64481707317073</v>
      </c>
      <c r="G23" s="28">
        <v>21.58</v>
      </c>
      <c r="H23" s="31">
        <f t="shared" si="1"/>
        <v>6474</v>
      </c>
      <c r="I23" s="30"/>
      <c r="J23" s="30"/>
    </row>
    <row r="24" spans="1:10">
      <c r="A24" s="22" t="s">
        <v>231</v>
      </c>
      <c r="B24" s="23">
        <v>3313</v>
      </c>
      <c r="C24" s="24" t="s">
        <v>243</v>
      </c>
      <c r="D24" s="25">
        <v>0.61</v>
      </c>
      <c r="E24" s="26">
        <v>300</v>
      </c>
      <c r="F24" s="27">
        <f t="shared" si="0"/>
        <v>1.6905487804878</v>
      </c>
      <c r="G24" s="28">
        <v>22.18</v>
      </c>
      <c r="H24" s="31">
        <f t="shared" si="1"/>
        <v>6654</v>
      </c>
      <c r="I24" s="30"/>
      <c r="J24" s="30"/>
    </row>
    <row r="25" spans="1:10">
      <c r="A25" s="22" t="s">
        <v>231</v>
      </c>
      <c r="B25" s="23">
        <v>2313</v>
      </c>
      <c r="C25" s="24" t="s">
        <v>241</v>
      </c>
      <c r="D25" s="25">
        <v>0.59</v>
      </c>
      <c r="E25" s="26">
        <v>300</v>
      </c>
      <c r="F25" s="27">
        <f t="shared" si="0"/>
        <v>1.51676829268293</v>
      </c>
      <c r="G25" s="28">
        <v>19.9</v>
      </c>
      <c r="H25" s="29">
        <f t="shared" si="1"/>
        <v>5970</v>
      </c>
      <c r="I25" s="25"/>
      <c r="J25" s="25"/>
    </row>
    <row r="26" spans="1:10">
      <c r="A26" s="22" t="s">
        <v>231</v>
      </c>
      <c r="B26" s="23">
        <v>2116</v>
      </c>
      <c r="C26" s="24" t="s">
        <v>244</v>
      </c>
      <c r="D26" s="25">
        <v>0.53</v>
      </c>
      <c r="E26" s="26">
        <v>250</v>
      </c>
      <c r="F26" s="27">
        <f t="shared" si="0"/>
        <v>1.45960365853659</v>
      </c>
      <c r="G26" s="28">
        <v>19.15</v>
      </c>
      <c r="H26" s="29">
        <f t="shared" si="1"/>
        <v>4787.5</v>
      </c>
      <c r="I26" s="25"/>
      <c r="J26" s="25"/>
    </row>
    <row r="27" spans="1:10">
      <c r="A27" s="22" t="s">
        <v>231</v>
      </c>
      <c r="B27" s="23">
        <v>2116</v>
      </c>
      <c r="C27" s="24" t="s">
        <v>245</v>
      </c>
      <c r="D27" s="25">
        <v>0.54</v>
      </c>
      <c r="E27" s="26">
        <v>250</v>
      </c>
      <c r="F27" s="27">
        <f t="shared" si="0"/>
        <v>1.47256097560976</v>
      </c>
      <c r="G27" s="28">
        <v>19.32</v>
      </c>
      <c r="H27" s="29">
        <f t="shared" si="1"/>
        <v>4830</v>
      </c>
      <c r="I27" s="25"/>
      <c r="J27" s="25"/>
    </row>
    <row r="28" spans="1:10">
      <c r="A28" s="22" t="s">
        <v>231</v>
      </c>
      <c r="B28" s="23">
        <v>2116</v>
      </c>
      <c r="C28" s="24" t="s">
        <v>246</v>
      </c>
      <c r="D28" s="25">
        <v>0.55</v>
      </c>
      <c r="E28" s="26">
        <v>250</v>
      </c>
      <c r="F28" s="27">
        <f t="shared" si="0"/>
        <v>1.47256097560976</v>
      </c>
      <c r="G28" s="28">
        <v>19.32</v>
      </c>
      <c r="H28" s="29">
        <f t="shared" si="1"/>
        <v>4830</v>
      </c>
      <c r="I28" s="25"/>
      <c r="J28" s="25"/>
    </row>
    <row r="29" spans="1:10">
      <c r="A29" s="22" t="s">
        <v>231</v>
      </c>
      <c r="B29" s="23">
        <v>2116</v>
      </c>
      <c r="C29" s="24" t="s">
        <v>247</v>
      </c>
      <c r="D29" s="25">
        <v>0.56</v>
      </c>
      <c r="E29" s="26">
        <v>250</v>
      </c>
      <c r="F29" s="27">
        <f t="shared" si="0"/>
        <v>1.47560975609756</v>
      </c>
      <c r="G29" s="28">
        <v>19.36</v>
      </c>
      <c r="H29" s="29">
        <f t="shared" si="1"/>
        <v>4840</v>
      </c>
      <c r="I29" s="25"/>
      <c r="J29" s="25"/>
    </row>
    <row r="30" spans="1:10">
      <c r="A30" s="22" t="s">
        <v>231</v>
      </c>
      <c r="B30" s="23">
        <v>2116</v>
      </c>
      <c r="C30" s="24" t="s">
        <v>240</v>
      </c>
      <c r="D30" s="25">
        <v>0.57</v>
      </c>
      <c r="E30" s="26">
        <v>250</v>
      </c>
      <c r="F30" s="27">
        <f t="shared" si="0"/>
        <v>1.50076219512195</v>
      </c>
      <c r="G30" s="28">
        <v>19.69</v>
      </c>
      <c r="H30" s="29">
        <f t="shared" si="1"/>
        <v>4922.5</v>
      </c>
      <c r="I30" s="25"/>
      <c r="J30" s="25"/>
    </row>
    <row r="31" spans="1:10">
      <c r="A31" s="22" t="s">
        <v>231</v>
      </c>
      <c r="B31" s="23">
        <v>2116</v>
      </c>
      <c r="C31" s="24" t="s">
        <v>248</v>
      </c>
      <c r="D31" s="25">
        <v>0.58</v>
      </c>
      <c r="E31" s="26">
        <v>250</v>
      </c>
      <c r="F31" s="27">
        <f t="shared" si="0"/>
        <v>1.52286585365854</v>
      </c>
      <c r="G31" s="28">
        <v>19.98</v>
      </c>
      <c r="H31" s="29">
        <f t="shared" si="1"/>
        <v>4995</v>
      </c>
      <c r="I31" s="25"/>
      <c r="J31" s="25"/>
    </row>
    <row r="32" spans="1:10">
      <c r="A32" s="22" t="s">
        <v>231</v>
      </c>
      <c r="B32" s="23">
        <v>2116</v>
      </c>
      <c r="C32" s="24" t="s">
        <v>241</v>
      </c>
      <c r="D32" s="25">
        <v>0.59</v>
      </c>
      <c r="E32" s="26">
        <v>250</v>
      </c>
      <c r="F32" s="27">
        <f t="shared" si="0"/>
        <v>1.52286585365854</v>
      </c>
      <c r="G32" s="28">
        <v>19.98</v>
      </c>
      <c r="H32" s="29">
        <f t="shared" si="1"/>
        <v>4995</v>
      </c>
      <c r="I32" s="25"/>
      <c r="J32" s="25"/>
    </row>
    <row r="33" spans="1:10">
      <c r="A33" s="22" t="s">
        <v>231</v>
      </c>
      <c r="B33" s="23">
        <v>2116</v>
      </c>
      <c r="C33" s="24" t="s">
        <v>242</v>
      </c>
      <c r="D33" s="25">
        <v>0.6</v>
      </c>
      <c r="E33" s="26">
        <v>250</v>
      </c>
      <c r="F33" s="27">
        <f t="shared" si="0"/>
        <v>1.59832317073171</v>
      </c>
      <c r="G33" s="28">
        <v>20.97</v>
      </c>
      <c r="H33" s="29">
        <f t="shared" si="1"/>
        <v>5242.5</v>
      </c>
      <c r="I33" s="25"/>
      <c r="J33" s="25"/>
    </row>
    <row r="34" spans="1:10">
      <c r="A34" s="22" t="s">
        <v>231</v>
      </c>
      <c r="B34" s="23">
        <v>2116</v>
      </c>
      <c r="C34" s="24" t="s">
        <v>243</v>
      </c>
      <c r="D34" s="25">
        <v>0.61</v>
      </c>
      <c r="E34" s="26">
        <v>250</v>
      </c>
      <c r="F34" s="27">
        <f t="shared" si="0"/>
        <v>1.59832317073171</v>
      </c>
      <c r="G34" s="28">
        <v>20.97</v>
      </c>
      <c r="H34" s="29">
        <f t="shared" si="1"/>
        <v>5242.5</v>
      </c>
      <c r="I34" s="25"/>
      <c r="J34" s="25"/>
    </row>
    <row r="35" spans="1:10">
      <c r="A35" s="22" t="s">
        <v>231</v>
      </c>
      <c r="B35" s="23">
        <v>1080</v>
      </c>
      <c r="C35" s="24" t="s">
        <v>249</v>
      </c>
      <c r="D35" s="25">
        <v>0.62</v>
      </c>
      <c r="E35" s="26">
        <v>300</v>
      </c>
      <c r="F35" s="27">
        <f t="shared" si="0"/>
        <v>1.45350609756098</v>
      </c>
      <c r="G35" s="28">
        <v>19.07</v>
      </c>
      <c r="H35" s="29">
        <f t="shared" si="1"/>
        <v>5721</v>
      </c>
      <c r="I35" s="25"/>
      <c r="J35" s="25"/>
    </row>
    <row r="36" spans="1:10">
      <c r="A36" s="22" t="s">
        <v>231</v>
      </c>
      <c r="B36" s="23">
        <v>1080</v>
      </c>
      <c r="C36" s="24" t="s">
        <v>250</v>
      </c>
      <c r="D36" s="25">
        <v>0.63</v>
      </c>
      <c r="E36" s="26">
        <v>300</v>
      </c>
      <c r="F36" s="27">
        <f t="shared" si="0"/>
        <v>1.45350609756098</v>
      </c>
      <c r="G36" s="28">
        <v>19.07</v>
      </c>
      <c r="H36" s="29">
        <f t="shared" si="1"/>
        <v>5721</v>
      </c>
      <c r="I36" s="25"/>
      <c r="J36" s="25"/>
    </row>
    <row r="37" spans="1:10">
      <c r="A37" s="22" t="s">
        <v>231</v>
      </c>
      <c r="B37" s="23">
        <v>1080</v>
      </c>
      <c r="C37" s="24" t="s">
        <v>251</v>
      </c>
      <c r="D37" s="25">
        <v>0.64</v>
      </c>
      <c r="E37" s="26">
        <v>300</v>
      </c>
      <c r="F37" s="27">
        <f t="shared" si="0"/>
        <v>1.46417682926829</v>
      </c>
      <c r="G37" s="28">
        <v>19.21</v>
      </c>
      <c r="H37" s="29">
        <f t="shared" si="1"/>
        <v>5763</v>
      </c>
      <c r="I37" s="25"/>
      <c r="J37" s="25"/>
    </row>
    <row r="38" spans="1:10">
      <c r="A38" s="22" t="s">
        <v>231</v>
      </c>
      <c r="B38" s="23">
        <v>1080</v>
      </c>
      <c r="C38" s="24" t="s">
        <v>252</v>
      </c>
      <c r="D38" s="25">
        <v>0.65</v>
      </c>
      <c r="E38" s="26">
        <v>300</v>
      </c>
      <c r="F38" s="27">
        <f t="shared" si="0"/>
        <v>1.47560975609756</v>
      </c>
      <c r="G38" s="28">
        <v>19.36</v>
      </c>
      <c r="H38" s="29">
        <f t="shared" si="1"/>
        <v>5808</v>
      </c>
      <c r="I38" s="25"/>
      <c r="J38" s="25"/>
    </row>
    <row r="39" spans="1:10">
      <c r="A39" s="22" t="s">
        <v>231</v>
      </c>
      <c r="B39" s="23">
        <v>1080</v>
      </c>
      <c r="C39" s="24" t="s">
        <v>253</v>
      </c>
      <c r="D39" s="25">
        <v>0.66</v>
      </c>
      <c r="E39" s="26">
        <v>300</v>
      </c>
      <c r="F39" s="27">
        <f t="shared" si="0"/>
        <v>1.47637195121951</v>
      </c>
      <c r="G39" s="28">
        <v>19.37</v>
      </c>
      <c r="H39" s="29">
        <f t="shared" si="1"/>
        <v>5811</v>
      </c>
      <c r="I39" s="25"/>
      <c r="J39" s="25"/>
    </row>
    <row r="40" spans="1:10">
      <c r="A40" s="22" t="s">
        <v>231</v>
      </c>
      <c r="B40" s="23">
        <v>1080</v>
      </c>
      <c r="C40" s="24" t="s">
        <v>254</v>
      </c>
      <c r="D40" s="25">
        <v>0.67</v>
      </c>
      <c r="E40" s="26">
        <v>300</v>
      </c>
      <c r="F40" s="27">
        <f t="shared" si="0"/>
        <v>1.48780487804878</v>
      </c>
      <c r="G40" s="28">
        <v>19.52</v>
      </c>
      <c r="H40" s="29">
        <f t="shared" si="1"/>
        <v>5856</v>
      </c>
      <c r="I40" s="25"/>
      <c r="J40" s="25"/>
    </row>
    <row r="41" spans="1:10">
      <c r="A41" s="22" t="s">
        <v>231</v>
      </c>
      <c r="B41" s="23">
        <v>1080</v>
      </c>
      <c r="C41" s="24" t="s">
        <v>255</v>
      </c>
      <c r="D41" s="25">
        <v>0.68</v>
      </c>
      <c r="E41" s="26">
        <v>300</v>
      </c>
      <c r="F41" s="27">
        <f t="shared" si="0"/>
        <v>1.51067073170732</v>
      </c>
      <c r="G41" s="28">
        <v>19.82</v>
      </c>
      <c r="H41" s="29">
        <f t="shared" si="1"/>
        <v>5946</v>
      </c>
      <c r="I41" s="25"/>
      <c r="J41" s="25"/>
    </row>
    <row r="42" spans="1:10">
      <c r="A42" s="22" t="s">
        <v>231</v>
      </c>
      <c r="B42" s="23">
        <v>1080</v>
      </c>
      <c r="C42" s="24" t="s">
        <v>256</v>
      </c>
      <c r="D42" s="25">
        <v>0.69</v>
      </c>
      <c r="E42" s="26">
        <v>300</v>
      </c>
      <c r="F42" s="27">
        <f t="shared" si="0"/>
        <v>1.52286585365854</v>
      </c>
      <c r="G42" s="28">
        <v>19.98</v>
      </c>
      <c r="H42" s="29">
        <f t="shared" si="1"/>
        <v>5994</v>
      </c>
      <c r="I42" s="25"/>
      <c r="J42" s="25"/>
    </row>
    <row r="43" spans="1:10">
      <c r="A43" s="22" t="s">
        <v>231</v>
      </c>
      <c r="B43" s="23">
        <v>1080</v>
      </c>
      <c r="C43" s="24" t="s">
        <v>257</v>
      </c>
      <c r="D43" s="25">
        <v>0.7</v>
      </c>
      <c r="E43" s="26">
        <v>300</v>
      </c>
      <c r="F43" s="27">
        <f t="shared" si="0"/>
        <v>1.53658536585366</v>
      </c>
      <c r="G43" s="28">
        <v>20.16</v>
      </c>
      <c r="H43" s="29">
        <f t="shared" si="1"/>
        <v>6048</v>
      </c>
      <c r="I43" s="25"/>
      <c r="J43" s="25"/>
    </row>
    <row r="44" spans="1:10">
      <c r="A44" s="22" t="s">
        <v>231</v>
      </c>
      <c r="B44" s="23">
        <v>1080</v>
      </c>
      <c r="C44" s="24" t="s">
        <v>258</v>
      </c>
      <c r="D44" s="25">
        <v>0.71</v>
      </c>
      <c r="E44" s="26">
        <v>300</v>
      </c>
      <c r="F44" s="27">
        <f t="shared" si="0"/>
        <v>1.57393292682927</v>
      </c>
      <c r="G44" s="28">
        <v>20.65</v>
      </c>
      <c r="H44" s="29">
        <f t="shared" si="1"/>
        <v>6195</v>
      </c>
      <c r="I44" s="25"/>
      <c r="J44" s="25"/>
    </row>
    <row r="45" spans="1:10">
      <c r="A45" s="22" t="s">
        <v>231</v>
      </c>
      <c r="B45" s="23">
        <v>106</v>
      </c>
      <c r="C45" s="24" t="s">
        <v>257</v>
      </c>
      <c r="D45" s="25">
        <v>0.7</v>
      </c>
      <c r="E45" s="26">
        <v>300</v>
      </c>
      <c r="F45" s="27">
        <f t="shared" si="0"/>
        <v>1.39100609756098</v>
      </c>
      <c r="G45" s="28">
        <v>18.25</v>
      </c>
      <c r="H45" s="29">
        <f t="shared" si="1"/>
        <v>5475</v>
      </c>
      <c r="I45" s="25"/>
      <c r="J45" s="25"/>
    </row>
    <row r="46" spans="1:10">
      <c r="A46" s="22" t="s">
        <v>231</v>
      </c>
      <c r="B46" s="23">
        <v>106</v>
      </c>
      <c r="C46" s="24" t="s">
        <v>258</v>
      </c>
      <c r="D46" s="25">
        <v>0.71</v>
      </c>
      <c r="E46" s="26">
        <v>300</v>
      </c>
      <c r="F46" s="27">
        <f t="shared" si="0"/>
        <v>1.39100609756098</v>
      </c>
      <c r="G46" s="28">
        <v>18.25</v>
      </c>
      <c r="H46" s="29">
        <f t="shared" si="1"/>
        <v>5475</v>
      </c>
      <c r="I46" s="25"/>
      <c r="J46" s="25"/>
    </row>
    <row r="47" spans="1:10">
      <c r="A47" s="22" t="s">
        <v>231</v>
      </c>
      <c r="B47" s="23">
        <v>106</v>
      </c>
      <c r="C47" s="24" t="s">
        <v>259</v>
      </c>
      <c r="D47" s="25">
        <v>0.72</v>
      </c>
      <c r="E47" s="26">
        <v>300</v>
      </c>
      <c r="F47" s="27">
        <f t="shared" si="0"/>
        <v>1.42606707317073</v>
      </c>
      <c r="G47" s="28">
        <v>18.71</v>
      </c>
      <c r="H47" s="29">
        <f t="shared" si="1"/>
        <v>5613</v>
      </c>
      <c r="I47" s="25"/>
      <c r="J47" s="25"/>
    </row>
    <row r="48" spans="1:10">
      <c r="A48" s="22" t="s">
        <v>231</v>
      </c>
      <c r="B48" s="23">
        <v>106</v>
      </c>
      <c r="C48" s="24" t="s">
        <v>260</v>
      </c>
      <c r="D48" s="25">
        <v>0.73</v>
      </c>
      <c r="E48" s="26">
        <v>300</v>
      </c>
      <c r="F48" s="27">
        <f t="shared" si="0"/>
        <v>1.42606707317073</v>
      </c>
      <c r="G48" s="28">
        <v>18.71</v>
      </c>
      <c r="H48" s="29">
        <f t="shared" si="1"/>
        <v>5613</v>
      </c>
      <c r="I48" s="25"/>
      <c r="J48" s="25"/>
    </row>
    <row r="49" spans="1:10">
      <c r="A49" s="22" t="s">
        <v>231</v>
      </c>
      <c r="B49" s="23">
        <v>106</v>
      </c>
      <c r="C49" s="24" t="s">
        <v>261</v>
      </c>
      <c r="D49" s="25">
        <v>0.74</v>
      </c>
      <c r="E49" s="26">
        <v>300</v>
      </c>
      <c r="F49" s="27">
        <f t="shared" si="0"/>
        <v>1.45274390243902</v>
      </c>
      <c r="G49" s="28">
        <v>19.06</v>
      </c>
      <c r="H49" s="29">
        <f t="shared" si="1"/>
        <v>5718</v>
      </c>
      <c r="I49" s="25"/>
      <c r="J49" s="25"/>
    </row>
    <row r="50" spans="1:10">
      <c r="A50" s="22" t="s">
        <v>231</v>
      </c>
      <c r="B50" s="23">
        <v>106</v>
      </c>
      <c r="C50" s="24" t="s">
        <v>262</v>
      </c>
      <c r="D50" s="25">
        <v>0.75</v>
      </c>
      <c r="E50" s="26">
        <v>300</v>
      </c>
      <c r="F50" s="27">
        <f t="shared" si="0"/>
        <v>1.45274390243902</v>
      </c>
      <c r="G50" s="28">
        <v>19.06</v>
      </c>
      <c r="H50" s="29">
        <f t="shared" si="1"/>
        <v>5718</v>
      </c>
      <c r="I50" s="25"/>
      <c r="J50" s="25"/>
    </row>
    <row r="51" spans="1:10">
      <c r="A51" s="22" t="s">
        <v>231</v>
      </c>
      <c r="B51" s="23">
        <v>106</v>
      </c>
      <c r="C51" s="24" t="s">
        <v>263</v>
      </c>
      <c r="D51" s="25">
        <v>0.76</v>
      </c>
      <c r="E51" s="26">
        <v>300</v>
      </c>
      <c r="F51" s="27">
        <f t="shared" si="0"/>
        <v>1.49009146341463</v>
      </c>
      <c r="G51" s="28">
        <v>19.55</v>
      </c>
      <c r="H51" s="29">
        <f t="shared" si="1"/>
        <v>5865</v>
      </c>
      <c r="I51" s="25"/>
      <c r="J51" s="25"/>
    </row>
    <row r="52" spans="1:10">
      <c r="A52" s="22" t="s">
        <v>231</v>
      </c>
      <c r="B52" s="23">
        <v>106</v>
      </c>
      <c r="C52" s="24" t="s">
        <v>264</v>
      </c>
      <c r="D52" s="25">
        <v>0.77</v>
      </c>
      <c r="E52" s="26">
        <v>300</v>
      </c>
      <c r="F52" s="27">
        <f t="shared" si="0"/>
        <v>1.49009146341463</v>
      </c>
      <c r="G52" s="28">
        <v>19.55</v>
      </c>
      <c r="H52" s="29">
        <f t="shared" si="1"/>
        <v>5865</v>
      </c>
      <c r="I52" s="25"/>
      <c r="J52" s="25"/>
    </row>
    <row r="53" spans="1:10">
      <c r="A53" s="22" t="s">
        <v>231</v>
      </c>
      <c r="B53" s="23">
        <v>106</v>
      </c>
      <c r="C53" s="24" t="s">
        <v>265</v>
      </c>
      <c r="D53" s="25">
        <v>0.78</v>
      </c>
      <c r="E53" s="26">
        <v>300</v>
      </c>
      <c r="F53" s="27">
        <f t="shared" si="0"/>
        <v>1.49009146341463</v>
      </c>
      <c r="G53" s="28">
        <v>19.55</v>
      </c>
      <c r="H53" s="29">
        <f t="shared" si="1"/>
        <v>5865</v>
      </c>
      <c r="I53" s="25"/>
      <c r="J53" s="25"/>
    </row>
    <row r="54" spans="1:10">
      <c r="A54" s="22" t="s">
        <v>231</v>
      </c>
      <c r="B54" s="32">
        <v>1506</v>
      </c>
      <c r="C54" s="33" t="s">
        <v>235</v>
      </c>
      <c r="D54" s="30">
        <v>0.46</v>
      </c>
      <c r="E54" s="26">
        <v>150</v>
      </c>
      <c r="F54" s="27">
        <f t="shared" si="0"/>
        <v>1.71875</v>
      </c>
      <c r="G54" s="28">
        <v>22.55</v>
      </c>
      <c r="H54" s="29">
        <f t="shared" si="1"/>
        <v>3382.5</v>
      </c>
      <c r="I54" s="25"/>
      <c r="J54" s="25"/>
    </row>
    <row r="55" spans="1:10">
      <c r="A55" s="22" t="s">
        <v>266</v>
      </c>
      <c r="B55" s="23">
        <v>7628</v>
      </c>
      <c r="C55" s="24" t="s">
        <v>234</v>
      </c>
      <c r="D55" s="25">
        <v>0.45</v>
      </c>
      <c r="E55" s="26">
        <v>150</v>
      </c>
      <c r="F55" s="27">
        <f t="shared" si="0"/>
        <v>1.51829268292683</v>
      </c>
      <c r="G55" s="28">
        <v>19.92</v>
      </c>
      <c r="H55" s="29">
        <f t="shared" si="1"/>
        <v>2988</v>
      </c>
      <c r="I55" s="25"/>
      <c r="J55" s="25"/>
    </row>
    <row r="56" spans="1:10">
      <c r="A56" s="22" t="s">
        <v>266</v>
      </c>
      <c r="B56" s="23">
        <v>7628</v>
      </c>
      <c r="C56" s="24" t="s">
        <v>235</v>
      </c>
      <c r="D56" s="25">
        <v>0.46</v>
      </c>
      <c r="E56" s="26">
        <v>150</v>
      </c>
      <c r="F56" s="27">
        <f t="shared" si="0"/>
        <v>1.51829268292683</v>
      </c>
      <c r="G56" s="28">
        <v>19.92</v>
      </c>
      <c r="H56" s="29">
        <f t="shared" si="1"/>
        <v>2988</v>
      </c>
      <c r="I56" s="25"/>
      <c r="J56" s="25"/>
    </row>
    <row r="57" spans="1:10">
      <c r="A57" s="22" t="s">
        <v>266</v>
      </c>
      <c r="B57" s="23">
        <v>7628</v>
      </c>
      <c r="C57" s="24" t="s">
        <v>236</v>
      </c>
      <c r="D57" s="25">
        <v>0.47</v>
      </c>
      <c r="E57" s="26">
        <v>150</v>
      </c>
      <c r="F57" s="27">
        <f t="shared" si="0"/>
        <v>1.49085365853659</v>
      </c>
      <c r="G57" s="28">
        <v>19.56</v>
      </c>
      <c r="H57" s="29">
        <f t="shared" si="1"/>
        <v>2934</v>
      </c>
      <c r="I57" s="25" t="s">
        <v>267</v>
      </c>
      <c r="J57" s="25"/>
    </row>
    <row r="58" spans="1:10">
      <c r="A58" s="22" t="s">
        <v>266</v>
      </c>
      <c r="B58" s="23">
        <v>7628</v>
      </c>
      <c r="C58" s="24" t="s">
        <v>237</v>
      </c>
      <c r="D58" s="25">
        <v>0.49</v>
      </c>
      <c r="E58" s="26">
        <v>150</v>
      </c>
      <c r="F58" s="27">
        <f t="shared" si="0"/>
        <v>1.57240853658537</v>
      </c>
      <c r="G58" s="28">
        <v>20.63</v>
      </c>
      <c r="H58" s="29">
        <f t="shared" si="1"/>
        <v>3094.5</v>
      </c>
      <c r="I58" s="25"/>
      <c r="J58" s="25"/>
    </row>
    <row r="59" spans="1:10">
      <c r="A59" s="22" t="s">
        <v>266</v>
      </c>
      <c r="B59" s="23">
        <v>7628</v>
      </c>
      <c r="C59" s="24" t="s">
        <v>238</v>
      </c>
      <c r="D59" s="25">
        <v>0.5</v>
      </c>
      <c r="E59" s="26">
        <v>150</v>
      </c>
      <c r="F59" s="27">
        <f t="shared" si="0"/>
        <v>1.55030487804878</v>
      </c>
      <c r="G59" s="28">
        <v>20.34</v>
      </c>
      <c r="H59" s="29">
        <f t="shared" si="1"/>
        <v>3051</v>
      </c>
      <c r="I59" s="25"/>
      <c r="J59" s="25"/>
    </row>
    <row r="60" spans="1:10">
      <c r="A60" s="22" t="s">
        <v>266</v>
      </c>
      <c r="B60" s="23">
        <v>7628</v>
      </c>
      <c r="C60" s="24" t="s">
        <v>268</v>
      </c>
      <c r="D60" s="25">
        <v>0.51</v>
      </c>
      <c r="E60" s="26">
        <v>150</v>
      </c>
      <c r="F60" s="27">
        <f t="shared" si="0"/>
        <v>1.5922256097561</v>
      </c>
      <c r="G60" s="28">
        <v>20.89</v>
      </c>
      <c r="H60" s="29">
        <f t="shared" si="1"/>
        <v>3133.5</v>
      </c>
      <c r="I60" s="25"/>
      <c r="J60" s="25"/>
    </row>
    <row r="61" spans="1:10">
      <c r="A61" s="22" t="s">
        <v>266</v>
      </c>
      <c r="B61" s="23">
        <v>2116</v>
      </c>
      <c r="C61" s="24" t="s">
        <v>239</v>
      </c>
      <c r="D61" s="25">
        <v>0.52</v>
      </c>
      <c r="E61" s="26">
        <v>250</v>
      </c>
      <c r="F61" s="27">
        <f t="shared" si="0"/>
        <v>1.4984756097561</v>
      </c>
      <c r="G61" s="28">
        <v>19.66</v>
      </c>
      <c r="H61" s="29">
        <f t="shared" si="1"/>
        <v>4915</v>
      </c>
      <c r="I61" s="25"/>
      <c r="J61" s="25"/>
    </row>
    <row r="62" spans="1:10">
      <c r="A62" s="22" t="s">
        <v>266</v>
      </c>
      <c r="B62" s="23">
        <v>2116</v>
      </c>
      <c r="C62" s="24" t="s">
        <v>244</v>
      </c>
      <c r="D62" s="25">
        <v>0.53</v>
      </c>
      <c r="E62" s="26">
        <v>250</v>
      </c>
      <c r="F62" s="27">
        <f t="shared" si="0"/>
        <v>1.4984756097561</v>
      </c>
      <c r="G62" s="28">
        <v>19.66</v>
      </c>
      <c r="H62" s="29">
        <f t="shared" si="1"/>
        <v>4915</v>
      </c>
      <c r="I62" s="25"/>
      <c r="J62" s="25"/>
    </row>
    <row r="63" spans="1:10">
      <c r="A63" s="22" t="s">
        <v>266</v>
      </c>
      <c r="B63" s="23">
        <v>2116</v>
      </c>
      <c r="C63" s="24" t="s">
        <v>245</v>
      </c>
      <c r="D63" s="25">
        <v>0.54</v>
      </c>
      <c r="E63" s="26">
        <v>250</v>
      </c>
      <c r="F63" s="27">
        <f t="shared" si="0"/>
        <v>1.50381097560976</v>
      </c>
      <c r="G63" s="28">
        <v>19.73</v>
      </c>
      <c r="H63" s="29">
        <f t="shared" si="1"/>
        <v>4932.5</v>
      </c>
      <c r="I63" s="25"/>
      <c r="J63" s="25"/>
    </row>
    <row r="64" spans="1:10">
      <c r="A64" s="22" t="s">
        <v>266</v>
      </c>
      <c r="B64" s="23">
        <v>2116</v>
      </c>
      <c r="C64" s="24" t="s">
        <v>246</v>
      </c>
      <c r="D64" s="25">
        <v>0.55</v>
      </c>
      <c r="E64" s="26">
        <v>250</v>
      </c>
      <c r="F64" s="27">
        <f t="shared" si="0"/>
        <v>1.50381097560976</v>
      </c>
      <c r="G64" s="28">
        <v>19.73</v>
      </c>
      <c r="H64" s="29">
        <f t="shared" si="1"/>
        <v>4932.5</v>
      </c>
      <c r="I64" s="25"/>
      <c r="J64" s="25"/>
    </row>
    <row r="65" spans="1:10">
      <c r="A65" s="22" t="s">
        <v>266</v>
      </c>
      <c r="B65" s="23">
        <v>2116</v>
      </c>
      <c r="C65" s="24" t="s">
        <v>247</v>
      </c>
      <c r="D65" s="25">
        <v>0.56</v>
      </c>
      <c r="E65" s="26">
        <v>250</v>
      </c>
      <c r="F65" s="27">
        <f t="shared" si="0"/>
        <v>1.52591463414634</v>
      </c>
      <c r="G65" s="28">
        <v>20.02</v>
      </c>
      <c r="H65" s="29">
        <f t="shared" si="1"/>
        <v>5005</v>
      </c>
      <c r="I65" s="25"/>
      <c r="J65" s="25"/>
    </row>
    <row r="66" spans="1:10">
      <c r="A66" s="22" t="s">
        <v>266</v>
      </c>
      <c r="B66" s="23">
        <v>2116</v>
      </c>
      <c r="C66" s="24" t="s">
        <v>240</v>
      </c>
      <c r="D66" s="25">
        <v>0.57</v>
      </c>
      <c r="E66" s="26">
        <v>250</v>
      </c>
      <c r="F66" s="27">
        <f t="shared" si="0"/>
        <v>1.55182926829268</v>
      </c>
      <c r="G66" s="28">
        <v>20.36</v>
      </c>
      <c r="H66" s="29">
        <f t="shared" si="1"/>
        <v>5090</v>
      </c>
      <c r="I66" s="25"/>
      <c r="J66" s="25"/>
    </row>
    <row r="67" spans="1:10">
      <c r="A67" s="22" t="s">
        <v>266</v>
      </c>
      <c r="B67" s="23">
        <v>2116</v>
      </c>
      <c r="C67" s="24" t="s">
        <v>248</v>
      </c>
      <c r="D67" s="25">
        <v>0.58</v>
      </c>
      <c r="E67" s="26">
        <v>250</v>
      </c>
      <c r="F67" s="27">
        <f t="shared" si="0"/>
        <v>1.55564024390244</v>
      </c>
      <c r="G67" s="28">
        <v>20.41</v>
      </c>
      <c r="H67" s="29">
        <f t="shared" si="1"/>
        <v>5102.5</v>
      </c>
      <c r="I67" s="25"/>
      <c r="J67" s="25"/>
    </row>
    <row r="68" spans="1:10">
      <c r="A68" s="22" t="s">
        <v>266</v>
      </c>
      <c r="B68" s="23">
        <v>2116</v>
      </c>
      <c r="C68" s="24" t="s">
        <v>241</v>
      </c>
      <c r="D68" s="25">
        <v>0.59</v>
      </c>
      <c r="E68" s="26">
        <v>250</v>
      </c>
      <c r="F68" s="27">
        <f t="shared" si="0"/>
        <v>1.55564024390244</v>
      </c>
      <c r="G68" s="28">
        <v>20.41</v>
      </c>
      <c r="H68" s="29">
        <f t="shared" si="1"/>
        <v>5102.5</v>
      </c>
      <c r="I68" s="25"/>
      <c r="J68" s="25"/>
    </row>
    <row r="69" spans="1:10">
      <c r="A69" s="22" t="s">
        <v>266</v>
      </c>
      <c r="B69" s="23">
        <v>2116</v>
      </c>
      <c r="C69" s="24" t="s">
        <v>242</v>
      </c>
      <c r="D69" s="25">
        <v>0.6</v>
      </c>
      <c r="E69" s="26">
        <v>250</v>
      </c>
      <c r="F69" s="27">
        <f t="shared" si="0"/>
        <v>1.55792682926829</v>
      </c>
      <c r="G69" s="28">
        <v>20.44</v>
      </c>
      <c r="H69" s="29">
        <f t="shared" si="1"/>
        <v>5110</v>
      </c>
      <c r="I69" s="25"/>
      <c r="J69" s="25"/>
    </row>
    <row r="70" spans="1:10">
      <c r="A70" s="22" t="s">
        <v>266</v>
      </c>
      <c r="B70" s="23">
        <v>2116</v>
      </c>
      <c r="C70" s="24" t="s">
        <v>243</v>
      </c>
      <c r="D70" s="25">
        <v>0.61</v>
      </c>
      <c r="E70" s="26">
        <v>250</v>
      </c>
      <c r="F70" s="27">
        <f t="shared" si="0"/>
        <v>1.625</v>
      </c>
      <c r="G70" s="28">
        <v>21.32</v>
      </c>
      <c r="H70" s="29">
        <f t="shared" si="1"/>
        <v>5330</v>
      </c>
      <c r="I70" s="25"/>
      <c r="J70" s="25"/>
    </row>
    <row r="71" spans="1:10">
      <c r="A71" s="22" t="s">
        <v>266</v>
      </c>
      <c r="B71" s="23">
        <v>2313</v>
      </c>
      <c r="C71" s="24" t="s">
        <v>247</v>
      </c>
      <c r="D71" s="25">
        <v>0.56</v>
      </c>
      <c r="E71" s="26">
        <v>300</v>
      </c>
      <c r="F71" s="27">
        <f t="shared" si="0"/>
        <v>1.50838414634146</v>
      </c>
      <c r="G71" s="28">
        <v>19.79</v>
      </c>
      <c r="H71" s="29">
        <f t="shared" si="1"/>
        <v>5937</v>
      </c>
      <c r="I71" s="25"/>
      <c r="J71" s="25"/>
    </row>
    <row r="72" spans="1:10">
      <c r="A72" s="22" t="s">
        <v>266</v>
      </c>
      <c r="B72" s="23">
        <v>2313</v>
      </c>
      <c r="C72" s="24" t="s">
        <v>240</v>
      </c>
      <c r="D72" s="25">
        <v>0.57</v>
      </c>
      <c r="E72" s="26">
        <v>300</v>
      </c>
      <c r="F72" s="27">
        <f t="shared" si="0"/>
        <v>1.52286585365854</v>
      </c>
      <c r="G72" s="28">
        <v>19.98</v>
      </c>
      <c r="H72" s="29">
        <f t="shared" si="1"/>
        <v>5994</v>
      </c>
      <c r="I72" s="25"/>
      <c r="J72" s="25"/>
    </row>
    <row r="73" ht="24" spans="1:10">
      <c r="A73" s="22" t="s">
        <v>269</v>
      </c>
      <c r="B73" s="23">
        <v>2313</v>
      </c>
      <c r="C73" s="24" t="s">
        <v>240</v>
      </c>
      <c r="D73" s="25">
        <v>0.57</v>
      </c>
      <c r="E73" s="26">
        <v>300</v>
      </c>
      <c r="F73" s="27">
        <f t="shared" si="0"/>
        <v>1.55030487804878</v>
      </c>
      <c r="G73" s="28">
        <v>20.34</v>
      </c>
      <c r="H73" s="29">
        <f t="shared" si="1"/>
        <v>6102</v>
      </c>
      <c r="I73" s="25"/>
      <c r="J73" s="25"/>
    </row>
    <row r="74" spans="1:10">
      <c r="A74" s="22" t="s">
        <v>266</v>
      </c>
      <c r="B74" s="23">
        <v>2313</v>
      </c>
      <c r="C74" s="24" t="s">
        <v>248</v>
      </c>
      <c r="D74" s="25">
        <v>0.58</v>
      </c>
      <c r="E74" s="26">
        <v>300</v>
      </c>
      <c r="F74" s="27">
        <f t="shared" si="0"/>
        <v>1.48170731707317</v>
      </c>
      <c r="G74" s="28">
        <v>19.44</v>
      </c>
      <c r="H74" s="29">
        <f t="shared" si="1"/>
        <v>5832</v>
      </c>
      <c r="I74" s="25"/>
      <c r="J74" s="25"/>
    </row>
    <row r="75" spans="1:10">
      <c r="A75" s="22" t="s">
        <v>266</v>
      </c>
      <c r="B75" s="23">
        <v>2313</v>
      </c>
      <c r="C75" s="24" t="s">
        <v>241</v>
      </c>
      <c r="D75" s="25">
        <v>0.59</v>
      </c>
      <c r="E75" s="26">
        <v>300</v>
      </c>
      <c r="F75" s="27">
        <f t="shared" ref="F75:F138" si="2">G75/13.12</f>
        <v>1.48170731707317</v>
      </c>
      <c r="G75" s="28">
        <v>19.44</v>
      </c>
      <c r="H75" s="29">
        <f t="shared" ref="H75:H138" si="3">G75*E75</f>
        <v>5832</v>
      </c>
      <c r="I75" s="25"/>
      <c r="J75" s="25"/>
    </row>
    <row r="76" spans="1:10">
      <c r="A76" s="22" t="s">
        <v>266</v>
      </c>
      <c r="B76" s="23">
        <v>1080</v>
      </c>
      <c r="C76" s="24" t="s">
        <v>251</v>
      </c>
      <c r="D76" s="25">
        <v>0.64</v>
      </c>
      <c r="E76" s="26">
        <v>300</v>
      </c>
      <c r="F76" s="27">
        <f t="shared" si="2"/>
        <v>1.45655487804878</v>
      </c>
      <c r="G76" s="28">
        <v>19.11</v>
      </c>
      <c r="H76" s="29">
        <f t="shared" si="3"/>
        <v>5733</v>
      </c>
      <c r="I76" s="25"/>
      <c r="J76" s="25"/>
    </row>
    <row r="77" spans="1:10">
      <c r="A77" s="22" t="s">
        <v>266</v>
      </c>
      <c r="B77" s="23">
        <v>1080</v>
      </c>
      <c r="C77" s="24" t="s">
        <v>252</v>
      </c>
      <c r="D77" s="25">
        <v>0.65</v>
      </c>
      <c r="E77" s="26">
        <v>300</v>
      </c>
      <c r="F77" s="27">
        <f t="shared" si="2"/>
        <v>1.45655487804878</v>
      </c>
      <c r="G77" s="28">
        <v>19.11</v>
      </c>
      <c r="H77" s="29">
        <f t="shared" si="3"/>
        <v>5733</v>
      </c>
      <c r="I77" s="25"/>
      <c r="J77" s="25"/>
    </row>
    <row r="78" spans="1:10">
      <c r="A78" s="22" t="s">
        <v>266</v>
      </c>
      <c r="B78" s="23">
        <v>1080</v>
      </c>
      <c r="C78" s="24" t="s">
        <v>253</v>
      </c>
      <c r="D78" s="25">
        <v>0.66</v>
      </c>
      <c r="E78" s="26">
        <v>300</v>
      </c>
      <c r="F78" s="27">
        <f t="shared" si="2"/>
        <v>1.4702743902439</v>
      </c>
      <c r="G78" s="28">
        <v>19.29</v>
      </c>
      <c r="H78" s="29">
        <f t="shared" si="3"/>
        <v>5787</v>
      </c>
      <c r="I78" s="25"/>
      <c r="J78" s="25"/>
    </row>
    <row r="79" spans="1:10">
      <c r="A79" s="22" t="s">
        <v>266</v>
      </c>
      <c r="B79" s="23">
        <v>1080</v>
      </c>
      <c r="C79" s="24" t="s">
        <v>254</v>
      </c>
      <c r="D79" s="25">
        <v>0.67</v>
      </c>
      <c r="E79" s="26">
        <v>300</v>
      </c>
      <c r="F79" s="27">
        <f t="shared" si="2"/>
        <v>1.48170731707317</v>
      </c>
      <c r="G79" s="28">
        <v>19.44</v>
      </c>
      <c r="H79" s="29">
        <f t="shared" si="3"/>
        <v>5832</v>
      </c>
      <c r="I79" s="25"/>
      <c r="J79" s="25"/>
    </row>
    <row r="80" spans="1:10">
      <c r="A80" s="22" t="s">
        <v>266</v>
      </c>
      <c r="B80" s="23">
        <v>1080</v>
      </c>
      <c r="C80" s="24" t="s">
        <v>255</v>
      </c>
      <c r="D80" s="25">
        <v>0.68</v>
      </c>
      <c r="E80" s="26">
        <v>300</v>
      </c>
      <c r="F80" s="27">
        <f t="shared" si="2"/>
        <v>1.49923780487805</v>
      </c>
      <c r="G80" s="28">
        <v>19.67</v>
      </c>
      <c r="H80" s="29">
        <f t="shared" si="3"/>
        <v>5901</v>
      </c>
      <c r="I80" s="25"/>
      <c r="J80" s="25"/>
    </row>
    <row r="81" spans="1:10">
      <c r="A81" s="22" t="s">
        <v>266</v>
      </c>
      <c r="B81" s="23">
        <v>1080</v>
      </c>
      <c r="C81" s="24" t="s">
        <v>256</v>
      </c>
      <c r="D81" s="25">
        <v>0.69</v>
      </c>
      <c r="E81" s="26">
        <v>300</v>
      </c>
      <c r="F81" s="27">
        <f t="shared" si="2"/>
        <v>1.57545731707317</v>
      </c>
      <c r="G81" s="28">
        <v>20.67</v>
      </c>
      <c r="H81" s="29">
        <f t="shared" si="3"/>
        <v>6201</v>
      </c>
      <c r="I81" s="25"/>
      <c r="J81" s="25"/>
    </row>
    <row r="82" spans="1:10">
      <c r="A82" s="22" t="s">
        <v>266</v>
      </c>
      <c r="B82" s="23">
        <v>1080</v>
      </c>
      <c r="C82" s="24" t="s">
        <v>257</v>
      </c>
      <c r="D82" s="25">
        <v>0.7</v>
      </c>
      <c r="E82" s="26">
        <v>300</v>
      </c>
      <c r="F82" s="27">
        <f t="shared" si="2"/>
        <v>1.58917682926829</v>
      </c>
      <c r="G82" s="28">
        <v>20.85</v>
      </c>
      <c r="H82" s="29">
        <f t="shared" si="3"/>
        <v>6255</v>
      </c>
      <c r="I82" s="25"/>
      <c r="J82" s="25"/>
    </row>
    <row r="83" spans="1:10">
      <c r="A83" s="22" t="s">
        <v>266</v>
      </c>
      <c r="B83" s="23">
        <v>1080</v>
      </c>
      <c r="C83" s="24" t="s">
        <v>258</v>
      </c>
      <c r="D83" s="25">
        <v>0.71</v>
      </c>
      <c r="E83" s="26">
        <v>300</v>
      </c>
      <c r="F83" s="27">
        <f t="shared" si="2"/>
        <v>1.58917682926829</v>
      </c>
      <c r="G83" s="28">
        <v>20.85</v>
      </c>
      <c r="H83" s="29">
        <f t="shared" si="3"/>
        <v>6255</v>
      </c>
      <c r="I83" s="25"/>
      <c r="J83" s="25"/>
    </row>
    <row r="84" spans="1:10">
      <c r="A84" s="22" t="s">
        <v>266</v>
      </c>
      <c r="B84" s="23">
        <v>1027</v>
      </c>
      <c r="C84" s="24" t="s">
        <v>261</v>
      </c>
      <c r="D84" s="25">
        <v>0.74</v>
      </c>
      <c r="E84" s="26">
        <v>300</v>
      </c>
      <c r="F84" s="27">
        <f t="shared" si="2"/>
        <v>2.91234756097561</v>
      </c>
      <c r="G84" s="28">
        <v>38.21</v>
      </c>
      <c r="H84" s="29">
        <f t="shared" si="3"/>
        <v>11463</v>
      </c>
      <c r="I84" s="25"/>
      <c r="J84" s="25"/>
    </row>
    <row r="85" spans="1:10">
      <c r="A85" s="22" t="s">
        <v>266</v>
      </c>
      <c r="B85" s="23">
        <v>106</v>
      </c>
      <c r="C85" s="24" t="s">
        <v>260</v>
      </c>
      <c r="D85" s="25">
        <v>0.73</v>
      </c>
      <c r="E85" s="26">
        <v>300</v>
      </c>
      <c r="F85" s="27">
        <f t="shared" si="2"/>
        <v>1.4092987804878</v>
      </c>
      <c r="G85" s="28">
        <v>18.49</v>
      </c>
      <c r="H85" s="29">
        <f t="shared" si="3"/>
        <v>5547</v>
      </c>
      <c r="I85" s="25"/>
      <c r="J85" s="25"/>
    </row>
    <row r="86" spans="1:10">
      <c r="A86" s="22" t="s">
        <v>266</v>
      </c>
      <c r="B86" s="23">
        <v>106</v>
      </c>
      <c r="C86" s="24" t="s">
        <v>262</v>
      </c>
      <c r="D86" s="25">
        <v>0.75</v>
      </c>
      <c r="E86" s="26">
        <v>300</v>
      </c>
      <c r="F86" s="27">
        <f t="shared" si="2"/>
        <v>1.45274390243902</v>
      </c>
      <c r="G86" s="28">
        <v>19.06</v>
      </c>
      <c r="H86" s="29">
        <f t="shared" si="3"/>
        <v>5718</v>
      </c>
      <c r="I86" s="25"/>
      <c r="J86" s="25"/>
    </row>
    <row r="87" spans="1:10">
      <c r="A87" s="22" t="s">
        <v>266</v>
      </c>
      <c r="B87" s="23">
        <v>106</v>
      </c>
      <c r="C87" s="24" t="s">
        <v>263</v>
      </c>
      <c r="D87" s="25">
        <v>0.76</v>
      </c>
      <c r="E87" s="26">
        <v>300</v>
      </c>
      <c r="F87" s="27">
        <f t="shared" si="2"/>
        <v>1.52667682926829</v>
      </c>
      <c r="G87" s="28">
        <v>20.03</v>
      </c>
      <c r="H87" s="29">
        <f t="shared" si="3"/>
        <v>6009</v>
      </c>
      <c r="I87" s="25"/>
      <c r="J87" s="25"/>
    </row>
    <row r="88" spans="1:10">
      <c r="A88" s="22" t="s">
        <v>266</v>
      </c>
      <c r="B88" s="23">
        <v>106</v>
      </c>
      <c r="C88" s="24" t="s">
        <v>265</v>
      </c>
      <c r="D88" s="25">
        <v>0.78</v>
      </c>
      <c r="E88" s="26">
        <v>300</v>
      </c>
      <c r="F88" s="27">
        <f t="shared" si="2"/>
        <v>1.58993902439024</v>
      </c>
      <c r="G88" s="28">
        <v>20.86</v>
      </c>
      <c r="H88" s="29">
        <f t="shared" si="3"/>
        <v>6258</v>
      </c>
      <c r="I88" s="25"/>
      <c r="J88" s="25"/>
    </row>
    <row r="89" spans="1:10">
      <c r="A89" s="22" t="s">
        <v>266</v>
      </c>
      <c r="B89" s="23">
        <v>3313</v>
      </c>
      <c r="C89" s="24" t="s">
        <v>248</v>
      </c>
      <c r="D89" s="25">
        <v>0.58</v>
      </c>
      <c r="E89" s="26">
        <v>300</v>
      </c>
      <c r="F89" s="27">
        <f t="shared" si="2"/>
        <v>1.70655487804878</v>
      </c>
      <c r="G89" s="28">
        <v>22.39</v>
      </c>
      <c r="H89" s="29">
        <f t="shared" si="3"/>
        <v>6717</v>
      </c>
      <c r="I89" s="25"/>
      <c r="J89" s="25"/>
    </row>
    <row r="90" spans="1:10">
      <c r="A90" s="22" t="s">
        <v>270</v>
      </c>
      <c r="B90" s="23" t="s">
        <v>271</v>
      </c>
      <c r="C90" s="24" t="s">
        <v>251</v>
      </c>
      <c r="D90" s="25">
        <v>0.64</v>
      </c>
      <c r="E90" s="26" t="s">
        <v>272</v>
      </c>
      <c r="F90" s="27">
        <f t="shared" si="2"/>
        <v>1.57240853658537</v>
      </c>
      <c r="G90" s="28">
        <v>20.63</v>
      </c>
      <c r="H90" s="29">
        <f t="shared" si="3"/>
        <v>6189</v>
      </c>
      <c r="I90" s="25"/>
      <c r="J90" s="25"/>
    </row>
    <row r="91" spans="1:10">
      <c r="A91" s="22" t="s">
        <v>270</v>
      </c>
      <c r="B91" s="23" t="s">
        <v>271</v>
      </c>
      <c r="C91" s="24" t="s">
        <v>255</v>
      </c>
      <c r="D91" s="25">
        <v>0.68</v>
      </c>
      <c r="E91" s="26" t="s">
        <v>272</v>
      </c>
      <c r="F91" s="27">
        <f t="shared" si="2"/>
        <v>1.60365853658537</v>
      </c>
      <c r="G91" s="28">
        <v>21.04</v>
      </c>
      <c r="H91" s="29">
        <f t="shared" si="3"/>
        <v>6312</v>
      </c>
      <c r="I91" s="25"/>
      <c r="J91" s="25"/>
    </row>
    <row r="92" spans="1:10">
      <c r="A92" s="22" t="s">
        <v>270</v>
      </c>
      <c r="B92" s="23" t="s">
        <v>271</v>
      </c>
      <c r="C92" s="24" t="s">
        <v>257</v>
      </c>
      <c r="D92" s="25">
        <v>0.7</v>
      </c>
      <c r="E92" s="26" t="s">
        <v>272</v>
      </c>
      <c r="F92" s="27">
        <f t="shared" si="2"/>
        <v>1.66158536585366</v>
      </c>
      <c r="G92" s="28">
        <v>21.8</v>
      </c>
      <c r="H92" s="29">
        <f t="shared" si="3"/>
        <v>6540</v>
      </c>
      <c r="I92" s="25"/>
      <c r="J92" s="25"/>
    </row>
    <row r="93" spans="1:10">
      <c r="A93" s="22" t="s">
        <v>270</v>
      </c>
      <c r="B93" s="23" t="s">
        <v>273</v>
      </c>
      <c r="C93" s="24" t="s">
        <v>245</v>
      </c>
      <c r="D93" s="25">
        <v>0.54</v>
      </c>
      <c r="E93" s="26" t="s">
        <v>274</v>
      </c>
      <c r="F93" s="27">
        <f t="shared" si="2"/>
        <v>1.5640243902439</v>
      </c>
      <c r="G93" s="28">
        <v>20.52</v>
      </c>
      <c r="H93" s="31">
        <f t="shared" si="3"/>
        <v>5130</v>
      </c>
      <c r="I93" s="25"/>
      <c r="J93" s="25"/>
    </row>
    <row r="94" spans="1:10">
      <c r="A94" s="22" t="s">
        <v>270</v>
      </c>
      <c r="B94" s="23" t="s">
        <v>273</v>
      </c>
      <c r="C94" s="24" t="s">
        <v>247</v>
      </c>
      <c r="D94" s="25">
        <v>0.56</v>
      </c>
      <c r="E94" s="26" t="s">
        <v>274</v>
      </c>
      <c r="F94" s="27">
        <f t="shared" si="2"/>
        <v>1.5625</v>
      </c>
      <c r="G94" s="28">
        <v>20.5</v>
      </c>
      <c r="H94" s="29">
        <f t="shared" si="3"/>
        <v>5125</v>
      </c>
      <c r="I94" s="25"/>
      <c r="J94" s="25"/>
    </row>
    <row r="95" spans="1:10">
      <c r="A95" s="22" t="s">
        <v>270</v>
      </c>
      <c r="B95" s="23" t="s">
        <v>273</v>
      </c>
      <c r="C95" s="24" t="s">
        <v>248</v>
      </c>
      <c r="D95" s="25">
        <v>0.58</v>
      </c>
      <c r="E95" s="26" t="s">
        <v>274</v>
      </c>
      <c r="F95" s="27">
        <f t="shared" si="2"/>
        <v>1.56478658536585</v>
      </c>
      <c r="G95" s="28">
        <v>20.53</v>
      </c>
      <c r="H95" s="29">
        <f t="shared" si="3"/>
        <v>5132.5</v>
      </c>
      <c r="I95" s="25"/>
      <c r="J95" s="25"/>
    </row>
    <row r="96" spans="1:10">
      <c r="A96" s="22" t="s">
        <v>270</v>
      </c>
      <c r="B96" s="23" t="s">
        <v>273</v>
      </c>
      <c r="C96" s="24" t="s">
        <v>241</v>
      </c>
      <c r="D96" s="25">
        <v>0.59</v>
      </c>
      <c r="E96" s="26" t="s">
        <v>274</v>
      </c>
      <c r="F96" s="27">
        <f t="shared" si="2"/>
        <v>1.57240853658537</v>
      </c>
      <c r="G96" s="28">
        <v>20.63</v>
      </c>
      <c r="H96" s="29">
        <f t="shared" si="3"/>
        <v>5157.5</v>
      </c>
      <c r="I96" s="25"/>
      <c r="J96" s="25"/>
    </row>
    <row r="97" spans="1:10">
      <c r="A97" s="22" t="s">
        <v>270</v>
      </c>
      <c r="B97" s="23" t="s">
        <v>275</v>
      </c>
      <c r="C97" s="24" t="s">
        <v>234</v>
      </c>
      <c r="D97" s="25">
        <v>0.45</v>
      </c>
      <c r="E97" s="26" t="s">
        <v>276</v>
      </c>
      <c r="F97" s="27">
        <f t="shared" si="2"/>
        <v>1.51600609756098</v>
      </c>
      <c r="G97" s="28">
        <v>19.89</v>
      </c>
      <c r="H97" s="29">
        <f t="shared" si="3"/>
        <v>2983.5</v>
      </c>
      <c r="I97" s="25"/>
      <c r="J97" s="25"/>
    </row>
    <row r="98" spans="1:10">
      <c r="A98" s="22" t="s">
        <v>270</v>
      </c>
      <c r="B98" s="23" t="s">
        <v>275</v>
      </c>
      <c r="C98" s="24" t="s">
        <v>230</v>
      </c>
      <c r="D98" s="25">
        <v>0.48</v>
      </c>
      <c r="E98" s="26" t="s">
        <v>276</v>
      </c>
      <c r="F98" s="27">
        <f t="shared" si="2"/>
        <v>1.67454268292683</v>
      </c>
      <c r="G98" s="28">
        <v>21.97</v>
      </c>
      <c r="H98" s="29">
        <f t="shared" si="3"/>
        <v>3295.5</v>
      </c>
      <c r="I98" s="25"/>
      <c r="J98" s="25"/>
    </row>
    <row r="99" spans="1:10">
      <c r="A99" s="22" t="s">
        <v>270</v>
      </c>
      <c r="B99" s="23" t="s">
        <v>275</v>
      </c>
      <c r="C99" s="24" t="s">
        <v>238</v>
      </c>
      <c r="D99" s="25">
        <v>0.5</v>
      </c>
      <c r="E99" s="26" t="s">
        <v>276</v>
      </c>
      <c r="F99" s="27">
        <f t="shared" si="2"/>
        <v>1.69207317073171</v>
      </c>
      <c r="G99" s="28">
        <v>22.2</v>
      </c>
      <c r="H99" s="29">
        <f t="shared" si="3"/>
        <v>3330</v>
      </c>
      <c r="I99" s="25"/>
      <c r="J99" s="25"/>
    </row>
    <row r="100" spans="1:10">
      <c r="A100" s="22" t="s">
        <v>277</v>
      </c>
      <c r="B100" s="23">
        <v>2116</v>
      </c>
      <c r="C100" s="24" t="s">
        <v>241</v>
      </c>
      <c r="D100" s="25">
        <v>0.59</v>
      </c>
      <c r="E100" s="26">
        <v>250</v>
      </c>
      <c r="F100" s="27">
        <f t="shared" si="2"/>
        <v>1.54420731707317</v>
      </c>
      <c r="G100" s="28">
        <v>20.26</v>
      </c>
      <c r="H100" s="29">
        <f t="shared" si="3"/>
        <v>5065</v>
      </c>
      <c r="I100" s="25"/>
      <c r="J100" s="25"/>
    </row>
    <row r="101" spans="1:10">
      <c r="A101" s="22" t="s">
        <v>277</v>
      </c>
      <c r="B101" s="23">
        <v>2116</v>
      </c>
      <c r="C101" s="24" t="s">
        <v>243</v>
      </c>
      <c r="D101" s="25">
        <v>0.61</v>
      </c>
      <c r="E101" s="26">
        <v>250</v>
      </c>
      <c r="F101" s="27">
        <f t="shared" si="2"/>
        <v>1.59756097560976</v>
      </c>
      <c r="G101" s="28">
        <v>20.96</v>
      </c>
      <c r="H101" s="29">
        <f t="shared" si="3"/>
        <v>5240</v>
      </c>
      <c r="I101" s="25"/>
      <c r="J101" s="25"/>
    </row>
    <row r="102" spans="1:10">
      <c r="A102" s="22" t="s">
        <v>277</v>
      </c>
      <c r="B102" s="23">
        <v>1080</v>
      </c>
      <c r="C102" s="24" t="s">
        <v>255</v>
      </c>
      <c r="D102" s="25">
        <v>0.68</v>
      </c>
      <c r="E102" s="26">
        <v>300</v>
      </c>
      <c r="F102" s="27">
        <f t="shared" si="2"/>
        <v>1.48628048780488</v>
      </c>
      <c r="G102" s="28">
        <v>19.5</v>
      </c>
      <c r="H102" s="29">
        <f t="shared" si="3"/>
        <v>5850</v>
      </c>
      <c r="I102" s="25"/>
      <c r="J102" s="25"/>
    </row>
    <row r="103" spans="1:10">
      <c r="A103" s="22" t="s">
        <v>277</v>
      </c>
      <c r="B103" s="23">
        <v>1080</v>
      </c>
      <c r="C103" s="24" t="s">
        <v>258</v>
      </c>
      <c r="D103" s="25">
        <v>0.71</v>
      </c>
      <c r="E103" s="26">
        <v>300</v>
      </c>
      <c r="F103" s="27">
        <f t="shared" si="2"/>
        <v>1.52896341463415</v>
      </c>
      <c r="G103" s="28">
        <v>20.06</v>
      </c>
      <c r="H103" s="29">
        <f t="shared" si="3"/>
        <v>6018</v>
      </c>
      <c r="I103" s="25"/>
      <c r="J103" s="25"/>
    </row>
    <row r="104" spans="1:10">
      <c r="A104" s="22" t="s">
        <v>277</v>
      </c>
      <c r="B104" s="23">
        <v>106</v>
      </c>
      <c r="C104" s="24" t="s">
        <v>265</v>
      </c>
      <c r="D104" s="25">
        <v>0.78</v>
      </c>
      <c r="E104" s="26">
        <v>300</v>
      </c>
      <c r="F104" s="27">
        <f t="shared" si="2"/>
        <v>1.55868902439024</v>
      </c>
      <c r="G104" s="28">
        <v>20.45</v>
      </c>
      <c r="H104" s="29">
        <f t="shared" si="3"/>
        <v>6135</v>
      </c>
      <c r="I104" s="25"/>
      <c r="J104" s="25"/>
    </row>
    <row r="105" spans="1:10">
      <c r="A105" s="22" t="s">
        <v>278</v>
      </c>
      <c r="B105" s="23">
        <v>1080</v>
      </c>
      <c r="C105" s="24" t="s">
        <v>255</v>
      </c>
      <c r="D105" s="25">
        <v>0.68</v>
      </c>
      <c r="E105" s="26">
        <v>300</v>
      </c>
      <c r="F105" s="27">
        <f t="shared" si="2"/>
        <v>1.52286585365854</v>
      </c>
      <c r="G105" s="28">
        <v>19.98</v>
      </c>
      <c r="H105" s="29">
        <f t="shared" si="3"/>
        <v>5994</v>
      </c>
      <c r="I105" s="25"/>
      <c r="J105" s="25"/>
    </row>
    <row r="106" spans="1:10">
      <c r="A106" s="22" t="s">
        <v>279</v>
      </c>
      <c r="B106" s="23">
        <v>7628</v>
      </c>
      <c r="C106" s="24" t="s">
        <v>232</v>
      </c>
      <c r="D106" s="25">
        <v>0.43</v>
      </c>
      <c r="E106" s="26">
        <v>150</v>
      </c>
      <c r="F106" s="27">
        <f t="shared" si="2"/>
        <v>1.59298780487805</v>
      </c>
      <c r="G106" s="28">
        <v>20.9</v>
      </c>
      <c r="H106" s="29">
        <f t="shared" si="3"/>
        <v>3135</v>
      </c>
      <c r="I106" s="25"/>
      <c r="J106" s="25"/>
    </row>
    <row r="107" spans="1:10">
      <c r="A107" s="22" t="s">
        <v>279</v>
      </c>
      <c r="B107" s="23">
        <v>7628</v>
      </c>
      <c r="C107" s="24" t="s">
        <v>233</v>
      </c>
      <c r="D107" s="25">
        <v>0.44</v>
      </c>
      <c r="E107" s="26">
        <v>150</v>
      </c>
      <c r="F107" s="27">
        <f t="shared" si="2"/>
        <v>1.59298780487805</v>
      </c>
      <c r="G107" s="28">
        <v>20.9</v>
      </c>
      <c r="H107" s="29">
        <f t="shared" si="3"/>
        <v>3135</v>
      </c>
      <c r="I107" s="25"/>
      <c r="J107" s="25"/>
    </row>
    <row r="108" spans="1:10">
      <c r="A108" s="22" t="s">
        <v>279</v>
      </c>
      <c r="B108" s="23">
        <v>7628</v>
      </c>
      <c r="C108" s="24" t="s">
        <v>234</v>
      </c>
      <c r="D108" s="25">
        <v>0.45</v>
      </c>
      <c r="E108" s="26">
        <v>150</v>
      </c>
      <c r="F108" s="27">
        <f t="shared" si="2"/>
        <v>1.69588414634146</v>
      </c>
      <c r="G108" s="28">
        <v>22.25</v>
      </c>
      <c r="H108" s="29">
        <f t="shared" si="3"/>
        <v>3337.5</v>
      </c>
      <c r="I108" s="25"/>
      <c r="J108" s="25"/>
    </row>
    <row r="109" spans="1:10">
      <c r="A109" s="22" t="s">
        <v>279</v>
      </c>
      <c r="B109" s="23">
        <v>7628</v>
      </c>
      <c r="C109" s="24" t="s">
        <v>235</v>
      </c>
      <c r="D109" s="25">
        <v>0.46</v>
      </c>
      <c r="E109" s="26">
        <v>150</v>
      </c>
      <c r="F109" s="27">
        <f t="shared" si="2"/>
        <v>1.69588414634146</v>
      </c>
      <c r="G109" s="28">
        <v>22.25</v>
      </c>
      <c r="H109" s="29">
        <f t="shared" si="3"/>
        <v>3337.5</v>
      </c>
      <c r="I109" s="25"/>
      <c r="J109" s="25"/>
    </row>
    <row r="110" spans="1:10">
      <c r="A110" s="22" t="s">
        <v>279</v>
      </c>
      <c r="B110" s="23">
        <v>7628</v>
      </c>
      <c r="C110" s="24" t="s">
        <v>236</v>
      </c>
      <c r="D110" s="25">
        <v>0.47</v>
      </c>
      <c r="E110" s="26">
        <v>150</v>
      </c>
      <c r="F110" s="27">
        <f t="shared" si="2"/>
        <v>1.71875</v>
      </c>
      <c r="G110" s="28">
        <v>22.55</v>
      </c>
      <c r="H110" s="29">
        <f t="shared" si="3"/>
        <v>3382.5</v>
      </c>
      <c r="I110" s="25"/>
      <c r="J110" s="25"/>
    </row>
    <row r="111" spans="1:10">
      <c r="A111" s="22" t="s">
        <v>279</v>
      </c>
      <c r="B111" s="23">
        <v>7628</v>
      </c>
      <c r="C111" s="24" t="s">
        <v>230</v>
      </c>
      <c r="D111" s="25">
        <v>0.48</v>
      </c>
      <c r="E111" s="26">
        <v>150</v>
      </c>
      <c r="F111" s="27">
        <f t="shared" si="2"/>
        <v>1.71875</v>
      </c>
      <c r="G111" s="28">
        <v>22.55</v>
      </c>
      <c r="H111" s="29">
        <f t="shared" si="3"/>
        <v>3382.5</v>
      </c>
      <c r="I111" s="25"/>
      <c r="J111" s="25"/>
    </row>
    <row r="112" spans="1:10">
      <c r="A112" s="22" t="s">
        <v>279</v>
      </c>
      <c r="B112" s="23">
        <v>7628</v>
      </c>
      <c r="C112" s="24" t="s">
        <v>237</v>
      </c>
      <c r="D112" s="25">
        <v>0.49</v>
      </c>
      <c r="E112" s="26">
        <v>150</v>
      </c>
      <c r="F112" s="27">
        <f t="shared" si="2"/>
        <v>1.75685975609756</v>
      </c>
      <c r="G112" s="28">
        <v>23.05</v>
      </c>
      <c r="H112" s="29">
        <f t="shared" si="3"/>
        <v>3457.5</v>
      </c>
      <c r="I112" s="25"/>
      <c r="J112" s="25"/>
    </row>
    <row r="113" spans="1:10">
      <c r="A113" s="22" t="s">
        <v>279</v>
      </c>
      <c r="B113" s="23">
        <v>7628</v>
      </c>
      <c r="C113" s="24" t="s">
        <v>238</v>
      </c>
      <c r="D113" s="25">
        <v>0.5</v>
      </c>
      <c r="E113" s="26">
        <v>150</v>
      </c>
      <c r="F113" s="27">
        <f t="shared" si="2"/>
        <v>1.72789634146341</v>
      </c>
      <c r="G113" s="28">
        <v>22.67</v>
      </c>
      <c r="H113" s="29">
        <f t="shared" si="3"/>
        <v>3400.5</v>
      </c>
      <c r="I113" s="25"/>
      <c r="J113" s="25"/>
    </row>
    <row r="114" spans="1:10">
      <c r="A114" s="22" t="s">
        <v>279</v>
      </c>
      <c r="B114" s="23">
        <v>2116</v>
      </c>
      <c r="C114" s="24" t="s">
        <v>244</v>
      </c>
      <c r="D114" s="25">
        <v>0.53</v>
      </c>
      <c r="E114" s="26">
        <v>250</v>
      </c>
      <c r="F114" s="27">
        <f t="shared" si="2"/>
        <v>1.64024390243902</v>
      </c>
      <c r="G114" s="28">
        <v>21.52</v>
      </c>
      <c r="H114" s="29">
        <f t="shared" si="3"/>
        <v>5380</v>
      </c>
      <c r="I114" s="25"/>
      <c r="J114" s="25"/>
    </row>
    <row r="115" spans="1:10">
      <c r="A115" s="22" t="s">
        <v>279</v>
      </c>
      <c r="B115" s="23">
        <v>2116</v>
      </c>
      <c r="C115" s="24" t="s">
        <v>245</v>
      </c>
      <c r="D115" s="25">
        <v>0.54</v>
      </c>
      <c r="E115" s="26">
        <v>250</v>
      </c>
      <c r="F115" s="27">
        <f t="shared" si="2"/>
        <v>1.65015243902439</v>
      </c>
      <c r="G115" s="28">
        <v>21.65</v>
      </c>
      <c r="H115" s="29">
        <f t="shared" si="3"/>
        <v>5412.5</v>
      </c>
      <c r="I115" s="25"/>
      <c r="J115" s="25"/>
    </row>
    <row r="116" spans="1:10">
      <c r="A116" s="22" t="s">
        <v>279</v>
      </c>
      <c r="B116" s="23">
        <v>2116</v>
      </c>
      <c r="C116" s="24" t="s">
        <v>246</v>
      </c>
      <c r="D116" s="25">
        <v>0.55</v>
      </c>
      <c r="E116" s="26">
        <v>250</v>
      </c>
      <c r="F116" s="27">
        <f t="shared" si="2"/>
        <v>1.65015243902439</v>
      </c>
      <c r="G116" s="28">
        <v>21.65</v>
      </c>
      <c r="H116" s="29">
        <f t="shared" si="3"/>
        <v>5412.5</v>
      </c>
      <c r="I116" s="25"/>
      <c r="J116" s="25"/>
    </row>
    <row r="117" spans="1:10">
      <c r="A117" s="22" t="s">
        <v>279</v>
      </c>
      <c r="B117" s="23">
        <v>2116</v>
      </c>
      <c r="C117" s="24" t="s">
        <v>247</v>
      </c>
      <c r="D117" s="25">
        <v>0.56</v>
      </c>
      <c r="E117" s="26">
        <v>250</v>
      </c>
      <c r="F117" s="27">
        <f t="shared" si="2"/>
        <v>1.58765243902439</v>
      </c>
      <c r="G117" s="28">
        <v>20.83</v>
      </c>
      <c r="H117" s="29">
        <f t="shared" si="3"/>
        <v>5207.5</v>
      </c>
      <c r="I117" s="25"/>
      <c r="J117" s="25"/>
    </row>
    <row r="118" spans="1:10">
      <c r="A118" s="22" t="s">
        <v>279</v>
      </c>
      <c r="B118" s="23">
        <v>2116</v>
      </c>
      <c r="C118" s="24" t="s">
        <v>240</v>
      </c>
      <c r="D118" s="25">
        <v>0.57</v>
      </c>
      <c r="E118" s="26">
        <v>250</v>
      </c>
      <c r="F118" s="27">
        <f t="shared" si="2"/>
        <v>1.67530487804878</v>
      </c>
      <c r="G118" s="28">
        <v>21.98</v>
      </c>
      <c r="H118" s="29">
        <f t="shared" si="3"/>
        <v>5495</v>
      </c>
      <c r="I118" s="25"/>
      <c r="J118" s="25"/>
    </row>
    <row r="119" spans="1:10">
      <c r="A119" s="22" t="s">
        <v>279</v>
      </c>
      <c r="B119" s="23">
        <v>2116</v>
      </c>
      <c r="C119" s="24" t="s">
        <v>248</v>
      </c>
      <c r="D119" s="25">
        <v>0.58</v>
      </c>
      <c r="E119" s="26">
        <v>250</v>
      </c>
      <c r="F119" s="27">
        <f t="shared" si="2"/>
        <v>1.75762195121951</v>
      </c>
      <c r="G119" s="28">
        <v>23.06</v>
      </c>
      <c r="H119" s="29">
        <f t="shared" si="3"/>
        <v>5765</v>
      </c>
      <c r="I119" s="25"/>
      <c r="J119" s="25"/>
    </row>
    <row r="120" spans="1:10">
      <c r="A120" s="22" t="s">
        <v>279</v>
      </c>
      <c r="B120" s="23">
        <v>2116</v>
      </c>
      <c r="C120" s="24" t="s">
        <v>241</v>
      </c>
      <c r="D120" s="25">
        <v>0.59</v>
      </c>
      <c r="E120" s="26">
        <v>250</v>
      </c>
      <c r="F120" s="27">
        <f t="shared" si="2"/>
        <v>1.75762195121951</v>
      </c>
      <c r="G120" s="28">
        <v>23.06</v>
      </c>
      <c r="H120" s="29">
        <f t="shared" si="3"/>
        <v>5765</v>
      </c>
      <c r="I120" s="25"/>
      <c r="J120" s="25"/>
    </row>
    <row r="121" spans="1:10">
      <c r="A121" s="22" t="s">
        <v>279</v>
      </c>
      <c r="B121" s="23">
        <v>3313</v>
      </c>
      <c r="C121" s="24" t="s">
        <v>240</v>
      </c>
      <c r="D121" s="25">
        <v>0.57</v>
      </c>
      <c r="E121" s="26">
        <v>300</v>
      </c>
      <c r="F121" s="27">
        <f t="shared" si="2"/>
        <v>1.76067073170732</v>
      </c>
      <c r="G121" s="28">
        <v>23.1</v>
      </c>
      <c r="H121" s="29">
        <f t="shared" si="3"/>
        <v>6930</v>
      </c>
      <c r="I121" s="25"/>
      <c r="J121" s="25"/>
    </row>
    <row r="122" spans="1:10">
      <c r="A122" s="22" t="s">
        <v>279</v>
      </c>
      <c r="B122" s="23">
        <v>1080</v>
      </c>
      <c r="C122" s="24" t="s">
        <v>249</v>
      </c>
      <c r="D122" s="25">
        <v>0.62</v>
      </c>
      <c r="E122" s="26">
        <v>300</v>
      </c>
      <c r="F122" s="27">
        <f t="shared" si="2"/>
        <v>1.53125</v>
      </c>
      <c r="G122" s="28">
        <v>20.09</v>
      </c>
      <c r="H122" s="29">
        <f t="shared" si="3"/>
        <v>6027</v>
      </c>
      <c r="I122" s="25"/>
      <c r="J122" s="25"/>
    </row>
    <row r="123" spans="1:10">
      <c r="A123" s="22" t="s">
        <v>279</v>
      </c>
      <c r="B123" s="23">
        <v>1080</v>
      </c>
      <c r="C123" s="24" t="s">
        <v>250</v>
      </c>
      <c r="D123" s="25">
        <v>0.63</v>
      </c>
      <c r="E123" s="26">
        <v>300</v>
      </c>
      <c r="F123" s="27">
        <f t="shared" si="2"/>
        <v>1.53125</v>
      </c>
      <c r="G123" s="28">
        <v>20.09</v>
      </c>
      <c r="H123" s="29">
        <f t="shared" si="3"/>
        <v>6027</v>
      </c>
      <c r="I123" s="25"/>
      <c r="J123" s="25"/>
    </row>
    <row r="124" spans="1:10">
      <c r="A124" s="22" t="s">
        <v>279</v>
      </c>
      <c r="B124" s="23">
        <v>1080</v>
      </c>
      <c r="C124" s="24" t="s">
        <v>251</v>
      </c>
      <c r="D124" s="25">
        <v>0.64</v>
      </c>
      <c r="E124" s="26">
        <v>300</v>
      </c>
      <c r="F124" s="27">
        <f t="shared" si="2"/>
        <v>1.55259146341463</v>
      </c>
      <c r="G124" s="28">
        <v>20.37</v>
      </c>
      <c r="H124" s="29">
        <f t="shared" si="3"/>
        <v>6111</v>
      </c>
      <c r="I124" s="25"/>
      <c r="J124" s="25"/>
    </row>
    <row r="125" spans="1:10">
      <c r="A125" s="22" t="s">
        <v>279</v>
      </c>
      <c r="B125" s="23">
        <v>1080</v>
      </c>
      <c r="C125" s="24" t="s">
        <v>252</v>
      </c>
      <c r="D125" s="25">
        <v>0.65</v>
      </c>
      <c r="E125" s="26">
        <v>300</v>
      </c>
      <c r="F125" s="27">
        <f t="shared" si="2"/>
        <v>1.55259146341463</v>
      </c>
      <c r="G125" s="28">
        <v>20.37</v>
      </c>
      <c r="H125" s="29">
        <f t="shared" si="3"/>
        <v>6111</v>
      </c>
      <c r="I125" s="25"/>
      <c r="J125" s="25"/>
    </row>
    <row r="126" spans="1:10">
      <c r="A126" s="22" t="s">
        <v>279</v>
      </c>
      <c r="B126" s="23">
        <v>1080</v>
      </c>
      <c r="C126" s="24" t="s">
        <v>253</v>
      </c>
      <c r="D126" s="25">
        <v>0.66</v>
      </c>
      <c r="E126" s="26">
        <v>300</v>
      </c>
      <c r="F126" s="27">
        <f t="shared" si="2"/>
        <v>1.53734756097561</v>
      </c>
      <c r="G126" s="28">
        <v>20.17</v>
      </c>
      <c r="H126" s="29">
        <f t="shared" si="3"/>
        <v>6051</v>
      </c>
      <c r="I126" s="25"/>
      <c r="J126" s="25"/>
    </row>
    <row r="127" spans="1:10">
      <c r="A127" s="22" t="s">
        <v>279</v>
      </c>
      <c r="B127" s="23">
        <v>1080</v>
      </c>
      <c r="C127" s="24" t="s">
        <v>254</v>
      </c>
      <c r="D127" s="25">
        <v>0.67</v>
      </c>
      <c r="E127" s="26">
        <v>300</v>
      </c>
      <c r="F127" s="27">
        <f t="shared" si="2"/>
        <v>1.5655487804878</v>
      </c>
      <c r="G127" s="28">
        <v>20.54</v>
      </c>
      <c r="H127" s="29">
        <f t="shared" si="3"/>
        <v>6162</v>
      </c>
      <c r="I127" s="25"/>
      <c r="J127" s="25"/>
    </row>
    <row r="128" spans="1:10">
      <c r="A128" s="22" t="s">
        <v>279</v>
      </c>
      <c r="B128" s="23">
        <v>1080</v>
      </c>
      <c r="C128" s="24" t="s">
        <v>255</v>
      </c>
      <c r="D128" s="25">
        <v>0.68</v>
      </c>
      <c r="E128" s="26">
        <v>300</v>
      </c>
      <c r="F128" s="27">
        <f t="shared" si="2"/>
        <v>1.57850609756098</v>
      </c>
      <c r="G128" s="28">
        <v>20.71</v>
      </c>
      <c r="H128" s="29">
        <f t="shared" si="3"/>
        <v>6213</v>
      </c>
      <c r="I128" s="25"/>
      <c r="J128" s="25"/>
    </row>
    <row r="129" spans="1:10">
      <c r="A129" s="22" t="s">
        <v>279</v>
      </c>
      <c r="B129" s="23">
        <v>1080</v>
      </c>
      <c r="C129" s="24" t="s">
        <v>256</v>
      </c>
      <c r="D129" s="25">
        <v>0.69</v>
      </c>
      <c r="E129" s="26">
        <v>300</v>
      </c>
      <c r="F129" s="27">
        <f t="shared" si="2"/>
        <v>1.66310975609756</v>
      </c>
      <c r="G129" s="28">
        <v>21.82</v>
      </c>
      <c r="H129" s="29">
        <f t="shared" si="3"/>
        <v>6546</v>
      </c>
      <c r="I129" s="25"/>
      <c r="J129" s="25"/>
    </row>
    <row r="130" spans="1:10">
      <c r="A130" s="22" t="s">
        <v>279</v>
      </c>
      <c r="B130" s="23">
        <v>1080</v>
      </c>
      <c r="C130" s="24" t="s">
        <v>257</v>
      </c>
      <c r="D130" s="25">
        <v>0.7</v>
      </c>
      <c r="E130" s="26">
        <v>300</v>
      </c>
      <c r="F130" s="27">
        <f t="shared" si="2"/>
        <v>1.66539634146341</v>
      </c>
      <c r="G130" s="28">
        <v>21.85</v>
      </c>
      <c r="H130" s="29">
        <f t="shared" si="3"/>
        <v>6555</v>
      </c>
      <c r="I130" s="25"/>
      <c r="J130" s="25"/>
    </row>
    <row r="131" spans="1:10">
      <c r="A131" s="22" t="s">
        <v>279</v>
      </c>
      <c r="B131" s="23">
        <v>106</v>
      </c>
      <c r="C131" s="24" t="s">
        <v>257</v>
      </c>
      <c r="D131" s="25">
        <v>0.7</v>
      </c>
      <c r="E131" s="26">
        <v>300</v>
      </c>
      <c r="F131" s="27">
        <f t="shared" si="2"/>
        <v>1.40701219512195</v>
      </c>
      <c r="G131" s="28">
        <v>18.46</v>
      </c>
      <c r="H131" s="29">
        <f t="shared" si="3"/>
        <v>5538</v>
      </c>
      <c r="I131" s="25"/>
      <c r="J131" s="25"/>
    </row>
    <row r="132" spans="1:10">
      <c r="A132" s="22" t="s">
        <v>279</v>
      </c>
      <c r="B132" s="23">
        <v>106</v>
      </c>
      <c r="C132" s="24" t="s">
        <v>258</v>
      </c>
      <c r="D132" s="25">
        <v>0.71</v>
      </c>
      <c r="E132" s="26">
        <v>300</v>
      </c>
      <c r="F132" s="27">
        <f t="shared" si="2"/>
        <v>1.48246951219512</v>
      </c>
      <c r="G132" s="28">
        <v>19.45</v>
      </c>
      <c r="H132" s="29">
        <f t="shared" si="3"/>
        <v>5835</v>
      </c>
      <c r="I132" s="25"/>
      <c r="J132" s="25"/>
    </row>
    <row r="133" spans="1:10">
      <c r="A133" s="22" t="s">
        <v>279</v>
      </c>
      <c r="B133" s="23">
        <v>106</v>
      </c>
      <c r="C133" s="24" t="s">
        <v>259</v>
      </c>
      <c r="D133" s="25">
        <v>0.72</v>
      </c>
      <c r="E133" s="26">
        <v>300</v>
      </c>
      <c r="F133" s="27">
        <f t="shared" si="2"/>
        <v>1.50228658536585</v>
      </c>
      <c r="G133" s="28">
        <v>19.71</v>
      </c>
      <c r="H133" s="29">
        <f t="shared" si="3"/>
        <v>5913</v>
      </c>
      <c r="I133" s="25"/>
      <c r="J133" s="25"/>
    </row>
    <row r="134" spans="1:10">
      <c r="A134" s="22" t="s">
        <v>279</v>
      </c>
      <c r="B134" s="23">
        <v>106</v>
      </c>
      <c r="C134" s="24" t="s">
        <v>260</v>
      </c>
      <c r="D134" s="25">
        <v>0.73</v>
      </c>
      <c r="E134" s="26">
        <v>300</v>
      </c>
      <c r="F134" s="27">
        <f t="shared" si="2"/>
        <v>1.50228658536585</v>
      </c>
      <c r="G134" s="28">
        <v>19.71</v>
      </c>
      <c r="H134" s="29">
        <f t="shared" si="3"/>
        <v>5913</v>
      </c>
      <c r="I134" s="25"/>
      <c r="J134" s="25"/>
    </row>
    <row r="135" spans="1:10">
      <c r="A135" s="22" t="s">
        <v>279</v>
      </c>
      <c r="B135" s="23">
        <v>106</v>
      </c>
      <c r="C135" s="24" t="s">
        <v>261</v>
      </c>
      <c r="D135" s="25">
        <v>0.74</v>
      </c>
      <c r="E135" s="26">
        <v>300</v>
      </c>
      <c r="F135" s="27">
        <f t="shared" si="2"/>
        <v>1.5625</v>
      </c>
      <c r="G135" s="28">
        <v>20.5</v>
      </c>
      <c r="H135" s="29">
        <f t="shared" si="3"/>
        <v>6150</v>
      </c>
      <c r="I135" s="25"/>
      <c r="J135" s="25"/>
    </row>
    <row r="136" spans="1:10">
      <c r="A136" s="22" t="s">
        <v>279</v>
      </c>
      <c r="B136" s="23">
        <v>106</v>
      </c>
      <c r="C136" s="24" t="s">
        <v>262</v>
      </c>
      <c r="D136" s="25">
        <v>0.75</v>
      </c>
      <c r="E136" s="26">
        <v>300</v>
      </c>
      <c r="F136" s="27">
        <f t="shared" si="2"/>
        <v>1.5625</v>
      </c>
      <c r="G136" s="28">
        <v>20.5</v>
      </c>
      <c r="H136" s="29">
        <f t="shared" si="3"/>
        <v>6150</v>
      </c>
      <c r="I136" s="25"/>
      <c r="J136" s="25"/>
    </row>
    <row r="137" spans="1:10">
      <c r="A137" s="22" t="s">
        <v>279</v>
      </c>
      <c r="B137" s="23">
        <v>106</v>
      </c>
      <c r="C137" s="24" t="s">
        <v>263</v>
      </c>
      <c r="D137" s="25">
        <v>0.76</v>
      </c>
      <c r="E137" s="26">
        <v>300</v>
      </c>
      <c r="F137" s="27">
        <f t="shared" si="2"/>
        <v>1.5655487804878</v>
      </c>
      <c r="G137" s="28">
        <v>20.54</v>
      </c>
      <c r="H137" s="29">
        <f t="shared" si="3"/>
        <v>6162</v>
      </c>
      <c r="I137" s="25"/>
      <c r="J137" s="25"/>
    </row>
    <row r="138" spans="1:10">
      <c r="A138" s="22" t="s">
        <v>279</v>
      </c>
      <c r="B138" s="23">
        <v>106</v>
      </c>
      <c r="C138" s="24" t="s">
        <v>264</v>
      </c>
      <c r="D138" s="25">
        <v>0.77</v>
      </c>
      <c r="E138" s="26">
        <v>300</v>
      </c>
      <c r="F138" s="27">
        <f t="shared" si="2"/>
        <v>1.5952743902439</v>
      </c>
      <c r="G138" s="28">
        <v>20.93</v>
      </c>
      <c r="H138" s="29">
        <f t="shared" si="3"/>
        <v>6279</v>
      </c>
      <c r="I138" s="25"/>
      <c r="J138" s="25"/>
    </row>
    <row r="139" spans="1:10">
      <c r="A139" s="22" t="s">
        <v>279</v>
      </c>
      <c r="B139" s="23">
        <v>106</v>
      </c>
      <c r="C139" s="24" t="s">
        <v>265</v>
      </c>
      <c r="D139" s="25">
        <v>0.78</v>
      </c>
      <c r="E139" s="26">
        <v>300</v>
      </c>
      <c r="F139" s="27">
        <f t="shared" ref="F139:F202" si="4">G139/13.12</f>
        <v>1.60975609756098</v>
      </c>
      <c r="G139" s="28">
        <v>21.12</v>
      </c>
      <c r="H139" s="29">
        <f t="shared" ref="H139:H145" si="5">G139*E139</f>
        <v>6336</v>
      </c>
      <c r="I139" s="25"/>
      <c r="J139" s="25"/>
    </row>
    <row r="140" spans="1:10">
      <c r="A140" s="22" t="s">
        <v>279</v>
      </c>
      <c r="B140" s="23">
        <v>1067</v>
      </c>
      <c r="C140" s="24" t="s">
        <v>258</v>
      </c>
      <c r="D140" s="25">
        <v>0.71</v>
      </c>
      <c r="E140" s="26">
        <v>300</v>
      </c>
      <c r="F140" s="27">
        <f t="shared" si="4"/>
        <v>1.53658536585366</v>
      </c>
      <c r="G140" s="28">
        <v>20.16</v>
      </c>
      <c r="H140" s="29">
        <f t="shared" si="5"/>
        <v>6048</v>
      </c>
      <c r="I140" s="25"/>
      <c r="J140" s="25"/>
    </row>
    <row r="141" spans="1:10">
      <c r="A141" s="22" t="s">
        <v>279</v>
      </c>
      <c r="B141" s="23">
        <v>1067</v>
      </c>
      <c r="C141" s="24" t="s">
        <v>261</v>
      </c>
      <c r="D141" s="25">
        <v>0.74</v>
      </c>
      <c r="E141" s="26">
        <v>300</v>
      </c>
      <c r="F141" s="27">
        <f t="shared" si="4"/>
        <v>1.65625</v>
      </c>
      <c r="G141" s="28">
        <v>21.73</v>
      </c>
      <c r="H141" s="29">
        <f t="shared" si="5"/>
        <v>6519</v>
      </c>
      <c r="I141" s="25"/>
      <c r="J141" s="25"/>
    </row>
    <row r="142" spans="1:10">
      <c r="A142" s="22" t="s">
        <v>279</v>
      </c>
      <c r="B142" s="23">
        <v>1067</v>
      </c>
      <c r="C142" s="24" t="s">
        <v>262</v>
      </c>
      <c r="D142" s="25">
        <v>0.75</v>
      </c>
      <c r="E142" s="26">
        <v>300</v>
      </c>
      <c r="F142" s="27">
        <f t="shared" si="4"/>
        <v>1.69817073170732</v>
      </c>
      <c r="G142" s="28">
        <v>22.28</v>
      </c>
      <c r="H142" s="29">
        <f t="shared" si="5"/>
        <v>6684</v>
      </c>
      <c r="I142" s="25"/>
      <c r="J142" s="25"/>
    </row>
    <row r="143" spans="1:10">
      <c r="A143" s="22" t="s">
        <v>279</v>
      </c>
      <c r="B143" s="23">
        <v>1067</v>
      </c>
      <c r="C143" s="24" t="s">
        <v>263</v>
      </c>
      <c r="D143" s="25">
        <v>0.76</v>
      </c>
      <c r="E143" s="26">
        <v>300</v>
      </c>
      <c r="F143" s="27">
        <f t="shared" si="4"/>
        <v>1.71112804878049</v>
      </c>
      <c r="G143" s="28">
        <v>22.45</v>
      </c>
      <c r="H143" s="29">
        <f t="shared" si="5"/>
        <v>6735</v>
      </c>
      <c r="I143" s="25"/>
      <c r="J143" s="25"/>
    </row>
    <row r="144" spans="1:10">
      <c r="A144" s="22" t="s">
        <v>279</v>
      </c>
      <c r="B144" s="23">
        <v>1078</v>
      </c>
      <c r="C144" s="24" t="s">
        <v>252</v>
      </c>
      <c r="D144" s="25">
        <v>0.65</v>
      </c>
      <c r="E144" s="26">
        <v>300</v>
      </c>
      <c r="F144" s="27">
        <f t="shared" si="4"/>
        <v>1.7217987804878</v>
      </c>
      <c r="G144" s="28">
        <v>22.59</v>
      </c>
      <c r="H144" s="29">
        <f t="shared" si="5"/>
        <v>6777</v>
      </c>
      <c r="I144" s="25"/>
      <c r="J144" s="25"/>
    </row>
    <row r="145" spans="1:10">
      <c r="A145" s="22" t="s">
        <v>280</v>
      </c>
      <c r="B145" s="32">
        <v>1037</v>
      </c>
      <c r="C145" s="33" t="s">
        <v>257</v>
      </c>
      <c r="D145" s="30">
        <v>0.7</v>
      </c>
      <c r="E145" s="26">
        <v>300</v>
      </c>
      <c r="F145" s="27">
        <f t="shared" si="4"/>
        <v>2.05792682926829</v>
      </c>
      <c r="G145" s="28">
        <v>27</v>
      </c>
      <c r="H145" s="29">
        <f t="shared" si="5"/>
        <v>8100</v>
      </c>
      <c r="I145" s="25"/>
      <c r="J145" s="25"/>
    </row>
    <row r="146" spans="1:10">
      <c r="A146" s="22" t="s">
        <v>281</v>
      </c>
      <c r="B146" s="23">
        <v>106</v>
      </c>
      <c r="C146" s="24" t="s">
        <v>261</v>
      </c>
      <c r="D146" s="25">
        <v>0.74</v>
      </c>
      <c r="E146" s="26">
        <v>300</v>
      </c>
      <c r="F146" s="27">
        <f t="shared" si="4"/>
        <v>1.66006097560976</v>
      </c>
      <c r="G146" s="28">
        <v>21.78</v>
      </c>
      <c r="H146" s="29">
        <f t="shared" ref="H146:H176" si="6">E146*G146</f>
        <v>6534</v>
      </c>
      <c r="I146" s="25"/>
      <c r="J146" s="25"/>
    </row>
    <row r="147" spans="1:10">
      <c r="A147" s="22" t="s">
        <v>281</v>
      </c>
      <c r="B147" s="23">
        <v>106</v>
      </c>
      <c r="C147" s="24" t="s">
        <v>263</v>
      </c>
      <c r="D147" s="25">
        <v>0.76</v>
      </c>
      <c r="E147" s="26">
        <v>300</v>
      </c>
      <c r="F147" s="27">
        <f t="shared" si="4"/>
        <v>1.66006097560976</v>
      </c>
      <c r="G147" s="28">
        <v>21.78</v>
      </c>
      <c r="H147" s="29">
        <f t="shared" si="6"/>
        <v>6534</v>
      </c>
      <c r="I147" s="25"/>
      <c r="J147" s="25"/>
    </row>
    <row r="148" spans="1:10">
      <c r="A148" s="22" t="s">
        <v>281</v>
      </c>
      <c r="B148" s="23">
        <v>1080</v>
      </c>
      <c r="C148" s="24" t="s">
        <v>251</v>
      </c>
      <c r="D148" s="25">
        <v>0.64</v>
      </c>
      <c r="E148" s="26">
        <v>300</v>
      </c>
      <c r="F148" s="27">
        <f t="shared" si="4"/>
        <v>1.34832317073171</v>
      </c>
      <c r="G148" s="28">
        <v>17.69</v>
      </c>
      <c r="H148" s="29">
        <f t="shared" si="6"/>
        <v>5307</v>
      </c>
      <c r="I148" s="25"/>
      <c r="J148" s="25"/>
    </row>
    <row r="149" spans="1:10">
      <c r="A149" s="22" t="s">
        <v>281</v>
      </c>
      <c r="B149" s="23">
        <v>1080</v>
      </c>
      <c r="C149" s="24" t="s">
        <v>253</v>
      </c>
      <c r="D149" s="25">
        <v>0.66</v>
      </c>
      <c r="E149" s="26">
        <v>300</v>
      </c>
      <c r="F149" s="27">
        <f t="shared" si="4"/>
        <v>1.6875</v>
      </c>
      <c r="G149" s="28">
        <v>22.14</v>
      </c>
      <c r="H149" s="29">
        <f t="shared" si="6"/>
        <v>6642</v>
      </c>
      <c r="I149" s="25"/>
      <c r="J149" s="25"/>
    </row>
    <row r="150" spans="1:10">
      <c r="A150" s="22" t="s">
        <v>281</v>
      </c>
      <c r="B150" s="23">
        <v>2116</v>
      </c>
      <c r="C150" s="24" t="s">
        <v>247</v>
      </c>
      <c r="D150" s="25">
        <v>0.56</v>
      </c>
      <c r="E150" s="26">
        <v>250</v>
      </c>
      <c r="F150" s="27">
        <f t="shared" si="4"/>
        <v>1.56707317073171</v>
      </c>
      <c r="G150" s="28">
        <v>20.56</v>
      </c>
      <c r="H150" s="29">
        <f t="shared" si="6"/>
        <v>5140</v>
      </c>
      <c r="I150" s="25"/>
      <c r="J150" s="25"/>
    </row>
    <row r="151" spans="1:10">
      <c r="A151" s="22" t="s">
        <v>281</v>
      </c>
      <c r="B151" s="23">
        <v>2116</v>
      </c>
      <c r="C151" s="24" t="s">
        <v>248</v>
      </c>
      <c r="D151" s="25">
        <v>0.58</v>
      </c>
      <c r="E151" s="26">
        <v>250</v>
      </c>
      <c r="F151" s="27">
        <f t="shared" si="4"/>
        <v>1.60060975609756</v>
      </c>
      <c r="G151" s="28">
        <v>21</v>
      </c>
      <c r="H151" s="29">
        <f t="shared" si="6"/>
        <v>5250</v>
      </c>
      <c r="I151" s="25"/>
      <c r="J151" s="25"/>
    </row>
    <row r="152" spans="1:10">
      <c r="A152" s="22" t="s">
        <v>281</v>
      </c>
      <c r="B152" s="23">
        <v>2116</v>
      </c>
      <c r="C152" s="24" t="s">
        <v>242</v>
      </c>
      <c r="D152" s="25">
        <v>0.6</v>
      </c>
      <c r="E152" s="26">
        <v>250</v>
      </c>
      <c r="F152" s="27">
        <f t="shared" si="4"/>
        <v>1.88567073170732</v>
      </c>
      <c r="G152" s="28">
        <v>24.74</v>
      </c>
      <c r="H152" s="29">
        <f t="shared" si="6"/>
        <v>6185</v>
      </c>
      <c r="I152" s="25"/>
      <c r="J152" s="25"/>
    </row>
    <row r="153" spans="1:10">
      <c r="A153" s="22" t="s">
        <v>282</v>
      </c>
      <c r="B153" s="23">
        <v>1080</v>
      </c>
      <c r="C153" s="24" t="s">
        <v>250</v>
      </c>
      <c r="D153" s="25">
        <v>0.63</v>
      </c>
      <c r="E153" s="26">
        <v>300</v>
      </c>
      <c r="F153" s="27">
        <f t="shared" si="4"/>
        <v>1.9657012195122</v>
      </c>
      <c r="G153" s="28">
        <v>25.79</v>
      </c>
      <c r="H153" s="29">
        <f t="shared" si="6"/>
        <v>7737</v>
      </c>
      <c r="I153" s="25"/>
      <c r="J153" s="25"/>
    </row>
    <row r="154" spans="1:10">
      <c r="A154" s="22" t="s">
        <v>282</v>
      </c>
      <c r="B154" s="23">
        <v>1080</v>
      </c>
      <c r="C154" s="24" t="s">
        <v>252</v>
      </c>
      <c r="D154" s="25">
        <v>0.65</v>
      </c>
      <c r="E154" s="26">
        <v>300</v>
      </c>
      <c r="F154" s="27">
        <f t="shared" si="4"/>
        <v>2.02134146341463</v>
      </c>
      <c r="G154" s="28">
        <v>26.52</v>
      </c>
      <c r="H154" s="29">
        <f t="shared" si="6"/>
        <v>7956</v>
      </c>
      <c r="I154" s="25"/>
      <c r="J154" s="25"/>
    </row>
    <row r="155" spans="1:10">
      <c r="A155" s="22" t="s">
        <v>282</v>
      </c>
      <c r="B155" s="23">
        <v>1080</v>
      </c>
      <c r="C155" s="24" t="s">
        <v>253</v>
      </c>
      <c r="D155" s="25">
        <v>0.66</v>
      </c>
      <c r="E155" s="26">
        <v>300</v>
      </c>
      <c r="F155" s="27">
        <f t="shared" si="4"/>
        <v>2.05487804878049</v>
      </c>
      <c r="G155" s="28">
        <v>26.96</v>
      </c>
      <c r="H155" s="29">
        <f t="shared" si="6"/>
        <v>8088</v>
      </c>
      <c r="I155" s="25"/>
      <c r="J155" s="25"/>
    </row>
    <row r="156" spans="1:10">
      <c r="A156" s="22" t="s">
        <v>282</v>
      </c>
      <c r="B156" s="23">
        <v>1080</v>
      </c>
      <c r="C156" s="24" t="s">
        <v>254</v>
      </c>
      <c r="D156" s="25">
        <v>0.67</v>
      </c>
      <c r="E156" s="26">
        <v>300</v>
      </c>
      <c r="F156" s="27">
        <f t="shared" si="4"/>
        <v>2.0640243902439</v>
      </c>
      <c r="G156" s="28">
        <v>27.08</v>
      </c>
      <c r="H156" s="29">
        <f t="shared" si="6"/>
        <v>8124</v>
      </c>
      <c r="I156" s="25"/>
      <c r="J156" s="25"/>
    </row>
    <row r="157" spans="1:10">
      <c r="A157" s="22" t="s">
        <v>282</v>
      </c>
      <c r="B157" s="23">
        <v>1080</v>
      </c>
      <c r="C157" s="24" t="s">
        <v>255</v>
      </c>
      <c r="D157" s="25">
        <v>0.68</v>
      </c>
      <c r="E157" s="26">
        <v>300</v>
      </c>
      <c r="F157" s="27">
        <f t="shared" si="4"/>
        <v>2.10137195121951</v>
      </c>
      <c r="G157" s="28">
        <v>27.57</v>
      </c>
      <c r="H157" s="29">
        <f t="shared" si="6"/>
        <v>8271</v>
      </c>
      <c r="I157" s="25"/>
      <c r="J157" s="25"/>
    </row>
    <row r="158" spans="1:10">
      <c r="A158" s="22" t="s">
        <v>282</v>
      </c>
      <c r="B158" s="23">
        <v>1080</v>
      </c>
      <c r="C158" s="24" t="s">
        <v>257</v>
      </c>
      <c r="D158" s="25">
        <v>0.7</v>
      </c>
      <c r="E158" s="26">
        <v>300</v>
      </c>
      <c r="F158" s="27">
        <f t="shared" si="4"/>
        <v>2.32850609756098</v>
      </c>
      <c r="G158" s="28">
        <v>30.55</v>
      </c>
      <c r="H158" s="29">
        <f t="shared" si="6"/>
        <v>9165</v>
      </c>
      <c r="I158" s="25"/>
      <c r="J158" s="25"/>
    </row>
    <row r="159" spans="1:10">
      <c r="A159" s="22" t="s">
        <v>282</v>
      </c>
      <c r="B159" s="23">
        <v>1080</v>
      </c>
      <c r="C159" s="24" t="s">
        <v>259</v>
      </c>
      <c r="D159" s="25">
        <v>0.72</v>
      </c>
      <c r="E159" s="26">
        <v>300</v>
      </c>
      <c r="F159" s="27">
        <f t="shared" si="4"/>
        <v>2.39939024390244</v>
      </c>
      <c r="G159" s="28">
        <v>31.48</v>
      </c>
      <c r="H159" s="29">
        <f t="shared" si="6"/>
        <v>9444</v>
      </c>
      <c r="I159" s="25"/>
      <c r="J159" s="25"/>
    </row>
    <row r="160" spans="1:10">
      <c r="A160" s="22" t="s">
        <v>282</v>
      </c>
      <c r="B160" s="23">
        <v>2116</v>
      </c>
      <c r="C160" s="24" t="s">
        <v>244</v>
      </c>
      <c r="D160" s="25">
        <v>0.53</v>
      </c>
      <c r="E160" s="26">
        <v>250</v>
      </c>
      <c r="F160" s="27">
        <f t="shared" si="4"/>
        <v>2.14405487804878</v>
      </c>
      <c r="G160" s="28">
        <v>28.13</v>
      </c>
      <c r="H160" s="29">
        <f t="shared" si="6"/>
        <v>7032.5</v>
      </c>
      <c r="I160" s="25"/>
      <c r="J160" s="25"/>
    </row>
    <row r="161" spans="1:10">
      <c r="A161" s="22" t="s">
        <v>282</v>
      </c>
      <c r="B161" s="23">
        <v>2116</v>
      </c>
      <c r="C161" s="24" t="s">
        <v>246</v>
      </c>
      <c r="D161" s="25">
        <v>0.55</v>
      </c>
      <c r="E161" s="26">
        <v>250</v>
      </c>
      <c r="F161" s="27">
        <f t="shared" si="4"/>
        <v>2.34375</v>
      </c>
      <c r="G161" s="28">
        <v>30.75</v>
      </c>
      <c r="H161" s="29">
        <f t="shared" si="6"/>
        <v>7687.5</v>
      </c>
      <c r="I161" s="25"/>
      <c r="J161" s="25"/>
    </row>
    <row r="162" spans="1:10">
      <c r="A162" s="22" t="s">
        <v>282</v>
      </c>
      <c r="B162" s="23">
        <v>2116</v>
      </c>
      <c r="C162" s="24" t="s">
        <v>240</v>
      </c>
      <c r="D162" s="25">
        <v>0.57</v>
      </c>
      <c r="E162" s="26">
        <v>250</v>
      </c>
      <c r="F162" s="27">
        <f t="shared" si="4"/>
        <v>2.3155487804878</v>
      </c>
      <c r="G162" s="28">
        <v>30.38</v>
      </c>
      <c r="H162" s="29">
        <f t="shared" si="6"/>
        <v>7595</v>
      </c>
      <c r="I162" s="25"/>
      <c r="J162" s="25"/>
    </row>
    <row r="163" spans="1:10">
      <c r="A163" s="22" t="s">
        <v>282</v>
      </c>
      <c r="B163" s="23">
        <v>2116</v>
      </c>
      <c r="C163" s="24" t="s">
        <v>242</v>
      </c>
      <c r="D163" s="25">
        <v>0.6</v>
      </c>
      <c r="E163" s="26">
        <v>250</v>
      </c>
      <c r="F163" s="27">
        <f t="shared" si="4"/>
        <v>2.44969512195122</v>
      </c>
      <c r="G163" s="28">
        <v>32.14</v>
      </c>
      <c r="H163" s="29">
        <f t="shared" si="6"/>
        <v>8035</v>
      </c>
      <c r="I163" s="25"/>
      <c r="J163" s="25"/>
    </row>
    <row r="164" spans="1:10">
      <c r="A164" s="22" t="s">
        <v>282</v>
      </c>
      <c r="B164" s="23">
        <v>3313</v>
      </c>
      <c r="C164" s="24" t="s">
        <v>247</v>
      </c>
      <c r="D164" s="25">
        <v>0.56</v>
      </c>
      <c r="E164" s="26">
        <v>300</v>
      </c>
      <c r="F164" s="27">
        <f t="shared" si="4"/>
        <v>2.17682926829268</v>
      </c>
      <c r="G164" s="28">
        <v>28.56</v>
      </c>
      <c r="H164" s="29">
        <f t="shared" si="6"/>
        <v>8568</v>
      </c>
      <c r="I164" s="25"/>
      <c r="J164" s="25"/>
    </row>
    <row r="165" spans="1:10">
      <c r="A165" s="22" t="s">
        <v>282</v>
      </c>
      <c r="B165" s="32">
        <v>3313</v>
      </c>
      <c r="C165" s="33" t="s">
        <v>248</v>
      </c>
      <c r="D165" s="30">
        <v>0.58</v>
      </c>
      <c r="E165" s="26">
        <v>300</v>
      </c>
      <c r="F165" s="27">
        <f t="shared" si="4"/>
        <v>2.1875</v>
      </c>
      <c r="G165" s="28">
        <v>28.7</v>
      </c>
      <c r="H165" s="29">
        <f t="shared" si="6"/>
        <v>8610</v>
      </c>
      <c r="I165" s="25"/>
      <c r="J165" s="25"/>
    </row>
    <row r="166" spans="1:10">
      <c r="A166" s="22" t="s">
        <v>282</v>
      </c>
      <c r="B166" s="23">
        <v>7628</v>
      </c>
      <c r="C166" s="24" t="s">
        <v>232</v>
      </c>
      <c r="D166" s="25">
        <v>0.43</v>
      </c>
      <c r="E166" s="26">
        <v>150</v>
      </c>
      <c r="F166" s="27">
        <f t="shared" si="4"/>
        <v>2.30106707317073</v>
      </c>
      <c r="G166" s="28">
        <v>30.19</v>
      </c>
      <c r="H166" s="29">
        <f t="shared" si="6"/>
        <v>4528.5</v>
      </c>
      <c r="I166" s="25"/>
      <c r="J166" s="25"/>
    </row>
    <row r="167" spans="1:10">
      <c r="A167" s="22" t="s">
        <v>282</v>
      </c>
      <c r="B167" s="23">
        <v>7628</v>
      </c>
      <c r="C167" s="24" t="s">
        <v>235</v>
      </c>
      <c r="D167" s="25">
        <v>0.46</v>
      </c>
      <c r="E167" s="26">
        <v>150</v>
      </c>
      <c r="F167" s="27">
        <f t="shared" si="4"/>
        <v>2.40625</v>
      </c>
      <c r="G167" s="28">
        <v>31.57</v>
      </c>
      <c r="H167" s="29">
        <f t="shared" si="6"/>
        <v>4735.5</v>
      </c>
      <c r="I167" s="25"/>
      <c r="J167" s="25"/>
    </row>
    <row r="168" spans="1:10">
      <c r="A168" s="22" t="s">
        <v>282</v>
      </c>
      <c r="B168" s="23">
        <v>7628</v>
      </c>
      <c r="C168" s="24" t="s">
        <v>237</v>
      </c>
      <c r="D168" s="25">
        <v>0.49</v>
      </c>
      <c r="E168" s="26">
        <v>150</v>
      </c>
      <c r="F168" s="27">
        <f t="shared" si="4"/>
        <v>2.66920731707317</v>
      </c>
      <c r="G168" s="28">
        <v>35.02</v>
      </c>
      <c r="H168" s="29">
        <f t="shared" si="6"/>
        <v>5253</v>
      </c>
      <c r="I168" s="25"/>
      <c r="J168" s="25"/>
    </row>
    <row r="169" spans="1:10">
      <c r="A169" s="22" t="s">
        <v>282</v>
      </c>
      <c r="B169" s="23">
        <v>106</v>
      </c>
      <c r="C169" s="24" t="s">
        <v>259</v>
      </c>
      <c r="D169" s="25">
        <v>0.72</v>
      </c>
      <c r="E169" s="26">
        <v>300</v>
      </c>
      <c r="F169" s="27">
        <f t="shared" si="4"/>
        <v>1.88109756097561</v>
      </c>
      <c r="G169" s="28">
        <v>24.68</v>
      </c>
      <c r="H169" s="29">
        <f t="shared" si="6"/>
        <v>7404</v>
      </c>
      <c r="I169" s="25"/>
      <c r="J169" s="25"/>
    </row>
    <row r="170" spans="1:10">
      <c r="A170" s="22" t="s">
        <v>282</v>
      </c>
      <c r="B170" s="23">
        <v>106</v>
      </c>
      <c r="C170" s="24" t="s">
        <v>262</v>
      </c>
      <c r="D170" s="25">
        <v>0.75</v>
      </c>
      <c r="E170" s="26">
        <v>300</v>
      </c>
      <c r="F170" s="27">
        <f t="shared" si="4"/>
        <v>2.07393292682927</v>
      </c>
      <c r="G170" s="28">
        <v>27.21</v>
      </c>
      <c r="H170" s="29">
        <f t="shared" si="6"/>
        <v>8163</v>
      </c>
      <c r="I170" s="25"/>
      <c r="J170" s="25"/>
    </row>
    <row r="171" spans="1:10">
      <c r="A171" s="22" t="s">
        <v>282</v>
      </c>
      <c r="B171" s="23">
        <v>1067</v>
      </c>
      <c r="C171" s="24" t="s">
        <v>262</v>
      </c>
      <c r="D171" s="25">
        <v>0.75</v>
      </c>
      <c r="E171" s="26">
        <v>300</v>
      </c>
      <c r="F171" s="27">
        <f t="shared" si="4"/>
        <v>2.20121951219512</v>
      </c>
      <c r="G171" s="28">
        <v>28.88</v>
      </c>
      <c r="H171" s="29">
        <f t="shared" si="6"/>
        <v>8664</v>
      </c>
      <c r="I171" s="25"/>
      <c r="J171" s="25"/>
    </row>
    <row r="172" spans="1:10">
      <c r="A172" s="22" t="s">
        <v>282</v>
      </c>
      <c r="B172" s="23">
        <v>1067</v>
      </c>
      <c r="C172" s="24" t="s">
        <v>264</v>
      </c>
      <c r="D172" s="25">
        <v>0.77</v>
      </c>
      <c r="E172" s="26">
        <v>300</v>
      </c>
      <c r="F172" s="27">
        <f t="shared" si="4"/>
        <v>2.34375</v>
      </c>
      <c r="G172" s="28">
        <v>30.75</v>
      </c>
      <c r="H172" s="29">
        <f t="shared" si="6"/>
        <v>9225</v>
      </c>
      <c r="I172" s="25"/>
      <c r="J172" s="25"/>
    </row>
    <row r="173" spans="1:10">
      <c r="A173" s="22" t="s">
        <v>282</v>
      </c>
      <c r="B173" s="23">
        <v>1027</v>
      </c>
      <c r="C173" s="24" t="s">
        <v>257</v>
      </c>
      <c r="D173" s="25">
        <v>0.7</v>
      </c>
      <c r="E173" s="26">
        <v>300</v>
      </c>
      <c r="F173" s="27">
        <f t="shared" si="4"/>
        <v>3.41996951219512</v>
      </c>
      <c r="G173" s="28">
        <v>44.87</v>
      </c>
      <c r="H173" s="29">
        <f t="shared" si="6"/>
        <v>13461</v>
      </c>
      <c r="I173" s="25"/>
      <c r="J173" s="25"/>
    </row>
    <row r="174" spans="1:10">
      <c r="A174" s="22" t="s">
        <v>282</v>
      </c>
      <c r="B174" s="23">
        <v>1027</v>
      </c>
      <c r="C174" s="24" t="s">
        <v>259</v>
      </c>
      <c r="D174" s="25">
        <v>0.72</v>
      </c>
      <c r="E174" s="26">
        <v>300</v>
      </c>
      <c r="F174" s="27">
        <f t="shared" si="4"/>
        <v>3.44740853658537</v>
      </c>
      <c r="G174" s="28">
        <v>45.23</v>
      </c>
      <c r="H174" s="29">
        <f t="shared" si="6"/>
        <v>13569</v>
      </c>
      <c r="I174" s="25"/>
      <c r="J174" s="25"/>
    </row>
    <row r="175" spans="1:10">
      <c r="A175" s="22" t="s">
        <v>282</v>
      </c>
      <c r="B175" s="23">
        <v>1037</v>
      </c>
      <c r="C175" s="24" t="s">
        <v>258</v>
      </c>
      <c r="D175" s="25">
        <v>0.71</v>
      </c>
      <c r="E175" s="26">
        <v>300</v>
      </c>
      <c r="F175" s="27">
        <f t="shared" si="4"/>
        <v>2.1905487804878</v>
      </c>
      <c r="G175" s="28">
        <v>28.74</v>
      </c>
      <c r="H175" s="29">
        <f t="shared" si="6"/>
        <v>8622</v>
      </c>
      <c r="I175" s="25"/>
      <c r="J175" s="25"/>
    </row>
    <row r="176" spans="1:10">
      <c r="A176" s="22" t="s">
        <v>282</v>
      </c>
      <c r="B176" s="23">
        <v>1037</v>
      </c>
      <c r="C176" s="24" t="s">
        <v>260</v>
      </c>
      <c r="D176" s="25">
        <v>0.73</v>
      </c>
      <c r="E176" s="26">
        <v>300</v>
      </c>
      <c r="F176" s="27">
        <f t="shared" si="4"/>
        <v>2.76219512195122</v>
      </c>
      <c r="G176" s="28">
        <v>36.24</v>
      </c>
      <c r="H176" s="29">
        <f t="shared" si="6"/>
        <v>10872</v>
      </c>
      <c r="I176" s="25"/>
      <c r="J176" s="25"/>
    </row>
    <row r="177" spans="1:10">
      <c r="A177" s="22" t="s">
        <v>283</v>
      </c>
      <c r="B177" s="23">
        <v>7628</v>
      </c>
      <c r="C177" s="24" t="s">
        <v>230</v>
      </c>
      <c r="D177" s="25">
        <v>0.48</v>
      </c>
      <c r="E177" s="26">
        <v>150</v>
      </c>
      <c r="F177" s="27">
        <f t="shared" si="4"/>
        <v>3.03734756097561</v>
      </c>
      <c r="G177" s="28">
        <v>39.85</v>
      </c>
      <c r="H177" s="29">
        <f t="shared" ref="H177:H227" si="7">G177*E177</f>
        <v>5977.5</v>
      </c>
      <c r="I177" s="25"/>
      <c r="J177" s="25"/>
    </row>
    <row r="178" spans="1:10">
      <c r="A178" s="22" t="s">
        <v>283</v>
      </c>
      <c r="B178" s="23">
        <v>7628</v>
      </c>
      <c r="C178" s="24" t="s">
        <v>237</v>
      </c>
      <c r="D178" s="25">
        <v>0.49</v>
      </c>
      <c r="E178" s="26">
        <v>150</v>
      </c>
      <c r="F178" s="27">
        <f t="shared" si="4"/>
        <v>3.03734756097561</v>
      </c>
      <c r="G178" s="28">
        <v>39.85</v>
      </c>
      <c r="H178" s="29">
        <f t="shared" si="7"/>
        <v>5977.5</v>
      </c>
      <c r="I178" s="25"/>
      <c r="J178" s="25"/>
    </row>
    <row r="179" spans="1:10">
      <c r="A179" s="22" t="s">
        <v>283</v>
      </c>
      <c r="B179" s="23">
        <v>1080</v>
      </c>
      <c r="C179" s="24" t="s">
        <v>259</v>
      </c>
      <c r="D179" s="25">
        <v>0.72</v>
      </c>
      <c r="E179" s="26">
        <v>300</v>
      </c>
      <c r="F179" s="27">
        <f t="shared" si="4"/>
        <v>2.52057926829268</v>
      </c>
      <c r="G179" s="28">
        <v>33.07</v>
      </c>
      <c r="H179" s="29">
        <f t="shared" si="7"/>
        <v>9921</v>
      </c>
      <c r="I179" s="25"/>
      <c r="J179" s="25"/>
    </row>
    <row r="180" spans="1:10">
      <c r="A180" s="22" t="s">
        <v>283</v>
      </c>
      <c r="B180" s="23">
        <v>1078</v>
      </c>
      <c r="C180" s="24" t="s">
        <v>255</v>
      </c>
      <c r="D180" s="25">
        <v>0.68</v>
      </c>
      <c r="E180" s="26">
        <v>300</v>
      </c>
      <c r="F180" s="27">
        <f t="shared" si="4"/>
        <v>2.60823170731707</v>
      </c>
      <c r="G180" s="28">
        <v>34.22</v>
      </c>
      <c r="H180" s="29">
        <f t="shared" si="7"/>
        <v>10266</v>
      </c>
      <c r="I180" s="25"/>
      <c r="J180" s="25"/>
    </row>
    <row r="181" spans="1:10">
      <c r="A181" s="22" t="s">
        <v>283</v>
      </c>
      <c r="B181" s="23">
        <v>1078</v>
      </c>
      <c r="C181" s="24" t="s">
        <v>256</v>
      </c>
      <c r="D181" s="25">
        <v>0.69</v>
      </c>
      <c r="E181" s="26">
        <v>300</v>
      </c>
      <c r="F181" s="27">
        <f t="shared" si="4"/>
        <v>2.60823170731707</v>
      </c>
      <c r="G181" s="28">
        <v>34.22</v>
      </c>
      <c r="H181" s="29">
        <f t="shared" si="7"/>
        <v>10266</v>
      </c>
      <c r="I181" s="25"/>
      <c r="J181" s="25"/>
    </row>
    <row r="182" spans="1:10">
      <c r="A182" s="22" t="s">
        <v>283</v>
      </c>
      <c r="B182" s="32">
        <v>106</v>
      </c>
      <c r="C182" s="33" t="s">
        <v>262</v>
      </c>
      <c r="D182" s="30">
        <v>0.75</v>
      </c>
      <c r="E182" s="26">
        <v>300</v>
      </c>
      <c r="F182" s="27">
        <f t="shared" si="4"/>
        <v>2.13414634146341</v>
      </c>
      <c r="G182" s="28">
        <v>28</v>
      </c>
      <c r="H182" s="29">
        <f t="shared" si="7"/>
        <v>8400</v>
      </c>
      <c r="I182" s="25"/>
      <c r="J182" s="25"/>
    </row>
    <row r="183" spans="1:10">
      <c r="A183" s="22" t="s">
        <v>283</v>
      </c>
      <c r="B183" s="23">
        <v>2116</v>
      </c>
      <c r="C183" s="24" t="s">
        <v>240</v>
      </c>
      <c r="D183" s="25">
        <v>0.57</v>
      </c>
      <c r="E183" s="26">
        <v>250</v>
      </c>
      <c r="F183" s="27">
        <f t="shared" si="4"/>
        <v>2.58841463414634</v>
      </c>
      <c r="G183" s="28">
        <v>33.96</v>
      </c>
      <c r="H183" s="29">
        <f t="shared" si="7"/>
        <v>8490</v>
      </c>
      <c r="I183" s="25"/>
      <c r="J183" s="25"/>
    </row>
    <row r="184" spans="1:10">
      <c r="A184" s="22" t="s">
        <v>283</v>
      </c>
      <c r="B184" s="23">
        <v>2116</v>
      </c>
      <c r="C184" s="24" t="s">
        <v>248</v>
      </c>
      <c r="D184" s="25">
        <v>0.58</v>
      </c>
      <c r="E184" s="26">
        <v>250</v>
      </c>
      <c r="F184" s="27">
        <f t="shared" si="4"/>
        <v>2.64100609756098</v>
      </c>
      <c r="G184" s="28">
        <v>34.65</v>
      </c>
      <c r="H184" s="29">
        <f t="shared" si="7"/>
        <v>8662.5</v>
      </c>
      <c r="I184" s="25"/>
      <c r="J184" s="25"/>
    </row>
    <row r="185" spans="1:10">
      <c r="A185" s="22" t="s">
        <v>284</v>
      </c>
      <c r="B185" s="23">
        <v>2116</v>
      </c>
      <c r="C185" s="24" t="s">
        <v>242</v>
      </c>
      <c r="D185" s="25">
        <v>0.6</v>
      </c>
      <c r="E185" s="26">
        <v>250</v>
      </c>
      <c r="F185" s="27">
        <f t="shared" si="4"/>
        <v>3.97256097560976</v>
      </c>
      <c r="G185" s="28">
        <v>52.12</v>
      </c>
      <c r="H185" s="29">
        <f t="shared" si="7"/>
        <v>13030</v>
      </c>
      <c r="I185" s="25"/>
      <c r="J185" s="25"/>
    </row>
    <row r="186" spans="1:10">
      <c r="A186" s="22" t="s">
        <v>284</v>
      </c>
      <c r="B186" s="23">
        <v>3313</v>
      </c>
      <c r="C186" s="24" t="s">
        <v>241</v>
      </c>
      <c r="D186" s="25">
        <v>0.59</v>
      </c>
      <c r="E186" s="26">
        <v>300</v>
      </c>
      <c r="F186" s="27">
        <f t="shared" si="4"/>
        <v>3.13262195121951</v>
      </c>
      <c r="G186" s="28">
        <v>41.1</v>
      </c>
      <c r="H186" s="29">
        <f t="shared" si="7"/>
        <v>12330</v>
      </c>
      <c r="I186" s="25"/>
      <c r="J186" s="25"/>
    </row>
    <row r="187" spans="1:10">
      <c r="A187" s="22" t="s">
        <v>285</v>
      </c>
      <c r="B187" s="23">
        <v>106</v>
      </c>
      <c r="C187" s="24" t="s">
        <v>286</v>
      </c>
      <c r="D187" s="25">
        <v>0.79</v>
      </c>
      <c r="E187" s="26">
        <v>300</v>
      </c>
      <c r="F187" s="27">
        <f t="shared" si="4"/>
        <v>3.04573170731707</v>
      </c>
      <c r="G187" s="28">
        <v>39.96</v>
      </c>
      <c r="H187" s="29">
        <f t="shared" si="7"/>
        <v>11988</v>
      </c>
      <c r="I187" s="25"/>
      <c r="J187" s="25"/>
    </row>
    <row r="188" spans="1:10">
      <c r="A188" s="22" t="s">
        <v>285</v>
      </c>
      <c r="B188" s="23">
        <v>106</v>
      </c>
      <c r="C188" s="24" t="s">
        <v>287</v>
      </c>
      <c r="D188" s="25">
        <v>0.81</v>
      </c>
      <c r="E188" s="26">
        <v>300</v>
      </c>
      <c r="F188" s="27">
        <f t="shared" si="4"/>
        <v>3.07164634146341</v>
      </c>
      <c r="G188" s="28">
        <v>40.3</v>
      </c>
      <c r="H188" s="29">
        <f t="shared" si="7"/>
        <v>12090</v>
      </c>
      <c r="I188" s="25"/>
      <c r="J188" s="25"/>
    </row>
    <row r="189" spans="1:10">
      <c r="A189" s="22" t="s">
        <v>285</v>
      </c>
      <c r="B189" s="23">
        <v>1067</v>
      </c>
      <c r="C189" s="24" t="s">
        <v>261</v>
      </c>
      <c r="D189" s="25">
        <v>0.74</v>
      </c>
      <c r="E189" s="26">
        <v>300</v>
      </c>
      <c r="F189" s="27">
        <f t="shared" si="4"/>
        <v>2.95960365853659</v>
      </c>
      <c r="G189" s="28">
        <v>38.83</v>
      </c>
      <c r="H189" s="29">
        <f t="shared" si="7"/>
        <v>11649</v>
      </c>
      <c r="I189" s="25"/>
      <c r="J189" s="25"/>
    </row>
    <row r="190" spans="1:10">
      <c r="A190" s="22" t="s">
        <v>285</v>
      </c>
      <c r="B190" s="23">
        <v>1080</v>
      </c>
      <c r="C190" s="24" t="s">
        <v>254</v>
      </c>
      <c r="D190" s="25">
        <v>0.67</v>
      </c>
      <c r="E190" s="26">
        <v>300</v>
      </c>
      <c r="F190" s="27">
        <f t="shared" si="4"/>
        <v>2.94131097560976</v>
      </c>
      <c r="G190" s="28">
        <v>38.59</v>
      </c>
      <c r="H190" s="29">
        <f t="shared" si="7"/>
        <v>11577</v>
      </c>
      <c r="I190" s="25"/>
      <c r="J190" s="25"/>
    </row>
    <row r="191" spans="1:10">
      <c r="A191" s="22" t="s">
        <v>285</v>
      </c>
      <c r="B191" s="23">
        <v>1080</v>
      </c>
      <c r="C191" s="24" t="s">
        <v>257</v>
      </c>
      <c r="D191" s="25">
        <v>0.7</v>
      </c>
      <c r="E191" s="26">
        <v>300</v>
      </c>
      <c r="F191" s="27">
        <f t="shared" si="4"/>
        <v>2.95807926829268</v>
      </c>
      <c r="G191" s="28">
        <v>38.81</v>
      </c>
      <c r="H191" s="29">
        <f t="shared" si="7"/>
        <v>11643</v>
      </c>
      <c r="I191" s="25"/>
      <c r="J191" s="25"/>
    </row>
    <row r="192" spans="1:10">
      <c r="A192" s="22" t="s">
        <v>285</v>
      </c>
      <c r="B192" s="23">
        <v>1080</v>
      </c>
      <c r="C192" s="24" t="s">
        <v>259</v>
      </c>
      <c r="D192" s="25">
        <v>0.72</v>
      </c>
      <c r="E192" s="26">
        <v>300</v>
      </c>
      <c r="F192" s="27">
        <f t="shared" si="4"/>
        <v>2.96341463414634</v>
      </c>
      <c r="G192" s="28">
        <v>38.88</v>
      </c>
      <c r="H192" s="29">
        <f t="shared" si="7"/>
        <v>11664</v>
      </c>
      <c r="I192" s="25"/>
      <c r="J192" s="25"/>
    </row>
    <row r="193" spans="1:10">
      <c r="A193" s="22" t="s">
        <v>285</v>
      </c>
      <c r="B193" s="23">
        <v>1080</v>
      </c>
      <c r="C193" s="24" t="s">
        <v>262</v>
      </c>
      <c r="D193" s="25">
        <v>0.75</v>
      </c>
      <c r="E193" s="26">
        <v>300</v>
      </c>
      <c r="F193" s="27">
        <f t="shared" si="4"/>
        <v>3.42301829268293</v>
      </c>
      <c r="G193" s="28">
        <v>44.91</v>
      </c>
      <c r="H193" s="29">
        <f t="shared" si="7"/>
        <v>13473</v>
      </c>
      <c r="I193" s="25"/>
      <c r="J193" s="25"/>
    </row>
    <row r="194" spans="1:10">
      <c r="A194" s="22" t="s">
        <v>285</v>
      </c>
      <c r="B194" s="23">
        <v>2116</v>
      </c>
      <c r="C194" s="24" t="s">
        <v>240</v>
      </c>
      <c r="D194" s="25">
        <v>0.57</v>
      </c>
      <c r="E194" s="26">
        <v>250</v>
      </c>
      <c r="F194" s="27">
        <f t="shared" si="4"/>
        <v>3.6577743902439</v>
      </c>
      <c r="G194" s="28">
        <v>47.99</v>
      </c>
      <c r="H194" s="29">
        <f t="shared" si="7"/>
        <v>11997.5</v>
      </c>
      <c r="I194" s="25"/>
      <c r="J194" s="25"/>
    </row>
    <row r="195" spans="1:10">
      <c r="A195" s="22" t="s">
        <v>285</v>
      </c>
      <c r="B195" s="23">
        <v>2116</v>
      </c>
      <c r="C195" s="24" t="s">
        <v>241</v>
      </c>
      <c r="D195" s="25">
        <v>0.59</v>
      </c>
      <c r="E195" s="26">
        <v>250</v>
      </c>
      <c r="F195" s="27">
        <f t="shared" si="4"/>
        <v>3.38871951219512</v>
      </c>
      <c r="G195" s="28">
        <v>44.46</v>
      </c>
      <c r="H195" s="29">
        <f t="shared" si="7"/>
        <v>11115</v>
      </c>
      <c r="I195" s="25"/>
      <c r="J195" s="25"/>
    </row>
    <row r="196" spans="1:10">
      <c r="A196" s="22" t="s">
        <v>285</v>
      </c>
      <c r="B196" s="23">
        <v>2116</v>
      </c>
      <c r="C196" s="24" t="s">
        <v>242</v>
      </c>
      <c r="D196" s="25">
        <v>0.6</v>
      </c>
      <c r="E196" s="26">
        <v>250</v>
      </c>
      <c r="F196" s="27">
        <f t="shared" si="4"/>
        <v>3.56631097560976</v>
      </c>
      <c r="G196" s="28">
        <v>46.79</v>
      </c>
      <c r="H196" s="29">
        <f t="shared" si="7"/>
        <v>11697.5</v>
      </c>
      <c r="I196" s="25"/>
      <c r="J196" s="25"/>
    </row>
    <row r="197" spans="1:10">
      <c r="A197" s="22" t="s">
        <v>285</v>
      </c>
      <c r="B197" s="23">
        <v>2116</v>
      </c>
      <c r="C197" s="24" t="s">
        <v>249</v>
      </c>
      <c r="D197" s="25">
        <v>0.62</v>
      </c>
      <c r="E197" s="26">
        <v>250</v>
      </c>
      <c r="F197" s="27">
        <f t="shared" si="4"/>
        <v>3.73551829268293</v>
      </c>
      <c r="G197" s="28">
        <v>49.01</v>
      </c>
      <c r="H197" s="29">
        <f t="shared" si="7"/>
        <v>12252.5</v>
      </c>
      <c r="I197" s="25"/>
      <c r="J197" s="25"/>
    </row>
    <row r="198" spans="1:10">
      <c r="A198" s="22" t="s">
        <v>288</v>
      </c>
      <c r="B198" s="32">
        <v>106</v>
      </c>
      <c r="C198" s="33" t="s">
        <v>259</v>
      </c>
      <c r="D198" s="30">
        <v>0.72</v>
      </c>
      <c r="E198" s="26">
        <v>300</v>
      </c>
      <c r="F198" s="27">
        <f t="shared" si="4"/>
        <v>1.77057926829268</v>
      </c>
      <c r="G198" s="28">
        <v>23.23</v>
      </c>
      <c r="H198" s="29">
        <f t="shared" si="7"/>
        <v>6969</v>
      </c>
      <c r="I198" s="25"/>
      <c r="J198" s="25"/>
    </row>
    <row r="199" spans="1:10">
      <c r="A199" s="22" t="s">
        <v>288</v>
      </c>
      <c r="B199" s="23">
        <v>106</v>
      </c>
      <c r="C199" s="24" t="s">
        <v>262</v>
      </c>
      <c r="D199" s="25">
        <v>0.75</v>
      </c>
      <c r="E199" s="26">
        <v>300</v>
      </c>
      <c r="F199" s="27">
        <f t="shared" si="4"/>
        <v>1.92378048780488</v>
      </c>
      <c r="G199" s="28">
        <v>25.24</v>
      </c>
      <c r="H199" s="29">
        <f t="shared" si="7"/>
        <v>7572</v>
      </c>
      <c r="I199" s="25"/>
      <c r="J199" s="25"/>
    </row>
    <row r="200" spans="1:10">
      <c r="A200" s="22" t="s">
        <v>288</v>
      </c>
      <c r="B200" s="32">
        <v>1035</v>
      </c>
      <c r="C200" s="33" t="s">
        <v>261</v>
      </c>
      <c r="D200" s="30">
        <v>0.74</v>
      </c>
      <c r="E200" s="26">
        <v>300</v>
      </c>
      <c r="F200" s="27">
        <f t="shared" si="4"/>
        <v>1.95274390243902</v>
      </c>
      <c r="G200" s="28">
        <v>25.62</v>
      </c>
      <c r="H200" s="29">
        <f t="shared" si="7"/>
        <v>7686</v>
      </c>
      <c r="I200" s="25"/>
      <c r="J200" s="25"/>
    </row>
    <row r="201" spans="1:10">
      <c r="A201" s="22" t="s">
        <v>288</v>
      </c>
      <c r="B201" s="23">
        <v>1067</v>
      </c>
      <c r="C201" s="24" t="s">
        <v>257</v>
      </c>
      <c r="D201" s="25">
        <v>0.7</v>
      </c>
      <c r="E201" s="26">
        <v>300</v>
      </c>
      <c r="F201" s="27">
        <f t="shared" si="4"/>
        <v>2.08460365853659</v>
      </c>
      <c r="G201" s="28">
        <v>27.35</v>
      </c>
      <c r="H201" s="29">
        <f t="shared" si="7"/>
        <v>8205</v>
      </c>
      <c r="I201" s="25"/>
      <c r="J201" s="25"/>
    </row>
    <row r="202" spans="1:10">
      <c r="A202" s="22" t="s">
        <v>288</v>
      </c>
      <c r="B202" s="23">
        <v>1078</v>
      </c>
      <c r="C202" s="24" t="s">
        <v>253</v>
      </c>
      <c r="D202" s="25">
        <v>0.66</v>
      </c>
      <c r="E202" s="26">
        <v>300</v>
      </c>
      <c r="F202" s="27">
        <f t="shared" si="4"/>
        <v>2.48780487804878</v>
      </c>
      <c r="G202" s="28">
        <v>32.64</v>
      </c>
      <c r="H202" s="29">
        <f t="shared" si="7"/>
        <v>9792</v>
      </c>
      <c r="I202" s="25"/>
      <c r="J202" s="25"/>
    </row>
    <row r="203" spans="1:10">
      <c r="A203" s="22" t="s">
        <v>288</v>
      </c>
      <c r="B203" s="23">
        <v>1078</v>
      </c>
      <c r="C203" s="24" t="s">
        <v>257</v>
      </c>
      <c r="D203" s="25">
        <v>0.7</v>
      </c>
      <c r="E203" s="26">
        <v>300</v>
      </c>
      <c r="F203" s="27">
        <f t="shared" ref="F203:F266" si="8">G203/13.12</f>
        <v>2.52134146341463</v>
      </c>
      <c r="G203" s="28">
        <v>33.08</v>
      </c>
      <c r="H203" s="29">
        <f t="shared" si="7"/>
        <v>9924</v>
      </c>
      <c r="I203" s="25"/>
      <c r="J203" s="25"/>
    </row>
    <row r="204" spans="1:10">
      <c r="A204" s="22" t="s">
        <v>288</v>
      </c>
      <c r="B204" s="23">
        <v>1080</v>
      </c>
      <c r="C204" s="24" t="s">
        <v>250</v>
      </c>
      <c r="D204" s="25">
        <v>0.63</v>
      </c>
      <c r="E204" s="26">
        <v>300</v>
      </c>
      <c r="F204" s="27">
        <f t="shared" si="8"/>
        <v>1.96951219512195</v>
      </c>
      <c r="G204" s="28">
        <v>25.84</v>
      </c>
      <c r="H204" s="29">
        <f t="shared" si="7"/>
        <v>7752</v>
      </c>
      <c r="I204" s="25"/>
      <c r="J204" s="25"/>
    </row>
    <row r="205" spans="1:10">
      <c r="A205" s="22" t="s">
        <v>288</v>
      </c>
      <c r="B205" s="23">
        <v>1080</v>
      </c>
      <c r="C205" s="24" t="s">
        <v>251</v>
      </c>
      <c r="D205" s="25">
        <v>0.64</v>
      </c>
      <c r="E205" s="26">
        <v>300</v>
      </c>
      <c r="F205" s="27">
        <f t="shared" si="8"/>
        <v>2.28658536585366</v>
      </c>
      <c r="G205" s="28">
        <v>30</v>
      </c>
      <c r="H205" s="29">
        <f t="shared" si="7"/>
        <v>9000</v>
      </c>
      <c r="I205" s="25"/>
      <c r="J205" s="25"/>
    </row>
    <row r="206" spans="1:10">
      <c r="A206" s="22" t="s">
        <v>288</v>
      </c>
      <c r="B206" s="23">
        <v>1080</v>
      </c>
      <c r="C206" s="24" t="s">
        <v>253</v>
      </c>
      <c r="D206" s="25">
        <v>0.66</v>
      </c>
      <c r="E206" s="26">
        <v>300</v>
      </c>
      <c r="F206" s="27">
        <f t="shared" si="8"/>
        <v>2.05335365853659</v>
      </c>
      <c r="G206" s="28">
        <v>26.94</v>
      </c>
      <c r="H206" s="29">
        <f t="shared" si="7"/>
        <v>8082</v>
      </c>
      <c r="I206" s="25"/>
      <c r="J206" s="25"/>
    </row>
    <row r="207" spans="1:10">
      <c r="A207" s="22" t="s">
        <v>288</v>
      </c>
      <c r="B207" s="23">
        <v>2116</v>
      </c>
      <c r="C207" s="24" t="s">
        <v>247</v>
      </c>
      <c r="D207" s="25">
        <v>0.56</v>
      </c>
      <c r="E207" s="26">
        <v>250</v>
      </c>
      <c r="F207" s="27">
        <f t="shared" si="8"/>
        <v>2.38033536585366</v>
      </c>
      <c r="G207" s="28">
        <v>31.23</v>
      </c>
      <c r="H207" s="29">
        <f t="shared" si="7"/>
        <v>7807.5</v>
      </c>
      <c r="I207" s="25"/>
      <c r="J207" s="25"/>
    </row>
    <row r="208" spans="1:10">
      <c r="A208" s="22" t="s">
        <v>288</v>
      </c>
      <c r="B208" s="23">
        <v>3313</v>
      </c>
      <c r="C208" s="24" t="s">
        <v>242</v>
      </c>
      <c r="D208" s="25">
        <v>0.6</v>
      </c>
      <c r="E208" s="26">
        <v>300</v>
      </c>
      <c r="F208" s="27">
        <f t="shared" si="8"/>
        <v>2.52134146341463</v>
      </c>
      <c r="G208" s="28">
        <v>33.08</v>
      </c>
      <c r="H208" s="29">
        <f t="shared" si="7"/>
        <v>9924</v>
      </c>
      <c r="I208" s="25"/>
      <c r="J208" s="25"/>
    </row>
    <row r="209" spans="1:10">
      <c r="A209" s="22" t="s">
        <v>289</v>
      </c>
      <c r="B209" s="23">
        <v>106</v>
      </c>
      <c r="C209" s="24" t="s">
        <v>259</v>
      </c>
      <c r="D209" s="25">
        <v>0.72</v>
      </c>
      <c r="E209" s="26">
        <v>300</v>
      </c>
      <c r="F209" s="27">
        <f t="shared" si="8"/>
        <v>3.50990853658537</v>
      </c>
      <c r="G209" s="28">
        <v>46.05</v>
      </c>
      <c r="H209" s="29">
        <f t="shared" si="7"/>
        <v>13815</v>
      </c>
      <c r="I209" s="25"/>
      <c r="J209" s="25"/>
    </row>
    <row r="210" spans="1:10">
      <c r="A210" s="22" t="s">
        <v>289</v>
      </c>
      <c r="B210" s="23">
        <v>106</v>
      </c>
      <c r="C210" s="24" t="s">
        <v>261</v>
      </c>
      <c r="D210" s="25">
        <v>0.74</v>
      </c>
      <c r="E210" s="26">
        <v>300</v>
      </c>
      <c r="F210" s="27">
        <f t="shared" si="8"/>
        <v>3.19817073170732</v>
      </c>
      <c r="G210" s="28">
        <v>41.96</v>
      </c>
      <c r="H210" s="29">
        <f t="shared" si="7"/>
        <v>12588</v>
      </c>
      <c r="I210" s="25"/>
      <c r="J210" s="25"/>
    </row>
    <row r="211" spans="1:10">
      <c r="A211" s="22" t="s">
        <v>289</v>
      </c>
      <c r="B211" s="23">
        <v>106</v>
      </c>
      <c r="C211" s="24" t="s">
        <v>263</v>
      </c>
      <c r="D211" s="25">
        <v>0.76</v>
      </c>
      <c r="E211" s="26">
        <v>300</v>
      </c>
      <c r="F211" s="27">
        <f t="shared" si="8"/>
        <v>3.21875</v>
      </c>
      <c r="G211" s="28">
        <v>42.23</v>
      </c>
      <c r="H211" s="29">
        <f t="shared" si="7"/>
        <v>12669</v>
      </c>
      <c r="I211" s="25"/>
      <c r="J211" s="25"/>
    </row>
    <row r="212" spans="1:10">
      <c r="A212" s="22" t="s">
        <v>289</v>
      </c>
      <c r="B212" s="23">
        <v>1067</v>
      </c>
      <c r="C212" s="24" t="s">
        <v>256</v>
      </c>
      <c r="D212" s="25">
        <v>0.69</v>
      </c>
      <c r="E212" s="26">
        <v>300</v>
      </c>
      <c r="F212" s="27">
        <f t="shared" si="8"/>
        <v>2.67225609756098</v>
      </c>
      <c r="G212" s="28">
        <v>35.06</v>
      </c>
      <c r="H212" s="29">
        <f t="shared" si="7"/>
        <v>10518</v>
      </c>
      <c r="I212" s="25"/>
      <c r="J212" s="25"/>
    </row>
    <row r="213" spans="1:10">
      <c r="A213" s="22" t="s">
        <v>289</v>
      </c>
      <c r="B213" s="23">
        <v>1078</v>
      </c>
      <c r="C213" s="24" t="s">
        <v>255</v>
      </c>
      <c r="D213" s="25">
        <v>0.68</v>
      </c>
      <c r="E213" s="26">
        <v>300</v>
      </c>
      <c r="F213" s="27">
        <f t="shared" si="8"/>
        <v>4.21646341463415</v>
      </c>
      <c r="G213" s="28">
        <v>55.32</v>
      </c>
      <c r="H213" s="29">
        <f t="shared" si="7"/>
        <v>16596</v>
      </c>
      <c r="I213" s="25"/>
      <c r="J213" s="25"/>
    </row>
    <row r="214" spans="1:10">
      <c r="A214" s="22" t="s">
        <v>289</v>
      </c>
      <c r="B214" s="23">
        <v>1080</v>
      </c>
      <c r="C214" s="24" t="s">
        <v>251</v>
      </c>
      <c r="D214" s="25">
        <v>0.64</v>
      </c>
      <c r="E214" s="26">
        <v>300</v>
      </c>
      <c r="F214" s="27">
        <f t="shared" si="8"/>
        <v>3.65853658536585</v>
      </c>
      <c r="G214" s="28">
        <v>48</v>
      </c>
      <c r="H214" s="29">
        <f t="shared" si="7"/>
        <v>14400</v>
      </c>
      <c r="I214" s="25"/>
      <c r="J214" s="25"/>
    </row>
    <row r="215" spans="1:10">
      <c r="A215" s="22" t="s">
        <v>289</v>
      </c>
      <c r="B215" s="23">
        <v>1080</v>
      </c>
      <c r="C215" s="24" t="s">
        <v>253</v>
      </c>
      <c r="D215" s="25">
        <v>0.66</v>
      </c>
      <c r="E215" s="26">
        <v>300</v>
      </c>
      <c r="F215" s="27">
        <f t="shared" si="8"/>
        <v>3.25381097560976</v>
      </c>
      <c r="G215" s="28">
        <v>42.69</v>
      </c>
      <c r="H215" s="29">
        <f t="shared" si="7"/>
        <v>12807</v>
      </c>
      <c r="I215" s="25"/>
      <c r="J215" s="25"/>
    </row>
    <row r="216" spans="1:10">
      <c r="A216" s="22" t="s">
        <v>289</v>
      </c>
      <c r="B216" s="23">
        <v>1080</v>
      </c>
      <c r="C216" s="24" t="s">
        <v>255</v>
      </c>
      <c r="D216" s="25">
        <v>0.68</v>
      </c>
      <c r="E216" s="26">
        <v>300</v>
      </c>
      <c r="F216" s="27">
        <f t="shared" si="8"/>
        <v>3.40625</v>
      </c>
      <c r="G216" s="28">
        <v>44.69</v>
      </c>
      <c r="H216" s="29">
        <f t="shared" si="7"/>
        <v>13407</v>
      </c>
      <c r="I216" s="25"/>
      <c r="J216" s="25"/>
    </row>
    <row r="217" spans="1:10">
      <c r="A217" s="22" t="s">
        <v>289</v>
      </c>
      <c r="B217" s="23">
        <v>1080</v>
      </c>
      <c r="C217" s="24" t="s">
        <v>257</v>
      </c>
      <c r="D217" s="25">
        <v>0.7</v>
      </c>
      <c r="E217" s="26">
        <v>300</v>
      </c>
      <c r="F217" s="27">
        <f t="shared" si="8"/>
        <v>4.01753048780488</v>
      </c>
      <c r="G217" s="28">
        <v>52.71</v>
      </c>
      <c r="H217" s="29">
        <f t="shared" si="7"/>
        <v>15813</v>
      </c>
      <c r="I217" s="25"/>
      <c r="J217" s="25"/>
    </row>
    <row r="218" spans="1:10">
      <c r="A218" s="22" t="s">
        <v>289</v>
      </c>
      <c r="B218" s="23">
        <v>1080</v>
      </c>
      <c r="C218" s="24" t="s">
        <v>259</v>
      </c>
      <c r="D218" s="25">
        <v>0.72</v>
      </c>
      <c r="E218" s="26">
        <v>300</v>
      </c>
      <c r="F218" s="27">
        <f t="shared" si="8"/>
        <v>5.60213414634146</v>
      </c>
      <c r="G218" s="28">
        <v>73.5</v>
      </c>
      <c r="H218" s="29">
        <f t="shared" si="7"/>
        <v>22050</v>
      </c>
      <c r="I218" s="25"/>
      <c r="J218" s="25"/>
    </row>
    <row r="219" spans="1:10">
      <c r="A219" s="22" t="s">
        <v>289</v>
      </c>
      <c r="B219" s="23">
        <v>2116</v>
      </c>
      <c r="C219" s="24" t="s">
        <v>245</v>
      </c>
      <c r="D219" s="25">
        <v>0.54</v>
      </c>
      <c r="E219" s="26">
        <v>250</v>
      </c>
      <c r="F219" s="27">
        <f t="shared" si="8"/>
        <v>5.60213414634146</v>
      </c>
      <c r="G219" s="28">
        <v>73.5</v>
      </c>
      <c r="H219" s="29">
        <f t="shared" si="7"/>
        <v>18375</v>
      </c>
      <c r="I219" s="25"/>
      <c r="J219" s="25"/>
    </row>
    <row r="220" spans="1:10">
      <c r="A220" s="22" t="s">
        <v>289</v>
      </c>
      <c r="B220" s="23">
        <v>2116</v>
      </c>
      <c r="C220" s="24" t="s">
        <v>247</v>
      </c>
      <c r="D220" s="25">
        <v>0.56</v>
      </c>
      <c r="E220" s="26">
        <v>250</v>
      </c>
      <c r="F220" s="27">
        <f t="shared" si="8"/>
        <v>4.13795731707317</v>
      </c>
      <c r="G220" s="28">
        <v>54.29</v>
      </c>
      <c r="H220" s="29">
        <f t="shared" si="7"/>
        <v>13572.5</v>
      </c>
      <c r="I220" s="25"/>
      <c r="J220" s="25"/>
    </row>
    <row r="221" spans="1:10">
      <c r="A221" s="22" t="s">
        <v>289</v>
      </c>
      <c r="B221" s="23">
        <v>2116</v>
      </c>
      <c r="C221" s="24" t="s">
        <v>240</v>
      </c>
      <c r="D221" s="25">
        <v>0.57</v>
      </c>
      <c r="E221" s="26">
        <v>250</v>
      </c>
      <c r="F221" s="27">
        <f t="shared" si="8"/>
        <v>6.00228658536585</v>
      </c>
      <c r="G221" s="28">
        <v>78.75</v>
      </c>
      <c r="H221" s="29">
        <f t="shared" si="7"/>
        <v>19687.5</v>
      </c>
      <c r="I221" s="25"/>
      <c r="J221" s="25"/>
    </row>
    <row r="222" spans="1:10">
      <c r="A222" s="22" t="s">
        <v>289</v>
      </c>
      <c r="B222" s="23">
        <v>2116</v>
      </c>
      <c r="C222" s="24" t="s">
        <v>248</v>
      </c>
      <c r="D222" s="25">
        <v>0.58</v>
      </c>
      <c r="E222" s="26">
        <v>250</v>
      </c>
      <c r="F222" s="27">
        <f t="shared" si="8"/>
        <v>6.32240853658537</v>
      </c>
      <c r="G222" s="28">
        <v>82.95</v>
      </c>
      <c r="H222" s="29">
        <f t="shared" si="7"/>
        <v>20737.5</v>
      </c>
      <c r="I222" s="25"/>
      <c r="J222" s="25"/>
    </row>
    <row r="223" spans="1:10">
      <c r="A223" s="22" t="s">
        <v>289</v>
      </c>
      <c r="B223" s="23">
        <v>2116</v>
      </c>
      <c r="C223" s="24" t="s">
        <v>241</v>
      </c>
      <c r="D223" s="25">
        <v>0.59</v>
      </c>
      <c r="E223" s="26">
        <v>250</v>
      </c>
      <c r="F223" s="27">
        <f t="shared" si="8"/>
        <v>6.5625</v>
      </c>
      <c r="G223" s="28">
        <v>86.1</v>
      </c>
      <c r="H223" s="29">
        <f t="shared" si="7"/>
        <v>21525</v>
      </c>
      <c r="I223" s="25"/>
      <c r="J223" s="25"/>
    </row>
    <row r="224" spans="1:10">
      <c r="A224" s="22" t="s">
        <v>289</v>
      </c>
      <c r="B224" s="23">
        <v>2116</v>
      </c>
      <c r="C224" s="24" t="s">
        <v>242</v>
      </c>
      <c r="D224" s="25">
        <v>0.6</v>
      </c>
      <c r="E224" s="26">
        <v>250</v>
      </c>
      <c r="F224" s="27">
        <f t="shared" si="8"/>
        <v>5.1219512195122</v>
      </c>
      <c r="G224" s="28">
        <v>67.2</v>
      </c>
      <c r="H224" s="29">
        <f t="shared" si="7"/>
        <v>16800</v>
      </c>
      <c r="I224" s="25"/>
      <c r="J224" s="25"/>
    </row>
    <row r="225" spans="1:10">
      <c r="A225" s="22" t="s">
        <v>289</v>
      </c>
      <c r="B225" s="23">
        <v>3313</v>
      </c>
      <c r="C225" s="24" t="s">
        <v>240</v>
      </c>
      <c r="D225" s="25">
        <v>0.57</v>
      </c>
      <c r="E225" s="26">
        <v>300</v>
      </c>
      <c r="F225" s="27">
        <f t="shared" si="8"/>
        <v>4.16158536585366</v>
      </c>
      <c r="G225" s="28">
        <v>54.6</v>
      </c>
      <c r="H225" s="29">
        <f t="shared" si="7"/>
        <v>16380</v>
      </c>
      <c r="I225" s="25"/>
      <c r="J225" s="25"/>
    </row>
    <row r="226" spans="1:10">
      <c r="A226" s="22" t="s">
        <v>289</v>
      </c>
      <c r="B226" s="23">
        <v>3313</v>
      </c>
      <c r="C226" s="24" t="s">
        <v>241</v>
      </c>
      <c r="D226" s="25">
        <v>0.59</v>
      </c>
      <c r="E226" s="26">
        <v>300</v>
      </c>
      <c r="F226" s="27">
        <f t="shared" si="8"/>
        <v>5.92225609756098</v>
      </c>
      <c r="G226" s="28">
        <v>77.7</v>
      </c>
      <c r="H226" s="29">
        <f t="shared" si="7"/>
        <v>23310</v>
      </c>
      <c r="I226" s="25"/>
      <c r="J226" s="25"/>
    </row>
    <row r="227" spans="1:10">
      <c r="A227" s="22" t="s">
        <v>289</v>
      </c>
      <c r="B227" s="23">
        <v>3313</v>
      </c>
      <c r="C227" s="24" t="s">
        <v>243</v>
      </c>
      <c r="D227" s="25">
        <v>0.61</v>
      </c>
      <c r="E227" s="26">
        <v>300</v>
      </c>
      <c r="F227" s="27">
        <f t="shared" si="8"/>
        <v>6.24237804878049</v>
      </c>
      <c r="G227" s="28">
        <v>81.9</v>
      </c>
      <c r="H227" s="29">
        <f t="shared" si="7"/>
        <v>24570</v>
      </c>
      <c r="I227" s="25"/>
      <c r="J227" s="25"/>
    </row>
    <row r="228" spans="1:10">
      <c r="A228" s="22" t="s">
        <v>290</v>
      </c>
      <c r="B228" s="32">
        <v>1035</v>
      </c>
      <c r="C228" s="33" t="s">
        <v>262</v>
      </c>
      <c r="D228" s="30">
        <v>0.75</v>
      </c>
      <c r="E228" s="26">
        <v>300</v>
      </c>
      <c r="F228" s="27">
        <f t="shared" si="8"/>
        <v>5.10670731707317</v>
      </c>
      <c r="G228" s="28">
        <v>67</v>
      </c>
      <c r="H228" s="29">
        <v>22317</v>
      </c>
      <c r="I228" s="25"/>
      <c r="J228" s="25"/>
    </row>
    <row r="229" spans="1:10">
      <c r="A229" s="22" t="s">
        <v>290</v>
      </c>
      <c r="B229" s="32">
        <v>1080</v>
      </c>
      <c r="C229" s="33" t="s">
        <v>258</v>
      </c>
      <c r="D229" s="30">
        <v>0.71</v>
      </c>
      <c r="E229" s="26">
        <v>300</v>
      </c>
      <c r="F229" s="27">
        <f t="shared" si="8"/>
        <v>6.25</v>
      </c>
      <c r="G229" s="28">
        <v>82</v>
      </c>
      <c r="H229" s="29">
        <v>18585</v>
      </c>
      <c r="I229" s="25"/>
      <c r="J229" s="25"/>
    </row>
    <row r="230" spans="1:10">
      <c r="A230" s="22" t="s">
        <v>291</v>
      </c>
      <c r="B230" s="23">
        <v>106</v>
      </c>
      <c r="C230" s="24" t="s">
        <v>262</v>
      </c>
      <c r="D230" s="25">
        <v>0.75</v>
      </c>
      <c r="E230" s="26">
        <v>300</v>
      </c>
      <c r="F230" s="27">
        <f t="shared" si="8"/>
        <v>5.11966463414634</v>
      </c>
      <c r="G230" s="28">
        <v>67.17</v>
      </c>
      <c r="H230" s="29">
        <f t="shared" ref="H230:H273" si="9">G230*E230</f>
        <v>20151</v>
      </c>
      <c r="I230" s="25"/>
      <c r="J230" s="25"/>
    </row>
    <row r="231" spans="1:10">
      <c r="A231" s="22" t="s">
        <v>291</v>
      </c>
      <c r="B231" s="23">
        <v>1035</v>
      </c>
      <c r="C231" s="24" t="s">
        <v>262</v>
      </c>
      <c r="D231" s="25">
        <v>0.75</v>
      </c>
      <c r="E231" s="26">
        <v>300</v>
      </c>
      <c r="F231" s="27">
        <f t="shared" si="8"/>
        <v>5.66996951219512</v>
      </c>
      <c r="G231" s="28">
        <v>74.39</v>
      </c>
      <c r="H231" s="29">
        <f t="shared" si="9"/>
        <v>22317</v>
      </c>
      <c r="I231" s="25"/>
      <c r="J231" s="25"/>
    </row>
    <row r="232" spans="1:10">
      <c r="A232" s="22" t="s">
        <v>291</v>
      </c>
      <c r="B232" s="23">
        <v>1067</v>
      </c>
      <c r="C232" s="24" t="s">
        <v>253</v>
      </c>
      <c r="D232" s="25">
        <v>0.66</v>
      </c>
      <c r="E232" s="26">
        <v>300</v>
      </c>
      <c r="F232" s="27">
        <f t="shared" si="8"/>
        <v>4.24161585365854</v>
      </c>
      <c r="G232" s="28">
        <v>55.65</v>
      </c>
      <c r="H232" s="29">
        <f t="shared" si="9"/>
        <v>16695</v>
      </c>
      <c r="I232" s="25"/>
      <c r="J232" s="25"/>
    </row>
    <row r="233" spans="1:10">
      <c r="A233" s="22" t="s">
        <v>291</v>
      </c>
      <c r="B233" s="23">
        <v>1067</v>
      </c>
      <c r="C233" s="24" t="s">
        <v>263</v>
      </c>
      <c r="D233" s="25">
        <v>0.76</v>
      </c>
      <c r="E233" s="26">
        <v>300</v>
      </c>
      <c r="F233" s="27">
        <f t="shared" si="8"/>
        <v>5.8422256097561</v>
      </c>
      <c r="G233" s="28">
        <v>76.65</v>
      </c>
      <c r="H233" s="29">
        <f t="shared" si="9"/>
        <v>22995</v>
      </c>
      <c r="I233" s="25"/>
      <c r="J233" s="25"/>
    </row>
    <row r="234" spans="1:10">
      <c r="A234" s="22" t="s">
        <v>291</v>
      </c>
      <c r="B234" s="32">
        <v>1078</v>
      </c>
      <c r="C234" s="33" t="s">
        <v>255</v>
      </c>
      <c r="D234" s="30">
        <v>0.68</v>
      </c>
      <c r="E234" s="26">
        <v>300</v>
      </c>
      <c r="F234" s="27">
        <f t="shared" si="8"/>
        <v>5.5640243902439</v>
      </c>
      <c r="G234" s="28">
        <v>73</v>
      </c>
      <c r="H234" s="29">
        <f t="shared" si="9"/>
        <v>21900</v>
      </c>
      <c r="I234" s="25"/>
      <c r="J234" s="25"/>
    </row>
    <row r="235" spans="1:10">
      <c r="A235" s="22" t="s">
        <v>291</v>
      </c>
      <c r="B235" s="32">
        <v>1078</v>
      </c>
      <c r="C235" s="33" t="s">
        <v>257</v>
      </c>
      <c r="D235" s="30">
        <v>0.7</v>
      </c>
      <c r="E235" s="26">
        <v>300</v>
      </c>
      <c r="F235" s="27">
        <f t="shared" si="8"/>
        <v>6.02134146341463</v>
      </c>
      <c r="G235" s="28">
        <v>79</v>
      </c>
      <c r="H235" s="29">
        <f t="shared" si="9"/>
        <v>23700</v>
      </c>
      <c r="I235" s="25"/>
      <c r="J235" s="25"/>
    </row>
    <row r="236" spans="1:10">
      <c r="A236" s="22" t="s">
        <v>291</v>
      </c>
      <c r="B236" s="23">
        <v>1080</v>
      </c>
      <c r="C236" s="24" t="s">
        <v>252</v>
      </c>
      <c r="D236" s="25">
        <v>0.65</v>
      </c>
      <c r="E236" s="26">
        <v>300</v>
      </c>
      <c r="F236" s="27">
        <f t="shared" si="8"/>
        <v>4.72179878048781</v>
      </c>
      <c r="G236" s="28">
        <v>61.95</v>
      </c>
      <c r="H236" s="29">
        <f t="shared" si="9"/>
        <v>18585</v>
      </c>
      <c r="I236" s="25"/>
      <c r="J236" s="25"/>
    </row>
    <row r="237" spans="1:10">
      <c r="A237" s="22" t="s">
        <v>291</v>
      </c>
      <c r="B237" s="23">
        <v>2116</v>
      </c>
      <c r="C237" s="24" t="s">
        <v>241</v>
      </c>
      <c r="D237" s="25">
        <v>0.59</v>
      </c>
      <c r="E237" s="26">
        <v>250</v>
      </c>
      <c r="F237" s="27">
        <f t="shared" si="8"/>
        <v>7.60289634146342</v>
      </c>
      <c r="G237" s="28">
        <v>99.75</v>
      </c>
      <c r="H237" s="29">
        <f t="shared" si="9"/>
        <v>24937.5</v>
      </c>
      <c r="I237" s="25"/>
      <c r="J237" s="25"/>
    </row>
    <row r="238" spans="1:10">
      <c r="A238" s="22" t="s">
        <v>292</v>
      </c>
      <c r="B238" s="34">
        <v>106</v>
      </c>
      <c r="C238" s="35" t="s">
        <v>263</v>
      </c>
      <c r="D238" s="36">
        <v>0.76</v>
      </c>
      <c r="E238" s="26">
        <v>300</v>
      </c>
      <c r="F238" s="27">
        <f t="shared" si="8"/>
        <v>4.03963414634146</v>
      </c>
      <c r="G238" s="28">
        <v>53</v>
      </c>
      <c r="H238" s="29">
        <f t="shared" si="9"/>
        <v>15900</v>
      </c>
      <c r="I238" s="25"/>
      <c r="J238" s="25"/>
    </row>
    <row r="239" spans="1:10">
      <c r="A239" s="22" t="s">
        <v>292</v>
      </c>
      <c r="B239" s="23">
        <v>1027</v>
      </c>
      <c r="C239" s="24" t="s">
        <v>260</v>
      </c>
      <c r="D239" s="25">
        <v>0.73</v>
      </c>
      <c r="E239" s="26">
        <v>300</v>
      </c>
      <c r="F239" s="27">
        <f t="shared" si="8"/>
        <v>4.0625</v>
      </c>
      <c r="G239" s="28">
        <v>53.3</v>
      </c>
      <c r="H239" s="29">
        <f t="shared" si="9"/>
        <v>15990</v>
      </c>
      <c r="I239" s="25"/>
      <c r="J239" s="25"/>
    </row>
    <row r="240" spans="1:10">
      <c r="A240" s="22" t="s">
        <v>292</v>
      </c>
      <c r="B240" s="23">
        <v>1035</v>
      </c>
      <c r="C240" s="24" t="s">
        <v>260</v>
      </c>
      <c r="D240" s="25">
        <v>0.73</v>
      </c>
      <c r="E240" s="26">
        <v>300</v>
      </c>
      <c r="F240" s="27">
        <f t="shared" si="8"/>
        <v>3.99923780487805</v>
      </c>
      <c r="G240" s="28">
        <v>52.47</v>
      </c>
      <c r="H240" s="29">
        <f t="shared" si="9"/>
        <v>15741</v>
      </c>
      <c r="I240" s="25"/>
      <c r="J240" s="25"/>
    </row>
    <row r="241" spans="1:10">
      <c r="A241" s="22" t="s">
        <v>292</v>
      </c>
      <c r="B241" s="23">
        <v>1035</v>
      </c>
      <c r="C241" s="24" t="s">
        <v>261</v>
      </c>
      <c r="D241" s="25">
        <v>0.74</v>
      </c>
      <c r="E241" s="26">
        <v>300</v>
      </c>
      <c r="F241" s="27">
        <f t="shared" si="8"/>
        <v>4.32774390243902</v>
      </c>
      <c r="G241" s="28">
        <v>56.78</v>
      </c>
      <c r="H241" s="29">
        <f t="shared" si="9"/>
        <v>17034</v>
      </c>
      <c r="I241" s="30"/>
      <c r="J241" s="30"/>
    </row>
    <row r="242" spans="1:10">
      <c r="A242" s="22" t="s">
        <v>292</v>
      </c>
      <c r="B242" s="23">
        <v>1035</v>
      </c>
      <c r="C242" s="24" t="s">
        <v>262</v>
      </c>
      <c r="D242" s="25">
        <v>0.75</v>
      </c>
      <c r="E242" s="26">
        <v>300</v>
      </c>
      <c r="F242" s="27">
        <f t="shared" si="8"/>
        <v>4.86356707317073</v>
      </c>
      <c r="G242" s="28">
        <v>63.81</v>
      </c>
      <c r="H242" s="29">
        <f t="shared" si="9"/>
        <v>19143</v>
      </c>
      <c r="I242" s="25"/>
      <c r="J242" s="25"/>
    </row>
    <row r="243" spans="1:10">
      <c r="A243" s="22" t="s">
        <v>292</v>
      </c>
      <c r="B243" s="32">
        <v>1067</v>
      </c>
      <c r="C243" s="33" t="s">
        <v>257</v>
      </c>
      <c r="D243" s="30">
        <v>0.7</v>
      </c>
      <c r="E243" s="26">
        <v>300</v>
      </c>
      <c r="F243" s="27">
        <f t="shared" si="8"/>
        <v>5.33536585365854</v>
      </c>
      <c r="G243" s="28">
        <v>70</v>
      </c>
      <c r="H243" s="29">
        <f t="shared" si="9"/>
        <v>21000</v>
      </c>
      <c r="I243" s="25"/>
      <c r="J243" s="25"/>
    </row>
    <row r="244" spans="1:10">
      <c r="A244" s="22" t="s">
        <v>292</v>
      </c>
      <c r="B244" s="32">
        <v>1067</v>
      </c>
      <c r="C244" s="33" t="s">
        <v>260</v>
      </c>
      <c r="D244" s="30">
        <v>0.73</v>
      </c>
      <c r="E244" s="26">
        <v>300</v>
      </c>
      <c r="F244" s="27">
        <f t="shared" si="8"/>
        <v>5.52591463414634</v>
      </c>
      <c r="G244" s="28">
        <v>72.5</v>
      </c>
      <c r="H244" s="29">
        <f t="shared" si="9"/>
        <v>21750</v>
      </c>
      <c r="I244" s="25"/>
      <c r="J244" s="25"/>
    </row>
    <row r="245" spans="1:10">
      <c r="A245" s="22" t="s">
        <v>292</v>
      </c>
      <c r="B245" s="32">
        <v>1067</v>
      </c>
      <c r="C245" s="33" t="s">
        <v>262</v>
      </c>
      <c r="D245" s="30">
        <v>0.75</v>
      </c>
      <c r="E245" s="26">
        <v>300</v>
      </c>
      <c r="F245" s="27">
        <f t="shared" si="8"/>
        <v>5.5640243902439</v>
      </c>
      <c r="G245" s="28">
        <v>73</v>
      </c>
      <c r="H245" s="29">
        <f t="shared" si="9"/>
        <v>21900</v>
      </c>
      <c r="I245" s="25"/>
      <c r="J245" s="25"/>
    </row>
    <row r="246" spans="1:10">
      <c r="A246" s="22" t="s">
        <v>292</v>
      </c>
      <c r="B246" s="34">
        <v>1078</v>
      </c>
      <c r="C246" s="35" t="s">
        <v>251</v>
      </c>
      <c r="D246" s="36">
        <v>0.64</v>
      </c>
      <c r="E246" s="26">
        <v>300</v>
      </c>
      <c r="F246" s="27">
        <f t="shared" si="8"/>
        <v>4.53810975609756</v>
      </c>
      <c r="G246" s="28">
        <v>59.54</v>
      </c>
      <c r="H246" s="29">
        <f t="shared" si="9"/>
        <v>17862</v>
      </c>
      <c r="I246" s="25"/>
      <c r="J246" s="25"/>
    </row>
    <row r="247" spans="1:10">
      <c r="A247" s="22" t="s">
        <v>292</v>
      </c>
      <c r="B247" s="23">
        <v>1078</v>
      </c>
      <c r="C247" s="24" t="s">
        <v>253</v>
      </c>
      <c r="D247" s="25">
        <v>0.66</v>
      </c>
      <c r="E247" s="26">
        <v>300</v>
      </c>
      <c r="F247" s="27">
        <f t="shared" si="8"/>
        <v>4.59679878048781</v>
      </c>
      <c r="G247" s="28">
        <v>60.31</v>
      </c>
      <c r="H247" s="29">
        <f t="shared" si="9"/>
        <v>18093</v>
      </c>
      <c r="I247" s="25"/>
      <c r="J247" s="25"/>
    </row>
    <row r="248" spans="1:10">
      <c r="A248" s="22" t="s">
        <v>292</v>
      </c>
      <c r="B248" s="23">
        <v>1078</v>
      </c>
      <c r="C248" s="24" t="s">
        <v>254</v>
      </c>
      <c r="D248" s="25">
        <v>0.67</v>
      </c>
      <c r="E248" s="26">
        <v>300</v>
      </c>
      <c r="F248" s="27">
        <f t="shared" si="8"/>
        <v>4.59679878048781</v>
      </c>
      <c r="G248" s="28">
        <v>60.31</v>
      </c>
      <c r="H248" s="29">
        <f t="shared" si="9"/>
        <v>18093</v>
      </c>
      <c r="I248" s="25"/>
      <c r="J248" s="25"/>
    </row>
    <row r="249" spans="1:10">
      <c r="A249" s="22" t="s">
        <v>292</v>
      </c>
      <c r="B249" s="34">
        <v>1078</v>
      </c>
      <c r="C249" s="35" t="s">
        <v>255</v>
      </c>
      <c r="D249" s="36">
        <v>0.68</v>
      </c>
      <c r="E249" s="26">
        <v>300</v>
      </c>
      <c r="F249" s="27">
        <f t="shared" si="8"/>
        <v>4.74542682926829</v>
      </c>
      <c r="G249" s="28">
        <v>62.26</v>
      </c>
      <c r="H249" s="29">
        <f t="shared" si="9"/>
        <v>18678</v>
      </c>
      <c r="I249" s="25"/>
      <c r="J249" s="25"/>
    </row>
    <row r="250" spans="1:10">
      <c r="A250" s="22" t="s">
        <v>292</v>
      </c>
      <c r="B250" s="34">
        <v>1078</v>
      </c>
      <c r="C250" s="35" t="s">
        <v>256</v>
      </c>
      <c r="D250" s="36">
        <v>0.69</v>
      </c>
      <c r="E250" s="26">
        <v>300</v>
      </c>
      <c r="F250" s="27">
        <f t="shared" si="8"/>
        <v>4.98246951219512</v>
      </c>
      <c r="G250" s="28">
        <v>65.37</v>
      </c>
      <c r="H250" s="29">
        <f t="shared" si="9"/>
        <v>19611</v>
      </c>
      <c r="I250" s="25"/>
      <c r="J250" s="25"/>
    </row>
    <row r="251" spans="1:10">
      <c r="A251" s="22" t="s">
        <v>292</v>
      </c>
      <c r="B251" s="34">
        <v>1078</v>
      </c>
      <c r="C251" s="35" t="s">
        <v>257</v>
      </c>
      <c r="D251" s="36">
        <v>0.7</v>
      </c>
      <c r="E251" s="26">
        <v>300</v>
      </c>
      <c r="F251" s="27">
        <f t="shared" si="8"/>
        <v>4.98246951219512</v>
      </c>
      <c r="G251" s="28">
        <v>65.37</v>
      </c>
      <c r="H251" s="31">
        <f t="shared" si="9"/>
        <v>19611</v>
      </c>
      <c r="I251" s="30"/>
      <c r="J251" s="30"/>
    </row>
    <row r="252" spans="1:10">
      <c r="A252" s="22" t="s">
        <v>292</v>
      </c>
      <c r="B252" s="34">
        <v>1078</v>
      </c>
      <c r="C252" s="35" t="s">
        <v>259</v>
      </c>
      <c r="D252" s="36">
        <v>0.72</v>
      </c>
      <c r="E252" s="26">
        <v>300</v>
      </c>
      <c r="F252" s="27">
        <f t="shared" si="8"/>
        <v>5.63338414634146</v>
      </c>
      <c r="G252" s="28">
        <v>73.91</v>
      </c>
      <c r="H252" s="31">
        <f t="shared" si="9"/>
        <v>22173</v>
      </c>
      <c r="I252" s="30"/>
      <c r="J252" s="30"/>
    </row>
    <row r="253" spans="1:10">
      <c r="A253" s="22" t="s">
        <v>292</v>
      </c>
      <c r="B253" s="23">
        <v>1078</v>
      </c>
      <c r="C253" s="24" t="s">
        <v>261</v>
      </c>
      <c r="D253" s="25">
        <v>0.74</v>
      </c>
      <c r="E253" s="26">
        <v>300</v>
      </c>
      <c r="F253" s="27">
        <f t="shared" si="8"/>
        <v>6.36737804878049</v>
      </c>
      <c r="G253" s="28">
        <v>83.54</v>
      </c>
      <c r="H253" s="29">
        <f t="shared" si="9"/>
        <v>25062</v>
      </c>
      <c r="I253" s="25"/>
      <c r="J253" s="25"/>
    </row>
    <row r="254" spans="1:10">
      <c r="A254" s="22" t="s">
        <v>292</v>
      </c>
      <c r="B254" s="23">
        <v>1080</v>
      </c>
      <c r="C254" s="24" t="s">
        <v>251</v>
      </c>
      <c r="D254" s="25">
        <v>0.64</v>
      </c>
      <c r="E254" s="26">
        <v>300</v>
      </c>
      <c r="F254" s="27">
        <f t="shared" si="8"/>
        <v>4.96036585365854</v>
      </c>
      <c r="G254" s="28">
        <v>65.08</v>
      </c>
      <c r="H254" s="29">
        <f t="shared" si="9"/>
        <v>19524</v>
      </c>
      <c r="I254" s="25"/>
      <c r="J254" s="25"/>
    </row>
    <row r="255" spans="1:10">
      <c r="A255" s="22" t="s">
        <v>292</v>
      </c>
      <c r="B255" s="23">
        <v>1080</v>
      </c>
      <c r="C255" s="24" t="s">
        <v>254</v>
      </c>
      <c r="D255" s="25">
        <v>0.67</v>
      </c>
      <c r="E255" s="26">
        <v>300</v>
      </c>
      <c r="F255" s="27">
        <f t="shared" si="8"/>
        <v>5.36051829268293</v>
      </c>
      <c r="G255" s="28">
        <v>70.33</v>
      </c>
      <c r="H255" s="29">
        <f t="shared" si="9"/>
        <v>21099</v>
      </c>
      <c r="I255" s="25"/>
      <c r="J255" s="25"/>
    </row>
    <row r="256" spans="1:10">
      <c r="A256" s="22" t="s">
        <v>292</v>
      </c>
      <c r="B256" s="23">
        <v>1080</v>
      </c>
      <c r="C256" s="24" t="s">
        <v>255</v>
      </c>
      <c r="D256" s="25">
        <v>0.68</v>
      </c>
      <c r="E256" s="26">
        <v>300</v>
      </c>
      <c r="F256" s="27">
        <f t="shared" si="8"/>
        <v>4.75457317073171</v>
      </c>
      <c r="G256" s="28">
        <v>62.38</v>
      </c>
      <c r="H256" s="29">
        <f t="shared" si="9"/>
        <v>18714</v>
      </c>
      <c r="I256" s="25"/>
      <c r="J256" s="25"/>
    </row>
    <row r="257" spans="1:10">
      <c r="A257" s="22" t="s">
        <v>292</v>
      </c>
      <c r="B257" s="23">
        <v>1080</v>
      </c>
      <c r="C257" s="24" t="s">
        <v>256</v>
      </c>
      <c r="D257" s="25">
        <v>0.69</v>
      </c>
      <c r="E257" s="26">
        <v>300</v>
      </c>
      <c r="F257" s="27">
        <f t="shared" si="8"/>
        <v>4.86128048780488</v>
      </c>
      <c r="G257" s="28">
        <v>63.78</v>
      </c>
      <c r="H257" s="29">
        <f t="shared" si="9"/>
        <v>19134</v>
      </c>
      <c r="I257" s="25"/>
      <c r="J257" s="25"/>
    </row>
    <row r="258" spans="1:10">
      <c r="A258" s="22" t="s">
        <v>292</v>
      </c>
      <c r="B258" s="23">
        <v>1080</v>
      </c>
      <c r="C258" s="24" t="s">
        <v>258</v>
      </c>
      <c r="D258" s="25">
        <v>0.71</v>
      </c>
      <c r="E258" s="26">
        <v>300</v>
      </c>
      <c r="F258" s="27">
        <f t="shared" si="8"/>
        <v>5.68673780487805</v>
      </c>
      <c r="G258" s="28">
        <v>74.61</v>
      </c>
      <c r="H258" s="31">
        <f t="shared" si="9"/>
        <v>22383</v>
      </c>
      <c r="I258" s="30"/>
      <c r="J258" s="30"/>
    </row>
    <row r="259" spans="1:10">
      <c r="A259" s="22" t="s">
        <v>292</v>
      </c>
      <c r="B259" s="23">
        <v>1080</v>
      </c>
      <c r="C259" s="24" t="s">
        <v>259</v>
      </c>
      <c r="D259" s="25">
        <v>0.72</v>
      </c>
      <c r="E259" s="26">
        <v>300</v>
      </c>
      <c r="F259" s="27">
        <f t="shared" si="8"/>
        <v>6.21875</v>
      </c>
      <c r="G259" s="28">
        <v>81.59</v>
      </c>
      <c r="H259" s="29">
        <f t="shared" si="9"/>
        <v>24477</v>
      </c>
      <c r="I259" s="25"/>
      <c r="J259" s="25"/>
    </row>
    <row r="260" spans="1:10">
      <c r="A260" s="22" t="s">
        <v>292</v>
      </c>
      <c r="B260" s="23">
        <v>2116</v>
      </c>
      <c r="C260" s="24" t="s">
        <v>247</v>
      </c>
      <c r="D260" s="25">
        <v>0.56</v>
      </c>
      <c r="E260" s="26">
        <v>250</v>
      </c>
      <c r="F260" s="27">
        <f t="shared" si="8"/>
        <v>6.07164634146341</v>
      </c>
      <c r="G260" s="28">
        <v>79.66</v>
      </c>
      <c r="H260" s="29">
        <f t="shared" si="9"/>
        <v>19915</v>
      </c>
      <c r="I260" s="25"/>
      <c r="J260" s="25"/>
    </row>
    <row r="261" spans="1:10">
      <c r="A261" s="22" t="s">
        <v>292</v>
      </c>
      <c r="B261" s="23">
        <v>3313</v>
      </c>
      <c r="C261" s="24" t="s">
        <v>240</v>
      </c>
      <c r="D261" s="25">
        <v>0.57</v>
      </c>
      <c r="E261" s="26">
        <v>300</v>
      </c>
      <c r="F261" s="27">
        <f t="shared" si="8"/>
        <v>4.34603658536585</v>
      </c>
      <c r="G261" s="28">
        <v>57.02</v>
      </c>
      <c r="H261" s="29">
        <f t="shared" si="9"/>
        <v>17106</v>
      </c>
      <c r="I261" s="25"/>
      <c r="J261" s="25"/>
    </row>
    <row r="262" spans="1:10">
      <c r="A262" s="22" t="s">
        <v>292</v>
      </c>
      <c r="B262" s="23">
        <v>3313</v>
      </c>
      <c r="C262" s="24" t="s">
        <v>248</v>
      </c>
      <c r="D262" s="25">
        <v>0.58</v>
      </c>
      <c r="E262" s="26">
        <v>300</v>
      </c>
      <c r="F262" s="27">
        <f t="shared" si="8"/>
        <v>4.36509146341463</v>
      </c>
      <c r="G262" s="28">
        <v>57.27</v>
      </c>
      <c r="H262" s="31">
        <f t="shared" si="9"/>
        <v>17181</v>
      </c>
      <c r="I262" s="30"/>
      <c r="J262" s="30"/>
    </row>
    <row r="263" spans="1:10">
      <c r="A263" s="22" t="s">
        <v>293</v>
      </c>
      <c r="B263" s="32">
        <v>1078</v>
      </c>
      <c r="C263" s="33" t="s">
        <v>258</v>
      </c>
      <c r="D263" s="30">
        <v>0.71</v>
      </c>
      <c r="E263" s="26">
        <v>300</v>
      </c>
      <c r="F263" s="27">
        <f t="shared" si="8"/>
        <v>9.52743902439024</v>
      </c>
      <c r="G263" s="28">
        <v>125</v>
      </c>
      <c r="H263" s="37">
        <f t="shared" si="9"/>
        <v>37500</v>
      </c>
      <c r="I263" s="25"/>
      <c r="J263" s="25"/>
    </row>
    <row r="264" spans="1:10">
      <c r="A264" s="22" t="s">
        <v>293</v>
      </c>
      <c r="B264" s="32">
        <v>2116</v>
      </c>
      <c r="C264" s="33" t="s">
        <v>247</v>
      </c>
      <c r="D264" s="30">
        <v>0.56</v>
      </c>
      <c r="E264" s="26">
        <v>250</v>
      </c>
      <c r="F264" s="27">
        <f t="shared" si="8"/>
        <v>10.6707317073171</v>
      </c>
      <c r="G264" s="28">
        <v>140</v>
      </c>
      <c r="H264" s="37">
        <f t="shared" si="9"/>
        <v>35000</v>
      </c>
      <c r="I264" s="25"/>
      <c r="J264" s="25"/>
    </row>
    <row r="265" spans="1:10">
      <c r="A265" s="22" t="s">
        <v>209</v>
      </c>
      <c r="B265" s="23">
        <v>1067</v>
      </c>
      <c r="C265" s="24" t="s">
        <v>260</v>
      </c>
      <c r="D265" s="25">
        <v>0.73</v>
      </c>
      <c r="E265" s="26">
        <v>300</v>
      </c>
      <c r="F265" s="27">
        <f t="shared" si="8"/>
        <v>9.08384146341464</v>
      </c>
      <c r="G265" s="28">
        <v>119.18</v>
      </c>
      <c r="H265" s="29">
        <f t="shared" si="9"/>
        <v>35754</v>
      </c>
      <c r="I265" s="25"/>
      <c r="J265" s="25"/>
    </row>
    <row r="266" spans="1:10">
      <c r="A266" s="22" t="s">
        <v>209</v>
      </c>
      <c r="B266" s="23">
        <v>1080</v>
      </c>
      <c r="C266" s="24" t="s">
        <v>256</v>
      </c>
      <c r="D266" s="25">
        <v>0.69</v>
      </c>
      <c r="E266" s="26">
        <v>300</v>
      </c>
      <c r="F266" s="27">
        <f t="shared" si="8"/>
        <v>9.6859756097561</v>
      </c>
      <c r="G266" s="28">
        <v>127.08</v>
      </c>
      <c r="H266" s="29">
        <f t="shared" si="9"/>
        <v>38124</v>
      </c>
      <c r="I266" s="25"/>
      <c r="J266" s="25"/>
    </row>
    <row r="267" spans="1:10">
      <c r="A267" s="22" t="s">
        <v>294</v>
      </c>
      <c r="B267" s="23">
        <v>1035</v>
      </c>
      <c r="C267" s="24" t="s">
        <v>262</v>
      </c>
      <c r="D267" s="25">
        <v>0.75</v>
      </c>
      <c r="E267" s="26">
        <v>300</v>
      </c>
      <c r="F267" s="27">
        <f t="shared" ref="F267:F273" si="10">G267/13.12</f>
        <v>13.407012195122</v>
      </c>
      <c r="G267" s="28">
        <v>175.9</v>
      </c>
      <c r="H267" s="29">
        <f t="shared" si="9"/>
        <v>52770</v>
      </c>
      <c r="I267" s="25"/>
      <c r="J267" s="25"/>
    </row>
    <row r="268" spans="1:10">
      <c r="A268" s="22" t="s">
        <v>294</v>
      </c>
      <c r="B268" s="23">
        <v>3313</v>
      </c>
      <c r="C268" s="24" t="s">
        <v>248</v>
      </c>
      <c r="D268" s="25">
        <v>0.58</v>
      </c>
      <c r="E268" s="26">
        <v>300</v>
      </c>
      <c r="F268" s="27">
        <f t="shared" si="10"/>
        <v>14.141006097561</v>
      </c>
      <c r="G268" s="28">
        <v>185.53</v>
      </c>
      <c r="H268" s="29">
        <f t="shared" si="9"/>
        <v>55659</v>
      </c>
      <c r="I268" s="25"/>
      <c r="J268" s="25"/>
    </row>
    <row r="269" spans="1:10">
      <c r="A269" s="22" t="s">
        <v>294</v>
      </c>
      <c r="B269" s="23">
        <v>2116</v>
      </c>
      <c r="C269" s="24" t="s">
        <v>246</v>
      </c>
      <c r="D269" s="25">
        <v>0.55</v>
      </c>
      <c r="E269" s="26">
        <v>300</v>
      </c>
      <c r="F269" s="27">
        <f t="shared" si="10"/>
        <v>15.0891768292683</v>
      </c>
      <c r="G269" s="28">
        <v>197.97</v>
      </c>
      <c r="H269" s="29">
        <f t="shared" si="9"/>
        <v>59391</v>
      </c>
      <c r="I269" s="25"/>
      <c r="J269" s="25"/>
    </row>
    <row r="270" spans="1:10">
      <c r="A270" s="22" t="s">
        <v>294</v>
      </c>
      <c r="B270" s="23">
        <v>1078</v>
      </c>
      <c r="C270" s="24" t="s">
        <v>260</v>
      </c>
      <c r="D270" s="25">
        <v>0.73</v>
      </c>
      <c r="E270" s="26">
        <v>300</v>
      </c>
      <c r="F270" s="27">
        <f t="shared" si="10"/>
        <v>17.0243902439024</v>
      </c>
      <c r="G270" s="28">
        <v>223.36</v>
      </c>
      <c r="H270" s="29">
        <f t="shared" si="9"/>
        <v>67008</v>
      </c>
      <c r="I270" s="25"/>
      <c r="J270" s="25"/>
    </row>
    <row r="271" spans="1:10">
      <c r="A271" s="22" t="s">
        <v>211</v>
      </c>
      <c r="B271" s="23">
        <v>1035</v>
      </c>
      <c r="C271" s="24" t="s">
        <v>262</v>
      </c>
      <c r="D271" s="25">
        <v>0.75</v>
      </c>
      <c r="E271" s="26">
        <v>300</v>
      </c>
      <c r="F271" s="27">
        <f t="shared" si="10"/>
        <v>6.66615853658537</v>
      </c>
      <c r="G271" s="28">
        <v>87.46</v>
      </c>
      <c r="H271" s="29">
        <f t="shared" si="9"/>
        <v>26238</v>
      </c>
      <c r="I271" s="25"/>
      <c r="J271" s="25"/>
    </row>
    <row r="272" spans="1:10">
      <c r="A272" s="22" t="s">
        <v>211</v>
      </c>
      <c r="B272" s="32">
        <v>1078</v>
      </c>
      <c r="C272" s="33" t="s">
        <v>257</v>
      </c>
      <c r="D272" s="30">
        <v>0.7</v>
      </c>
      <c r="E272" s="26">
        <v>300</v>
      </c>
      <c r="F272" s="27">
        <f t="shared" si="10"/>
        <v>8.00304878048781</v>
      </c>
      <c r="G272" s="28">
        <v>105</v>
      </c>
      <c r="H272" s="37">
        <f t="shared" si="9"/>
        <v>31500</v>
      </c>
      <c r="I272" s="25"/>
      <c r="J272" s="25"/>
    </row>
    <row r="273" spans="1:10">
      <c r="A273" s="22" t="s">
        <v>211</v>
      </c>
      <c r="B273" s="32">
        <v>2116</v>
      </c>
      <c r="C273" s="33" t="s">
        <v>248</v>
      </c>
      <c r="D273" s="30">
        <v>0.58</v>
      </c>
      <c r="E273" s="26">
        <v>250</v>
      </c>
      <c r="F273" s="27">
        <f t="shared" si="10"/>
        <v>9.22256097560976</v>
      </c>
      <c r="G273" s="28">
        <v>121</v>
      </c>
      <c r="H273" s="37">
        <f t="shared" si="9"/>
        <v>30250</v>
      </c>
      <c r="I273" s="25"/>
      <c r="J273" s="25"/>
    </row>
    <row r="275" ht="15.6" spans="1:10">
      <c r="A275" s="38" t="s">
        <v>213</v>
      </c>
      <c r="B275" s="38"/>
      <c r="C275" s="38"/>
      <c r="D275" s="39"/>
      <c r="E275" s="38"/>
      <c r="F275" s="38"/>
      <c r="G275" s="38"/>
      <c r="H275" s="38"/>
      <c r="I275" s="38"/>
      <c r="J275" s="38"/>
    </row>
    <row r="276" ht="15.6" spans="1:10">
      <c r="A276" s="38" t="s">
        <v>214</v>
      </c>
      <c r="B276" s="38"/>
      <c r="C276" s="38"/>
      <c r="D276" s="39"/>
      <c r="E276" s="38"/>
      <c r="F276" s="38"/>
      <c r="G276" s="38"/>
      <c r="H276" s="38"/>
      <c r="I276" s="38"/>
      <c r="J276" s="38"/>
    </row>
    <row r="277" ht="15.6" spans="1:10">
      <c r="A277" s="38" t="s">
        <v>215</v>
      </c>
      <c r="B277" s="38"/>
      <c r="C277" s="38"/>
      <c r="D277" s="39"/>
      <c r="E277" s="38"/>
      <c r="F277" s="38"/>
      <c r="G277" s="38"/>
      <c r="H277" s="38"/>
      <c r="I277" s="38"/>
      <c r="J277" s="38"/>
    </row>
  </sheetData>
  <mergeCells count="12">
    <mergeCell ref="A1:J1"/>
    <mergeCell ref="A2:J2"/>
    <mergeCell ref="A3:J3"/>
    <mergeCell ref="A4:J4"/>
    <mergeCell ref="A5:J5"/>
    <mergeCell ref="A6:J6"/>
    <mergeCell ref="A7:J7"/>
    <mergeCell ref="A8:J8"/>
    <mergeCell ref="F9:J9"/>
    <mergeCell ref="A275:J275"/>
    <mergeCell ref="A276:J276"/>
    <mergeCell ref="A277:J277"/>
  </mergeCells>
  <conditionalFormatting sqref="B90">
    <cfRule type="expression" dxfId="0" priority="3">
      <formula>OR(CELL("row")=ROW(),CELL("col")=COLUMN())</formula>
    </cfRule>
    <cfRule type="expression" dxfId="1" priority="4">
      <formula>"CELL(""row"")=ROW()"</formula>
    </cfRule>
  </conditionalFormatting>
  <conditionalFormatting sqref="B100">
    <cfRule type="expression" dxfId="0" priority="1">
      <formula>OR(CELL("row")=ROW(),CELL("col")=COLUMN())</formula>
    </cfRule>
    <cfRule type="expression" dxfId="1" priority="2">
      <formula>"CELL(""row"")=ROW()"</formula>
    </cfRule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CCL</vt:lpstr>
      <vt:lpstr>PP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22197</dc:creator>
  <cp:lastModifiedBy>Flora.</cp:lastModifiedBy>
  <dcterms:created xsi:type="dcterms:W3CDTF">2026-05-15T02:14:34Z</dcterms:created>
  <dcterms:modified xsi:type="dcterms:W3CDTF">2026-05-15T02:15:21Z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61A3D7E9DA3845B0AF3E0B2BD321269E_11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