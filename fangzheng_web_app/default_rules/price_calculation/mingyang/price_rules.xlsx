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通用PP" sheetId="1" r:id="rId1"/>
    <sheet name="通用CCL" sheetId="2" r:id="rId2"/>
    <sheet name="通用CCL 高速" sheetId="3" r:id="rId3"/>
    <sheet name="高速PP" sheetId="4" r:id="rId4"/>
  </sheets>
  <definedNames>
    <definedName name="_xlnm._FilterDatabase" localSheetId="0" hidden="1">通用PP!$A$8:$L$70</definedName>
    <definedName name="_xlnm._FilterDatabase" localSheetId="1" hidden="1">通用CCL!$B$8:$R$208</definedName>
    <definedName name="_xlnm._FilterDatabase" localSheetId="2" hidden="1">'通用CCL 高速'!$B$8:$P$121</definedName>
    <definedName name="_xlnm._FilterDatabase" localSheetId="3" hidden="1">高速PP!$A$8:$L$80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<sst xmlns="http://schemas.openxmlformats.org/spreadsheetml/2006/main" count="2508" uniqueCount="265">
  <si>
    <r>
      <rPr>
        <b/>
        <sz val="18"/>
        <rFont val="Times New Roman"/>
        <charset val="134"/>
      </rPr>
      <t xml:space="preserve">       </t>
    </r>
    <r>
      <rPr>
        <b/>
        <sz val="18"/>
        <rFont val="宋体"/>
        <charset val="134"/>
      </rPr>
      <t>南</t>
    </r>
    <r>
      <rPr>
        <b/>
        <sz val="18"/>
        <rFont val="Times New Roman"/>
        <charset val="134"/>
      </rPr>
      <t xml:space="preserve"> </t>
    </r>
    <r>
      <rPr>
        <b/>
        <sz val="18"/>
        <rFont val="宋体"/>
        <charset val="134"/>
      </rPr>
      <t>亚</t>
    </r>
    <r>
      <rPr>
        <b/>
        <sz val="18"/>
        <rFont val="Times New Roman"/>
        <charset val="134"/>
      </rPr>
      <t xml:space="preserve"> </t>
    </r>
    <r>
      <rPr>
        <b/>
        <sz val="18"/>
        <rFont val="宋体"/>
        <charset val="134"/>
      </rPr>
      <t>新</t>
    </r>
    <r>
      <rPr>
        <b/>
        <sz val="18"/>
        <rFont val="Times New Roman"/>
        <charset val="134"/>
      </rPr>
      <t xml:space="preserve"> </t>
    </r>
    <r>
      <rPr>
        <b/>
        <sz val="18"/>
        <rFont val="宋体"/>
        <charset val="134"/>
      </rPr>
      <t>材</t>
    </r>
    <r>
      <rPr>
        <b/>
        <sz val="18"/>
        <rFont val="Times New Roman"/>
        <charset val="134"/>
      </rPr>
      <t xml:space="preserve"> </t>
    </r>
    <r>
      <rPr>
        <b/>
        <sz val="18"/>
        <rFont val="宋体"/>
        <charset val="134"/>
      </rPr>
      <t>料</t>
    </r>
    <r>
      <rPr>
        <b/>
        <sz val="18"/>
        <rFont val="Times New Roman"/>
        <charset val="134"/>
      </rPr>
      <t xml:space="preserve"> </t>
    </r>
    <r>
      <rPr>
        <b/>
        <sz val="18"/>
        <rFont val="宋体"/>
        <charset val="134"/>
      </rPr>
      <t>科</t>
    </r>
    <r>
      <rPr>
        <b/>
        <sz val="18"/>
        <rFont val="Times New Roman"/>
        <charset val="134"/>
      </rPr>
      <t xml:space="preserve"> </t>
    </r>
    <r>
      <rPr>
        <b/>
        <sz val="18"/>
        <rFont val="宋体"/>
        <charset val="134"/>
      </rPr>
      <t>技</t>
    </r>
    <r>
      <rPr>
        <b/>
        <sz val="18"/>
        <rFont val="Times New Roman"/>
        <charset val="134"/>
      </rPr>
      <t xml:space="preserve"> </t>
    </r>
    <r>
      <rPr>
        <b/>
        <sz val="18"/>
        <rFont val="宋体"/>
        <charset val="134"/>
      </rPr>
      <t>股</t>
    </r>
    <r>
      <rPr>
        <b/>
        <sz val="18"/>
        <rFont val="Times New Roman"/>
        <charset val="134"/>
      </rPr>
      <t xml:space="preserve"> </t>
    </r>
    <r>
      <rPr>
        <b/>
        <sz val="18"/>
        <rFont val="宋体"/>
        <charset val="134"/>
      </rPr>
      <t>份</t>
    </r>
    <r>
      <rPr>
        <b/>
        <sz val="18"/>
        <rFont val="Times New Roman"/>
        <charset val="134"/>
      </rPr>
      <t xml:space="preserve"> </t>
    </r>
    <r>
      <rPr>
        <b/>
        <sz val="18"/>
        <rFont val="宋体"/>
        <charset val="134"/>
      </rPr>
      <t>有</t>
    </r>
    <r>
      <rPr>
        <b/>
        <sz val="18"/>
        <rFont val="Times New Roman"/>
        <charset val="134"/>
      </rPr>
      <t xml:space="preserve"> </t>
    </r>
    <r>
      <rPr>
        <b/>
        <sz val="18"/>
        <rFont val="宋体"/>
        <charset val="134"/>
      </rPr>
      <t>限</t>
    </r>
    <r>
      <rPr>
        <b/>
        <sz val="18"/>
        <rFont val="Times New Roman"/>
        <charset val="134"/>
      </rPr>
      <t xml:space="preserve"> </t>
    </r>
    <r>
      <rPr>
        <b/>
        <sz val="18"/>
        <rFont val="宋体"/>
        <charset val="134"/>
      </rPr>
      <t>公</t>
    </r>
    <r>
      <rPr>
        <b/>
        <sz val="18"/>
        <rFont val="Times New Roman"/>
        <charset val="134"/>
      </rPr>
      <t xml:space="preserve"> </t>
    </r>
    <r>
      <rPr>
        <b/>
        <sz val="18"/>
        <rFont val="宋体"/>
        <charset val="134"/>
      </rPr>
      <t>司</t>
    </r>
  </si>
  <si>
    <t>地址：上海市嘉定区南翔镇昌翔路158号</t>
  </si>
  <si>
    <t xml:space="preserve">       TEL:0755-33653939  FAX: 0755-23706252</t>
  </si>
  <si>
    <r>
      <rPr>
        <sz val="11"/>
        <rFont val="宋体"/>
        <charset val="134"/>
      </rPr>
      <t>客户名称：深圳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九江明阳电路科技股份有限公司</t>
    </r>
    <r>
      <rPr>
        <sz val="11"/>
        <rFont val="Times New Roman"/>
        <charset val="134"/>
      </rPr>
      <t xml:space="preserve">  </t>
    </r>
  </si>
  <si>
    <t>发 件 人：耿挺/徐书英</t>
  </si>
  <si>
    <r>
      <rPr>
        <sz val="11"/>
        <rFont val="宋体"/>
        <charset val="134"/>
      </rPr>
      <t>收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件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人：杨林小姐</t>
    </r>
  </si>
  <si>
    <t>价格有效期开始：2026年6月1日</t>
  </si>
  <si>
    <r>
      <rPr>
        <sz val="11"/>
        <rFont val="宋体"/>
        <charset val="134"/>
      </rPr>
      <t>抄</t>
    </r>
    <r>
      <rPr>
        <sz val="11"/>
        <rFont val="Times New Roman"/>
        <charset val="134"/>
      </rPr>
      <t xml:space="preserve">    </t>
    </r>
    <r>
      <rPr>
        <sz val="11"/>
        <rFont val="宋体"/>
        <charset val="134"/>
      </rPr>
      <t>送：粟总</t>
    </r>
  </si>
  <si>
    <t>基板报价单</t>
  </si>
  <si>
    <t>序号</t>
  </si>
  <si>
    <t>产品型号</t>
  </si>
  <si>
    <t>布种</t>
  </si>
  <si>
    <t>RC含量</t>
  </si>
  <si>
    <t>长度</t>
  </si>
  <si>
    <t>宽幅</t>
  </si>
  <si>
    <t>新价格</t>
  </si>
  <si>
    <t>SF价格</t>
  </si>
  <si>
    <t>整卷价格
元/卷</t>
  </si>
  <si>
    <r>
      <rPr>
        <sz val="12"/>
        <rFont val="宋体"/>
        <charset val="134"/>
      </rPr>
      <t>单价</t>
    </r>
    <r>
      <rPr>
        <b/>
        <sz val="12"/>
        <rFont val="宋体"/>
        <charset val="134"/>
      </rPr>
      <t>原价</t>
    </r>
    <r>
      <rPr>
        <sz val="12"/>
        <rFont val="宋体"/>
        <charset val="134"/>
      </rPr>
      <t xml:space="preserve">
（元/米）</t>
    </r>
  </si>
  <si>
    <t>调整幅度%</t>
  </si>
  <si>
    <t>备注</t>
  </si>
  <si>
    <t>NY2150P</t>
  </si>
  <si>
    <t>7628</t>
  </si>
  <si>
    <t>43-44%</t>
  </si>
  <si>
    <t>45-46%</t>
  </si>
  <si>
    <t>47-48%</t>
  </si>
  <si>
    <t>49-50%</t>
  </si>
  <si>
    <t>51-52%</t>
  </si>
  <si>
    <t>2313</t>
  </si>
  <si>
    <t>55~57%</t>
  </si>
  <si>
    <t>2116</t>
  </si>
  <si>
    <t>50~53%</t>
  </si>
  <si>
    <t>54~55%</t>
  </si>
  <si>
    <t>56~57%</t>
  </si>
  <si>
    <t>58~59%</t>
  </si>
  <si>
    <t>60~61%</t>
  </si>
  <si>
    <t>56-57%</t>
  </si>
  <si>
    <t>1506</t>
  </si>
  <si>
    <t>43~44%</t>
  </si>
  <si>
    <t>45~46%</t>
  </si>
  <si>
    <t>47~48%</t>
  </si>
  <si>
    <t>49~50%</t>
  </si>
  <si>
    <t>51~52%</t>
  </si>
  <si>
    <t>1080</t>
  </si>
  <si>
    <t>62~64%</t>
  </si>
  <si>
    <t>65~67%</t>
  </si>
  <si>
    <t>68~70%</t>
  </si>
  <si>
    <t>71~73%</t>
  </si>
  <si>
    <t xml:space="preserve">106 </t>
  </si>
  <si>
    <t>74~75%</t>
  </si>
  <si>
    <t>NY2170P</t>
  </si>
  <si>
    <t>71~75%</t>
  </si>
  <si>
    <t>NY2170HP</t>
  </si>
  <si>
    <t>说明：</t>
  </si>
  <si>
    <t>1.1.以上价格为RMB含税13%；有效期至下次价格调整前；</t>
  </si>
  <si>
    <t>2.以上PP为整卷交货，如需批量切片，请提供尺寸，不收加工费</t>
  </si>
  <si>
    <t>3.实际的交货数量、单价以双方签订的销售合同为准；</t>
  </si>
  <si>
    <t>4.以上如有疑问，请来电告知。</t>
  </si>
  <si>
    <r>
      <rPr>
        <sz val="11"/>
        <rFont val="宋体"/>
        <charset val="134"/>
      </rPr>
      <t>发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件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人：耿挺/徐书英</t>
    </r>
  </si>
  <si>
    <t>板料类型</t>
  </si>
  <si>
    <t>板厚</t>
  </si>
  <si>
    <t>是否含铜</t>
  </si>
  <si>
    <t>铜箔</t>
  </si>
  <si>
    <t>铜箔特性</t>
  </si>
  <si>
    <t>配料结构</t>
  </si>
  <si>
    <t>37*49
(RMB含税)</t>
  </si>
  <si>
    <t>41*49(新)
(RMB含税）</t>
  </si>
  <si>
    <t>43*49
(RMB含税)</t>
  </si>
  <si>
    <t>74*49</t>
  </si>
  <si>
    <t>82*49</t>
  </si>
  <si>
    <t>86*49</t>
  </si>
  <si>
    <t>41*49（旧）
(RMB含税）</t>
  </si>
  <si>
    <t>NY2150</t>
  </si>
  <si>
    <t>FR-4</t>
  </si>
  <si>
    <t>不含铜</t>
  </si>
  <si>
    <t>H/H</t>
  </si>
  <si>
    <t>HTE/HTE</t>
  </si>
  <si>
    <t>1*1080</t>
  </si>
  <si>
    <t>1*2313</t>
  </si>
  <si>
    <t>2*106</t>
  </si>
  <si>
    <t>0.127</t>
  </si>
  <si>
    <t>1*2116</t>
  </si>
  <si>
    <t>/</t>
  </si>
  <si>
    <t>1*1506</t>
  </si>
  <si>
    <t>0.2/0.18</t>
  </si>
  <si>
    <t>1*7628</t>
  </si>
  <si>
    <t>2*2313</t>
  </si>
  <si>
    <t>2*2116</t>
  </si>
  <si>
    <t>0.254</t>
  </si>
  <si>
    <t>2*1506</t>
  </si>
  <si>
    <t>0.305</t>
  </si>
  <si>
    <t>1*7628+2*1080</t>
  </si>
  <si>
    <t>2*7628</t>
  </si>
  <si>
    <t>0.4/0.41</t>
  </si>
  <si>
    <t>2*7628+1*1080</t>
  </si>
  <si>
    <t>2*7628+1*2116</t>
  </si>
  <si>
    <r>
      <rPr>
        <sz val="11"/>
        <rFont val="Times New Roman"/>
        <charset val="134"/>
      </rPr>
      <t>0.51/0.</t>
    </r>
    <r>
      <rPr>
        <sz val="11"/>
        <rFont val="宋体"/>
        <charset val="134"/>
      </rPr>
      <t>5</t>
    </r>
  </si>
  <si>
    <t>0.533</t>
  </si>
  <si>
    <t>3*7628</t>
  </si>
  <si>
    <t>0.559/0.56</t>
  </si>
  <si>
    <t>0.6/0.61</t>
  </si>
  <si>
    <t>2*7628+2*2116</t>
  </si>
  <si>
    <t>2*7628+2*1506</t>
  </si>
  <si>
    <t>0.7/0.71</t>
  </si>
  <si>
    <t>4*7628</t>
  </si>
  <si>
    <t>含铜</t>
  </si>
  <si>
    <t>0.9</t>
  </si>
  <si>
    <t>4*7628+1*2116</t>
  </si>
  <si>
    <t>1.0</t>
  </si>
  <si>
    <t>5*7628</t>
  </si>
  <si>
    <t>6*7628</t>
  </si>
  <si>
    <t>7*7628</t>
  </si>
  <si>
    <t>1.45</t>
  </si>
  <si>
    <t>8*7628</t>
  </si>
  <si>
    <t>9*7628</t>
  </si>
  <si>
    <t>10*7628</t>
  </si>
  <si>
    <t>2.0</t>
  </si>
  <si>
    <t>11*7628</t>
  </si>
  <si>
    <t>12*7628</t>
  </si>
  <si>
    <t>2.3</t>
  </si>
  <si>
    <t>13*7628</t>
  </si>
  <si>
    <t>14*7628</t>
  </si>
  <si>
    <t>3.0</t>
  </si>
  <si>
    <t>16*7628</t>
  </si>
  <si>
    <t>3.1</t>
  </si>
  <si>
    <t>17*7628</t>
  </si>
  <si>
    <t>3.2</t>
  </si>
  <si>
    <t>3.3</t>
  </si>
  <si>
    <t>1/1</t>
  </si>
  <si>
    <t>1*106</t>
  </si>
  <si>
    <t>0.28</t>
  </si>
  <si>
    <t>0.38</t>
  </si>
  <si>
    <t>1.9</t>
  </si>
  <si>
    <t>2.1</t>
  </si>
  <si>
    <t>2.2</t>
  </si>
  <si>
    <t>NY2170</t>
  </si>
  <si>
    <t>1*3313</t>
  </si>
  <si>
    <t>0.102</t>
  </si>
  <si>
    <t>0.18/0.2</t>
  </si>
  <si>
    <t>0.23/0.25</t>
  </si>
  <si>
    <t>0.3</t>
  </si>
  <si>
    <t>0.33</t>
  </si>
  <si>
    <t>2*2116+2*7628</t>
  </si>
  <si>
    <t>0.7/0.73</t>
  </si>
  <si>
    <t>1.1/1.2</t>
  </si>
  <si>
    <t>1.45/1.5</t>
  </si>
  <si>
    <t>0.075/0.076</t>
  </si>
  <si>
    <t>0.43</t>
  </si>
  <si>
    <t>NY1600</t>
  </si>
  <si>
    <t>1.5</t>
  </si>
  <si>
    <t>J/J</t>
  </si>
  <si>
    <t>NY2170H</t>
  </si>
  <si>
    <t>0.076</t>
  </si>
  <si>
    <t>4/4</t>
  </si>
  <si>
    <t>RTF/RTF</t>
  </si>
  <si>
    <t>0.15</t>
  </si>
  <si>
    <t>2/2</t>
  </si>
  <si>
    <t>5/5</t>
  </si>
  <si>
    <t>2*1080</t>
  </si>
  <si>
    <t>2*1078</t>
  </si>
  <si>
    <t>0.038</t>
  </si>
  <si>
    <t>1*1037</t>
  </si>
  <si>
    <t>H/1</t>
  </si>
  <si>
    <t>NY-A2</t>
  </si>
  <si>
    <t>0.51</t>
  </si>
  <si>
    <t>3/3</t>
  </si>
  <si>
    <t>0.064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</si>
  <si>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若裁小片，价格保留整数</t>
    </r>
  </si>
  <si>
    <r>
      <rPr>
        <sz val="12"/>
        <rFont val="宋体"/>
        <charset val="134"/>
      </rPr>
      <t>2.</t>
    </r>
    <r>
      <rPr>
        <sz val="11"/>
        <rFont val="宋体"/>
        <charset val="134"/>
      </rPr>
      <t>加价原则在</t>
    </r>
    <r>
      <rPr>
        <sz val="11"/>
        <rFont val="Times New Roman"/>
        <charset val="134"/>
      </rPr>
      <t>41*49</t>
    </r>
    <r>
      <rPr>
        <sz val="11"/>
        <rFont val="宋体"/>
        <charset val="134"/>
      </rPr>
      <t>的价格基础上进行，价格最后四舍五入保留整数。</t>
    </r>
    <r>
      <rPr>
        <sz val="11"/>
        <rFont val="Times New Roman"/>
        <charset val="134"/>
      </rPr>
      <t>T/T</t>
    </r>
    <r>
      <rPr>
        <sz val="11"/>
        <rFont val="宋体"/>
        <charset val="134"/>
      </rPr>
      <t>与</t>
    </r>
    <r>
      <rPr>
        <sz val="11"/>
        <rFont val="Times New Roman"/>
        <charset val="134"/>
      </rPr>
      <t>H/H</t>
    </r>
    <r>
      <rPr>
        <sz val="11"/>
        <rFont val="宋体"/>
        <charset val="134"/>
      </rPr>
      <t>价格一致，</t>
    </r>
    <r>
      <rPr>
        <sz val="11"/>
        <rFont val="Times New Roman"/>
        <charset val="134"/>
      </rPr>
      <t>J/J</t>
    </r>
    <r>
      <rPr>
        <sz val="11"/>
        <rFont val="宋体"/>
        <charset val="134"/>
      </rPr>
      <t>铜厚在</t>
    </r>
    <r>
      <rPr>
        <sz val="11"/>
        <rFont val="Times New Roman"/>
        <charset val="134"/>
      </rPr>
      <t>H/H</t>
    </r>
    <r>
      <rPr>
        <sz val="11"/>
        <rFont val="宋体"/>
        <charset val="134"/>
      </rPr>
      <t>基础上减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元，</t>
    </r>
    <r>
      <rPr>
        <sz val="11"/>
        <rFont val="Times New Roman"/>
        <charset val="134"/>
      </rPr>
      <t>2/2</t>
    </r>
    <r>
      <rPr>
        <sz val="11"/>
        <rFont val="宋体"/>
        <charset val="134"/>
      </rPr>
      <t>铜厚的在</t>
    </r>
    <r>
      <rPr>
        <sz val="11"/>
        <rFont val="Times New Roman"/>
        <charset val="134"/>
      </rPr>
      <t>H/H</t>
    </r>
    <r>
      <rPr>
        <sz val="11"/>
        <rFont val="宋体"/>
        <charset val="134"/>
      </rPr>
      <t>的基础上加</t>
    </r>
    <r>
      <rPr>
        <b/>
        <sz val="11"/>
        <rFont val="Times New Roman"/>
        <charset val="134"/>
      </rPr>
      <t>150</t>
    </r>
    <r>
      <rPr>
        <sz val="11"/>
        <rFont val="宋体"/>
        <charset val="134"/>
      </rPr>
      <t>元，</t>
    </r>
    <r>
      <rPr>
        <sz val="11"/>
        <rFont val="Times New Roman"/>
        <charset val="134"/>
      </rPr>
      <t>1/2</t>
    </r>
    <r>
      <rPr>
        <sz val="11"/>
        <rFont val="宋体"/>
        <charset val="134"/>
      </rPr>
      <t>铜厚在</t>
    </r>
    <r>
      <rPr>
        <sz val="11"/>
        <rFont val="Times New Roman"/>
        <charset val="134"/>
      </rPr>
      <t>H/H</t>
    </r>
    <r>
      <rPr>
        <sz val="11"/>
        <rFont val="宋体"/>
        <charset val="134"/>
      </rPr>
      <t>基础上加</t>
    </r>
    <r>
      <rPr>
        <b/>
        <sz val="11"/>
        <rFont val="Times New Roman"/>
        <charset val="134"/>
      </rPr>
      <t>110</t>
    </r>
    <r>
      <rPr>
        <sz val="11"/>
        <rFont val="宋体"/>
        <charset val="134"/>
      </rPr>
      <t>元，</t>
    </r>
    <r>
      <rPr>
        <sz val="11"/>
        <rFont val="Times New Roman"/>
        <charset val="134"/>
      </rPr>
      <t>1.5/1.5</t>
    </r>
    <r>
      <rPr>
        <sz val="11"/>
        <rFont val="宋体"/>
        <charset val="134"/>
      </rPr>
      <t>铜厚的在</t>
    </r>
    <r>
      <rPr>
        <sz val="11"/>
        <rFont val="Times New Roman"/>
        <charset val="134"/>
      </rPr>
      <t>H/H</t>
    </r>
    <r>
      <rPr>
        <sz val="11"/>
        <rFont val="宋体"/>
        <charset val="134"/>
      </rPr>
      <t>的基础上加</t>
    </r>
    <r>
      <rPr>
        <b/>
        <sz val="11"/>
        <rFont val="Times New Roman"/>
        <charset val="134"/>
      </rPr>
      <t>100</t>
    </r>
    <r>
      <rPr>
        <sz val="11"/>
        <rFont val="宋体"/>
        <charset val="134"/>
      </rPr>
      <t>元，具体的可以具体询价</t>
    </r>
    <r>
      <rPr>
        <sz val="11"/>
        <rFont val="Times New Roman"/>
        <charset val="134"/>
      </rPr>
      <t>,1/H</t>
    </r>
    <r>
      <rPr>
        <sz val="11"/>
        <rFont val="宋体"/>
        <charset val="134"/>
      </rPr>
      <t>在</t>
    </r>
    <r>
      <rPr>
        <sz val="11"/>
        <rFont val="Times New Roman"/>
        <charset val="134"/>
      </rPr>
      <t>1/1</t>
    </r>
    <r>
      <rPr>
        <sz val="11"/>
        <rFont val="宋体"/>
        <charset val="134"/>
      </rPr>
      <t>基础上减</t>
    </r>
    <r>
      <rPr>
        <b/>
        <sz val="11"/>
        <rFont val="Times New Roman"/>
        <charset val="134"/>
      </rPr>
      <t>10</t>
    </r>
    <r>
      <rPr>
        <sz val="11"/>
        <rFont val="宋体"/>
        <charset val="134"/>
      </rPr>
      <t>元，</t>
    </r>
    <r>
      <rPr>
        <sz val="11"/>
        <rFont val="Times New Roman"/>
        <charset val="134"/>
      </rPr>
      <t>3/3</t>
    </r>
    <r>
      <rPr>
        <sz val="11"/>
        <rFont val="宋体"/>
        <charset val="134"/>
      </rPr>
      <t>在</t>
    </r>
    <r>
      <rPr>
        <sz val="11"/>
        <rFont val="Times New Roman"/>
        <charset val="134"/>
      </rPr>
      <t>H/H</t>
    </r>
    <r>
      <rPr>
        <sz val="11"/>
        <rFont val="宋体"/>
        <charset val="134"/>
      </rPr>
      <t>基础上加313元，</t>
    </r>
    <r>
      <rPr>
        <sz val="11"/>
        <rFont val="Times New Roman"/>
        <charset val="134"/>
      </rPr>
      <t>RTF</t>
    </r>
    <r>
      <rPr>
        <sz val="11"/>
        <rFont val="宋体"/>
        <charset val="134"/>
      </rPr>
      <t>铜箔在</t>
    </r>
    <r>
      <rPr>
        <sz val="11"/>
        <rFont val="Times New Roman"/>
        <charset val="134"/>
      </rPr>
      <t>HTE</t>
    </r>
    <r>
      <rPr>
        <sz val="11"/>
        <rFont val="宋体"/>
        <charset val="134"/>
      </rPr>
      <t>上加</t>
    </r>
    <r>
      <rPr>
        <b/>
        <sz val="11"/>
        <rFont val="Times New Roman"/>
        <charset val="134"/>
      </rPr>
      <t>3</t>
    </r>
    <r>
      <rPr>
        <sz val="11"/>
        <rFont val="Times New Roman"/>
        <charset val="134"/>
      </rPr>
      <t>%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2/2</t>
    </r>
    <r>
      <rPr>
        <sz val="11"/>
        <rFont val="宋体"/>
        <charset val="134"/>
      </rPr>
      <t>以上</t>
    </r>
    <r>
      <rPr>
        <sz val="11"/>
        <rFont val="Times New Roman"/>
        <charset val="134"/>
      </rPr>
      <t>RTF</t>
    </r>
    <r>
      <rPr>
        <sz val="11"/>
        <rFont val="宋体"/>
        <charset val="134"/>
      </rPr>
      <t>铜价另议，显示价格都以</t>
    </r>
    <r>
      <rPr>
        <sz val="11"/>
        <rFont val="Times New Roman"/>
        <charset val="134"/>
      </rPr>
      <t>HTE</t>
    </r>
    <r>
      <rPr>
        <sz val="11"/>
        <rFont val="宋体"/>
        <charset val="134"/>
      </rPr>
      <t>报价，除非当个材料标配只能做</t>
    </r>
    <r>
      <rPr>
        <sz val="11"/>
        <rFont val="Times New Roman"/>
        <charset val="134"/>
      </rPr>
      <t>RTF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</si>
  <si>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3.</t>
    </r>
    <r>
      <rPr>
        <sz val="11"/>
        <rFont val="宋体"/>
        <charset val="134"/>
      </rPr>
      <t>以上价格为</t>
    </r>
    <r>
      <rPr>
        <sz val="11"/>
        <rFont val="Times New Roman"/>
        <charset val="134"/>
      </rPr>
      <t>RMB</t>
    </r>
    <r>
      <rPr>
        <sz val="11"/>
        <rFont val="宋体"/>
        <charset val="134"/>
      </rPr>
      <t>含税</t>
    </r>
    <r>
      <rPr>
        <sz val="11"/>
        <rFont val="Times New Roman"/>
        <charset val="134"/>
      </rPr>
      <t>13%</t>
    </r>
    <r>
      <rPr>
        <sz val="11"/>
        <rFont val="宋体"/>
        <charset val="134"/>
      </rPr>
      <t>；有效期至下次价格调整前；</t>
    </r>
  </si>
  <si>
    <r>
      <rPr>
        <sz val="11"/>
        <rFont val="Times New Roman"/>
        <charset val="134"/>
      </rPr>
      <t>4.</t>
    </r>
    <r>
      <rPr>
        <sz val="11"/>
        <rFont val="宋体"/>
        <charset val="134"/>
      </rPr>
      <t>以上板材尺寸均为</t>
    </r>
    <r>
      <rPr>
        <sz val="11"/>
        <rFont val="Times New Roman"/>
        <charset val="134"/>
      </rPr>
      <t>41*49</t>
    </r>
    <r>
      <rPr>
        <sz val="11"/>
        <rFont val="宋体"/>
        <charset val="134"/>
      </rPr>
      <t>。</t>
    </r>
    <r>
      <rPr>
        <sz val="11"/>
        <rFont val="Times New Roman"/>
        <charset val="134"/>
      </rPr>
      <t>37*49</t>
    </r>
    <r>
      <rPr>
        <sz val="11"/>
        <rFont val="宋体"/>
        <charset val="134"/>
      </rPr>
      <t>在</t>
    </r>
    <r>
      <rPr>
        <sz val="11"/>
        <rFont val="Times New Roman"/>
        <charset val="134"/>
      </rPr>
      <t>41*49</t>
    </r>
    <r>
      <rPr>
        <sz val="11"/>
        <rFont val="宋体"/>
        <charset val="134"/>
      </rPr>
      <t>的基础上乘以</t>
    </r>
    <r>
      <rPr>
        <sz val="11"/>
        <rFont val="Times New Roman"/>
        <charset val="134"/>
      </rPr>
      <t>0.9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43*49</t>
    </r>
    <r>
      <rPr>
        <sz val="11"/>
        <rFont val="宋体"/>
        <charset val="134"/>
      </rPr>
      <t>在</t>
    </r>
    <r>
      <rPr>
        <sz val="11"/>
        <rFont val="Times New Roman"/>
        <charset val="134"/>
      </rPr>
      <t>41*49</t>
    </r>
    <r>
      <rPr>
        <sz val="11"/>
        <rFont val="宋体"/>
        <charset val="134"/>
      </rPr>
      <t>的基础上剩以</t>
    </r>
    <r>
      <rPr>
        <sz val="11"/>
        <rFont val="Times New Roman"/>
        <charset val="134"/>
      </rPr>
      <t>1.05</t>
    </r>
    <r>
      <rPr>
        <sz val="11"/>
        <rFont val="宋体"/>
        <charset val="134"/>
      </rPr>
      <t>；</t>
    </r>
  </si>
  <si>
    <r>
      <rPr>
        <sz val="11"/>
        <rFont val="Times New Roman"/>
        <charset val="134"/>
      </rPr>
      <t>5.</t>
    </r>
    <r>
      <rPr>
        <sz val="11"/>
        <rFont val="宋体"/>
        <charset val="134"/>
      </rPr>
      <t>实际的交货数量、单价以双方签订的销售合同为准；</t>
    </r>
  </si>
  <si>
    <r>
      <rPr>
        <sz val="11"/>
        <rFont val="Times New Roman"/>
        <charset val="134"/>
      </rPr>
      <t>6.</t>
    </r>
    <r>
      <rPr>
        <sz val="11"/>
        <rFont val="宋体"/>
        <charset val="134"/>
      </rPr>
      <t>以上报价物料均为</t>
    </r>
    <r>
      <rPr>
        <sz val="11"/>
        <rFont val="Times New Roman"/>
        <charset val="134"/>
      </rPr>
      <t>A</t>
    </r>
    <r>
      <rPr>
        <sz val="11"/>
        <rFont val="宋体"/>
        <charset val="134"/>
      </rPr>
      <t>级料；</t>
    </r>
  </si>
  <si>
    <r>
      <rPr>
        <sz val="11"/>
        <rFont val="Times New Roman"/>
        <charset val="134"/>
      </rPr>
      <t>7.</t>
    </r>
    <r>
      <rPr>
        <sz val="11"/>
        <rFont val="宋体"/>
        <charset val="134"/>
      </rPr>
      <t>以上如有疑问，敬请来电。</t>
    </r>
  </si>
  <si>
    <t>mil</t>
  </si>
  <si>
    <t>41*49
(RMB含税）</t>
  </si>
  <si>
    <t>旧价格</t>
  </si>
  <si>
    <t>涨幅</t>
  </si>
  <si>
    <t>NY3170M</t>
  </si>
  <si>
    <t>高速</t>
  </si>
  <si>
    <t>0.078</t>
  </si>
  <si>
    <t>2*2113</t>
  </si>
  <si>
    <t>2*1067</t>
  </si>
  <si>
    <t>0.178</t>
  </si>
  <si>
    <t>2*3313</t>
  </si>
  <si>
    <t>5*2116</t>
  </si>
  <si>
    <t>1.2</t>
  </si>
  <si>
    <t>NY3170M2</t>
  </si>
  <si>
    <t>RTF2/RTF2</t>
  </si>
  <si>
    <t>1*1078</t>
  </si>
  <si>
    <t>1/2</t>
  </si>
  <si>
    <t>RTF2/RTF</t>
  </si>
  <si>
    <t>0.203</t>
  </si>
  <si>
    <t>0.457</t>
  </si>
  <si>
    <t>4*2116</t>
  </si>
  <si>
    <t>0.508</t>
  </si>
  <si>
    <t>0.83</t>
  </si>
  <si>
    <t>1.041</t>
  </si>
  <si>
    <t>2.9</t>
  </si>
  <si>
    <t>15*7628</t>
  </si>
  <si>
    <t>NY6300S</t>
  </si>
  <si>
    <t>6.11日</t>
  </si>
  <si>
    <t>2*1035</t>
  </si>
  <si>
    <t>0.089</t>
  </si>
  <si>
    <t>2*1037</t>
  </si>
  <si>
    <t>0.152</t>
  </si>
  <si>
    <t>3*3313</t>
  </si>
  <si>
    <t xml:space="preserve">NY6300SN </t>
  </si>
  <si>
    <t>RTF3/RTF3</t>
  </si>
  <si>
    <t>HVLP2/HVLP2</t>
  </si>
  <si>
    <t>HVLP2/RTF</t>
  </si>
  <si>
    <t>NY9999Q</t>
  </si>
  <si>
    <t>HVLP4/HVLP4</t>
  </si>
  <si>
    <t>NY-P3(C)</t>
  </si>
  <si>
    <t>NY-P5Q</t>
  </si>
  <si>
    <t>HVLP4</t>
  </si>
  <si>
    <t>3*1035</t>
  </si>
  <si>
    <t>NY6666</t>
  </si>
  <si>
    <t>6.1日</t>
  </si>
  <si>
    <t>0.1</t>
  </si>
  <si>
    <t xml:space="preserve">NY6300S </t>
  </si>
  <si>
    <t>10*2116</t>
  </si>
  <si>
    <t>6.2日</t>
  </si>
  <si>
    <t>1*2113</t>
  </si>
  <si>
    <t>8*2116</t>
  </si>
  <si>
    <t>6.3日</t>
  </si>
  <si>
    <t>NY8888N</t>
  </si>
  <si>
    <t>HVLP3/HVLP3</t>
  </si>
  <si>
    <t>0.05</t>
  </si>
  <si>
    <t>1*1035</t>
  </si>
  <si>
    <t>0.25</t>
  </si>
  <si>
    <t>6.4日</t>
  </si>
  <si>
    <t>NY8888N2</t>
  </si>
  <si>
    <t>6.6日</t>
  </si>
  <si>
    <t>0.114</t>
  </si>
  <si>
    <t>0.4</t>
  </si>
  <si>
    <t>0.71</t>
  </si>
  <si>
    <t>6.8日</t>
  </si>
  <si>
    <t>0.991</t>
  </si>
  <si>
    <t>6.9日</t>
  </si>
  <si>
    <t>HVLP1/HVLP1</t>
  </si>
  <si>
    <t>6.10日</t>
  </si>
  <si>
    <t>1.57</t>
  </si>
  <si>
    <t>0.787</t>
  </si>
  <si>
    <t>0.2</t>
  </si>
  <si>
    <t xml:space="preserve">6.15日 </t>
  </si>
  <si>
    <t>NY-P2</t>
  </si>
  <si>
    <t>6.17日</t>
  </si>
  <si>
    <t>NY6300(C)</t>
  </si>
  <si>
    <t>6.22日</t>
  </si>
  <si>
    <t>0.762</t>
  </si>
  <si>
    <t>7*2116</t>
  </si>
  <si>
    <r>
      <rPr>
        <sz val="12"/>
        <rFont val="宋体"/>
        <charset val="134"/>
      </rPr>
      <t>2.</t>
    </r>
    <r>
      <rPr>
        <sz val="11"/>
        <rFont val="宋体"/>
        <charset val="134"/>
      </rPr>
      <t>加价原则在</t>
    </r>
    <r>
      <rPr>
        <sz val="11"/>
        <rFont val="Times New Roman"/>
        <charset val="134"/>
      </rPr>
      <t>41*49</t>
    </r>
    <r>
      <rPr>
        <sz val="11"/>
        <rFont val="宋体"/>
        <charset val="134"/>
      </rPr>
      <t>的价格基础上进行，价格最后四舍五入保留整数。</t>
    </r>
    <r>
      <rPr>
        <sz val="11"/>
        <rFont val="Times New Roman"/>
        <charset val="134"/>
      </rPr>
      <t>T/T</t>
    </r>
    <r>
      <rPr>
        <sz val="11"/>
        <rFont val="宋体"/>
        <charset val="134"/>
      </rPr>
      <t>与</t>
    </r>
    <r>
      <rPr>
        <sz val="11"/>
        <rFont val="Times New Roman"/>
        <charset val="134"/>
      </rPr>
      <t>H/H</t>
    </r>
    <r>
      <rPr>
        <sz val="11"/>
        <rFont val="宋体"/>
        <charset val="134"/>
      </rPr>
      <t>价格一致，</t>
    </r>
    <r>
      <rPr>
        <sz val="11"/>
        <rFont val="Times New Roman"/>
        <charset val="134"/>
      </rPr>
      <t>J/J</t>
    </r>
    <r>
      <rPr>
        <sz val="11"/>
        <rFont val="宋体"/>
        <charset val="134"/>
      </rPr>
      <t>铜厚在</t>
    </r>
    <r>
      <rPr>
        <sz val="11"/>
        <rFont val="Times New Roman"/>
        <charset val="134"/>
      </rPr>
      <t>H/H</t>
    </r>
    <r>
      <rPr>
        <sz val="11"/>
        <rFont val="宋体"/>
        <charset val="134"/>
      </rPr>
      <t>基础上减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元，</t>
    </r>
    <r>
      <rPr>
        <sz val="11"/>
        <rFont val="Times New Roman"/>
        <charset val="134"/>
      </rPr>
      <t>2/2</t>
    </r>
    <r>
      <rPr>
        <sz val="11"/>
        <rFont val="宋体"/>
        <charset val="134"/>
      </rPr>
      <t>铜厚的在</t>
    </r>
    <r>
      <rPr>
        <sz val="11"/>
        <rFont val="Times New Roman"/>
        <charset val="134"/>
      </rPr>
      <t>H/H</t>
    </r>
    <r>
      <rPr>
        <sz val="11"/>
        <rFont val="宋体"/>
        <charset val="134"/>
      </rPr>
      <t>的基础上加</t>
    </r>
    <r>
      <rPr>
        <b/>
        <sz val="11"/>
        <rFont val="Times New Roman"/>
        <charset val="134"/>
      </rPr>
      <t>150</t>
    </r>
    <r>
      <rPr>
        <sz val="11"/>
        <rFont val="宋体"/>
        <charset val="134"/>
      </rPr>
      <t>元，</t>
    </r>
    <r>
      <rPr>
        <sz val="11"/>
        <rFont val="Times New Roman"/>
        <charset val="134"/>
      </rPr>
      <t>1/2</t>
    </r>
    <r>
      <rPr>
        <sz val="11"/>
        <rFont val="宋体"/>
        <charset val="134"/>
      </rPr>
      <t>铜厚在</t>
    </r>
    <r>
      <rPr>
        <sz val="11"/>
        <rFont val="Times New Roman"/>
        <charset val="134"/>
      </rPr>
      <t>H/H</t>
    </r>
    <r>
      <rPr>
        <sz val="11"/>
        <rFont val="宋体"/>
        <charset val="134"/>
      </rPr>
      <t>基础上加</t>
    </r>
    <r>
      <rPr>
        <b/>
        <sz val="11"/>
        <rFont val="Times New Roman"/>
        <charset val="134"/>
      </rPr>
      <t>110</t>
    </r>
    <r>
      <rPr>
        <sz val="11"/>
        <rFont val="宋体"/>
        <charset val="134"/>
      </rPr>
      <t>元，</t>
    </r>
    <r>
      <rPr>
        <sz val="11"/>
        <rFont val="Times New Roman"/>
        <charset val="134"/>
      </rPr>
      <t>1.5/1.5</t>
    </r>
    <r>
      <rPr>
        <sz val="11"/>
        <rFont val="宋体"/>
        <charset val="134"/>
      </rPr>
      <t>铜厚的在</t>
    </r>
    <r>
      <rPr>
        <sz val="11"/>
        <rFont val="Times New Roman"/>
        <charset val="134"/>
      </rPr>
      <t>H/H</t>
    </r>
    <r>
      <rPr>
        <sz val="11"/>
        <rFont val="宋体"/>
        <charset val="134"/>
      </rPr>
      <t>的基础上加</t>
    </r>
    <r>
      <rPr>
        <b/>
        <sz val="11"/>
        <rFont val="Times New Roman"/>
        <charset val="134"/>
      </rPr>
      <t>100</t>
    </r>
    <r>
      <rPr>
        <sz val="11"/>
        <rFont val="宋体"/>
        <charset val="134"/>
      </rPr>
      <t>元，具体的可以具体询价</t>
    </r>
    <r>
      <rPr>
        <sz val="11"/>
        <rFont val="Times New Roman"/>
        <charset val="134"/>
      </rPr>
      <t>,1/H</t>
    </r>
    <r>
      <rPr>
        <sz val="11"/>
        <rFont val="宋体"/>
        <charset val="134"/>
      </rPr>
      <t>在</t>
    </r>
    <r>
      <rPr>
        <sz val="11"/>
        <rFont val="Times New Roman"/>
        <charset val="134"/>
      </rPr>
      <t>1/1</t>
    </r>
    <r>
      <rPr>
        <sz val="11"/>
        <rFont val="宋体"/>
        <charset val="134"/>
      </rPr>
      <t>基础上减</t>
    </r>
    <r>
      <rPr>
        <b/>
        <sz val="11"/>
        <rFont val="Times New Roman"/>
        <charset val="134"/>
      </rPr>
      <t>10</t>
    </r>
    <r>
      <rPr>
        <sz val="11"/>
        <rFont val="宋体"/>
        <charset val="134"/>
      </rPr>
      <t>元，</t>
    </r>
    <r>
      <rPr>
        <sz val="11"/>
        <rFont val="Times New Roman"/>
        <charset val="134"/>
      </rPr>
      <t>RTF</t>
    </r>
    <r>
      <rPr>
        <sz val="11"/>
        <rFont val="宋体"/>
        <charset val="134"/>
      </rPr>
      <t>铜箔在</t>
    </r>
    <r>
      <rPr>
        <sz val="11"/>
        <rFont val="Times New Roman"/>
        <charset val="134"/>
      </rPr>
      <t>HTE</t>
    </r>
    <r>
      <rPr>
        <sz val="11"/>
        <rFont val="宋体"/>
        <charset val="134"/>
      </rPr>
      <t>上加</t>
    </r>
    <r>
      <rPr>
        <b/>
        <sz val="11"/>
        <rFont val="Times New Roman"/>
        <charset val="134"/>
      </rPr>
      <t>3</t>
    </r>
    <r>
      <rPr>
        <sz val="11"/>
        <rFont val="Times New Roman"/>
        <charset val="134"/>
      </rPr>
      <t>%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2/2</t>
    </r>
    <r>
      <rPr>
        <sz val="11"/>
        <rFont val="宋体"/>
        <charset val="134"/>
      </rPr>
      <t>以上</t>
    </r>
    <r>
      <rPr>
        <sz val="11"/>
        <rFont val="Times New Roman"/>
        <charset val="134"/>
      </rPr>
      <t>RTF</t>
    </r>
    <r>
      <rPr>
        <sz val="11"/>
        <rFont val="宋体"/>
        <charset val="134"/>
      </rPr>
      <t>同价另议，显示价格都以</t>
    </r>
    <r>
      <rPr>
        <sz val="11"/>
        <rFont val="Times New Roman"/>
        <charset val="134"/>
      </rPr>
      <t>HTE</t>
    </r>
    <r>
      <rPr>
        <sz val="11"/>
        <rFont val="宋体"/>
        <charset val="134"/>
      </rPr>
      <t>报价，除非当个材料标配只能做</t>
    </r>
    <r>
      <rPr>
        <sz val="11"/>
        <rFont val="Times New Roman"/>
        <charset val="134"/>
      </rPr>
      <t>RTF</t>
    </r>
    <r>
      <rPr>
        <sz val="11"/>
        <rFont val="宋体"/>
        <charset val="134"/>
      </rPr>
      <t>。</t>
    </r>
  </si>
  <si>
    <t>胶系</t>
  </si>
  <si>
    <t>单价</t>
  </si>
  <si>
    <t>函数</t>
  </si>
  <si>
    <t>NY3170M2P</t>
  </si>
  <si>
    <t>NY3170MP</t>
  </si>
  <si>
    <t>NY6300SNP</t>
  </si>
  <si>
    <t>NY6300SP</t>
  </si>
  <si>
    <t>NY-P3P(C)</t>
  </si>
  <si>
    <t>NY-P5QP</t>
  </si>
  <si>
    <t>6.3日.6.10日</t>
  </si>
  <si>
    <t>6.4日，6.11日</t>
  </si>
  <si>
    <t>NY-P2 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</si>
</sst>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.00_);[Red]\(0.00\)"/>
    <numFmt numFmtId="179" formatCode="0_ "/>
    <numFmt numFmtId="180" formatCode="0.000_ "/>
  </numFmts>
  <fonts count="32">
    <font>
      <sz val="12"/>
      <name val="宋体"/>
      <charset val="134"/>
    </font>
    <font>
      <sz val="12"/>
      <color rgb="FFFF0000"/>
      <name val="宋体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8"/>
      <name val="Times New Roman"/>
      <charset val="134"/>
    </font>
    <font>
      <sz val="10.5"/>
      <name val="宋体"/>
      <charset val="134"/>
    </font>
    <font>
      <sz val="10.5"/>
      <name val="Times New Roman"/>
      <charset val="134"/>
    </font>
    <font>
      <sz val="11"/>
      <name val="宋体"/>
      <charset val="134"/>
    </font>
    <font>
      <b/>
      <sz val="12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name val="宋体"/>
      <charset val="134"/>
    </font>
    <font>
      <b/>
      <sz val="11"/>
      <name val="Times New Roman"/>
      <charset val="134"/>
    </font>
  </fonts>
  <fills count="39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180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0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0" xfId="0" applyFont="1" applyFill="1" applyAlignment="1">
      <alignment horizontal="left" vertical="center"/>
    </xf>
    <xf numFmtId="9" fontId="0" fillId="0" borderId="0" xfId="0" applyNumberFormat="1" applyFont="1" applyFill="1">
      <alignment vertical="center"/>
    </xf>
    <xf numFmtId="176" fontId="0" fillId="2" borderId="0" xfId="0" applyNumberFormat="1" applyFont="1" applyFill="1" applyAlignment="1">
      <alignment horizontal="center" vertical="center"/>
    </xf>
    <xf numFmtId="177" fontId="0" fillId="0" borderId="0" xfId="0" applyNumberFormat="1" applyFont="1" applyFill="1">
      <alignment vertical="center"/>
    </xf>
    <xf numFmtId="9" fontId="0" fillId="0" borderId="0" xfId="3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9" fontId="6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9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left" vertical="center"/>
    </xf>
    <xf numFmtId="49" fontId="0" fillId="0" borderId="0" xfId="0" applyNumberFormat="1" applyFont="1" applyFill="1">
      <alignment vertical="center"/>
    </xf>
    <xf numFmtId="0" fontId="0" fillId="0" borderId="1" xfId="0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 wrapText="1"/>
    </xf>
    <xf numFmtId="9" fontId="0" fillId="0" borderId="1" xfId="3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9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>
      <alignment vertical="center"/>
    </xf>
    <xf numFmtId="176" fontId="0" fillId="2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Fill="1" applyBorder="1">
      <alignment vertical="center"/>
    </xf>
    <xf numFmtId="9" fontId="0" fillId="0" borderId="1" xfId="3" applyNumberFormat="1" applyFont="1" applyFill="1" applyBorder="1" applyAlignment="1">
      <alignment horizontal="center" vertical="center"/>
    </xf>
    <xf numFmtId="58" fontId="0" fillId="0" borderId="1" xfId="0" applyNumberFormat="1" applyFont="1" applyFill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9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0" fontId="0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left" vertical="center" wrapText="1"/>
    </xf>
    <xf numFmtId="9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>
      <alignment vertical="center"/>
    </xf>
    <xf numFmtId="177" fontId="0" fillId="2" borderId="1" xfId="0" applyNumberFormat="1" applyFont="1" applyFill="1" applyBorder="1">
      <alignment vertical="center"/>
    </xf>
    <xf numFmtId="176" fontId="0" fillId="2" borderId="1" xfId="0" applyNumberFormat="1" applyFont="1" applyFill="1" applyBorder="1" applyAlignment="1">
      <alignment horizontal="right" vertical="center"/>
    </xf>
    <xf numFmtId="178" fontId="7" fillId="0" borderId="0" xfId="0" applyNumberFormat="1" applyFont="1" applyFill="1" applyAlignment="1">
      <alignment horizontal="left" vertical="center"/>
    </xf>
    <xf numFmtId="178" fontId="7" fillId="2" borderId="0" xfId="0" applyNumberFormat="1" applyFont="1" applyFill="1" applyAlignment="1">
      <alignment horizontal="center" vertical="center"/>
    </xf>
    <xf numFmtId="179" fontId="7" fillId="0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0" fillId="3" borderId="0" xfId="0" applyFont="1" applyFill="1">
      <alignment vertical="center"/>
    </xf>
    <xf numFmtId="179" fontId="0" fillId="0" borderId="0" xfId="0" applyNumberFormat="1" applyFont="1" applyFill="1">
      <alignment vertical="center"/>
    </xf>
    <xf numFmtId="177" fontId="0" fillId="4" borderId="0" xfId="0" applyNumberFormat="1" applyFont="1" applyFill="1">
      <alignment vertical="center"/>
    </xf>
    <xf numFmtId="179" fontId="4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179" fontId="2" fillId="0" borderId="0" xfId="0" applyNumberFormat="1" applyFont="1" applyFill="1" applyAlignment="1">
      <alignment horizontal="left" vertical="center"/>
    </xf>
    <xf numFmtId="177" fontId="7" fillId="0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177" fontId="7" fillId="4" borderId="0" xfId="0" applyNumberFormat="1" applyFont="1" applyFill="1" applyAlignment="1">
      <alignment horizontal="left" vertical="center"/>
    </xf>
    <xf numFmtId="178" fontId="7" fillId="0" borderId="0" xfId="0" applyNumberFormat="1" applyFont="1" applyFill="1">
      <alignment vertical="center"/>
    </xf>
    <xf numFmtId="177" fontId="7" fillId="0" borderId="0" xfId="0" applyNumberFormat="1" applyFont="1" applyFill="1">
      <alignment vertical="center"/>
    </xf>
    <xf numFmtId="178" fontId="7" fillId="2" borderId="0" xfId="0" applyNumberFormat="1" applyFont="1" applyFill="1">
      <alignment vertical="center"/>
    </xf>
    <xf numFmtId="177" fontId="7" fillId="4" borderId="0" xfId="0" applyNumberFormat="1" applyFont="1" applyFill="1">
      <alignment vertical="center"/>
    </xf>
    <xf numFmtId="0" fontId="2" fillId="2" borderId="0" xfId="0" applyFont="1" applyFill="1" applyAlignment="1">
      <alignment horizontal="left" vertical="center"/>
    </xf>
    <xf numFmtId="177" fontId="2" fillId="4" borderId="0" xfId="0" applyNumberFormat="1" applyFont="1" applyFill="1" applyAlignment="1">
      <alignment horizontal="left" vertical="center"/>
    </xf>
    <xf numFmtId="0" fontId="0" fillId="5" borderId="0" xfId="0" applyFont="1" applyFill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179" fontId="0" fillId="5" borderId="1" xfId="0" applyNumberFormat="1" applyFont="1" applyFill="1" applyBorder="1" applyAlignment="1">
      <alignment horizontal="center" vertical="center"/>
    </xf>
    <xf numFmtId="177" fontId="0" fillId="5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77" fontId="0" fillId="5" borderId="1" xfId="0" applyNumberFormat="1" applyFont="1" applyFill="1" applyBorder="1" applyAlignment="1">
      <alignment horizontal="center" vertical="center"/>
    </xf>
    <xf numFmtId="177" fontId="0" fillId="4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 wrapText="1"/>
    </xf>
    <xf numFmtId="180" fontId="7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>
      <alignment vertical="center"/>
    </xf>
    <xf numFmtId="0" fontId="9" fillId="0" borderId="1" xfId="0" applyFont="1" applyFill="1" applyBorder="1" applyAlignment="1">
      <alignment vertical="center"/>
    </xf>
    <xf numFmtId="177" fontId="9" fillId="0" borderId="1" xfId="0" applyNumberFormat="1" applyFont="1" applyFill="1" applyBorder="1" applyAlignment="1">
      <alignment vertical="center"/>
    </xf>
    <xf numFmtId="0" fontId="0" fillId="4" borderId="1" xfId="0" applyFont="1" applyFill="1" applyBorder="1">
      <alignment vertical="center"/>
    </xf>
    <xf numFmtId="9" fontId="0" fillId="0" borderId="1" xfId="3" applyFont="1" applyFill="1" applyBorder="1">
      <alignment vertical="center"/>
    </xf>
    <xf numFmtId="0" fontId="0" fillId="4" borderId="0" xfId="0" applyFont="1" applyFill="1">
      <alignment vertical="center"/>
    </xf>
    <xf numFmtId="177" fontId="0" fillId="4" borderId="1" xfId="0" applyNumberFormat="1" applyFont="1" applyFill="1" applyBorder="1">
      <alignment vertical="center"/>
    </xf>
    <xf numFmtId="0" fontId="0" fillId="3" borderId="1" xfId="0" applyFont="1" applyFill="1" applyBorder="1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179" fontId="2" fillId="3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ont="1" applyFill="1" applyBorder="1">
      <alignment vertical="center"/>
    </xf>
    <xf numFmtId="0" fontId="9" fillId="3" borderId="1" xfId="0" applyFont="1" applyFill="1" applyBorder="1" applyAlignment="1">
      <alignment vertical="center"/>
    </xf>
    <xf numFmtId="177" fontId="9" fillId="3" borderId="1" xfId="0" applyNumberFormat="1" applyFont="1" applyFill="1" applyBorder="1" applyAlignment="1">
      <alignment vertical="center"/>
    </xf>
    <xf numFmtId="177" fontId="0" fillId="3" borderId="1" xfId="0" applyNumberFormat="1" applyFont="1" applyFill="1" applyBorder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shrinkToFit="1"/>
    </xf>
    <xf numFmtId="180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8" fontId="2" fillId="0" borderId="0" xfId="0" applyNumberFormat="1" applyFont="1" applyFill="1" applyAlignment="1">
      <alignment horizontal="left" vertical="center"/>
    </xf>
    <xf numFmtId="178" fontId="2" fillId="2" borderId="0" xfId="0" applyNumberFormat="1" applyFont="1" applyFill="1" applyAlignment="1">
      <alignment horizontal="left" vertical="center"/>
    </xf>
    <xf numFmtId="178" fontId="2" fillId="0" borderId="0" xfId="0" applyNumberFormat="1" applyFont="1" applyFill="1" applyBorder="1" applyAlignment="1">
      <alignment horizontal="left" vertical="center"/>
    </xf>
    <xf numFmtId="49" fontId="0" fillId="0" borderId="0" xfId="0" applyNumberFormat="1" applyFont="1" applyFill="1" applyAlignment="1">
      <alignment horizontal="left" vertical="center"/>
    </xf>
    <xf numFmtId="179" fontId="0" fillId="0" borderId="0" xfId="0" applyNumberFormat="1" applyFont="1" applyFill="1" applyAlignment="1">
      <alignment horizontal="left" vertical="center"/>
    </xf>
    <xf numFmtId="177" fontId="0" fillId="0" borderId="0" xfId="0" applyNumberFormat="1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177" fontId="0" fillId="4" borderId="0" xfId="0" applyNumberFormat="1" applyFont="1" applyFill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top" wrapText="1"/>
    </xf>
    <xf numFmtId="49" fontId="0" fillId="0" borderId="0" xfId="0" applyNumberFormat="1" applyFont="1" applyFill="1" applyAlignment="1">
      <alignment horizontal="left" vertical="top" wrapText="1"/>
    </xf>
    <xf numFmtId="179" fontId="0" fillId="0" borderId="0" xfId="0" applyNumberFormat="1" applyFont="1" applyFill="1" applyAlignment="1">
      <alignment horizontal="left" vertical="top" wrapText="1"/>
    </xf>
    <xf numFmtId="177" fontId="0" fillId="0" borderId="0" xfId="0" applyNumberFormat="1" applyFont="1" applyFill="1" applyAlignment="1">
      <alignment horizontal="left" vertical="top" wrapText="1"/>
    </xf>
    <xf numFmtId="0" fontId="0" fillId="2" borderId="0" xfId="0" applyFont="1" applyFill="1" applyAlignment="1">
      <alignment horizontal="left" vertical="top" wrapText="1"/>
    </xf>
    <xf numFmtId="177" fontId="0" fillId="4" borderId="0" xfId="0" applyNumberFormat="1" applyFont="1" applyFill="1" applyAlignment="1">
      <alignment horizontal="left" vertical="top" wrapText="1"/>
    </xf>
    <xf numFmtId="0" fontId="0" fillId="2" borderId="0" xfId="0" applyFill="1">
      <alignment vertical="center"/>
    </xf>
    <xf numFmtId="177" fontId="0" fillId="6" borderId="0" xfId="0" applyNumberFormat="1" applyFont="1" applyFill="1">
      <alignment vertical="center"/>
    </xf>
    <xf numFmtId="177" fontId="0" fillId="7" borderId="0" xfId="0" applyNumberFormat="1" applyFont="1" applyFill="1">
      <alignment vertical="center"/>
    </xf>
    <xf numFmtId="10" fontId="0" fillId="0" borderId="0" xfId="0" applyNumberFormat="1" applyFont="1" applyFill="1">
      <alignment vertical="center"/>
    </xf>
    <xf numFmtId="177" fontId="7" fillId="6" borderId="0" xfId="0" applyNumberFormat="1" applyFont="1" applyFill="1" applyAlignment="1">
      <alignment horizontal="left" vertical="center"/>
    </xf>
    <xf numFmtId="177" fontId="7" fillId="7" borderId="0" xfId="0" applyNumberFormat="1" applyFont="1" applyFill="1" applyAlignment="1">
      <alignment horizontal="left" vertical="center"/>
    </xf>
    <xf numFmtId="177" fontId="7" fillId="6" borderId="0" xfId="0" applyNumberFormat="1" applyFont="1" applyFill="1">
      <alignment vertical="center"/>
    </xf>
    <xf numFmtId="177" fontId="7" fillId="7" borderId="0" xfId="0" applyNumberFormat="1" applyFont="1" applyFill="1">
      <alignment vertical="center"/>
    </xf>
    <xf numFmtId="177" fontId="2" fillId="6" borderId="0" xfId="0" applyNumberFormat="1" applyFont="1" applyFill="1" applyAlignment="1">
      <alignment horizontal="left" vertical="center"/>
    </xf>
    <xf numFmtId="177" fontId="2" fillId="7" borderId="0" xfId="0" applyNumberFormat="1" applyFont="1" applyFill="1" applyAlignment="1">
      <alignment horizontal="left" vertical="center"/>
    </xf>
    <xf numFmtId="177" fontId="0" fillId="6" borderId="1" xfId="0" applyNumberFormat="1" applyFont="1" applyFill="1" applyBorder="1" applyAlignment="1">
      <alignment horizontal="center" vertical="center" wrapText="1"/>
    </xf>
    <xf numFmtId="177" fontId="0" fillId="7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0" fontId="0" fillId="0" borderId="1" xfId="0" applyNumberFormat="1" applyFont="1" applyFill="1" applyBorder="1" applyAlignment="1">
      <alignment horizontal="center" vertical="center"/>
    </xf>
    <xf numFmtId="177" fontId="0" fillId="6" borderId="1" xfId="0" applyNumberFormat="1" applyFont="1" applyFill="1" applyBorder="1">
      <alignment vertical="center"/>
    </xf>
    <xf numFmtId="177" fontId="0" fillId="7" borderId="1" xfId="0" applyNumberFormat="1" applyFont="1" applyFill="1" applyBorder="1">
      <alignment vertical="center"/>
    </xf>
    <xf numFmtId="10" fontId="0" fillId="0" borderId="1" xfId="0" applyNumberFormat="1" applyFont="1" applyFill="1" applyBorder="1">
      <alignment vertical="center"/>
    </xf>
    <xf numFmtId="0" fontId="0" fillId="7" borderId="1" xfId="0" applyFont="1" applyFill="1" applyBorder="1">
      <alignment vertical="center"/>
    </xf>
    <xf numFmtId="0" fontId="0" fillId="0" borderId="1" xfId="0" applyFont="1" applyFill="1" applyBorder="1" applyAlignment="1">
      <alignment vertical="center" shrinkToFit="1"/>
    </xf>
    <xf numFmtId="0" fontId="1" fillId="2" borderId="1" xfId="0" applyFont="1" applyFill="1" applyBorder="1">
      <alignment vertical="center"/>
    </xf>
    <xf numFmtId="10" fontId="1" fillId="0" borderId="1" xfId="0" applyNumberFormat="1" applyFont="1" applyFill="1" applyBorder="1">
      <alignment vertical="center"/>
    </xf>
    <xf numFmtId="49" fontId="2" fillId="0" borderId="1" xfId="0" applyNumberFormat="1" applyFont="1" applyFill="1" applyBorder="1" applyAlignment="1">
      <alignment horizontal="center" vertical="center" shrinkToFit="1"/>
    </xf>
    <xf numFmtId="49" fontId="2" fillId="0" borderId="0" xfId="0" applyNumberFormat="1" applyFont="1" applyFill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 wrapText="1"/>
    </xf>
    <xf numFmtId="177" fontId="9" fillId="0" borderId="0" xfId="0" applyNumberFormat="1" applyFont="1" applyFill="1" applyAlignment="1">
      <alignment vertical="center"/>
    </xf>
    <xf numFmtId="177" fontId="2" fillId="2" borderId="0" xfId="0" applyNumberFormat="1" applyFont="1" applyFill="1" applyAlignment="1">
      <alignment horizontal="left" vertical="center"/>
    </xf>
    <xf numFmtId="178" fontId="2" fillId="6" borderId="0" xfId="0" applyNumberFormat="1" applyFont="1" applyFill="1" applyAlignment="1">
      <alignment horizontal="left" vertical="center"/>
    </xf>
    <xf numFmtId="178" fontId="2" fillId="7" borderId="0" xfId="0" applyNumberFormat="1" applyFont="1" applyFill="1" applyAlignment="1">
      <alignment horizontal="left" vertical="center"/>
    </xf>
    <xf numFmtId="177" fontId="0" fillId="2" borderId="0" xfId="0" applyNumberFormat="1" applyFont="1" applyFill="1" applyAlignment="1">
      <alignment horizontal="left" vertical="center"/>
    </xf>
    <xf numFmtId="0" fontId="0" fillId="6" borderId="0" xfId="0" applyFont="1" applyFill="1" applyAlignment="1">
      <alignment horizontal="left" vertical="center"/>
    </xf>
    <xf numFmtId="0" fontId="0" fillId="7" borderId="0" xfId="0" applyFont="1" applyFill="1" applyAlignment="1">
      <alignment horizontal="left" vertical="center"/>
    </xf>
    <xf numFmtId="0" fontId="0" fillId="6" borderId="0" xfId="0" applyFont="1" applyFill="1" applyAlignment="1">
      <alignment horizontal="left" vertical="top" wrapText="1"/>
    </xf>
    <xf numFmtId="0" fontId="0" fillId="7" borderId="0" xfId="0" applyFont="1" applyFill="1" applyAlignment="1">
      <alignment horizontal="left" vertical="top" wrapText="1"/>
    </xf>
    <xf numFmtId="176" fontId="0" fillId="2" borderId="0" xfId="0" applyNumberFormat="1" applyFont="1" applyFill="1" applyAlignment="1">
      <alignment horizontal="right" vertical="center"/>
    </xf>
    <xf numFmtId="176" fontId="0" fillId="0" borderId="0" xfId="0" applyNumberFormat="1" applyFont="1" applyFill="1">
      <alignment vertical="center"/>
    </xf>
    <xf numFmtId="176" fontId="4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176" fontId="0" fillId="2" borderId="0" xfId="0" applyNumberFormat="1" applyFont="1" applyFill="1" applyAlignment="1">
      <alignment horizontal="left" vertical="center"/>
    </xf>
    <xf numFmtId="176" fontId="7" fillId="0" borderId="0" xfId="0" applyNumberFormat="1" applyFont="1" applyFill="1" applyAlignment="1">
      <alignment horizontal="left" vertical="center"/>
    </xf>
    <xf numFmtId="176" fontId="7" fillId="0" borderId="0" xfId="0" applyNumberFormat="1" applyFont="1" applyFill="1">
      <alignment vertical="center"/>
    </xf>
    <xf numFmtId="176" fontId="2" fillId="0" borderId="0" xfId="0" applyNumberFormat="1" applyFont="1" applyFill="1" applyAlignment="1">
      <alignment horizontal="left" vertical="center"/>
    </xf>
    <xf numFmtId="176" fontId="8" fillId="2" borderId="1" xfId="0" applyNumberFormat="1" applyFont="1" applyFill="1" applyBorder="1" applyAlignment="1">
      <alignment horizontal="right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>
      <alignment vertical="center"/>
    </xf>
    <xf numFmtId="9" fontId="0" fillId="0" borderId="1" xfId="3" applyFont="1" applyFill="1" applyBorder="1" applyAlignment="1">
      <alignment horizontal="center" vertical="center" wrapText="1"/>
    </xf>
    <xf numFmtId="176" fontId="1" fillId="7" borderId="1" xfId="0" applyNumberFormat="1" applyFont="1" applyFill="1" applyBorder="1" applyAlignment="1">
      <alignment horizontal="right" vertical="center"/>
    </xf>
    <xf numFmtId="176" fontId="0" fillId="7" borderId="1" xfId="0" applyNumberFormat="1" applyFont="1" applyFill="1" applyBorder="1" applyAlignment="1">
      <alignment horizontal="right" vertical="center"/>
    </xf>
    <xf numFmtId="176" fontId="0" fillId="5" borderId="1" xfId="0" applyNumberFormat="1" applyFont="1" applyFill="1" applyBorder="1">
      <alignment vertical="center"/>
    </xf>
    <xf numFmtId="178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49" fontId="2" fillId="0" borderId="1" xfId="0" applyNumberFormat="1" applyFont="1" applyFill="1" applyBorder="1" applyAlignment="1" quotePrefix="1">
      <alignment horizontal="center" vertical="center" shrinkToFit="1"/>
    </xf>
    <xf numFmtId="49" fontId="2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L180"/>
  <sheetViews>
    <sheetView tabSelected="1" workbookViewId="0">
      <pane xSplit="2" ySplit="8" topLeftCell="C54" activePane="bottomRight" state="frozen"/>
      <selection/>
      <selection pane="topRight"/>
      <selection pane="bottomLeft"/>
      <selection pane="bottomRight" activeCell="A60" sqref="$A60:$XFD60"/>
    </sheetView>
  </sheetViews>
  <sheetFormatPr defaultColWidth="8.8" defaultRowHeight="15.6"/>
  <cols>
    <col min="1" max="1" width="4" style="1" customWidth="1"/>
    <col min="2" max="2" width="11.7" style="1" customWidth="1"/>
    <col min="3" max="3" width="8.8" style="7"/>
    <col min="4" max="6" width="8.8" style="1"/>
    <col min="7" max="7" width="8.8" style="163"/>
    <col min="8" max="8" width="9.6" style="10" customWidth="1"/>
    <col min="9" max="9" width="8.8" style="1"/>
    <col min="10" max="10" width="11.3" style="164" customWidth="1"/>
    <col min="11" max="11" width="9.5" style="11" customWidth="1"/>
    <col min="12" max="12" width="13.4" style="1" customWidth="1"/>
    <col min="13" max="16384" width="8.8" style="1"/>
  </cols>
  <sheetData>
    <row r="1" ht="22.8" spans="1:12">
      <c r="B1" s="12" t="s">
        <v>0</v>
      </c>
      <c r="C1" s="13"/>
      <c r="D1" s="12"/>
      <c r="E1" s="15"/>
      <c r="F1" s="12"/>
      <c r="I1" s="10"/>
      <c r="J1" s="165"/>
    </row>
    <row r="2" spans="1:12">
      <c r="B2" s="16" t="s">
        <v>1</v>
      </c>
      <c r="C2" s="17"/>
      <c r="D2" s="20"/>
      <c r="E2" s="19"/>
      <c r="F2" s="20"/>
      <c r="I2" s="10"/>
      <c r="J2" s="166"/>
    </row>
    <row r="3" spans="1:12">
      <c r="B3" s="20" t="s">
        <v>2</v>
      </c>
      <c r="C3" s="17"/>
      <c r="D3" s="20"/>
      <c r="E3" s="19"/>
      <c r="F3" s="20"/>
      <c r="I3" s="10"/>
      <c r="J3" s="166"/>
    </row>
    <row r="4" s="1" customFormat="1" spans="1:12">
      <c r="B4" s="21" t="s">
        <v>3</v>
      </c>
      <c r="C4" s="22"/>
      <c r="D4" s="22"/>
      <c r="E4" s="24"/>
      <c r="F4" s="22"/>
      <c r="G4" s="167" t="s">
        <v>4</v>
      </c>
      <c r="H4" s="75"/>
      <c r="I4" s="25"/>
      <c r="J4" s="168"/>
      <c r="K4" s="11"/>
    </row>
    <row r="5" s="1" customFormat="1" spans="1:12">
      <c r="B5" s="21" t="s">
        <v>5</v>
      </c>
      <c r="C5" s="22"/>
      <c r="D5" s="22"/>
      <c r="E5" s="24"/>
      <c r="F5" s="22"/>
      <c r="G5" s="167" t="s">
        <v>6</v>
      </c>
      <c r="H5" s="79"/>
      <c r="I5" s="25"/>
      <c r="J5" s="169"/>
      <c r="K5" s="11"/>
    </row>
    <row r="6" s="1" customFormat="1" spans="1:12">
      <c r="B6" s="21" t="s">
        <v>7</v>
      </c>
      <c r="C6" s="22"/>
      <c r="D6" s="22"/>
      <c r="E6" s="24"/>
      <c r="F6" s="22"/>
      <c r="G6" s="163"/>
      <c r="H6" s="25"/>
      <c r="I6" s="25"/>
      <c r="J6" s="170"/>
      <c r="K6" s="11"/>
    </row>
    <row r="7" spans="1:12">
      <c r="E7" s="26"/>
      <c r="I7" s="10"/>
      <c r="J7" s="164" t="s">
        <v>8</v>
      </c>
    </row>
    <row r="8" s="2" customFormat="1" ht="32" customHeight="1" spans="1:12">
      <c r="A8" s="2" t="s">
        <v>9</v>
      </c>
      <c r="B8" s="27" t="s">
        <v>10</v>
      </c>
      <c r="C8" s="27" t="s">
        <v>11</v>
      </c>
      <c r="D8" s="27" t="s">
        <v>12</v>
      </c>
      <c r="E8" s="29" t="s">
        <v>13</v>
      </c>
      <c r="F8" s="27" t="s">
        <v>14</v>
      </c>
      <c r="G8" s="171" t="s">
        <v>15</v>
      </c>
      <c r="H8" s="31" t="s">
        <v>16</v>
      </c>
      <c r="I8" s="32" t="s">
        <v>17</v>
      </c>
      <c r="J8" s="172" t="s">
        <v>18</v>
      </c>
      <c r="K8" s="33" t="s">
        <v>19</v>
      </c>
      <c r="L8" s="27" t="s">
        <v>20</v>
      </c>
    </row>
    <row r="9" s="1" customFormat="1" spans="1:12">
      <c r="A9" s="1">
        <v>1</v>
      </c>
      <c r="B9" s="34" t="s">
        <v>21</v>
      </c>
      <c r="C9" s="35" t="s">
        <v>22</v>
      </c>
      <c r="D9" s="142" t="s">
        <v>23</v>
      </c>
      <c r="E9" s="27">
        <v>150</v>
      </c>
      <c r="F9" s="37">
        <v>49.5</v>
      </c>
      <c r="G9" s="60">
        <v>21</v>
      </c>
      <c r="H9" s="39">
        <f t="shared" ref="H9:H69" si="0">G9/13.12</f>
        <v>1.60060975609756</v>
      </c>
      <c r="I9" s="37">
        <f>G9*E9</f>
        <v>3150</v>
      </c>
      <c r="J9" s="173">
        <v>19.1</v>
      </c>
      <c r="K9" s="33">
        <f>(G9-J9)/J9</f>
        <v>0.0994764397905758</v>
      </c>
      <c r="L9" s="37"/>
    </row>
    <row r="10" s="1" customFormat="1" spans="1:12">
      <c r="A10" s="1">
        <v>2</v>
      </c>
      <c r="B10" s="34" t="s">
        <v>21</v>
      </c>
      <c r="C10" s="35" t="s">
        <v>22</v>
      </c>
      <c r="D10" s="142" t="s">
        <v>24</v>
      </c>
      <c r="E10" s="27">
        <v>150</v>
      </c>
      <c r="F10" s="37">
        <v>49.5</v>
      </c>
      <c r="G10" s="60">
        <v>20.8</v>
      </c>
      <c r="H10" s="39">
        <f t="shared" si="0"/>
        <v>1.58536585365854</v>
      </c>
      <c r="I10" s="37">
        <f>G10*E10</f>
        <v>3120</v>
      </c>
      <c r="J10" s="173">
        <v>18.9</v>
      </c>
      <c r="K10" s="33">
        <f t="shared" ref="K9:K69" si="1">(G10-J10)/J10</f>
        <v>0.100529100529101</v>
      </c>
      <c r="L10" s="37"/>
    </row>
    <row r="11" s="1" customFormat="1" spans="1:12">
      <c r="A11" s="1">
        <v>3</v>
      </c>
      <c r="B11" s="34" t="s">
        <v>21</v>
      </c>
      <c r="C11" s="35" t="s">
        <v>22</v>
      </c>
      <c r="D11" s="142" t="s">
        <v>25</v>
      </c>
      <c r="E11" s="27">
        <v>150</v>
      </c>
      <c r="F11" s="37">
        <v>49.5</v>
      </c>
      <c r="G11" s="60">
        <v>23.1</v>
      </c>
      <c r="H11" s="39">
        <f t="shared" si="0"/>
        <v>1.76067073170732</v>
      </c>
      <c r="I11" s="37">
        <f t="shared" ref="I10:I41" si="2">G11*E11</f>
        <v>3465</v>
      </c>
      <c r="J11" s="173">
        <v>21</v>
      </c>
      <c r="K11" s="33">
        <f t="shared" si="1"/>
        <v>0.1</v>
      </c>
      <c r="L11" s="37"/>
    </row>
    <row r="12" s="1" customFormat="1" spans="1:12">
      <c r="A12" s="1">
        <v>4</v>
      </c>
      <c r="B12" s="34" t="s">
        <v>21</v>
      </c>
      <c r="C12" s="35" t="s">
        <v>22</v>
      </c>
      <c r="D12" s="142" t="s">
        <v>26</v>
      </c>
      <c r="E12" s="27">
        <v>150</v>
      </c>
      <c r="F12" s="37">
        <v>49.5</v>
      </c>
      <c r="G12" s="60">
        <v>23.8</v>
      </c>
      <c r="H12" s="39">
        <f t="shared" si="0"/>
        <v>1.8140243902439</v>
      </c>
      <c r="I12" s="37">
        <f t="shared" si="2"/>
        <v>3570</v>
      </c>
      <c r="J12" s="173">
        <v>21.6</v>
      </c>
      <c r="K12" s="33">
        <f t="shared" si="1"/>
        <v>0.101851851851852</v>
      </c>
      <c r="L12" s="37"/>
    </row>
    <row r="13" s="1" customFormat="1" spans="1:12">
      <c r="A13" s="1">
        <v>5</v>
      </c>
      <c r="B13" s="34" t="s">
        <v>21</v>
      </c>
      <c r="C13" s="35" t="s">
        <v>22</v>
      </c>
      <c r="D13" s="142" t="s">
        <v>27</v>
      </c>
      <c r="E13" s="27">
        <v>150</v>
      </c>
      <c r="F13" s="37">
        <v>49.5</v>
      </c>
      <c r="G13" s="60">
        <v>24.2</v>
      </c>
      <c r="H13" s="39">
        <f t="shared" si="0"/>
        <v>1.84451219512195</v>
      </c>
      <c r="I13" s="37">
        <f t="shared" si="2"/>
        <v>3630</v>
      </c>
      <c r="J13" s="173">
        <v>22</v>
      </c>
      <c r="K13" s="33">
        <f t="shared" si="1"/>
        <v>0.1</v>
      </c>
      <c r="L13" s="37"/>
    </row>
    <row r="14" s="1" customFormat="1" spans="1:12">
      <c r="A14" s="1">
        <v>6</v>
      </c>
      <c r="B14" s="34" t="s">
        <v>21</v>
      </c>
      <c r="C14" s="35" t="s">
        <v>28</v>
      </c>
      <c r="D14" s="142" t="s">
        <v>29</v>
      </c>
      <c r="E14" s="27">
        <v>200</v>
      </c>
      <c r="F14" s="37">
        <v>49.5</v>
      </c>
      <c r="G14" s="60">
        <v>23.7</v>
      </c>
      <c r="H14" s="39">
        <f t="shared" si="0"/>
        <v>1.80640243902439</v>
      </c>
      <c r="I14" s="37">
        <f t="shared" si="2"/>
        <v>4740</v>
      </c>
      <c r="J14" s="173">
        <v>21.5</v>
      </c>
      <c r="K14" s="33">
        <f t="shared" si="1"/>
        <v>0.102325581395349</v>
      </c>
      <c r="L14" s="37"/>
    </row>
    <row r="15" s="1" customFormat="1" spans="1:12">
      <c r="A15" s="1">
        <v>7</v>
      </c>
      <c r="B15" s="34" t="s">
        <v>21</v>
      </c>
      <c r="C15" s="35" t="s">
        <v>28</v>
      </c>
      <c r="D15" s="36">
        <v>0.58</v>
      </c>
      <c r="E15" s="27">
        <v>200</v>
      </c>
      <c r="F15" s="37">
        <v>49.5</v>
      </c>
      <c r="G15" s="60">
        <v>26.2</v>
      </c>
      <c r="H15" s="39">
        <f t="shared" si="0"/>
        <v>1.9969512195122</v>
      </c>
      <c r="I15" s="37">
        <f t="shared" si="2"/>
        <v>5240</v>
      </c>
      <c r="J15" s="173">
        <v>23.8</v>
      </c>
      <c r="K15" s="33">
        <f t="shared" si="1"/>
        <v>0.100840336134454</v>
      </c>
      <c r="L15" s="37"/>
    </row>
    <row r="16" s="1" customFormat="1" spans="1:12">
      <c r="A16" s="1">
        <v>8</v>
      </c>
      <c r="B16" s="34" t="s">
        <v>21</v>
      </c>
      <c r="C16" s="35" t="s">
        <v>30</v>
      </c>
      <c r="D16" s="142" t="s">
        <v>31</v>
      </c>
      <c r="E16" s="27">
        <v>200</v>
      </c>
      <c r="F16" s="37">
        <v>49.5</v>
      </c>
      <c r="G16" s="60">
        <v>21.7</v>
      </c>
      <c r="H16" s="39">
        <f t="shared" si="0"/>
        <v>1.65396341463415</v>
      </c>
      <c r="I16" s="37">
        <f t="shared" si="2"/>
        <v>4340</v>
      </c>
      <c r="J16" s="173">
        <v>19.7</v>
      </c>
      <c r="K16" s="33">
        <f t="shared" si="1"/>
        <v>0.101522842639594</v>
      </c>
      <c r="L16" s="37"/>
    </row>
    <row r="17" s="1" customFormat="1" spans="1:12">
      <c r="A17" s="1">
        <v>9</v>
      </c>
      <c r="B17" s="34" t="s">
        <v>21</v>
      </c>
      <c r="C17" s="35" t="s">
        <v>30</v>
      </c>
      <c r="D17" s="142" t="s">
        <v>32</v>
      </c>
      <c r="E17" s="27">
        <v>200</v>
      </c>
      <c r="F17" s="37">
        <v>49.5</v>
      </c>
      <c r="G17" s="60">
        <v>22.4</v>
      </c>
      <c r="H17" s="39">
        <f t="shared" si="0"/>
        <v>1.70731707317073</v>
      </c>
      <c r="I17" s="37">
        <f t="shared" si="2"/>
        <v>4480</v>
      </c>
      <c r="J17" s="173">
        <v>20.4</v>
      </c>
      <c r="K17" s="33">
        <f t="shared" si="1"/>
        <v>0.0980392156862745</v>
      </c>
      <c r="L17" s="37"/>
    </row>
    <row r="18" s="1" customFormat="1" spans="1:12">
      <c r="A18" s="1">
        <v>10</v>
      </c>
      <c r="B18" s="34" t="s">
        <v>21</v>
      </c>
      <c r="C18" s="35" t="s">
        <v>30</v>
      </c>
      <c r="D18" s="142" t="s">
        <v>33</v>
      </c>
      <c r="E18" s="27">
        <v>200</v>
      </c>
      <c r="F18" s="37">
        <v>49.5</v>
      </c>
      <c r="G18" s="60">
        <v>23.9</v>
      </c>
      <c r="H18" s="39">
        <f t="shared" si="0"/>
        <v>1.82164634146341</v>
      </c>
      <c r="I18" s="37">
        <f t="shared" si="2"/>
        <v>4780</v>
      </c>
      <c r="J18" s="173">
        <v>21.7</v>
      </c>
      <c r="K18" s="33">
        <f t="shared" si="1"/>
        <v>0.101382488479263</v>
      </c>
      <c r="L18" s="37"/>
    </row>
    <row r="19" s="1" customFormat="1" spans="1:12">
      <c r="A19" s="1">
        <v>11</v>
      </c>
      <c r="B19" s="34" t="s">
        <v>21</v>
      </c>
      <c r="C19" s="35" t="s">
        <v>30</v>
      </c>
      <c r="D19" s="142" t="s">
        <v>34</v>
      </c>
      <c r="E19" s="27">
        <v>200</v>
      </c>
      <c r="F19" s="37">
        <v>49.5</v>
      </c>
      <c r="G19" s="60">
        <v>24.4</v>
      </c>
      <c r="H19" s="39">
        <f t="shared" si="0"/>
        <v>1.85975609756098</v>
      </c>
      <c r="I19" s="37">
        <f t="shared" si="2"/>
        <v>4880</v>
      </c>
      <c r="J19" s="173">
        <v>22.2</v>
      </c>
      <c r="K19" s="33">
        <f t="shared" si="1"/>
        <v>0.0990990990990991</v>
      </c>
      <c r="L19" s="37"/>
    </row>
    <row r="20" s="1" customFormat="1" spans="1:12">
      <c r="A20" s="1">
        <v>12</v>
      </c>
      <c r="B20" s="34" t="s">
        <v>21</v>
      </c>
      <c r="C20" s="35" t="s">
        <v>30</v>
      </c>
      <c r="D20" s="142" t="s">
        <v>35</v>
      </c>
      <c r="E20" s="27">
        <v>200</v>
      </c>
      <c r="F20" s="37">
        <v>49.5</v>
      </c>
      <c r="G20" s="60">
        <v>25</v>
      </c>
      <c r="H20" s="39">
        <f t="shared" si="0"/>
        <v>1.90548780487805</v>
      </c>
      <c r="I20" s="37">
        <f t="shared" si="2"/>
        <v>5000</v>
      </c>
      <c r="J20" s="173">
        <v>22.7</v>
      </c>
      <c r="K20" s="33">
        <f t="shared" si="1"/>
        <v>0.101321585903084</v>
      </c>
      <c r="L20" s="37"/>
    </row>
    <row r="21" s="1" customFormat="1" spans="1:12">
      <c r="A21" s="1">
        <v>13</v>
      </c>
      <c r="B21" s="34" t="s">
        <v>21</v>
      </c>
      <c r="C21" s="35">
        <v>2113</v>
      </c>
      <c r="D21" s="142" t="s">
        <v>36</v>
      </c>
      <c r="E21" s="27">
        <v>200</v>
      </c>
      <c r="F21" s="37">
        <v>49.5</v>
      </c>
      <c r="G21" s="60">
        <v>22.7</v>
      </c>
      <c r="H21" s="39">
        <f t="shared" si="0"/>
        <v>1.73018292682927</v>
      </c>
      <c r="I21" s="37">
        <f t="shared" si="2"/>
        <v>4540</v>
      </c>
      <c r="J21" s="173">
        <v>20.6</v>
      </c>
      <c r="K21" s="33">
        <f t="shared" si="1"/>
        <v>0.101941747572815</v>
      </c>
      <c r="L21" s="37"/>
    </row>
    <row r="22" s="1" customFormat="1" spans="1:12">
      <c r="A22" s="1">
        <v>14</v>
      </c>
      <c r="B22" s="34" t="s">
        <v>21</v>
      </c>
      <c r="C22" s="35">
        <v>2113</v>
      </c>
      <c r="D22" s="142" t="s">
        <v>34</v>
      </c>
      <c r="E22" s="27">
        <v>200</v>
      </c>
      <c r="F22" s="37">
        <v>49.5</v>
      </c>
      <c r="G22" s="60">
        <v>23</v>
      </c>
      <c r="H22" s="39">
        <f t="shared" si="0"/>
        <v>1.7530487804878</v>
      </c>
      <c r="I22" s="37">
        <f t="shared" si="2"/>
        <v>4600</v>
      </c>
      <c r="J22" s="173">
        <v>20.9</v>
      </c>
      <c r="K22" s="33">
        <f t="shared" si="1"/>
        <v>0.100478468899522</v>
      </c>
      <c r="L22" s="37"/>
    </row>
    <row r="23" s="1" customFormat="1" spans="1:12">
      <c r="A23" s="1">
        <v>15</v>
      </c>
      <c r="B23" s="34" t="s">
        <v>21</v>
      </c>
      <c r="C23" s="35">
        <v>3313</v>
      </c>
      <c r="D23" s="142" t="s">
        <v>34</v>
      </c>
      <c r="E23" s="27">
        <v>200</v>
      </c>
      <c r="F23" s="37">
        <v>49.5</v>
      </c>
      <c r="G23" s="60">
        <v>23</v>
      </c>
      <c r="H23" s="39">
        <f t="shared" si="0"/>
        <v>1.7530487804878</v>
      </c>
      <c r="I23" s="37">
        <f t="shared" si="2"/>
        <v>4600</v>
      </c>
      <c r="J23" s="173">
        <v>20.9</v>
      </c>
      <c r="K23" s="33">
        <f t="shared" si="1"/>
        <v>0.100478468899522</v>
      </c>
      <c r="L23" s="37"/>
    </row>
    <row r="24" s="1" customFormat="1" spans="1:12">
      <c r="A24" s="1">
        <v>16</v>
      </c>
      <c r="B24" s="34" t="s">
        <v>21</v>
      </c>
      <c r="C24" s="35" t="s">
        <v>37</v>
      </c>
      <c r="D24" s="142" t="s">
        <v>38</v>
      </c>
      <c r="E24" s="27">
        <v>150</v>
      </c>
      <c r="F24" s="37">
        <v>49.5</v>
      </c>
      <c r="G24" s="60">
        <v>24.1</v>
      </c>
      <c r="H24" s="39">
        <f t="shared" si="0"/>
        <v>1.83689024390244</v>
      </c>
      <c r="I24" s="37">
        <f t="shared" si="2"/>
        <v>3615</v>
      </c>
      <c r="J24" s="173">
        <v>21.9</v>
      </c>
      <c r="K24" s="33">
        <f t="shared" si="1"/>
        <v>0.100456621004566</v>
      </c>
      <c r="L24" s="37"/>
    </row>
    <row r="25" s="1" customFormat="1" spans="1:12">
      <c r="A25" s="1">
        <v>17</v>
      </c>
      <c r="B25" s="34" t="s">
        <v>21</v>
      </c>
      <c r="C25" s="35" t="s">
        <v>37</v>
      </c>
      <c r="D25" s="142" t="s">
        <v>39</v>
      </c>
      <c r="E25" s="27">
        <v>150</v>
      </c>
      <c r="F25" s="37">
        <v>49.5</v>
      </c>
      <c r="G25" s="60">
        <v>25</v>
      </c>
      <c r="H25" s="39">
        <f t="shared" si="0"/>
        <v>1.90548780487805</v>
      </c>
      <c r="I25" s="37">
        <f t="shared" si="2"/>
        <v>3750</v>
      </c>
      <c r="J25" s="173">
        <v>22.7</v>
      </c>
      <c r="K25" s="33">
        <f t="shared" si="1"/>
        <v>0.101321585903084</v>
      </c>
      <c r="L25" s="37"/>
    </row>
    <row r="26" s="1" customFormat="1" spans="1:12">
      <c r="A26" s="1">
        <v>18</v>
      </c>
      <c r="B26" s="34" t="s">
        <v>21</v>
      </c>
      <c r="C26" s="35" t="s">
        <v>37</v>
      </c>
      <c r="D26" s="142" t="s">
        <v>40</v>
      </c>
      <c r="E26" s="27">
        <v>150</v>
      </c>
      <c r="F26" s="37">
        <v>49.5</v>
      </c>
      <c r="G26" s="60">
        <v>26.2</v>
      </c>
      <c r="H26" s="39">
        <f t="shared" si="0"/>
        <v>1.9969512195122</v>
      </c>
      <c r="I26" s="37">
        <f t="shared" si="2"/>
        <v>3930</v>
      </c>
      <c r="J26" s="173">
        <v>23.8</v>
      </c>
      <c r="K26" s="33">
        <f t="shared" si="1"/>
        <v>0.100840336134454</v>
      </c>
      <c r="L26" s="37"/>
    </row>
    <row r="27" s="1" customFormat="1" spans="1:12">
      <c r="A27" s="1">
        <v>19</v>
      </c>
      <c r="B27" s="34" t="s">
        <v>21</v>
      </c>
      <c r="C27" s="35" t="s">
        <v>37</v>
      </c>
      <c r="D27" s="142" t="s">
        <v>41</v>
      </c>
      <c r="E27" s="27">
        <v>150</v>
      </c>
      <c r="F27" s="37">
        <v>49.5</v>
      </c>
      <c r="G27" s="60">
        <v>26.6</v>
      </c>
      <c r="H27" s="39">
        <f t="shared" si="0"/>
        <v>2.02743902439024</v>
      </c>
      <c r="I27" s="37">
        <f t="shared" si="2"/>
        <v>3990</v>
      </c>
      <c r="J27" s="173">
        <v>24.2</v>
      </c>
      <c r="K27" s="33">
        <f t="shared" si="1"/>
        <v>0.0991735537190084</v>
      </c>
      <c r="L27" s="37"/>
    </row>
    <row r="28" s="1" customFormat="1" spans="1:12">
      <c r="A28" s="1">
        <v>20</v>
      </c>
      <c r="B28" s="34" t="s">
        <v>21</v>
      </c>
      <c r="C28" s="35" t="s">
        <v>37</v>
      </c>
      <c r="D28" s="142" t="s">
        <v>42</v>
      </c>
      <c r="E28" s="27">
        <v>150</v>
      </c>
      <c r="F28" s="37">
        <v>49.5</v>
      </c>
      <c r="G28" s="60">
        <v>27.7</v>
      </c>
      <c r="H28" s="39">
        <f t="shared" si="0"/>
        <v>2.11128048780488</v>
      </c>
      <c r="I28" s="37">
        <f t="shared" si="2"/>
        <v>4155</v>
      </c>
      <c r="J28" s="173">
        <v>25.2</v>
      </c>
      <c r="K28" s="33">
        <f t="shared" si="1"/>
        <v>0.0992063492063492</v>
      </c>
      <c r="L28" s="37"/>
    </row>
    <row r="29" s="1" customFormat="1" spans="1:12">
      <c r="A29" s="1">
        <v>21</v>
      </c>
      <c r="B29" s="34" t="s">
        <v>21</v>
      </c>
      <c r="C29" s="35" t="s">
        <v>43</v>
      </c>
      <c r="D29" s="142" t="s">
        <v>44</v>
      </c>
      <c r="E29" s="27">
        <v>200</v>
      </c>
      <c r="F29" s="37">
        <v>49.5</v>
      </c>
      <c r="G29" s="60">
        <v>21.3</v>
      </c>
      <c r="H29" s="39">
        <f t="shared" si="0"/>
        <v>1.6234756097561</v>
      </c>
      <c r="I29" s="37">
        <f t="shared" si="2"/>
        <v>4260</v>
      </c>
      <c r="J29" s="173">
        <v>19.4</v>
      </c>
      <c r="K29" s="33">
        <f t="shared" si="1"/>
        <v>0.097938144329897</v>
      </c>
      <c r="L29" s="37"/>
    </row>
    <row r="30" s="1" customFormat="1" spans="1:12">
      <c r="A30" s="1">
        <v>22</v>
      </c>
      <c r="B30" s="34" t="s">
        <v>21</v>
      </c>
      <c r="C30" s="35" t="s">
        <v>43</v>
      </c>
      <c r="D30" s="142" t="s">
        <v>45</v>
      </c>
      <c r="E30" s="27">
        <v>200</v>
      </c>
      <c r="F30" s="37">
        <v>49.5</v>
      </c>
      <c r="G30" s="60">
        <v>21.3</v>
      </c>
      <c r="H30" s="39">
        <f t="shared" si="0"/>
        <v>1.6234756097561</v>
      </c>
      <c r="I30" s="37">
        <f t="shared" si="2"/>
        <v>4260</v>
      </c>
      <c r="J30" s="173">
        <v>19.4</v>
      </c>
      <c r="K30" s="33">
        <f t="shared" si="1"/>
        <v>0.097938144329897</v>
      </c>
      <c r="L30" s="37"/>
    </row>
    <row r="31" s="1" customFormat="1" spans="1:12">
      <c r="A31" s="1">
        <v>23</v>
      </c>
      <c r="B31" s="34" t="s">
        <v>21</v>
      </c>
      <c r="C31" s="35" t="s">
        <v>43</v>
      </c>
      <c r="D31" s="142" t="s">
        <v>46</v>
      </c>
      <c r="E31" s="27">
        <v>200</v>
      </c>
      <c r="F31" s="37">
        <v>49.5</v>
      </c>
      <c r="G31" s="60">
        <v>21.9</v>
      </c>
      <c r="H31" s="39">
        <f t="shared" si="0"/>
        <v>1.66920731707317</v>
      </c>
      <c r="I31" s="37">
        <f t="shared" si="2"/>
        <v>4380</v>
      </c>
      <c r="J31" s="173">
        <v>19.9</v>
      </c>
      <c r="K31" s="33">
        <f t="shared" si="1"/>
        <v>0.100502512562814</v>
      </c>
      <c r="L31" s="37"/>
    </row>
    <row r="32" s="1" customFormat="1" spans="1:12">
      <c r="A32" s="1">
        <v>24</v>
      </c>
      <c r="B32" s="34" t="s">
        <v>21</v>
      </c>
      <c r="C32" s="35" t="s">
        <v>43</v>
      </c>
      <c r="D32" s="142" t="s">
        <v>47</v>
      </c>
      <c r="E32" s="27">
        <v>200</v>
      </c>
      <c r="F32" s="37">
        <v>49.5</v>
      </c>
      <c r="G32" s="60">
        <v>23.5</v>
      </c>
      <c r="H32" s="39">
        <f t="shared" si="0"/>
        <v>1.79115853658537</v>
      </c>
      <c r="I32" s="37">
        <f t="shared" si="2"/>
        <v>4700</v>
      </c>
      <c r="J32" s="173">
        <v>21.4</v>
      </c>
      <c r="K32" s="33">
        <f t="shared" si="1"/>
        <v>0.0981308411214954</v>
      </c>
      <c r="L32" s="37"/>
    </row>
    <row r="33" s="1" customFormat="1" spans="1:12">
      <c r="A33" s="1">
        <v>25</v>
      </c>
      <c r="B33" s="34" t="s">
        <v>21</v>
      </c>
      <c r="C33" s="35" t="s">
        <v>48</v>
      </c>
      <c r="D33" s="142" t="s">
        <v>47</v>
      </c>
      <c r="E33" s="27">
        <v>200</v>
      </c>
      <c r="F33" s="37">
        <v>49.5</v>
      </c>
      <c r="G33" s="60">
        <v>25.2</v>
      </c>
      <c r="H33" s="39">
        <f t="shared" si="0"/>
        <v>1.92073170731707</v>
      </c>
      <c r="I33" s="37">
        <f t="shared" si="2"/>
        <v>5040</v>
      </c>
      <c r="J33" s="173">
        <v>22.9</v>
      </c>
      <c r="K33" s="33">
        <f t="shared" si="1"/>
        <v>0.100436681222707</v>
      </c>
      <c r="L33" s="37"/>
    </row>
    <row r="34" s="1" customFormat="1" spans="1:12">
      <c r="A34" s="1">
        <v>26</v>
      </c>
      <c r="B34" s="34" t="s">
        <v>21</v>
      </c>
      <c r="C34" s="35" t="s">
        <v>48</v>
      </c>
      <c r="D34" s="142" t="s">
        <v>49</v>
      </c>
      <c r="E34" s="27">
        <v>200</v>
      </c>
      <c r="F34" s="37">
        <v>49.5</v>
      </c>
      <c r="G34" s="60">
        <v>27.2</v>
      </c>
      <c r="H34" s="39">
        <f t="shared" si="0"/>
        <v>2.07317073170732</v>
      </c>
      <c r="I34" s="37">
        <f t="shared" si="2"/>
        <v>5440</v>
      </c>
      <c r="J34" s="173">
        <v>24.7</v>
      </c>
      <c r="K34" s="33">
        <f t="shared" si="1"/>
        <v>0.101214574898785</v>
      </c>
      <c r="L34" s="37"/>
    </row>
    <row r="35" s="1" customFormat="1" spans="1:12">
      <c r="A35" s="1">
        <v>27</v>
      </c>
      <c r="B35" s="34" t="s">
        <v>21</v>
      </c>
      <c r="C35" s="35">
        <v>106</v>
      </c>
      <c r="D35" s="174">
        <v>0.78</v>
      </c>
      <c r="E35" s="27">
        <v>200</v>
      </c>
      <c r="F35" s="37">
        <v>49.5</v>
      </c>
      <c r="G35" s="60">
        <v>28.6</v>
      </c>
      <c r="H35" s="39">
        <f t="shared" si="0"/>
        <v>2.17987804878049</v>
      </c>
      <c r="I35" s="37">
        <f t="shared" si="2"/>
        <v>5720</v>
      </c>
      <c r="J35" s="173">
        <v>26</v>
      </c>
      <c r="K35" s="33">
        <f t="shared" si="1"/>
        <v>0.1</v>
      </c>
      <c r="L35" s="37"/>
    </row>
    <row r="36" s="1" customFormat="1" spans="1:12">
      <c r="A36" s="1">
        <v>28</v>
      </c>
      <c r="B36" s="34" t="s">
        <v>50</v>
      </c>
      <c r="C36" s="35" t="s">
        <v>22</v>
      </c>
      <c r="D36" s="142" t="s">
        <v>23</v>
      </c>
      <c r="E36" s="27">
        <v>150</v>
      </c>
      <c r="F36" s="37">
        <v>49.5</v>
      </c>
      <c r="G36" s="60">
        <v>21.8</v>
      </c>
      <c r="H36" s="39">
        <f t="shared" si="0"/>
        <v>1.66158536585366</v>
      </c>
      <c r="I36" s="37">
        <f t="shared" si="2"/>
        <v>3270</v>
      </c>
      <c r="J36" s="173">
        <v>19.8</v>
      </c>
      <c r="K36" s="33">
        <f t="shared" si="1"/>
        <v>0.101010101010101</v>
      </c>
      <c r="L36" s="37"/>
    </row>
    <row r="37" s="1" customFormat="1" spans="1:12">
      <c r="A37" s="1">
        <v>29</v>
      </c>
      <c r="B37" s="34" t="s">
        <v>50</v>
      </c>
      <c r="C37" s="35" t="s">
        <v>22</v>
      </c>
      <c r="D37" s="142" t="s">
        <v>24</v>
      </c>
      <c r="E37" s="27">
        <v>150</v>
      </c>
      <c r="F37" s="37">
        <v>49.5</v>
      </c>
      <c r="G37" s="60">
        <v>22.7</v>
      </c>
      <c r="H37" s="39">
        <f t="shared" si="0"/>
        <v>1.73018292682927</v>
      </c>
      <c r="I37" s="37">
        <f t="shared" si="2"/>
        <v>3405</v>
      </c>
      <c r="J37" s="173">
        <v>20.6</v>
      </c>
      <c r="K37" s="33">
        <f t="shared" si="1"/>
        <v>0.101941747572815</v>
      </c>
      <c r="L37" s="37"/>
    </row>
    <row r="38" s="1" customFormat="1" spans="1:12">
      <c r="A38" s="1">
        <v>30</v>
      </c>
      <c r="B38" s="34" t="s">
        <v>50</v>
      </c>
      <c r="C38" s="35" t="s">
        <v>22</v>
      </c>
      <c r="D38" s="142" t="s">
        <v>25</v>
      </c>
      <c r="E38" s="27">
        <v>150</v>
      </c>
      <c r="F38" s="37">
        <v>49.5</v>
      </c>
      <c r="G38" s="60">
        <v>23.4</v>
      </c>
      <c r="H38" s="39">
        <f t="shared" si="0"/>
        <v>1.78353658536585</v>
      </c>
      <c r="I38" s="37">
        <f t="shared" si="2"/>
        <v>3510</v>
      </c>
      <c r="J38" s="173">
        <v>21.3</v>
      </c>
      <c r="K38" s="33">
        <f t="shared" si="1"/>
        <v>0.0985915492957745</v>
      </c>
      <c r="L38" s="37"/>
    </row>
    <row r="39" s="1" customFormat="1" spans="1:12">
      <c r="A39" s="1">
        <v>31</v>
      </c>
      <c r="B39" s="34" t="s">
        <v>50</v>
      </c>
      <c r="C39" s="35" t="s">
        <v>22</v>
      </c>
      <c r="D39" s="142" t="s">
        <v>26</v>
      </c>
      <c r="E39" s="27">
        <v>150</v>
      </c>
      <c r="F39" s="37">
        <v>49.5</v>
      </c>
      <c r="G39" s="60">
        <v>24.2</v>
      </c>
      <c r="H39" s="39">
        <f t="shared" si="0"/>
        <v>1.84451219512195</v>
      </c>
      <c r="I39" s="37">
        <f t="shared" si="2"/>
        <v>3630</v>
      </c>
      <c r="J39" s="173">
        <v>22</v>
      </c>
      <c r="K39" s="33">
        <f t="shared" si="1"/>
        <v>0.1</v>
      </c>
      <c r="L39" s="37"/>
    </row>
    <row r="40" s="1" customFormat="1" spans="1:12">
      <c r="A40" s="1">
        <v>32</v>
      </c>
      <c r="B40" s="34" t="s">
        <v>50</v>
      </c>
      <c r="C40" s="35" t="s">
        <v>22</v>
      </c>
      <c r="D40" s="142" t="s">
        <v>27</v>
      </c>
      <c r="E40" s="27">
        <v>150</v>
      </c>
      <c r="F40" s="37">
        <v>49.5</v>
      </c>
      <c r="G40" s="60">
        <v>25</v>
      </c>
      <c r="H40" s="39">
        <f t="shared" si="0"/>
        <v>1.90548780487805</v>
      </c>
      <c r="I40" s="37">
        <f t="shared" si="2"/>
        <v>3750</v>
      </c>
      <c r="J40" s="173">
        <v>22.7</v>
      </c>
      <c r="K40" s="33">
        <f t="shared" si="1"/>
        <v>0.101321585903084</v>
      </c>
      <c r="L40" s="37"/>
    </row>
    <row r="41" s="1" customFormat="1" spans="1:12">
      <c r="A41" s="1">
        <v>33</v>
      </c>
      <c r="B41" s="34" t="s">
        <v>50</v>
      </c>
      <c r="C41" s="35">
        <v>2313</v>
      </c>
      <c r="D41" s="142" t="s">
        <v>29</v>
      </c>
      <c r="E41" s="27">
        <v>200</v>
      </c>
      <c r="F41" s="37">
        <v>49.5</v>
      </c>
      <c r="G41" s="60">
        <v>23.9</v>
      </c>
      <c r="H41" s="39">
        <f t="shared" si="0"/>
        <v>1.82164634146341</v>
      </c>
      <c r="I41" s="37">
        <f t="shared" si="2"/>
        <v>4780</v>
      </c>
      <c r="J41" s="173">
        <v>21.7</v>
      </c>
      <c r="K41" s="33">
        <f t="shared" si="1"/>
        <v>0.101382488479263</v>
      </c>
      <c r="L41" s="37"/>
    </row>
    <row r="42" s="1" customFormat="1" spans="1:12">
      <c r="A42" s="1">
        <v>34</v>
      </c>
      <c r="B42" s="34" t="s">
        <v>50</v>
      </c>
      <c r="C42" s="35">
        <v>2313</v>
      </c>
      <c r="D42" s="36">
        <v>0.58</v>
      </c>
      <c r="E42" s="27">
        <v>200</v>
      </c>
      <c r="F42" s="37">
        <v>49.5</v>
      </c>
      <c r="G42" s="60">
        <v>26.6</v>
      </c>
      <c r="H42" s="39">
        <f t="shared" si="0"/>
        <v>2.02743902439024</v>
      </c>
      <c r="I42" s="37">
        <f t="shared" ref="I42:I69" si="3">G42*E42</f>
        <v>5320</v>
      </c>
      <c r="J42" s="173">
        <v>24.2</v>
      </c>
      <c r="K42" s="33">
        <f t="shared" si="1"/>
        <v>0.0991735537190084</v>
      </c>
      <c r="L42" s="37"/>
    </row>
    <row r="43" s="1" customFormat="1" spans="1:12">
      <c r="A43" s="1">
        <v>35</v>
      </c>
      <c r="B43" s="34" t="s">
        <v>50</v>
      </c>
      <c r="C43" s="35">
        <v>2313</v>
      </c>
      <c r="D43" s="142" t="s">
        <v>35</v>
      </c>
      <c r="E43" s="27">
        <v>200</v>
      </c>
      <c r="F43" s="37">
        <v>49.5</v>
      </c>
      <c r="G43" s="60">
        <v>28.2</v>
      </c>
      <c r="H43" s="39">
        <f t="shared" si="0"/>
        <v>2.14939024390244</v>
      </c>
      <c r="I43" s="37">
        <f t="shared" si="3"/>
        <v>5640</v>
      </c>
      <c r="J43" s="173">
        <v>25.6</v>
      </c>
      <c r="K43" s="33">
        <f t="shared" si="1"/>
        <v>0.1015625</v>
      </c>
      <c r="L43" s="37"/>
    </row>
    <row r="44" s="1" customFormat="1" spans="1:12">
      <c r="A44" s="1">
        <v>36</v>
      </c>
      <c r="B44" s="34" t="s">
        <v>50</v>
      </c>
      <c r="C44" s="35">
        <v>3313</v>
      </c>
      <c r="D44" s="142" t="s">
        <v>29</v>
      </c>
      <c r="E44" s="27">
        <v>200</v>
      </c>
      <c r="F44" s="37">
        <v>49.5</v>
      </c>
      <c r="G44" s="60">
        <v>23.9</v>
      </c>
      <c r="H44" s="39">
        <f t="shared" si="0"/>
        <v>1.82164634146341</v>
      </c>
      <c r="I44" s="37">
        <f t="shared" si="3"/>
        <v>4780</v>
      </c>
      <c r="J44" s="173">
        <v>21.7</v>
      </c>
      <c r="K44" s="33">
        <f t="shared" si="1"/>
        <v>0.101382488479263</v>
      </c>
      <c r="L44" s="37"/>
    </row>
    <row r="45" s="1" customFormat="1" spans="1:12">
      <c r="A45" s="1">
        <v>37</v>
      </c>
      <c r="B45" s="34" t="s">
        <v>50</v>
      </c>
      <c r="C45" s="35">
        <v>3313</v>
      </c>
      <c r="D45" s="36">
        <v>0.58</v>
      </c>
      <c r="E45" s="27">
        <v>200</v>
      </c>
      <c r="F45" s="37">
        <v>49.5</v>
      </c>
      <c r="G45" s="60">
        <v>26.6</v>
      </c>
      <c r="H45" s="39">
        <f t="shared" si="0"/>
        <v>2.02743902439024</v>
      </c>
      <c r="I45" s="37">
        <f t="shared" si="3"/>
        <v>5320</v>
      </c>
      <c r="J45" s="173">
        <v>24.2</v>
      </c>
      <c r="K45" s="33">
        <f t="shared" si="1"/>
        <v>0.0991735537190084</v>
      </c>
      <c r="L45" s="37"/>
    </row>
    <row r="46" s="1" customFormat="1" spans="1:12">
      <c r="A46" s="1">
        <v>38</v>
      </c>
      <c r="B46" s="34" t="s">
        <v>50</v>
      </c>
      <c r="C46" s="35">
        <v>3313</v>
      </c>
      <c r="D46" s="142" t="s">
        <v>35</v>
      </c>
      <c r="E46" s="27">
        <v>200</v>
      </c>
      <c r="F46" s="37">
        <v>49.5</v>
      </c>
      <c r="G46" s="60">
        <v>28.2</v>
      </c>
      <c r="H46" s="39">
        <f t="shared" si="0"/>
        <v>2.14939024390244</v>
      </c>
      <c r="I46" s="37">
        <f t="shared" si="3"/>
        <v>5640</v>
      </c>
      <c r="J46" s="173">
        <v>25.6</v>
      </c>
      <c r="K46" s="33">
        <f t="shared" si="1"/>
        <v>0.1015625</v>
      </c>
      <c r="L46" s="37"/>
    </row>
    <row r="47" s="1" customFormat="1" spans="1:12">
      <c r="A47" s="1">
        <v>39</v>
      </c>
      <c r="B47" s="34" t="s">
        <v>50</v>
      </c>
      <c r="C47" s="35" t="s">
        <v>30</v>
      </c>
      <c r="D47" s="142" t="s">
        <v>31</v>
      </c>
      <c r="E47" s="27">
        <v>200</v>
      </c>
      <c r="F47" s="37">
        <v>49.5</v>
      </c>
      <c r="G47" s="60">
        <v>21.8</v>
      </c>
      <c r="H47" s="39">
        <f t="shared" si="0"/>
        <v>1.66158536585366</v>
      </c>
      <c r="I47" s="37">
        <f t="shared" si="3"/>
        <v>4360</v>
      </c>
      <c r="J47" s="173">
        <v>19.8</v>
      </c>
      <c r="K47" s="33">
        <f t="shared" si="1"/>
        <v>0.101010101010101</v>
      </c>
      <c r="L47" s="37"/>
    </row>
    <row r="48" s="1" customFormat="1" spans="1:12">
      <c r="A48" s="1">
        <v>40</v>
      </c>
      <c r="B48" s="34" t="s">
        <v>50</v>
      </c>
      <c r="C48" s="35" t="s">
        <v>30</v>
      </c>
      <c r="D48" s="142" t="s">
        <v>32</v>
      </c>
      <c r="E48" s="27">
        <v>200</v>
      </c>
      <c r="F48" s="37">
        <v>49.5</v>
      </c>
      <c r="G48" s="60">
        <v>23</v>
      </c>
      <c r="H48" s="39">
        <f t="shared" si="0"/>
        <v>1.7530487804878</v>
      </c>
      <c r="I48" s="37">
        <f t="shared" si="3"/>
        <v>4600</v>
      </c>
      <c r="J48" s="173">
        <v>20.9</v>
      </c>
      <c r="K48" s="33">
        <f t="shared" si="1"/>
        <v>0.100478468899522</v>
      </c>
      <c r="L48" s="37"/>
    </row>
    <row r="49" s="1" customFormat="1" spans="1:12">
      <c r="A49" s="1">
        <v>41</v>
      </c>
      <c r="B49" s="34" t="s">
        <v>50</v>
      </c>
      <c r="C49" s="35" t="s">
        <v>30</v>
      </c>
      <c r="D49" s="142" t="s">
        <v>33</v>
      </c>
      <c r="E49" s="27">
        <v>200</v>
      </c>
      <c r="F49" s="37">
        <v>49.5</v>
      </c>
      <c r="G49" s="60">
        <v>24.4</v>
      </c>
      <c r="H49" s="39">
        <f t="shared" si="0"/>
        <v>1.85975609756098</v>
      </c>
      <c r="I49" s="37">
        <f t="shared" si="3"/>
        <v>4880</v>
      </c>
      <c r="J49" s="173">
        <v>22.2</v>
      </c>
      <c r="K49" s="33">
        <f t="shared" si="1"/>
        <v>0.0990990990990991</v>
      </c>
      <c r="L49" s="37"/>
    </row>
    <row r="50" s="1" customFormat="1" spans="1:12">
      <c r="A50" s="1">
        <v>42</v>
      </c>
      <c r="B50" s="34" t="s">
        <v>50</v>
      </c>
      <c r="C50" s="35" t="s">
        <v>30</v>
      </c>
      <c r="D50" s="142" t="s">
        <v>34</v>
      </c>
      <c r="E50" s="27">
        <v>200</v>
      </c>
      <c r="F50" s="37">
        <v>49.5</v>
      </c>
      <c r="G50" s="175">
        <v>25.2</v>
      </c>
      <c r="H50" s="39">
        <f t="shared" si="0"/>
        <v>1.92073170731707</v>
      </c>
      <c r="I50" s="37">
        <f t="shared" si="3"/>
        <v>5040</v>
      </c>
      <c r="J50" s="173">
        <v>21.8</v>
      </c>
      <c r="K50" s="33">
        <f t="shared" si="1"/>
        <v>0.155963302752294</v>
      </c>
      <c r="L50" s="37"/>
    </row>
    <row r="51" s="1" customFormat="1" spans="1:12">
      <c r="A51" s="1">
        <v>43</v>
      </c>
      <c r="B51" s="34" t="s">
        <v>50</v>
      </c>
      <c r="C51" s="35" t="s">
        <v>30</v>
      </c>
      <c r="D51" s="142" t="s">
        <v>35</v>
      </c>
      <c r="E51" s="27">
        <v>200</v>
      </c>
      <c r="F51" s="37">
        <v>49.5</v>
      </c>
      <c r="G51" s="60">
        <v>25.6</v>
      </c>
      <c r="H51" s="39">
        <f t="shared" si="0"/>
        <v>1.95121951219512</v>
      </c>
      <c r="I51" s="37">
        <f t="shared" si="3"/>
        <v>5120</v>
      </c>
      <c r="J51" s="173">
        <v>23.3</v>
      </c>
      <c r="K51" s="33">
        <f t="shared" si="1"/>
        <v>0.0987124463519314</v>
      </c>
      <c r="L51" s="37"/>
    </row>
    <row r="52" s="1" customFormat="1" spans="1:12">
      <c r="A52" s="1">
        <v>44</v>
      </c>
      <c r="B52" s="34" t="s">
        <v>50</v>
      </c>
      <c r="C52" s="35" t="s">
        <v>30</v>
      </c>
      <c r="D52" s="36">
        <v>0.62</v>
      </c>
      <c r="E52" s="27">
        <v>200</v>
      </c>
      <c r="F52" s="37">
        <v>49.5</v>
      </c>
      <c r="G52" s="60">
        <v>26.6</v>
      </c>
      <c r="H52" s="39">
        <f t="shared" si="0"/>
        <v>2.02743902439024</v>
      </c>
      <c r="I52" s="37">
        <f t="shared" si="3"/>
        <v>5320</v>
      </c>
      <c r="J52" s="173">
        <v>24.2</v>
      </c>
      <c r="K52" s="33">
        <f t="shared" si="1"/>
        <v>0.0991735537190084</v>
      </c>
      <c r="L52" s="37"/>
    </row>
    <row r="53" s="1" customFormat="1" spans="1:12">
      <c r="A53" s="1">
        <v>45</v>
      </c>
      <c r="B53" s="34" t="s">
        <v>50</v>
      </c>
      <c r="C53" s="35" t="s">
        <v>37</v>
      </c>
      <c r="D53" s="142" t="s">
        <v>38</v>
      </c>
      <c r="E53" s="27">
        <v>150</v>
      </c>
      <c r="F53" s="37">
        <v>49.5</v>
      </c>
      <c r="G53" s="60">
        <v>25</v>
      </c>
      <c r="H53" s="39">
        <f t="shared" si="0"/>
        <v>1.90548780487805</v>
      </c>
      <c r="I53" s="37">
        <f t="shared" si="3"/>
        <v>3750</v>
      </c>
      <c r="J53" s="173">
        <v>22.7</v>
      </c>
      <c r="K53" s="33">
        <f t="shared" si="1"/>
        <v>0.101321585903084</v>
      </c>
      <c r="L53" s="37"/>
    </row>
    <row r="54" s="1" customFormat="1" spans="1:12">
      <c r="A54" s="1">
        <v>46</v>
      </c>
      <c r="B54" s="34" t="s">
        <v>50</v>
      </c>
      <c r="C54" s="35" t="s">
        <v>37</v>
      </c>
      <c r="D54" s="142" t="s">
        <v>39</v>
      </c>
      <c r="E54" s="27">
        <v>150</v>
      </c>
      <c r="F54" s="37">
        <v>49.5</v>
      </c>
      <c r="G54" s="60">
        <v>26</v>
      </c>
      <c r="H54" s="39">
        <f t="shared" si="0"/>
        <v>1.98170731707317</v>
      </c>
      <c r="I54" s="37">
        <f t="shared" si="3"/>
        <v>3900</v>
      </c>
      <c r="J54" s="173">
        <v>23.6</v>
      </c>
      <c r="K54" s="33">
        <f t="shared" si="1"/>
        <v>0.101694915254237</v>
      </c>
      <c r="L54" s="37"/>
    </row>
    <row r="55" s="1" customFormat="1" spans="1:12">
      <c r="A55" s="1">
        <v>47</v>
      </c>
      <c r="B55" s="34" t="s">
        <v>50</v>
      </c>
      <c r="C55" s="35" t="s">
        <v>37</v>
      </c>
      <c r="D55" s="142" t="s">
        <v>40</v>
      </c>
      <c r="E55" s="27">
        <v>150</v>
      </c>
      <c r="F55" s="37">
        <v>49.5</v>
      </c>
      <c r="G55" s="60">
        <v>27</v>
      </c>
      <c r="H55" s="39">
        <f t="shared" si="0"/>
        <v>2.05792682926829</v>
      </c>
      <c r="I55" s="37">
        <f t="shared" si="3"/>
        <v>4050</v>
      </c>
      <c r="J55" s="173">
        <v>24.5</v>
      </c>
      <c r="K55" s="33">
        <f t="shared" si="1"/>
        <v>0.102040816326531</v>
      </c>
      <c r="L55" s="37"/>
    </row>
    <row r="56" s="1" customFormat="1" spans="1:12">
      <c r="A56" s="1">
        <v>48</v>
      </c>
      <c r="B56" s="34" t="s">
        <v>50</v>
      </c>
      <c r="C56" s="35" t="s">
        <v>37</v>
      </c>
      <c r="D56" s="142" t="s">
        <v>41</v>
      </c>
      <c r="E56" s="27">
        <v>150</v>
      </c>
      <c r="F56" s="37">
        <v>49.5</v>
      </c>
      <c r="G56" s="60">
        <v>27.6</v>
      </c>
      <c r="H56" s="39">
        <f t="shared" si="0"/>
        <v>2.10365853658537</v>
      </c>
      <c r="I56" s="37">
        <f t="shared" si="3"/>
        <v>4140</v>
      </c>
      <c r="J56" s="173">
        <v>25.1</v>
      </c>
      <c r="K56" s="33">
        <f t="shared" si="1"/>
        <v>0.099601593625498</v>
      </c>
      <c r="L56" s="37"/>
    </row>
    <row r="57" s="1" customFormat="1" spans="1:12">
      <c r="A57" s="1">
        <v>49</v>
      </c>
      <c r="B57" s="34" t="s">
        <v>50</v>
      </c>
      <c r="C57" s="35" t="s">
        <v>37</v>
      </c>
      <c r="D57" s="142" t="s">
        <v>42</v>
      </c>
      <c r="E57" s="27">
        <v>150</v>
      </c>
      <c r="F57" s="37">
        <v>49.5</v>
      </c>
      <c r="G57" s="60">
        <v>28.4</v>
      </c>
      <c r="H57" s="39">
        <f t="shared" si="0"/>
        <v>2.16463414634146</v>
      </c>
      <c r="I57" s="37">
        <f t="shared" si="3"/>
        <v>4260</v>
      </c>
      <c r="J57" s="173">
        <v>25.8</v>
      </c>
      <c r="K57" s="33">
        <f t="shared" si="1"/>
        <v>0.10077519379845</v>
      </c>
      <c r="L57" s="37"/>
    </row>
    <row r="58" s="1" customFormat="1" spans="1:12">
      <c r="A58" s="1">
        <v>50</v>
      </c>
      <c r="B58" s="34" t="s">
        <v>50</v>
      </c>
      <c r="C58" s="35" t="s">
        <v>43</v>
      </c>
      <c r="D58" s="142" t="s">
        <v>44</v>
      </c>
      <c r="E58" s="27">
        <v>200</v>
      </c>
      <c r="F58" s="37">
        <v>49.5</v>
      </c>
      <c r="G58" s="60">
        <v>22.4</v>
      </c>
      <c r="H58" s="39">
        <f t="shared" si="0"/>
        <v>1.70731707317073</v>
      </c>
      <c r="I58" s="37">
        <f t="shared" si="3"/>
        <v>4480</v>
      </c>
      <c r="J58" s="173">
        <v>20.4</v>
      </c>
      <c r="K58" s="33">
        <f t="shared" si="1"/>
        <v>0.0980392156862745</v>
      </c>
      <c r="L58" s="37"/>
    </row>
    <row r="59" s="1" customFormat="1" spans="1:12">
      <c r="A59" s="1">
        <v>51</v>
      </c>
      <c r="B59" s="34" t="s">
        <v>50</v>
      </c>
      <c r="C59" s="35" t="s">
        <v>43</v>
      </c>
      <c r="D59" s="142" t="s">
        <v>45</v>
      </c>
      <c r="E59" s="27">
        <v>200</v>
      </c>
      <c r="F59" s="37">
        <v>49.5</v>
      </c>
      <c r="G59" s="60">
        <v>23.7</v>
      </c>
      <c r="H59" s="39">
        <f t="shared" si="0"/>
        <v>1.80640243902439</v>
      </c>
      <c r="I59" s="37">
        <f t="shared" si="3"/>
        <v>4740</v>
      </c>
      <c r="J59" s="173">
        <v>21.5</v>
      </c>
      <c r="K59" s="33">
        <f t="shared" si="1"/>
        <v>0.102325581395349</v>
      </c>
      <c r="L59" s="37"/>
    </row>
    <row r="60" s="1" customFormat="1" ht="15" customHeight="1" spans="1:12">
      <c r="A60" s="1">
        <v>52</v>
      </c>
      <c r="B60" s="34" t="s">
        <v>50</v>
      </c>
      <c r="C60" s="35" t="s">
        <v>43</v>
      </c>
      <c r="D60" s="142" t="s">
        <v>46</v>
      </c>
      <c r="E60" s="27">
        <v>200</v>
      </c>
      <c r="F60" s="37">
        <v>49.5</v>
      </c>
      <c r="G60" s="60">
        <v>23.3</v>
      </c>
      <c r="H60" s="39">
        <f t="shared" si="0"/>
        <v>1.77591463414634</v>
      </c>
      <c r="I60" s="37">
        <f t="shared" si="3"/>
        <v>4660</v>
      </c>
      <c r="J60" s="173">
        <v>21.2</v>
      </c>
      <c r="K60" s="33">
        <f t="shared" si="1"/>
        <v>0.099056603773585</v>
      </c>
      <c r="L60" s="37"/>
    </row>
    <row r="61" s="1" customFormat="1" spans="1:12">
      <c r="A61" s="1">
        <v>53</v>
      </c>
      <c r="B61" s="34" t="s">
        <v>50</v>
      </c>
      <c r="C61" s="35" t="s">
        <v>43</v>
      </c>
      <c r="D61" s="142" t="s">
        <v>47</v>
      </c>
      <c r="E61" s="27">
        <v>200</v>
      </c>
      <c r="F61" s="37">
        <v>49.5</v>
      </c>
      <c r="G61" s="60">
        <v>24.4</v>
      </c>
      <c r="H61" s="39">
        <f t="shared" si="0"/>
        <v>1.85975609756098</v>
      </c>
      <c r="I61" s="37">
        <f t="shared" si="3"/>
        <v>4880</v>
      </c>
      <c r="J61" s="173">
        <v>22.2</v>
      </c>
      <c r="K61" s="33">
        <f t="shared" si="1"/>
        <v>0.0990990990990991</v>
      </c>
      <c r="L61" s="37"/>
    </row>
    <row r="62" s="1" customFormat="1" spans="1:12">
      <c r="A62" s="1">
        <v>54</v>
      </c>
      <c r="B62" s="34" t="s">
        <v>50</v>
      </c>
      <c r="C62" s="35" t="s">
        <v>48</v>
      </c>
      <c r="D62" s="142" t="s">
        <v>51</v>
      </c>
      <c r="E62" s="27">
        <v>200</v>
      </c>
      <c r="F62" s="37">
        <v>49.5</v>
      </c>
      <c r="G62" s="60">
        <v>27.9</v>
      </c>
      <c r="H62" s="39">
        <f t="shared" si="0"/>
        <v>2.1265243902439</v>
      </c>
      <c r="I62" s="37">
        <f t="shared" si="3"/>
        <v>5580</v>
      </c>
      <c r="J62" s="173">
        <v>25.4</v>
      </c>
      <c r="K62" s="33">
        <f t="shared" si="1"/>
        <v>0.0984251968503937</v>
      </c>
      <c r="L62" s="37"/>
    </row>
    <row r="63" s="1" customFormat="1" spans="1:12">
      <c r="A63" s="1">
        <v>55</v>
      </c>
      <c r="B63" s="34" t="s">
        <v>50</v>
      </c>
      <c r="C63" s="35" t="s">
        <v>48</v>
      </c>
      <c r="D63" s="36">
        <v>0.78</v>
      </c>
      <c r="E63" s="27">
        <v>300</v>
      </c>
      <c r="F63" s="37">
        <v>49.5</v>
      </c>
      <c r="G63" s="60">
        <v>29.5</v>
      </c>
      <c r="H63" s="39">
        <f t="shared" si="0"/>
        <v>2.2484756097561</v>
      </c>
      <c r="I63" s="37">
        <f t="shared" si="3"/>
        <v>8850</v>
      </c>
      <c r="J63" s="173">
        <v>26.8</v>
      </c>
      <c r="K63" s="33">
        <f t="shared" si="1"/>
        <v>0.100746268656716</v>
      </c>
      <c r="L63" s="37"/>
    </row>
    <row r="64" s="1" customFormat="1" spans="1:12">
      <c r="A64" s="1">
        <v>56</v>
      </c>
      <c r="B64" s="34" t="s">
        <v>52</v>
      </c>
      <c r="C64" s="35">
        <v>106</v>
      </c>
      <c r="D64" s="36">
        <v>0.78</v>
      </c>
      <c r="E64" s="27">
        <v>200</v>
      </c>
      <c r="F64" s="37">
        <v>49.5</v>
      </c>
      <c r="G64" s="60">
        <v>29.5</v>
      </c>
      <c r="H64" s="39">
        <f t="shared" si="0"/>
        <v>2.2484756097561</v>
      </c>
      <c r="I64" s="37">
        <f t="shared" si="3"/>
        <v>5900</v>
      </c>
      <c r="J64" s="173">
        <v>27.6</v>
      </c>
      <c r="K64" s="33">
        <f t="shared" si="1"/>
        <v>0.0688405797101449</v>
      </c>
      <c r="L64" s="37"/>
    </row>
    <row r="65" s="1" customFormat="1" spans="1:12">
      <c r="A65" s="1">
        <v>57</v>
      </c>
      <c r="B65" s="34" t="s">
        <v>52</v>
      </c>
      <c r="C65" s="35">
        <v>1080</v>
      </c>
      <c r="D65" s="36">
        <v>0.67</v>
      </c>
      <c r="E65" s="27">
        <v>200</v>
      </c>
      <c r="F65" s="37">
        <v>49.5</v>
      </c>
      <c r="G65" s="60">
        <v>24.8</v>
      </c>
      <c r="H65" s="39">
        <f t="shared" si="0"/>
        <v>1.89024390243902</v>
      </c>
      <c r="I65" s="37">
        <f t="shared" si="3"/>
        <v>4960</v>
      </c>
      <c r="J65" s="173">
        <v>23.6</v>
      </c>
      <c r="K65" s="33">
        <f t="shared" si="1"/>
        <v>0.0508474576271186</v>
      </c>
      <c r="L65" s="37"/>
    </row>
    <row r="66" s="1" customFormat="1" spans="1:12">
      <c r="A66" s="1">
        <v>58</v>
      </c>
      <c r="B66" s="34" t="s">
        <v>52</v>
      </c>
      <c r="C66" s="35">
        <v>1080</v>
      </c>
      <c r="D66" s="36">
        <v>0.69</v>
      </c>
      <c r="E66" s="27">
        <v>200</v>
      </c>
      <c r="F66" s="37">
        <v>49.5</v>
      </c>
      <c r="G66" s="60">
        <v>25</v>
      </c>
      <c r="H66" s="39">
        <f t="shared" si="0"/>
        <v>1.90548780487805</v>
      </c>
      <c r="I66" s="37">
        <f t="shared" si="3"/>
        <v>5000</v>
      </c>
      <c r="J66" s="173">
        <v>23.8</v>
      </c>
      <c r="K66" s="33">
        <f t="shared" si="1"/>
        <v>0.0504201680672269</v>
      </c>
      <c r="L66" s="37"/>
    </row>
    <row r="67" s="1" customFormat="1" spans="1:12">
      <c r="A67" s="1">
        <v>59</v>
      </c>
      <c r="B67" s="34" t="s">
        <v>52</v>
      </c>
      <c r="C67" s="35">
        <v>2116</v>
      </c>
      <c r="D67" s="36">
        <v>0.59</v>
      </c>
      <c r="E67" s="27">
        <v>200</v>
      </c>
      <c r="F67" s="37">
        <v>49.5</v>
      </c>
      <c r="G67" s="176">
        <v>25.2</v>
      </c>
      <c r="H67" s="39">
        <f t="shared" si="0"/>
        <v>1.92073170731707</v>
      </c>
      <c r="I67" s="37">
        <f t="shared" si="3"/>
        <v>5040</v>
      </c>
      <c r="J67" s="173">
        <v>24</v>
      </c>
      <c r="K67" s="33">
        <f t="shared" si="1"/>
        <v>0.05</v>
      </c>
      <c r="L67" s="37"/>
    </row>
    <row r="68" s="1" customFormat="1" spans="1:12">
      <c r="A68" s="1">
        <v>60</v>
      </c>
      <c r="B68" s="34" t="s">
        <v>52</v>
      </c>
      <c r="C68" s="35">
        <v>106</v>
      </c>
      <c r="D68" s="36">
        <v>0.79</v>
      </c>
      <c r="E68" s="27">
        <v>200</v>
      </c>
      <c r="F68" s="37">
        <v>49.5</v>
      </c>
      <c r="G68" s="60">
        <v>29.5</v>
      </c>
      <c r="H68" s="39">
        <f t="shared" si="0"/>
        <v>2.2484756097561</v>
      </c>
      <c r="I68" s="37">
        <f t="shared" si="3"/>
        <v>5900</v>
      </c>
      <c r="J68" s="177">
        <v>27.6</v>
      </c>
      <c r="K68" s="33">
        <f t="shared" si="1"/>
        <v>0.0688405797101449</v>
      </c>
      <c r="L68" s="37"/>
    </row>
    <row r="69" s="1" customFormat="1" spans="1:12">
      <c r="A69" s="1">
        <v>61</v>
      </c>
      <c r="B69" s="34" t="s">
        <v>52</v>
      </c>
      <c r="C69" s="35">
        <v>1080</v>
      </c>
      <c r="D69" s="36">
        <v>0.71</v>
      </c>
      <c r="E69" s="27">
        <v>200</v>
      </c>
      <c r="F69" s="37">
        <v>49.5</v>
      </c>
      <c r="G69" s="60">
        <v>25.2</v>
      </c>
      <c r="H69" s="39">
        <f t="shared" si="0"/>
        <v>1.92073170731707</v>
      </c>
      <c r="I69" s="37">
        <f t="shared" si="3"/>
        <v>5040</v>
      </c>
      <c r="J69" s="177">
        <v>24</v>
      </c>
      <c r="K69" s="33">
        <f t="shared" si="1"/>
        <v>0.05</v>
      </c>
      <c r="L69" s="37"/>
    </row>
    <row r="70" s="1" customFormat="1" spans="1:12">
      <c r="B70" s="34"/>
      <c r="C70" s="35"/>
      <c r="D70" s="36"/>
      <c r="E70" s="27"/>
      <c r="F70" s="37"/>
      <c r="G70" s="60">
        <v>0</v>
      </c>
      <c r="H70" s="39"/>
      <c r="I70" s="37"/>
      <c r="J70" s="173"/>
      <c r="K70" s="33"/>
      <c r="L70" s="37"/>
    </row>
    <row r="71" s="1" customFormat="1" spans="1:12">
      <c r="B71" s="34"/>
      <c r="C71" s="35"/>
      <c r="D71" s="36"/>
      <c r="E71" s="27"/>
      <c r="F71" s="37"/>
      <c r="G71" s="60"/>
      <c r="H71" s="39"/>
      <c r="I71" s="37"/>
      <c r="J71" s="173"/>
      <c r="K71" s="33"/>
      <c r="L71" s="37"/>
    </row>
    <row r="72" s="1" customFormat="1" spans="1:12">
      <c r="B72" s="34"/>
      <c r="C72" s="35"/>
      <c r="D72" s="36"/>
      <c r="E72" s="27"/>
      <c r="F72" s="37"/>
      <c r="G72" s="60"/>
      <c r="H72" s="39"/>
      <c r="I72" s="37"/>
      <c r="J72" s="173"/>
      <c r="K72" s="33"/>
      <c r="L72" s="37"/>
    </row>
    <row r="73" s="1" customFormat="1" spans="1:12">
      <c r="B73" s="34"/>
      <c r="C73" s="35"/>
      <c r="D73" s="36"/>
      <c r="E73" s="27"/>
      <c r="F73" s="37"/>
      <c r="G73" s="60"/>
      <c r="H73" s="39"/>
      <c r="I73" s="37"/>
      <c r="J73" s="173"/>
      <c r="K73" s="33"/>
      <c r="L73" s="37"/>
    </row>
    <row r="74" s="1" customFormat="1" spans="1:12">
      <c r="C74" s="7"/>
      <c r="G74" s="163"/>
      <c r="H74" s="10"/>
      <c r="J74" s="164"/>
      <c r="K74" s="2"/>
    </row>
    <row r="75" s="1" customFormat="1" spans="1:12">
      <c r="C75" s="7"/>
      <c r="G75" s="163"/>
      <c r="H75" s="10"/>
      <c r="J75" s="164"/>
      <c r="K75" s="2"/>
    </row>
    <row r="76" s="1" customFormat="1" spans="1:12">
      <c r="C76" s="7"/>
      <c r="G76" s="163"/>
      <c r="H76" s="10"/>
      <c r="J76" s="164"/>
      <c r="K76" s="2"/>
    </row>
    <row r="77" s="5" customFormat="1" ht="14.4" spans="1:12">
      <c r="A77" s="21" t="s">
        <v>53</v>
      </c>
      <c r="B77" s="21"/>
      <c r="C77" s="61"/>
      <c r="D77" s="61"/>
      <c r="E77" s="61"/>
      <c r="F77" s="61"/>
      <c r="G77" s="178"/>
      <c r="H77" s="63"/>
      <c r="I77" s="63"/>
      <c r="J77" s="61"/>
    </row>
    <row r="78" s="5" customFormat="1" ht="14.4" spans="1:12">
      <c r="A78" s="21" t="s">
        <v>54</v>
      </c>
      <c r="B78" s="21"/>
      <c r="C78" s="21"/>
      <c r="D78" s="21"/>
      <c r="E78" s="21"/>
      <c r="F78" s="21"/>
      <c r="G78" s="76"/>
      <c r="H78" s="21"/>
      <c r="I78" s="21"/>
      <c r="J78" s="21"/>
    </row>
    <row r="79" s="6" customFormat="1" spans="1:12">
      <c r="A79" s="65" t="s">
        <v>55</v>
      </c>
      <c r="B79" s="65"/>
      <c r="C79" s="65"/>
      <c r="D79" s="65"/>
      <c r="E79" s="65"/>
      <c r="F79" s="65"/>
      <c r="G79" s="179"/>
      <c r="H79" s="65"/>
      <c r="I79" s="65"/>
      <c r="J79" s="65"/>
    </row>
    <row r="80" s="6" customFormat="1" spans="1:12">
      <c r="A80" s="21" t="s">
        <v>56</v>
      </c>
      <c r="B80" s="21"/>
      <c r="C80" s="21"/>
      <c r="D80" s="21"/>
      <c r="E80" s="21"/>
      <c r="F80" s="21"/>
      <c r="G80" s="76"/>
      <c r="H80" s="21"/>
      <c r="I80" s="21"/>
      <c r="J80" s="21"/>
    </row>
    <row r="81" s="6" customFormat="1" spans="1:10">
      <c r="A81" s="21" t="s">
        <v>57</v>
      </c>
      <c r="B81" s="21"/>
      <c r="C81" s="21"/>
      <c r="D81" s="21"/>
      <c r="E81" s="21"/>
      <c r="F81" s="21"/>
      <c r="G81" s="76"/>
      <c r="H81" s="21"/>
      <c r="I81" s="21"/>
      <c r="J81" s="21"/>
    </row>
    <row r="180" spans="3:11">
      <c r="C180" s="1"/>
      <c r="G180" s="4"/>
      <c r="H180" s="1"/>
      <c r="J180" s="1"/>
      <c r="K180" s="1"/>
    </row>
  </sheetData>
  <autoFilter xmlns:etc="http://www.wps.cn/officeDocument/2017/etCustomData" ref="A8:L70" etc:filterBottomFollowUsedRange="0">
    <extLst/>
  </autoFilter>
  <mergeCells count="8">
    <mergeCell ref="B1:F1"/>
    <mergeCell ref="B2:F2"/>
    <mergeCell ref="B3:F3"/>
    <mergeCell ref="A78:J78"/>
    <mergeCell ref="A79:J79"/>
    <mergeCell ref="A80:J80"/>
    <mergeCell ref="A81:J81"/>
    <mergeCell ref="B180:L180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R208"/>
  <sheetViews>
    <sheetView workbookViewId="0">
      <pane xSplit="2" ySplit="8" topLeftCell="C171" activePane="bottomRight" state="frozen"/>
      <selection/>
      <selection pane="topRight"/>
      <selection pane="bottomLeft"/>
      <selection pane="bottomRight" activeCell="A175" sqref="$A175:$XFD175"/>
    </sheetView>
  </sheetViews>
  <sheetFormatPr defaultColWidth="8.8" defaultRowHeight="15.6"/>
  <cols>
    <col min="1" max="1" width="4.4" style="1" customWidth="1"/>
    <col min="2" max="2" width="9.5" style="1" customWidth="1"/>
    <col min="3" max="3" width="8.9" style="1" customWidth="1"/>
    <col min="4" max="4" width="9.5" style="26" customWidth="1"/>
    <col min="5" max="5" width="9.5" style="1" customWidth="1"/>
    <col min="6" max="6" width="9.5" style="26" customWidth="1"/>
    <col min="7" max="7" width="9.5" style="1" customWidth="1"/>
    <col min="8" max="8" width="13.7" style="1" customWidth="1"/>
    <col min="9" max="9" width="8.43333333333333" style="10" customWidth="1"/>
    <col min="10" max="10" width="8.43333333333333" style="4" customWidth="1"/>
    <col min="11" max="11" width="8.43333333333333" style="10" customWidth="1"/>
    <col min="12" max="12" width="8.43333333333333" style="131" customWidth="1"/>
    <col min="13" max="13" width="8.43333333333333" style="10" customWidth="1"/>
    <col min="14" max="14" width="8.43333333333333" style="132" customWidth="1"/>
    <col min="15" max="15" width="9.5" style="10" customWidth="1"/>
    <col min="16" max="16" width="12.1" style="1" customWidth="1"/>
    <col min="17" max="17" width="9.9" style="133" customWidth="1"/>
    <col min="18" max="18" width="9.3" style="1" customWidth="1"/>
    <col min="19" max="16384" width="8.8" style="1"/>
  </cols>
  <sheetData>
    <row r="1" ht="22.8" spans="1:18">
      <c r="B1" s="12" t="s">
        <v>0</v>
      </c>
      <c r="C1" s="12"/>
      <c r="D1" s="15"/>
      <c r="E1" s="12"/>
      <c r="F1" s="15"/>
      <c r="G1" s="12"/>
      <c r="H1" s="12"/>
      <c r="I1" s="71"/>
    </row>
    <row r="2" spans="1:18">
      <c r="B2" s="16" t="s">
        <v>1</v>
      </c>
      <c r="C2" s="20"/>
      <c r="D2" s="19"/>
      <c r="E2" s="20"/>
      <c r="F2" s="19"/>
      <c r="G2" s="20"/>
      <c r="H2" s="20"/>
      <c r="I2" s="73"/>
    </row>
    <row r="3" spans="1:18">
      <c r="B3" s="20" t="s">
        <v>2</v>
      </c>
      <c r="C3" s="20"/>
      <c r="D3" s="19"/>
      <c r="E3" s="20"/>
      <c r="F3" s="19"/>
      <c r="G3" s="20"/>
      <c r="H3" s="20"/>
      <c r="I3" s="73"/>
    </row>
    <row r="4" s="1" customFormat="1" spans="1:18">
      <c r="B4" s="21" t="s">
        <v>3</v>
      </c>
      <c r="C4" s="22"/>
      <c r="D4" s="24"/>
      <c r="E4" s="22"/>
      <c r="F4" s="24"/>
      <c r="G4" s="22"/>
      <c r="H4" s="21"/>
      <c r="I4" s="75"/>
      <c r="J4" s="76" t="s">
        <v>58</v>
      </c>
      <c r="K4" s="75"/>
      <c r="L4" s="134"/>
      <c r="M4" s="75"/>
      <c r="N4" s="135"/>
      <c r="O4" s="25"/>
      <c r="P4" s="21"/>
      <c r="Q4" s="133"/>
    </row>
    <row r="5" s="1" customFormat="1" spans="1:18">
      <c r="B5" s="21" t="s">
        <v>5</v>
      </c>
      <c r="C5" s="22"/>
      <c r="D5" s="24"/>
      <c r="E5" s="22"/>
      <c r="F5" s="24"/>
      <c r="G5" s="22"/>
      <c r="H5" s="78"/>
      <c r="I5" s="79"/>
      <c r="J5" s="80" t="s">
        <v>6</v>
      </c>
      <c r="K5" s="79"/>
      <c r="L5" s="136"/>
      <c r="M5" s="79"/>
      <c r="N5" s="137"/>
      <c r="O5" s="25"/>
      <c r="P5" s="78"/>
      <c r="Q5" s="133"/>
    </row>
    <row r="6" s="1" customFormat="1" spans="1:18">
      <c r="B6" s="21" t="s">
        <v>7</v>
      </c>
      <c r="C6" s="22"/>
      <c r="D6" s="24"/>
      <c r="E6" s="22"/>
      <c r="F6" s="24"/>
      <c r="G6" s="22"/>
      <c r="H6" s="22"/>
      <c r="I6" s="25"/>
      <c r="J6" s="82"/>
      <c r="K6" s="25"/>
      <c r="L6" s="138"/>
      <c r="M6" s="25"/>
      <c r="N6" s="139"/>
      <c r="O6" s="25"/>
      <c r="P6" s="22"/>
      <c r="Q6" s="133"/>
    </row>
    <row r="7" spans="1:18">
      <c r="H7" s="1" t="s">
        <v>8</v>
      </c>
    </row>
    <row r="8" s="2" customFormat="1" ht="32" customHeight="1" spans="1:18">
      <c r="A8" s="2" t="s">
        <v>9</v>
      </c>
      <c r="B8" s="27" t="s">
        <v>10</v>
      </c>
      <c r="C8" s="27" t="s">
        <v>59</v>
      </c>
      <c r="D8" s="29" t="s">
        <v>60</v>
      </c>
      <c r="E8" s="27" t="s">
        <v>61</v>
      </c>
      <c r="F8" s="29" t="s">
        <v>62</v>
      </c>
      <c r="G8" s="27" t="s">
        <v>63</v>
      </c>
      <c r="H8" s="27" t="s">
        <v>64</v>
      </c>
      <c r="I8" s="32" t="s">
        <v>65</v>
      </c>
      <c r="J8" s="89" t="s">
        <v>66</v>
      </c>
      <c r="K8" s="32" t="s">
        <v>67</v>
      </c>
      <c r="L8" s="140" t="s">
        <v>68</v>
      </c>
      <c r="M8" s="32" t="s">
        <v>69</v>
      </c>
      <c r="N8" s="141" t="s">
        <v>70</v>
      </c>
      <c r="O8" s="31" t="s">
        <v>16</v>
      </c>
      <c r="P8" s="142" t="s">
        <v>71</v>
      </c>
      <c r="Q8" s="143" t="s">
        <v>19</v>
      </c>
      <c r="R8" s="27" t="s">
        <v>20</v>
      </c>
    </row>
    <row r="9" ht="17" customHeight="1" spans="1:18">
      <c r="A9" s="1">
        <v>1</v>
      </c>
      <c r="B9" s="37" t="s">
        <v>72</v>
      </c>
      <c r="C9" s="37" t="s">
        <v>73</v>
      </c>
      <c r="D9" s="92">
        <v>0.076</v>
      </c>
      <c r="E9" s="94" t="s">
        <v>74</v>
      </c>
      <c r="F9" s="95" t="s">
        <v>75</v>
      </c>
      <c r="G9" s="37" t="s">
        <v>76</v>
      </c>
      <c r="H9" s="96" t="s">
        <v>77</v>
      </c>
      <c r="I9" s="97">
        <f t="shared" ref="I9:I30" si="0">J9*0.9</f>
        <v>85.5</v>
      </c>
      <c r="J9" s="58">
        <v>95</v>
      </c>
      <c r="K9" s="39">
        <f t="shared" ref="K9:K30" si="1">J9*1.05</f>
        <v>99.75</v>
      </c>
      <c r="L9" s="144">
        <f>I9*2</f>
        <v>171</v>
      </c>
      <c r="M9" s="39">
        <f t="shared" ref="L9:N9" si="2">J9*2</f>
        <v>190</v>
      </c>
      <c r="N9" s="145">
        <f t="shared" si="2"/>
        <v>199.5</v>
      </c>
      <c r="O9" s="39">
        <f t="shared" ref="O9:O30" si="3">J9/13.33</f>
        <v>7.12678169542386</v>
      </c>
      <c r="P9" s="37">
        <v>86</v>
      </c>
      <c r="Q9" s="146">
        <f>(J9-P9)/P9</f>
        <v>0.104651162790698</v>
      </c>
      <c r="R9" s="37"/>
    </row>
    <row r="10" ht="17" customHeight="1" spans="1:18">
      <c r="A10" s="1">
        <v>2</v>
      </c>
      <c r="B10" s="37" t="s">
        <v>72</v>
      </c>
      <c r="C10" s="37" t="s">
        <v>73</v>
      </c>
      <c r="D10" s="92">
        <v>0.1</v>
      </c>
      <c r="E10" s="94" t="s">
        <v>74</v>
      </c>
      <c r="F10" s="95" t="s">
        <v>75</v>
      </c>
      <c r="G10" s="37" t="s">
        <v>76</v>
      </c>
      <c r="H10" s="37" t="s">
        <v>78</v>
      </c>
      <c r="I10" s="97">
        <f t="shared" si="0"/>
        <v>85.5</v>
      </c>
      <c r="J10" s="58">
        <v>95</v>
      </c>
      <c r="K10" s="39">
        <f t="shared" si="1"/>
        <v>99.75</v>
      </c>
      <c r="L10" s="144">
        <f t="shared" ref="L10:L42" si="4">I10*2</f>
        <v>171</v>
      </c>
      <c r="M10" s="39">
        <f t="shared" ref="M10:M42" si="5">J10*2</f>
        <v>190</v>
      </c>
      <c r="N10" s="145">
        <f t="shared" ref="N10:N42" si="6">K10*2</f>
        <v>199.5</v>
      </c>
      <c r="O10" s="39">
        <f t="shared" si="3"/>
        <v>7.12678169542386</v>
      </c>
      <c r="P10" s="37">
        <v>86</v>
      </c>
      <c r="Q10" s="146">
        <f>(J10-P10)/P10</f>
        <v>0.104651162790698</v>
      </c>
      <c r="R10" s="37"/>
    </row>
    <row r="11" ht="17" customHeight="1" spans="1:18">
      <c r="A11" s="1">
        <v>3</v>
      </c>
      <c r="B11" s="37" t="s">
        <v>72</v>
      </c>
      <c r="C11" s="37" t="s">
        <v>73</v>
      </c>
      <c r="D11" s="92">
        <v>0.1</v>
      </c>
      <c r="E11" s="94" t="s">
        <v>74</v>
      </c>
      <c r="F11" s="95" t="s">
        <v>75</v>
      </c>
      <c r="G11" s="37" t="s">
        <v>76</v>
      </c>
      <c r="H11" s="37" t="s">
        <v>79</v>
      </c>
      <c r="I11" s="97">
        <f t="shared" si="0"/>
        <v>98.1</v>
      </c>
      <c r="J11" s="58">
        <v>109</v>
      </c>
      <c r="K11" s="39">
        <f t="shared" si="1"/>
        <v>114.45</v>
      </c>
      <c r="L11" s="144">
        <f t="shared" si="4"/>
        <v>196.2</v>
      </c>
      <c r="M11" s="39">
        <f t="shared" si="5"/>
        <v>218</v>
      </c>
      <c r="N11" s="145">
        <f t="shared" si="6"/>
        <v>228.9</v>
      </c>
      <c r="O11" s="39">
        <f t="shared" si="3"/>
        <v>8.17704426106527</v>
      </c>
      <c r="P11" s="37">
        <v>99</v>
      </c>
      <c r="Q11" s="146">
        <f>(J11-P11)/P11</f>
        <v>0.101010101010101</v>
      </c>
      <c r="R11" s="37"/>
    </row>
    <row r="12" ht="17" customHeight="1" spans="1:18">
      <c r="A12" s="1">
        <v>4</v>
      </c>
      <c r="B12" s="37" t="s">
        <v>72</v>
      </c>
      <c r="C12" s="37" t="s">
        <v>73</v>
      </c>
      <c r="D12" s="92" t="s">
        <v>80</v>
      </c>
      <c r="E12" s="94" t="s">
        <v>74</v>
      </c>
      <c r="F12" s="95" t="s">
        <v>75</v>
      </c>
      <c r="G12" s="37" t="s">
        <v>76</v>
      </c>
      <c r="H12" s="37" t="s">
        <v>81</v>
      </c>
      <c r="I12" s="97">
        <f t="shared" si="0"/>
        <v>85.5</v>
      </c>
      <c r="J12" s="58">
        <v>95</v>
      </c>
      <c r="K12" s="39">
        <f t="shared" si="1"/>
        <v>99.75</v>
      </c>
      <c r="L12" s="144">
        <f t="shared" si="4"/>
        <v>171</v>
      </c>
      <c r="M12" s="39">
        <f t="shared" si="5"/>
        <v>190</v>
      </c>
      <c r="N12" s="145">
        <f t="shared" si="6"/>
        <v>199.5</v>
      </c>
      <c r="O12" s="39">
        <f t="shared" si="3"/>
        <v>7.12678169542386</v>
      </c>
      <c r="P12" s="37" t="s">
        <v>82</v>
      </c>
      <c r="Q12" s="146" t="s">
        <v>82</v>
      </c>
      <c r="R12" s="37"/>
    </row>
    <row r="13" ht="17" customHeight="1" spans="1:18">
      <c r="A13" s="1">
        <v>5</v>
      </c>
      <c r="B13" s="37" t="s">
        <v>72</v>
      </c>
      <c r="C13" s="37" t="s">
        <v>73</v>
      </c>
      <c r="D13" s="92">
        <v>0.13</v>
      </c>
      <c r="E13" s="94" t="s">
        <v>74</v>
      </c>
      <c r="F13" s="95" t="s">
        <v>75</v>
      </c>
      <c r="G13" s="37" t="s">
        <v>76</v>
      </c>
      <c r="H13" s="37" t="s">
        <v>81</v>
      </c>
      <c r="I13" s="97">
        <f t="shared" si="0"/>
        <v>85.5</v>
      </c>
      <c r="J13" s="58">
        <v>95</v>
      </c>
      <c r="K13" s="39">
        <f t="shared" si="1"/>
        <v>99.75</v>
      </c>
      <c r="L13" s="144">
        <f t="shared" si="4"/>
        <v>171</v>
      </c>
      <c r="M13" s="39">
        <f t="shared" si="5"/>
        <v>190</v>
      </c>
      <c r="N13" s="145">
        <f t="shared" si="6"/>
        <v>199.5</v>
      </c>
      <c r="O13" s="39">
        <f t="shared" si="3"/>
        <v>7.12678169542386</v>
      </c>
      <c r="P13" s="37">
        <v>86</v>
      </c>
      <c r="Q13" s="146">
        <f t="shared" ref="Q13:Q19" si="7">(J13-P13)/P13</f>
        <v>0.104651162790698</v>
      </c>
      <c r="R13" s="37"/>
    </row>
    <row r="14" ht="17" customHeight="1" spans="1:18">
      <c r="A14" s="1">
        <v>6</v>
      </c>
      <c r="B14" s="37" t="s">
        <v>72</v>
      </c>
      <c r="C14" s="37" t="s">
        <v>73</v>
      </c>
      <c r="D14" s="92">
        <v>0.15</v>
      </c>
      <c r="E14" s="94" t="s">
        <v>74</v>
      </c>
      <c r="F14" s="95" t="s">
        <v>75</v>
      </c>
      <c r="G14" s="37" t="s">
        <v>76</v>
      </c>
      <c r="H14" s="37" t="s">
        <v>83</v>
      </c>
      <c r="I14" s="97">
        <f t="shared" si="0"/>
        <v>87.3</v>
      </c>
      <c r="J14" s="58">
        <v>97</v>
      </c>
      <c r="K14" s="39">
        <f t="shared" si="1"/>
        <v>101.85</v>
      </c>
      <c r="L14" s="144">
        <f t="shared" si="4"/>
        <v>174.6</v>
      </c>
      <c r="M14" s="39">
        <f t="shared" si="5"/>
        <v>194</v>
      </c>
      <c r="N14" s="145">
        <f t="shared" si="6"/>
        <v>203.7</v>
      </c>
      <c r="O14" s="39">
        <f t="shared" si="3"/>
        <v>7.2768192048012</v>
      </c>
      <c r="P14" s="37">
        <v>88</v>
      </c>
      <c r="Q14" s="146">
        <f t="shared" si="7"/>
        <v>0.102272727272727</v>
      </c>
      <c r="R14" s="37"/>
    </row>
    <row r="15" ht="17" customHeight="1" spans="1:18">
      <c r="A15" s="1">
        <v>7</v>
      </c>
      <c r="B15" s="37" t="s">
        <v>72</v>
      </c>
      <c r="C15" s="37" t="s">
        <v>73</v>
      </c>
      <c r="D15" s="92">
        <v>0.152</v>
      </c>
      <c r="E15" s="94" t="s">
        <v>74</v>
      </c>
      <c r="F15" s="95" t="s">
        <v>75</v>
      </c>
      <c r="G15" s="37" t="s">
        <v>76</v>
      </c>
      <c r="H15" s="37" t="s">
        <v>83</v>
      </c>
      <c r="I15" s="97">
        <f t="shared" si="0"/>
        <v>87.3</v>
      </c>
      <c r="J15" s="58">
        <v>97</v>
      </c>
      <c r="K15" s="39">
        <f t="shared" si="1"/>
        <v>101.85</v>
      </c>
      <c r="L15" s="144">
        <f t="shared" si="4"/>
        <v>174.6</v>
      </c>
      <c r="M15" s="39">
        <f t="shared" si="5"/>
        <v>194</v>
      </c>
      <c r="N15" s="145">
        <f t="shared" si="6"/>
        <v>203.7</v>
      </c>
      <c r="O15" s="39">
        <f t="shared" si="3"/>
        <v>7.2768192048012</v>
      </c>
      <c r="P15" s="37">
        <v>88</v>
      </c>
      <c r="Q15" s="146">
        <f t="shared" si="7"/>
        <v>0.102272727272727</v>
      </c>
      <c r="R15" s="37"/>
    </row>
    <row r="16" ht="17" customHeight="1" spans="1:18">
      <c r="A16" s="1">
        <v>8</v>
      </c>
      <c r="B16" s="37" t="s">
        <v>72</v>
      </c>
      <c r="C16" s="37" t="s">
        <v>73</v>
      </c>
      <c r="D16" s="92" t="s">
        <v>84</v>
      </c>
      <c r="E16" s="94" t="s">
        <v>74</v>
      </c>
      <c r="F16" s="95" t="s">
        <v>75</v>
      </c>
      <c r="G16" s="37" t="s">
        <v>76</v>
      </c>
      <c r="H16" s="37" t="s">
        <v>85</v>
      </c>
      <c r="I16" s="97">
        <f t="shared" si="0"/>
        <v>87.3</v>
      </c>
      <c r="J16" s="58">
        <v>97</v>
      </c>
      <c r="K16" s="39">
        <f t="shared" si="1"/>
        <v>101.85</v>
      </c>
      <c r="L16" s="144">
        <f t="shared" si="4"/>
        <v>174.6</v>
      </c>
      <c r="M16" s="39">
        <f t="shared" si="5"/>
        <v>194</v>
      </c>
      <c r="N16" s="145">
        <f t="shared" si="6"/>
        <v>203.7</v>
      </c>
      <c r="O16" s="39">
        <f t="shared" si="3"/>
        <v>7.2768192048012</v>
      </c>
      <c r="P16" s="37">
        <v>88</v>
      </c>
      <c r="Q16" s="146">
        <f t="shared" si="7"/>
        <v>0.102272727272727</v>
      </c>
      <c r="R16" s="37"/>
    </row>
    <row r="17" ht="17" customHeight="1" spans="1:18">
      <c r="A17" s="1">
        <v>9</v>
      </c>
      <c r="B17" s="37" t="s">
        <v>72</v>
      </c>
      <c r="C17" s="37" t="s">
        <v>73</v>
      </c>
      <c r="D17" s="92">
        <v>0.203</v>
      </c>
      <c r="E17" s="94" t="s">
        <v>74</v>
      </c>
      <c r="F17" s="95" t="s">
        <v>75</v>
      </c>
      <c r="G17" s="37" t="s">
        <v>76</v>
      </c>
      <c r="H17" s="37" t="s">
        <v>86</v>
      </c>
      <c r="I17" s="97">
        <f t="shared" si="0"/>
        <v>94.5</v>
      </c>
      <c r="J17" s="58">
        <v>105</v>
      </c>
      <c r="K17" s="39">
        <f t="shared" si="1"/>
        <v>110.25</v>
      </c>
      <c r="L17" s="144">
        <f t="shared" si="4"/>
        <v>189</v>
      </c>
      <c r="M17" s="39">
        <f t="shared" si="5"/>
        <v>210</v>
      </c>
      <c r="N17" s="145">
        <f t="shared" si="6"/>
        <v>220.5</v>
      </c>
      <c r="O17" s="39">
        <f t="shared" si="3"/>
        <v>7.87696924231058</v>
      </c>
      <c r="P17" s="37">
        <v>95</v>
      </c>
      <c r="Q17" s="146">
        <f t="shared" si="7"/>
        <v>0.105263157894737</v>
      </c>
      <c r="R17" s="37"/>
    </row>
    <row r="18" ht="17" customHeight="1" spans="1:18">
      <c r="A18" s="1">
        <v>10</v>
      </c>
      <c r="B18" s="37" t="s">
        <v>72</v>
      </c>
      <c r="C18" s="37" t="s">
        <v>73</v>
      </c>
      <c r="D18" s="109">
        <v>0.23</v>
      </c>
      <c r="E18" s="94" t="s">
        <v>74</v>
      </c>
      <c r="F18" s="95" t="s">
        <v>75</v>
      </c>
      <c r="G18" s="37" t="s">
        <v>76</v>
      </c>
      <c r="H18" s="37" t="s">
        <v>87</v>
      </c>
      <c r="I18" s="97">
        <f t="shared" si="0"/>
        <v>104.4</v>
      </c>
      <c r="J18" s="58">
        <v>116</v>
      </c>
      <c r="K18" s="39">
        <f t="shared" si="1"/>
        <v>121.8</v>
      </c>
      <c r="L18" s="144">
        <f t="shared" si="4"/>
        <v>208.8</v>
      </c>
      <c r="M18" s="39">
        <f t="shared" si="5"/>
        <v>232</v>
      </c>
      <c r="N18" s="145">
        <f t="shared" si="6"/>
        <v>243.6</v>
      </c>
      <c r="O18" s="39">
        <f t="shared" si="3"/>
        <v>8.70217554388597</v>
      </c>
      <c r="P18" s="37">
        <v>105</v>
      </c>
      <c r="Q18" s="146">
        <f t="shared" si="7"/>
        <v>0.104761904761905</v>
      </c>
      <c r="R18" s="37"/>
    </row>
    <row r="19" ht="17" customHeight="1" spans="1:18">
      <c r="A19" s="1">
        <v>11</v>
      </c>
      <c r="B19" s="37" t="s">
        <v>72</v>
      </c>
      <c r="C19" s="37" t="s">
        <v>73</v>
      </c>
      <c r="D19" s="109">
        <v>0.25</v>
      </c>
      <c r="E19" s="94" t="s">
        <v>74</v>
      </c>
      <c r="F19" s="95" t="s">
        <v>75</v>
      </c>
      <c r="G19" s="37" t="s">
        <v>76</v>
      </c>
      <c r="H19" s="37" t="s">
        <v>87</v>
      </c>
      <c r="I19" s="97">
        <f t="shared" si="0"/>
        <v>104.4</v>
      </c>
      <c r="J19" s="58">
        <v>116</v>
      </c>
      <c r="K19" s="39">
        <f t="shared" si="1"/>
        <v>121.8</v>
      </c>
      <c r="L19" s="144">
        <f t="shared" si="4"/>
        <v>208.8</v>
      </c>
      <c r="M19" s="39">
        <f t="shared" si="5"/>
        <v>232</v>
      </c>
      <c r="N19" s="145">
        <f t="shared" si="6"/>
        <v>243.6</v>
      </c>
      <c r="O19" s="39">
        <f t="shared" si="3"/>
        <v>8.70217554388597</v>
      </c>
      <c r="P19" s="37">
        <v>105</v>
      </c>
      <c r="Q19" s="146">
        <f t="shared" si="7"/>
        <v>0.104761904761905</v>
      </c>
      <c r="R19" s="37"/>
    </row>
    <row r="20" ht="17" customHeight="1" spans="1:18">
      <c r="A20" s="1">
        <v>12</v>
      </c>
      <c r="B20" s="37" t="s">
        <v>72</v>
      </c>
      <c r="C20" s="37" t="s">
        <v>73</v>
      </c>
      <c r="D20" s="109" t="s">
        <v>88</v>
      </c>
      <c r="E20" s="94" t="s">
        <v>74</v>
      </c>
      <c r="F20" s="95" t="s">
        <v>75</v>
      </c>
      <c r="G20" s="37" t="s">
        <v>76</v>
      </c>
      <c r="H20" s="37" t="s">
        <v>87</v>
      </c>
      <c r="I20" s="97">
        <f t="shared" si="0"/>
        <v>107.1</v>
      </c>
      <c r="J20" s="58">
        <v>119</v>
      </c>
      <c r="K20" s="39">
        <f t="shared" si="1"/>
        <v>124.95</v>
      </c>
      <c r="L20" s="144">
        <f t="shared" si="4"/>
        <v>214.2</v>
      </c>
      <c r="M20" s="39">
        <f t="shared" si="5"/>
        <v>238</v>
      </c>
      <c r="N20" s="145">
        <f t="shared" si="6"/>
        <v>249.9</v>
      </c>
      <c r="O20" s="39">
        <f t="shared" si="3"/>
        <v>8.92723180795199</v>
      </c>
      <c r="P20" s="37" t="s">
        <v>82</v>
      </c>
      <c r="Q20" s="146" t="s">
        <v>82</v>
      </c>
      <c r="R20" s="37"/>
    </row>
    <row r="21" ht="17" customHeight="1" spans="1:18">
      <c r="A21" s="1">
        <v>13</v>
      </c>
      <c r="B21" s="37" t="s">
        <v>72</v>
      </c>
      <c r="C21" s="37" t="s">
        <v>73</v>
      </c>
      <c r="D21" s="92">
        <v>0.3</v>
      </c>
      <c r="E21" s="94" t="s">
        <v>74</v>
      </c>
      <c r="F21" s="95" t="s">
        <v>75</v>
      </c>
      <c r="G21" s="37" t="s">
        <v>76</v>
      </c>
      <c r="H21" s="37" t="s">
        <v>89</v>
      </c>
      <c r="I21" s="97">
        <f t="shared" si="0"/>
        <v>107.1</v>
      </c>
      <c r="J21" s="58">
        <v>119</v>
      </c>
      <c r="K21" s="39">
        <f t="shared" si="1"/>
        <v>124.95</v>
      </c>
      <c r="L21" s="144">
        <f t="shared" si="4"/>
        <v>214.2</v>
      </c>
      <c r="M21" s="39">
        <f t="shared" si="5"/>
        <v>238</v>
      </c>
      <c r="N21" s="145">
        <f t="shared" si="6"/>
        <v>249.9</v>
      </c>
      <c r="O21" s="39">
        <f t="shared" si="3"/>
        <v>8.92723180795199</v>
      </c>
      <c r="P21" s="37">
        <v>108</v>
      </c>
      <c r="Q21" s="146">
        <f>(J21-P21)/P21</f>
        <v>0.101851851851852</v>
      </c>
      <c r="R21" s="37"/>
    </row>
    <row r="22" ht="17" customHeight="1" spans="1:18">
      <c r="A22" s="1">
        <v>14</v>
      </c>
      <c r="B22" s="37" t="s">
        <v>72</v>
      </c>
      <c r="C22" s="37" t="s">
        <v>73</v>
      </c>
      <c r="D22" s="92" t="s">
        <v>90</v>
      </c>
      <c r="E22" s="94" t="s">
        <v>74</v>
      </c>
      <c r="F22" s="95" t="s">
        <v>75</v>
      </c>
      <c r="G22" s="37" t="s">
        <v>76</v>
      </c>
      <c r="H22" s="37" t="s">
        <v>89</v>
      </c>
      <c r="I22" s="97">
        <f t="shared" si="0"/>
        <v>108</v>
      </c>
      <c r="J22" s="58">
        <v>120</v>
      </c>
      <c r="K22" s="39">
        <f t="shared" si="1"/>
        <v>126</v>
      </c>
      <c r="L22" s="144">
        <f t="shared" si="4"/>
        <v>216</v>
      </c>
      <c r="M22" s="39">
        <f t="shared" si="5"/>
        <v>240</v>
      </c>
      <c r="N22" s="145">
        <f t="shared" si="6"/>
        <v>252</v>
      </c>
      <c r="O22" s="39">
        <f t="shared" si="3"/>
        <v>9.00225056264066</v>
      </c>
      <c r="P22" s="37" t="s">
        <v>82</v>
      </c>
      <c r="Q22" s="146" t="s">
        <v>82</v>
      </c>
      <c r="R22" s="37"/>
    </row>
    <row r="23" ht="17" customHeight="1" spans="1:18">
      <c r="A23" s="1">
        <v>15</v>
      </c>
      <c r="B23" s="37" t="s">
        <v>72</v>
      </c>
      <c r="C23" s="37" t="s">
        <v>73</v>
      </c>
      <c r="D23" s="92">
        <v>0.33</v>
      </c>
      <c r="E23" s="94" t="s">
        <v>74</v>
      </c>
      <c r="F23" s="95" t="s">
        <v>75</v>
      </c>
      <c r="G23" s="37" t="s">
        <v>76</v>
      </c>
      <c r="H23" s="37" t="s">
        <v>91</v>
      </c>
      <c r="I23" s="97">
        <f t="shared" si="0"/>
        <v>107.1</v>
      </c>
      <c r="J23" s="58">
        <v>119</v>
      </c>
      <c r="K23" s="39">
        <f t="shared" si="1"/>
        <v>124.95</v>
      </c>
      <c r="L23" s="144">
        <f t="shared" si="4"/>
        <v>214.2</v>
      </c>
      <c r="M23" s="39">
        <f t="shared" si="5"/>
        <v>238</v>
      </c>
      <c r="N23" s="145">
        <f t="shared" si="6"/>
        <v>249.9</v>
      </c>
      <c r="O23" s="39">
        <f t="shared" si="3"/>
        <v>8.92723180795199</v>
      </c>
      <c r="P23" s="37">
        <v>108</v>
      </c>
      <c r="Q23" s="146">
        <f t="shared" ref="Q23:Q29" si="8">(J23-P23)/P23</f>
        <v>0.101851851851852</v>
      </c>
      <c r="R23" s="37"/>
    </row>
    <row r="24" ht="17" customHeight="1" spans="1:18">
      <c r="A24" s="1">
        <v>16</v>
      </c>
      <c r="B24" s="37" t="s">
        <v>72</v>
      </c>
      <c r="C24" s="37" t="s">
        <v>73</v>
      </c>
      <c r="D24" s="92">
        <v>0.36</v>
      </c>
      <c r="E24" s="94" t="s">
        <v>74</v>
      </c>
      <c r="F24" s="95" t="s">
        <v>75</v>
      </c>
      <c r="G24" s="37" t="s">
        <v>76</v>
      </c>
      <c r="H24" s="37" t="s">
        <v>92</v>
      </c>
      <c r="I24" s="97">
        <f t="shared" si="0"/>
        <v>107.1</v>
      </c>
      <c r="J24" s="58">
        <v>119</v>
      </c>
      <c r="K24" s="39">
        <f t="shared" si="1"/>
        <v>124.95</v>
      </c>
      <c r="L24" s="144">
        <f t="shared" si="4"/>
        <v>214.2</v>
      </c>
      <c r="M24" s="39">
        <f t="shared" si="5"/>
        <v>238</v>
      </c>
      <c r="N24" s="145">
        <f t="shared" si="6"/>
        <v>249.9</v>
      </c>
      <c r="O24" s="39">
        <f t="shared" si="3"/>
        <v>8.92723180795199</v>
      </c>
      <c r="P24" s="37">
        <v>108</v>
      </c>
      <c r="Q24" s="146">
        <f t="shared" si="8"/>
        <v>0.101851851851852</v>
      </c>
      <c r="R24" s="37"/>
    </row>
    <row r="25" ht="17" customHeight="1" spans="1:18">
      <c r="A25" s="1">
        <v>17</v>
      </c>
      <c r="B25" s="37" t="s">
        <v>72</v>
      </c>
      <c r="C25" s="37" t="s">
        <v>73</v>
      </c>
      <c r="D25" s="92" t="s">
        <v>93</v>
      </c>
      <c r="E25" s="94" t="s">
        <v>74</v>
      </c>
      <c r="F25" s="95" t="s">
        <v>75</v>
      </c>
      <c r="G25" s="37" t="s">
        <v>76</v>
      </c>
      <c r="H25" s="37" t="s">
        <v>92</v>
      </c>
      <c r="I25" s="97">
        <f t="shared" si="0"/>
        <v>107.1</v>
      </c>
      <c r="J25" s="58">
        <v>119</v>
      </c>
      <c r="K25" s="39">
        <f t="shared" si="1"/>
        <v>124.95</v>
      </c>
      <c r="L25" s="144">
        <f t="shared" si="4"/>
        <v>214.2</v>
      </c>
      <c r="M25" s="39">
        <f t="shared" si="5"/>
        <v>238</v>
      </c>
      <c r="N25" s="145">
        <f t="shared" si="6"/>
        <v>249.9</v>
      </c>
      <c r="O25" s="39">
        <f t="shared" si="3"/>
        <v>8.92723180795199</v>
      </c>
      <c r="P25" s="37">
        <v>108</v>
      </c>
      <c r="Q25" s="146">
        <f t="shared" si="8"/>
        <v>0.101851851851852</v>
      </c>
      <c r="R25" s="37"/>
    </row>
    <row r="26" ht="17" customHeight="1" spans="1:18">
      <c r="A26" s="1">
        <v>18</v>
      </c>
      <c r="B26" s="37" t="s">
        <v>72</v>
      </c>
      <c r="C26" s="37" t="s">
        <v>73</v>
      </c>
      <c r="D26" s="92">
        <v>0.43</v>
      </c>
      <c r="E26" s="94" t="s">
        <v>74</v>
      </c>
      <c r="F26" s="95" t="s">
        <v>75</v>
      </c>
      <c r="G26" s="37" t="s">
        <v>76</v>
      </c>
      <c r="H26" s="37" t="s">
        <v>94</v>
      </c>
      <c r="I26" s="97">
        <f t="shared" si="0"/>
        <v>114.3</v>
      </c>
      <c r="J26" s="58">
        <v>127</v>
      </c>
      <c r="K26" s="39">
        <f t="shared" si="1"/>
        <v>133.35</v>
      </c>
      <c r="L26" s="144">
        <f t="shared" si="4"/>
        <v>228.6</v>
      </c>
      <c r="M26" s="39">
        <f t="shared" si="5"/>
        <v>254</v>
      </c>
      <c r="N26" s="145">
        <f t="shared" si="6"/>
        <v>266.7</v>
      </c>
      <c r="O26" s="39">
        <f t="shared" si="3"/>
        <v>9.52738184546136</v>
      </c>
      <c r="P26" s="37">
        <v>115</v>
      </c>
      <c r="Q26" s="146">
        <f t="shared" si="8"/>
        <v>0.104347826086957</v>
      </c>
      <c r="R26" s="37"/>
    </row>
    <row r="27" ht="17" customHeight="1" spans="1:18">
      <c r="A27" s="1">
        <v>19</v>
      </c>
      <c r="B27" s="37" t="s">
        <v>72</v>
      </c>
      <c r="C27" s="37" t="s">
        <v>73</v>
      </c>
      <c r="D27" s="92">
        <v>0.46</v>
      </c>
      <c r="E27" s="94" t="s">
        <v>74</v>
      </c>
      <c r="F27" s="95" t="s">
        <v>75</v>
      </c>
      <c r="G27" s="37" t="s">
        <v>76</v>
      </c>
      <c r="H27" s="37" t="s">
        <v>94</v>
      </c>
      <c r="I27" s="97">
        <f t="shared" si="0"/>
        <v>124.2</v>
      </c>
      <c r="J27" s="58">
        <v>138</v>
      </c>
      <c r="K27" s="39">
        <f t="shared" si="1"/>
        <v>144.9</v>
      </c>
      <c r="L27" s="144">
        <f t="shared" si="4"/>
        <v>248.4</v>
      </c>
      <c r="M27" s="39">
        <f t="shared" si="5"/>
        <v>276</v>
      </c>
      <c r="N27" s="145">
        <f t="shared" si="6"/>
        <v>289.8</v>
      </c>
      <c r="O27" s="39">
        <f t="shared" si="3"/>
        <v>10.3525881470368</v>
      </c>
      <c r="P27" s="37">
        <v>125</v>
      </c>
      <c r="Q27" s="146">
        <f t="shared" si="8"/>
        <v>0.104</v>
      </c>
      <c r="R27" s="37"/>
    </row>
    <row r="28" ht="17" customHeight="1" spans="1:18">
      <c r="A28" s="1">
        <v>20</v>
      </c>
      <c r="B28" s="37" t="s">
        <v>72</v>
      </c>
      <c r="C28" s="37" t="s">
        <v>73</v>
      </c>
      <c r="D28" s="92">
        <v>0.48</v>
      </c>
      <c r="E28" s="94" t="s">
        <v>74</v>
      </c>
      <c r="F28" s="95" t="s">
        <v>75</v>
      </c>
      <c r="G28" s="37" t="s">
        <v>76</v>
      </c>
      <c r="H28" s="37" t="s">
        <v>95</v>
      </c>
      <c r="I28" s="97">
        <f t="shared" si="0"/>
        <v>124.2</v>
      </c>
      <c r="J28" s="58">
        <v>138</v>
      </c>
      <c r="K28" s="39">
        <f t="shared" si="1"/>
        <v>144.9</v>
      </c>
      <c r="L28" s="144">
        <f t="shared" si="4"/>
        <v>248.4</v>
      </c>
      <c r="M28" s="39">
        <f t="shared" si="5"/>
        <v>276</v>
      </c>
      <c r="N28" s="145">
        <f t="shared" si="6"/>
        <v>289.8</v>
      </c>
      <c r="O28" s="39">
        <f t="shared" si="3"/>
        <v>10.3525881470368</v>
      </c>
      <c r="P28" s="37">
        <v>125</v>
      </c>
      <c r="Q28" s="146">
        <f t="shared" si="8"/>
        <v>0.104</v>
      </c>
      <c r="R28" s="37"/>
    </row>
    <row r="29" ht="17" customHeight="1" spans="1:18">
      <c r="A29" s="1">
        <v>21</v>
      </c>
      <c r="B29" s="37" t="s">
        <v>72</v>
      </c>
      <c r="C29" s="37" t="s">
        <v>73</v>
      </c>
      <c r="D29" s="92" t="s">
        <v>96</v>
      </c>
      <c r="E29" s="94" t="s">
        <v>74</v>
      </c>
      <c r="F29" s="95" t="s">
        <v>75</v>
      </c>
      <c r="G29" s="37" t="s">
        <v>76</v>
      </c>
      <c r="H29" s="37" t="s">
        <v>95</v>
      </c>
      <c r="I29" s="97">
        <f t="shared" si="0"/>
        <v>130.5</v>
      </c>
      <c r="J29" s="58">
        <v>145</v>
      </c>
      <c r="K29" s="39">
        <f t="shared" si="1"/>
        <v>152.25</v>
      </c>
      <c r="L29" s="144">
        <f t="shared" si="4"/>
        <v>261</v>
      </c>
      <c r="M29" s="39">
        <f t="shared" si="5"/>
        <v>290</v>
      </c>
      <c r="N29" s="145">
        <f t="shared" si="6"/>
        <v>304.5</v>
      </c>
      <c r="O29" s="39">
        <f t="shared" si="3"/>
        <v>10.8777194298575</v>
      </c>
      <c r="P29" s="37">
        <v>132</v>
      </c>
      <c r="Q29" s="146">
        <f t="shared" si="8"/>
        <v>0.0984848484848485</v>
      </c>
      <c r="R29" s="37"/>
    </row>
    <row r="30" ht="17" customHeight="1" spans="1:18">
      <c r="A30" s="1">
        <v>22</v>
      </c>
      <c r="B30" s="37" t="s">
        <v>72</v>
      </c>
      <c r="C30" s="37" t="s">
        <v>73</v>
      </c>
      <c r="D30" s="92" t="s">
        <v>97</v>
      </c>
      <c r="E30" s="94" t="s">
        <v>74</v>
      </c>
      <c r="F30" s="95" t="s">
        <v>75</v>
      </c>
      <c r="G30" s="37" t="s">
        <v>76</v>
      </c>
      <c r="H30" s="37" t="s">
        <v>98</v>
      </c>
      <c r="I30" s="97">
        <f t="shared" si="0"/>
        <v>136.8</v>
      </c>
      <c r="J30" s="147">
        <v>152</v>
      </c>
      <c r="K30" s="39">
        <f t="shared" si="1"/>
        <v>159.6</v>
      </c>
      <c r="L30" s="144">
        <f t="shared" si="4"/>
        <v>273.6</v>
      </c>
      <c r="M30" s="39">
        <f t="shared" si="5"/>
        <v>304</v>
      </c>
      <c r="N30" s="145">
        <f t="shared" si="6"/>
        <v>319.2</v>
      </c>
      <c r="O30" s="39">
        <f t="shared" si="3"/>
        <v>11.4028507126782</v>
      </c>
      <c r="P30" s="37" t="s">
        <v>82</v>
      </c>
      <c r="Q30" s="146" t="s">
        <v>82</v>
      </c>
      <c r="R30" s="37"/>
    </row>
    <row r="31" ht="17" customHeight="1" spans="1:18">
      <c r="A31" s="1">
        <v>23</v>
      </c>
      <c r="B31" s="37" t="s">
        <v>72</v>
      </c>
      <c r="C31" s="37" t="s">
        <v>73</v>
      </c>
      <c r="D31" s="92" t="s">
        <v>99</v>
      </c>
      <c r="E31" s="94" t="s">
        <v>74</v>
      </c>
      <c r="F31" s="95" t="s">
        <v>75</v>
      </c>
      <c r="G31" s="37" t="s">
        <v>76</v>
      </c>
      <c r="H31" s="37" t="s">
        <v>98</v>
      </c>
      <c r="I31" s="97">
        <f t="shared" ref="I31:I81" si="9">J31*0.9</f>
        <v>126</v>
      </c>
      <c r="J31" s="58">
        <v>140</v>
      </c>
      <c r="K31" s="39">
        <f t="shared" ref="K31:K81" si="10">J31*1.05</f>
        <v>147</v>
      </c>
      <c r="L31" s="144">
        <f t="shared" si="4"/>
        <v>252</v>
      </c>
      <c r="M31" s="39">
        <f t="shared" si="5"/>
        <v>280</v>
      </c>
      <c r="N31" s="145">
        <f t="shared" si="6"/>
        <v>294</v>
      </c>
      <c r="O31" s="39">
        <f t="shared" ref="O31:O81" si="11">J31/13.33</f>
        <v>10.5026256564141</v>
      </c>
      <c r="P31" s="37">
        <v>127</v>
      </c>
      <c r="Q31" s="146">
        <f t="shared" ref="Q31:Q76" si="12">(J31-P31)/P31</f>
        <v>0.102362204724409</v>
      </c>
      <c r="R31" s="37"/>
    </row>
    <row r="32" ht="17" customHeight="1" spans="1:18">
      <c r="A32" s="1">
        <v>24</v>
      </c>
      <c r="B32" s="37" t="s">
        <v>72</v>
      </c>
      <c r="C32" s="37" t="s">
        <v>73</v>
      </c>
      <c r="D32" s="92">
        <v>0.584</v>
      </c>
      <c r="E32" s="94" t="s">
        <v>74</v>
      </c>
      <c r="F32" s="95" t="s">
        <v>75</v>
      </c>
      <c r="G32" s="37" t="s">
        <v>76</v>
      </c>
      <c r="H32" s="37" t="s">
        <v>98</v>
      </c>
      <c r="I32" s="97">
        <f t="shared" si="9"/>
        <v>126</v>
      </c>
      <c r="J32" s="58">
        <v>140</v>
      </c>
      <c r="K32" s="39">
        <f t="shared" si="10"/>
        <v>147</v>
      </c>
      <c r="L32" s="144">
        <f t="shared" si="4"/>
        <v>252</v>
      </c>
      <c r="M32" s="39">
        <f t="shared" si="5"/>
        <v>280</v>
      </c>
      <c r="N32" s="145">
        <f t="shared" si="6"/>
        <v>294</v>
      </c>
      <c r="O32" s="39">
        <f t="shared" si="11"/>
        <v>10.5026256564141</v>
      </c>
      <c r="P32" s="37">
        <v>127</v>
      </c>
      <c r="Q32" s="146">
        <f t="shared" si="12"/>
        <v>0.102362204724409</v>
      </c>
      <c r="R32" s="37"/>
    </row>
    <row r="33" ht="17" customHeight="1" spans="1:18">
      <c r="A33" s="1">
        <v>25</v>
      </c>
      <c r="B33" s="37" t="s">
        <v>72</v>
      </c>
      <c r="C33" s="37" t="s">
        <v>73</v>
      </c>
      <c r="D33" s="109" t="s">
        <v>100</v>
      </c>
      <c r="E33" s="94" t="s">
        <v>74</v>
      </c>
      <c r="F33" s="95" t="s">
        <v>75</v>
      </c>
      <c r="G33" s="37" t="s">
        <v>76</v>
      </c>
      <c r="H33" s="37" t="s">
        <v>98</v>
      </c>
      <c r="I33" s="97">
        <f t="shared" si="9"/>
        <v>126.9</v>
      </c>
      <c r="J33" s="58">
        <v>141</v>
      </c>
      <c r="K33" s="39">
        <f t="shared" si="10"/>
        <v>148.05</v>
      </c>
      <c r="L33" s="144">
        <f t="shared" si="4"/>
        <v>253.8</v>
      </c>
      <c r="M33" s="39">
        <f t="shared" si="5"/>
        <v>282</v>
      </c>
      <c r="N33" s="145">
        <f t="shared" si="6"/>
        <v>296.1</v>
      </c>
      <c r="O33" s="39">
        <f t="shared" si="11"/>
        <v>10.5776444111028</v>
      </c>
      <c r="P33" s="37">
        <v>128</v>
      </c>
      <c r="Q33" s="146">
        <f t="shared" si="12"/>
        <v>0.1015625</v>
      </c>
      <c r="R33" s="37"/>
    </row>
    <row r="34" ht="17" customHeight="1" spans="1:18">
      <c r="A34" s="1">
        <v>26</v>
      </c>
      <c r="B34" s="37" t="s">
        <v>72</v>
      </c>
      <c r="C34" s="37" t="s">
        <v>73</v>
      </c>
      <c r="D34" s="109">
        <v>0.63</v>
      </c>
      <c r="E34" s="94" t="s">
        <v>74</v>
      </c>
      <c r="F34" s="95" t="s">
        <v>75</v>
      </c>
      <c r="G34" s="37" t="s">
        <v>76</v>
      </c>
      <c r="H34" s="37" t="s">
        <v>101</v>
      </c>
      <c r="I34" s="97">
        <f t="shared" si="9"/>
        <v>144.9</v>
      </c>
      <c r="J34" s="58">
        <v>161</v>
      </c>
      <c r="K34" s="39">
        <f t="shared" si="10"/>
        <v>169.05</v>
      </c>
      <c r="L34" s="144">
        <f t="shared" si="4"/>
        <v>289.8</v>
      </c>
      <c r="M34" s="39">
        <f t="shared" si="5"/>
        <v>322</v>
      </c>
      <c r="N34" s="145">
        <f t="shared" si="6"/>
        <v>338.1</v>
      </c>
      <c r="O34" s="39">
        <f t="shared" si="11"/>
        <v>12.0780195048762</v>
      </c>
      <c r="P34" s="37">
        <v>146</v>
      </c>
      <c r="Q34" s="146">
        <f t="shared" si="12"/>
        <v>0.102739726027397</v>
      </c>
      <c r="R34" s="37"/>
    </row>
    <row r="35" ht="17" customHeight="1" spans="1:18">
      <c r="A35" s="1">
        <v>27</v>
      </c>
      <c r="B35" s="37" t="s">
        <v>72</v>
      </c>
      <c r="C35" s="37" t="s">
        <v>73</v>
      </c>
      <c r="D35" s="109">
        <v>0.66</v>
      </c>
      <c r="E35" s="94" t="s">
        <v>74</v>
      </c>
      <c r="F35" s="95" t="s">
        <v>75</v>
      </c>
      <c r="G35" s="37" t="s">
        <v>76</v>
      </c>
      <c r="H35" s="37" t="s">
        <v>102</v>
      </c>
      <c r="I35" s="97">
        <f t="shared" si="9"/>
        <v>144.9</v>
      </c>
      <c r="J35" s="58">
        <v>161</v>
      </c>
      <c r="K35" s="39">
        <f t="shared" si="10"/>
        <v>169.05</v>
      </c>
      <c r="L35" s="144">
        <f t="shared" si="4"/>
        <v>289.8</v>
      </c>
      <c r="M35" s="39">
        <f t="shared" si="5"/>
        <v>322</v>
      </c>
      <c r="N35" s="145">
        <f t="shared" si="6"/>
        <v>338.1</v>
      </c>
      <c r="O35" s="39">
        <f t="shared" si="11"/>
        <v>12.0780195048762</v>
      </c>
      <c r="P35" s="37">
        <v>146</v>
      </c>
      <c r="Q35" s="146">
        <f t="shared" si="12"/>
        <v>0.102739726027397</v>
      </c>
      <c r="R35" s="37"/>
    </row>
    <row r="36" ht="17" customHeight="1" spans="1:18">
      <c r="A36" s="1">
        <v>28</v>
      </c>
      <c r="B36" s="37" t="s">
        <v>72</v>
      </c>
      <c r="C36" s="37" t="s">
        <v>73</v>
      </c>
      <c r="D36" s="109" t="s">
        <v>103</v>
      </c>
      <c r="E36" s="94" t="s">
        <v>74</v>
      </c>
      <c r="F36" s="95" t="s">
        <v>75</v>
      </c>
      <c r="G36" s="37" t="s">
        <v>76</v>
      </c>
      <c r="H36" s="37" t="s">
        <v>104</v>
      </c>
      <c r="I36" s="97">
        <f t="shared" si="9"/>
        <v>144.9</v>
      </c>
      <c r="J36" s="102">
        <v>161</v>
      </c>
      <c r="K36" s="39">
        <f t="shared" si="10"/>
        <v>169.05</v>
      </c>
      <c r="L36" s="144">
        <f t="shared" si="4"/>
        <v>289.8</v>
      </c>
      <c r="M36" s="39">
        <f t="shared" si="5"/>
        <v>322</v>
      </c>
      <c r="N36" s="145">
        <f t="shared" si="6"/>
        <v>338.1</v>
      </c>
      <c r="O36" s="39">
        <f t="shared" si="11"/>
        <v>12.0780195048762</v>
      </c>
      <c r="P36" s="37">
        <v>139</v>
      </c>
      <c r="Q36" s="146">
        <f t="shared" si="12"/>
        <v>0.158273381294964</v>
      </c>
      <c r="R36" s="37"/>
    </row>
    <row r="37" ht="17" customHeight="1" spans="1:18">
      <c r="A37" s="1">
        <v>29</v>
      </c>
      <c r="B37" s="37" t="s">
        <v>72</v>
      </c>
      <c r="C37" s="37" t="s">
        <v>73</v>
      </c>
      <c r="D37" s="109">
        <v>0.73</v>
      </c>
      <c r="E37" s="94" t="s">
        <v>74</v>
      </c>
      <c r="F37" s="95" t="s">
        <v>75</v>
      </c>
      <c r="G37" s="37" t="s">
        <v>76</v>
      </c>
      <c r="H37" s="37" t="s">
        <v>104</v>
      </c>
      <c r="I37" s="97">
        <f t="shared" si="9"/>
        <v>144.9</v>
      </c>
      <c r="J37" s="58">
        <v>161</v>
      </c>
      <c r="K37" s="39">
        <f t="shared" si="10"/>
        <v>169.05</v>
      </c>
      <c r="L37" s="144">
        <f t="shared" si="4"/>
        <v>289.8</v>
      </c>
      <c r="M37" s="39">
        <f t="shared" si="5"/>
        <v>322</v>
      </c>
      <c r="N37" s="145">
        <f t="shared" si="6"/>
        <v>338.1</v>
      </c>
      <c r="O37" s="39">
        <f t="shared" si="11"/>
        <v>12.0780195048762</v>
      </c>
      <c r="P37" s="37">
        <v>146</v>
      </c>
      <c r="Q37" s="146">
        <f t="shared" si="12"/>
        <v>0.102739726027397</v>
      </c>
      <c r="R37" s="37"/>
    </row>
    <row r="38" ht="17" customHeight="1" spans="1:18">
      <c r="A38" s="1">
        <v>30</v>
      </c>
      <c r="B38" s="37" t="s">
        <v>72</v>
      </c>
      <c r="C38" s="37" t="s">
        <v>73</v>
      </c>
      <c r="D38" s="109">
        <v>0.76</v>
      </c>
      <c r="E38" s="94" t="s">
        <v>74</v>
      </c>
      <c r="F38" s="95" t="s">
        <v>75</v>
      </c>
      <c r="G38" s="37" t="s">
        <v>76</v>
      </c>
      <c r="H38" s="37" t="s">
        <v>104</v>
      </c>
      <c r="I38" s="97">
        <f t="shared" si="9"/>
        <v>146.7</v>
      </c>
      <c r="J38" s="58">
        <v>163</v>
      </c>
      <c r="K38" s="39">
        <f t="shared" si="10"/>
        <v>171.15</v>
      </c>
      <c r="L38" s="144">
        <f t="shared" si="4"/>
        <v>293.4</v>
      </c>
      <c r="M38" s="39">
        <f t="shared" si="5"/>
        <v>326</v>
      </c>
      <c r="N38" s="145">
        <f t="shared" si="6"/>
        <v>342.3</v>
      </c>
      <c r="O38" s="39">
        <f t="shared" si="11"/>
        <v>12.2280570142536</v>
      </c>
      <c r="P38" s="37">
        <v>148</v>
      </c>
      <c r="Q38" s="146">
        <f t="shared" si="12"/>
        <v>0.101351351351351</v>
      </c>
      <c r="R38" s="37"/>
    </row>
    <row r="39" spans="1:18">
      <c r="A39" s="1">
        <v>31</v>
      </c>
      <c r="B39" s="37" t="s">
        <v>72</v>
      </c>
      <c r="C39" s="37" t="s">
        <v>73</v>
      </c>
      <c r="D39" s="92">
        <v>0.8</v>
      </c>
      <c r="E39" s="111" t="s">
        <v>105</v>
      </c>
      <c r="F39" s="95" t="s">
        <v>75</v>
      </c>
      <c r="G39" s="37" t="s">
        <v>76</v>
      </c>
      <c r="H39" s="37" t="s">
        <v>104</v>
      </c>
      <c r="I39" s="97">
        <f t="shared" si="9"/>
        <v>136.8</v>
      </c>
      <c r="J39" s="58">
        <v>152</v>
      </c>
      <c r="K39" s="39">
        <f t="shared" si="10"/>
        <v>159.6</v>
      </c>
      <c r="L39" s="144">
        <f t="shared" si="4"/>
        <v>273.6</v>
      </c>
      <c r="M39" s="39">
        <f t="shared" si="5"/>
        <v>304</v>
      </c>
      <c r="N39" s="145">
        <f t="shared" si="6"/>
        <v>319.2</v>
      </c>
      <c r="O39" s="39">
        <f t="shared" si="11"/>
        <v>11.4028507126782</v>
      </c>
      <c r="P39" s="37">
        <v>138</v>
      </c>
      <c r="Q39" s="146">
        <f t="shared" si="12"/>
        <v>0.101449275362319</v>
      </c>
      <c r="R39" s="37"/>
    </row>
    <row r="40" spans="1:18">
      <c r="A40" s="1">
        <v>32</v>
      </c>
      <c r="B40" s="37" t="s">
        <v>72</v>
      </c>
      <c r="C40" s="37" t="s">
        <v>73</v>
      </c>
      <c r="D40" s="92" t="s">
        <v>106</v>
      </c>
      <c r="E40" s="111" t="s">
        <v>105</v>
      </c>
      <c r="F40" s="95" t="s">
        <v>75</v>
      </c>
      <c r="G40" s="37" t="s">
        <v>76</v>
      </c>
      <c r="H40" s="148" t="s">
        <v>107</v>
      </c>
      <c r="I40" s="97">
        <f t="shared" si="9"/>
        <v>140.4</v>
      </c>
      <c r="J40" s="58">
        <v>156</v>
      </c>
      <c r="K40" s="39">
        <f t="shared" si="10"/>
        <v>163.8</v>
      </c>
      <c r="L40" s="144">
        <f t="shared" si="4"/>
        <v>280.8</v>
      </c>
      <c r="M40" s="39">
        <f t="shared" si="5"/>
        <v>312</v>
      </c>
      <c r="N40" s="145">
        <f t="shared" si="6"/>
        <v>327.6</v>
      </c>
      <c r="O40" s="39">
        <f t="shared" si="11"/>
        <v>11.7029257314329</v>
      </c>
      <c r="P40" s="37">
        <v>142</v>
      </c>
      <c r="Q40" s="146">
        <f t="shared" si="12"/>
        <v>0.0985915492957746</v>
      </c>
      <c r="R40" s="37"/>
    </row>
    <row r="41" spans="1:18">
      <c r="A41" s="1">
        <v>33</v>
      </c>
      <c r="B41" s="37" t="s">
        <v>72</v>
      </c>
      <c r="C41" s="37" t="s">
        <v>73</v>
      </c>
      <c r="D41" s="92" t="s">
        <v>108</v>
      </c>
      <c r="E41" s="111" t="s">
        <v>105</v>
      </c>
      <c r="F41" s="95" t="s">
        <v>75</v>
      </c>
      <c r="G41" s="37" t="s">
        <v>76</v>
      </c>
      <c r="H41" s="37" t="s">
        <v>109</v>
      </c>
      <c r="I41" s="97">
        <f t="shared" si="9"/>
        <v>162</v>
      </c>
      <c r="J41" s="149">
        <v>180</v>
      </c>
      <c r="K41" s="39">
        <f t="shared" si="10"/>
        <v>189</v>
      </c>
      <c r="L41" s="144">
        <f t="shared" si="4"/>
        <v>324</v>
      </c>
      <c r="M41" s="39">
        <f t="shared" si="5"/>
        <v>360</v>
      </c>
      <c r="N41" s="145">
        <f t="shared" si="6"/>
        <v>378</v>
      </c>
      <c r="O41" s="39">
        <f t="shared" si="11"/>
        <v>13.503375843961</v>
      </c>
      <c r="P41" s="37">
        <v>151</v>
      </c>
      <c r="Q41" s="150">
        <f t="shared" si="12"/>
        <v>0.19205298013245</v>
      </c>
      <c r="R41" s="37"/>
    </row>
    <row r="42" spans="1:18">
      <c r="A42" s="1">
        <v>34</v>
      </c>
      <c r="B42" s="37" t="s">
        <v>72</v>
      </c>
      <c r="C42" s="37" t="s">
        <v>73</v>
      </c>
      <c r="D42" s="151">
        <v>1.1</v>
      </c>
      <c r="E42" s="111" t="s">
        <v>105</v>
      </c>
      <c r="F42" s="95" t="s">
        <v>75</v>
      </c>
      <c r="G42" s="37" t="s">
        <v>76</v>
      </c>
      <c r="H42" s="37" t="s">
        <v>110</v>
      </c>
      <c r="I42" s="97">
        <f t="shared" si="9"/>
        <v>166.5</v>
      </c>
      <c r="J42" s="58">
        <v>185</v>
      </c>
      <c r="K42" s="39">
        <f t="shared" si="10"/>
        <v>194.25</v>
      </c>
      <c r="L42" s="144">
        <f t="shared" si="4"/>
        <v>333</v>
      </c>
      <c r="M42" s="39">
        <f t="shared" si="5"/>
        <v>370</v>
      </c>
      <c r="N42" s="145">
        <f t="shared" si="6"/>
        <v>388.5</v>
      </c>
      <c r="O42" s="39">
        <f t="shared" si="11"/>
        <v>13.8784696174044</v>
      </c>
      <c r="P42" s="37">
        <v>168</v>
      </c>
      <c r="Q42" s="146">
        <f t="shared" si="12"/>
        <v>0.101190476190476</v>
      </c>
      <c r="R42" s="37"/>
    </row>
    <row r="43" spans="1:18">
      <c r="A43" s="1">
        <v>35</v>
      </c>
      <c r="B43" s="37" t="s">
        <v>72</v>
      </c>
      <c r="C43" s="37" t="s">
        <v>73</v>
      </c>
      <c r="D43" s="151">
        <v>1.2</v>
      </c>
      <c r="E43" s="111" t="s">
        <v>105</v>
      </c>
      <c r="F43" s="95" t="s">
        <v>75</v>
      </c>
      <c r="G43" s="37" t="s">
        <v>76</v>
      </c>
      <c r="H43" s="37" t="s">
        <v>110</v>
      </c>
      <c r="I43" s="97">
        <f t="shared" si="9"/>
        <v>166.5</v>
      </c>
      <c r="J43" s="58">
        <v>185</v>
      </c>
      <c r="K43" s="39">
        <f t="shared" si="10"/>
        <v>194.25</v>
      </c>
      <c r="L43" s="144">
        <f t="shared" ref="L43:L81" si="13">I43*2</f>
        <v>333</v>
      </c>
      <c r="M43" s="39">
        <f t="shared" ref="M43:M81" si="14">J43*2</f>
        <v>370</v>
      </c>
      <c r="N43" s="145">
        <f t="shared" ref="N43:N81" si="15">K43*2</f>
        <v>388.5</v>
      </c>
      <c r="O43" s="39">
        <f t="shared" si="11"/>
        <v>13.8784696174044</v>
      </c>
      <c r="P43" s="37">
        <v>168</v>
      </c>
      <c r="Q43" s="146">
        <f t="shared" si="12"/>
        <v>0.101190476190476</v>
      </c>
      <c r="R43" s="37"/>
    </row>
    <row r="44" spans="1:18">
      <c r="A44" s="1">
        <v>36</v>
      </c>
      <c r="B44" s="37" t="s">
        <v>72</v>
      </c>
      <c r="C44" s="37" t="s">
        <v>73</v>
      </c>
      <c r="D44" s="151">
        <v>1.3</v>
      </c>
      <c r="E44" s="111" t="s">
        <v>105</v>
      </c>
      <c r="F44" s="95" t="s">
        <v>75</v>
      </c>
      <c r="G44" s="37" t="s">
        <v>76</v>
      </c>
      <c r="H44" s="37" t="s">
        <v>111</v>
      </c>
      <c r="I44" s="97">
        <f t="shared" si="9"/>
        <v>186.3</v>
      </c>
      <c r="J44" s="58">
        <v>207</v>
      </c>
      <c r="K44" s="39">
        <f t="shared" si="10"/>
        <v>217.35</v>
      </c>
      <c r="L44" s="144">
        <f t="shared" si="13"/>
        <v>372.6</v>
      </c>
      <c r="M44" s="39">
        <f t="shared" si="14"/>
        <v>414</v>
      </c>
      <c r="N44" s="145">
        <f t="shared" si="15"/>
        <v>434.7</v>
      </c>
      <c r="O44" s="39">
        <f t="shared" si="11"/>
        <v>15.5288822205551</v>
      </c>
      <c r="P44" s="37">
        <v>188</v>
      </c>
      <c r="Q44" s="146">
        <f t="shared" si="12"/>
        <v>0.101063829787234</v>
      </c>
      <c r="R44" s="37"/>
    </row>
    <row r="45" spans="1:18">
      <c r="A45" s="1">
        <v>37</v>
      </c>
      <c r="B45" s="37" t="s">
        <v>72</v>
      </c>
      <c r="C45" s="37" t="s">
        <v>73</v>
      </c>
      <c r="D45" s="151">
        <v>1.4</v>
      </c>
      <c r="E45" s="111" t="s">
        <v>105</v>
      </c>
      <c r="F45" s="95" t="s">
        <v>75</v>
      </c>
      <c r="G45" s="37" t="s">
        <v>76</v>
      </c>
      <c r="H45" s="37" t="s">
        <v>111</v>
      </c>
      <c r="I45" s="97">
        <f t="shared" si="9"/>
        <v>189</v>
      </c>
      <c r="J45" s="58">
        <v>210</v>
      </c>
      <c r="K45" s="39">
        <f t="shared" si="10"/>
        <v>220.5</v>
      </c>
      <c r="L45" s="144">
        <f t="shared" si="13"/>
        <v>378</v>
      </c>
      <c r="M45" s="39">
        <f t="shared" si="14"/>
        <v>420</v>
      </c>
      <c r="N45" s="145">
        <f t="shared" si="15"/>
        <v>441</v>
      </c>
      <c r="O45" s="39">
        <f t="shared" si="11"/>
        <v>15.7539384846212</v>
      </c>
      <c r="P45" s="37">
        <v>191</v>
      </c>
      <c r="Q45" s="146">
        <f t="shared" si="12"/>
        <v>0.0994764397905759</v>
      </c>
      <c r="R45" s="37"/>
    </row>
    <row r="46" spans="1:18">
      <c r="A46" s="1">
        <v>38</v>
      </c>
      <c r="B46" s="37" t="s">
        <v>72</v>
      </c>
      <c r="C46" s="37" t="s">
        <v>73</v>
      </c>
      <c r="D46" s="180" t="s">
        <v>112</v>
      </c>
      <c r="E46" s="111" t="s">
        <v>105</v>
      </c>
      <c r="F46" s="95" t="s">
        <v>75</v>
      </c>
      <c r="G46" s="37" t="s">
        <v>76</v>
      </c>
      <c r="H46" s="37" t="s">
        <v>113</v>
      </c>
      <c r="I46" s="97">
        <f t="shared" si="9"/>
        <v>197.1</v>
      </c>
      <c r="J46" s="58">
        <v>219</v>
      </c>
      <c r="K46" s="39">
        <f t="shared" si="10"/>
        <v>229.95</v>
      </c>
      <c r="L46" s="144">
        <f t="shared" si="13"/>
        <v>394.2</v>
      </c>
      <c r="M46" s="39">
        <f t="shared" si="14"/>
        <v>438</v>
      </c>
      <c r="N46" s="145">
        <f t="shared" si="15"/>
        <v>459.9</v>
      </c>
      <c r="O46" s="39">
        <f t="shared" si="11"/>
        <v>16.4291072768192</v>
      </c>
      <c r="P46" s="37">
        <v>199</v>
      </c>
      <c r="Q46" s="146">
        <f t="shared" si="12"/>
        <v>0.100502512562814</v>
      </c>
      <c r="R46" s="37"/>
    </row>
    <row r="47" spans="1:18">
      <c r="A47" s="1">
        <v>39</v>
      </c>
      <c r="B47" s="37" t="s">
        <v>72</v>
      </c>
      <c r="C47" s="37" t="s">
        <v>73</v>
      </c>
      <c r="D47" s="109">
        <v>1.5</v>
      </c>
      <c r="E47" s="111" t="s">
        <v>105</v>
      </c>
      <c r="F47" s="95" t="s">
        <v>75</v>
      </c>
      <c r="G47" s="37" t="s">
        <v>76</v>
      </c>
      <c r="H47" s="37" t="s">
        <v>113</v>
      </c>
      <c r="I47" s="97">
        <f t="shared" si="9"/>
        <v>197.1</v>
      </c>
      <c r="J47" s="58">
        <v>219</v>
      </c>
      <c r="K47" s="39">
        <f t="shared" si="10"/>
        <v>229.95</v>
      </c>
      <c r="L47" s="144">
        <f t="shared" si="13"/>
        <v>394.2</v>
      </c>
      <c r="M47" s="39">
        <f t="shared" si="14"/>
        <v>438</v>
      </c>
      <c r="N47" s="145">
        <f t="shared" si="15"/>
        <v>459.9</v>
      </c>
      <c r="O47" s="39">
        <f t="shared" si="11"/>
        <v>16.4291072768192</v>
      </c>
      <c r="P47" s="37">
        <v>199</v>
      </c>
      <c r="Q47" s="146">
        <f t="shared" si="12"/>
        <v>0.100502512562814</v>
      </c>
      <c r="R47" s="37"/>
    </row>
    <row r="48" spans="1:18">
      <c r="A48" s="1">
        <v>40</v>
      </c>
      <c r="B48" s="37" t="s">
        <v>72</v>
      </c>
      <c r="C48" s="37" t="s">
        <v>73</v>
      </c>
      <c r="D48" s="109">
        <v>1.6</v>
      </c>
      <c r="E48" s="111" t="s">
        <v>105</v>
      </c>
      <c r="F48" s="95" t="s">
        <v>75</v>
      </c>
      <c r="G48" s="37" t="s">
        <v>76</v>
      </c>
      <c r="H48" s="37" t="s">
        <v>113</v>
      </c>
      <c r="I48" s="97">
        <f t="shared" si="9"/>
        <v>209.7</v>
      </c>
      <c r="J48" s="58">
        <v>233</v>
      </c>
      <c r="K48" s="39">
        <f t="shared" si="10"/>
        <v>244.65</v>
      </c>
      <c r="L48" s="144">
        <f t="shared" si="13"/>
        <v>419.4</v>
      </c>
      <c r="M48" s="39">
        <f t="shared" si="14"/>
        <v>466</v>
      </c>
      <c r="N48" s="145">
        <f t="shared" si="15"/>
        <v>489.3</v>
      </c>
      <c r="O48" s="39">
        <f t="shared" si="11"/>
        <v>17.4793698424606</v>
      </c>
      <c r="P48" s="37">
        <v>212</v>
      </c>
      <c r="Q48" s="146">
        <f t="shared" si="12"/>
        <v>0.0990566037735849</v>
      </c>
      <c r="R48" s="37"/>
    </row>
    <row r="49" spans="1:18">
      <c r="A49" s="1">
        <v>41</v>
      </c>
      <c r="B49" s="37" t="s">
        <v>72</v>
      </c>
      <c r="C49" s="37" t="s">
        <v>73</v>
      </c>
      <c r="D49" s="109">
        <v>1.7</v>
      </c>
      <c r="E49" s="111" t="s">
        <v>105</v>
      </c>
      <c r="F49" s="95" t="s">
        <v>75</v>
      </c>
      <c r="G49" s="37" t="s">
        <v>76</v>
      </c>
      <c r="H49" s="37" t="s">
        <v>114</v>
      </c>
      <c r="I49" s="97">
        <f t="shared" si="9"/>
        <v>217.8</v>
      </c>
      <c r="J49" s="58">
        <v>242</v>
      </c>
      <c r="K49" s="39">
        <f t="shared" si="10"/>
        <v>254.1</v>
      </c>
      <c r="L49" s="144">
        <f t="shared" si="13"/>
        <v>435.6</v>
      </c>
      <c r="M49" s="39">
        <f t="shared" si="14"/>
        <v>484</v>
      </c>
      <c r="N49" s="145">
        <f t="shared" si="15"/>
        <v>508.2</v>
      </c>
      <c r="O49" s="39">
        <f t="shared" si="11"/>
        <v>18.1545386346587</v>
      </c>
      <c r="P49" s="37">
        <v>220</v>
      </c>
      <c r="Q49" s="146">
        <f t="shared" si="12"/>
        <v>0.1</v>
      </c>
      <c r="R49" s="37"/>
    </row>
    <row r="50" spans="1:18">
      <c r="A50" s="1">
        <v>42</v>
      </c>
      <c r="B50" s="37" t="s">
        <v>72</v>
      </c>
      <c r="C50" s="37" t="s">
        <v>73</v>
      </c>
      <c r="D50" s="109">
        <v>1.8</v>
      </c>
      <c r="E50" s="111" t="s">
        <v>105</v>
      </c>
      <c r="F50" s="95" t="s">
        <v>75</v>
      </c>
      <c r="G50" s="37" t="s">
        <v>76</v>
      </c>
      <c r="H50" s="37" t="s">
        <v>114</v>
      </c>
      <c r="I50" s="97">
        <f t="shared" si="9"/>
        <v>229.5</v>
      </c>
      <c r="J50" s="58">
        <v>255</v>
      </c>
      <c r="K50" s="39">
        <f t="shared" si="10"/>
        <v>267.75</v>
      </c>
      <c r="L50" s="144">
        <f t="shared" si="13"/>
        <v>459</v>
      </c>
      <c r="M50" s="39">
        <f t="shared" si="14"/>
        <v>510</v>
      </c>
      <c r="N50" s="145">
        <f t="shared" si="15"/>
        <v>535.5</v>
      </c>
      <c r="O50" s="39">
        <f t="shared" si="11"/>
        <v>19.1297824456114</v>
      </c>
      <c r="P50" s="37">
        <v>232</v>
      </c>
      <c r="Q50" s="146">
        <f t="shared" si="12"/>
        <v>0.0991379310344828</v>
      </c>
      <c r="R50" s="37"/>
    </row>
    <row r="51" spans="1:18">
      <c r="A51" s="1">
        <v>43</v>
      </c>
      <c r="B51" s="37" t="s">
        <v>72</v>
      </c>
      <c r="C51" s="37" t="s">
        <v>73</v>
      </c>
      <c r="D51" s="109">
        <v>1.9</v>
      </c>
      <c r="E51" s="111" t="s">
        <v>105</v>
      </c>
      <c r="F51" s="95" t="s">
        <v>75</v>
      </c>
      <c r="G51" s="37" t="s">
        <v>76</v>
      </c>
      <c r="H51" s="37" t="s">
        <v>115</v>
      </c>
      <c r="I51" s="97">
        <f t="shared" si="9"/>
        <v>243.9</v>
      </c>
      <c r="J51" s="58">
        <v>271</v>
      </c>
      <c r="K51" s="39">
        <f t="shared" si="10"/>
        <v>284.55</v>
      </c>
      <c r="L51" s="144">
        <f t="shared" si="13"/>
        <v>487.8</v>
      </c>
      <c r="M51" s="39">
        <f t="shared" si="14"/>
        <v>542</v>
      </c>
      <c r="N51" s="145">
        <f t="shared" si="15"/>
        <v>569.1</v>
      </c>
      <c r="O51" s="39">
        <f t="shared" si="11"/>
        <v>20.3300825206302</v>
      </c>
      <c r="P51" s="37">
        <v>246</v>
      </c>
      <c r="Q51" s="146">
        <f t="shared" si="12"/>
        <v>0.101626016260163</v>
      </c>
      <c r="R51" s="37"/>
    </row>
    <row r="52" s="1" customFormat="1" spans="1:18">
      <c r="A52" s="1">
        <v>44</v>
      </c>
      <c r="B52" s="37" t="s">
        <v>72</v>
      </c>
      <c r="C52" s="37" t="s">
        <v>73</v>
      </c>
      <c r="D52" s="109" t="s">
        <v>116</v>
      </c>
      <c r="E52" s="111" t="s">
        <v>105</v>
      </c>
      <c r="F52" s="95" t="s">
        <v>75</v>
      </c>
      <c r="G52" s="37" t="s">
        <v>76</v>
      </c>
      <c r="H52" s="37" t="s">
        <v>117</v>
      </c>
      <c r="I52" s="97">
        <f t="shared" si="9"/>
        <v>255.6</v>
      </c>
      <c r="J52" s="58">
        <v>284</v>
      </c>
      <c r="K52" s="39">
        <f t="shared" si="10"/>
        <v>298.2</v>
      </c>
      <c r="L52" s="144">
        <f t="shared" si="13"/>
        <v>511.2</v>
      </c>
      <c r="M52" s="39">
        <f t="shared" si="14"/>
        <v>568</v>
      </c>
      <c r="N52" s="145">
        <f t="shared" si="15"/>
        <v>596.4</v>
      </c>
      <c r="O52" s="39">
        <f t="shared" si="11"/>
        <v>21.3053263315829</v>
      </c>
      <c r="P52" s="37">
        <v>258</v>
      </c>
      <c r="Q52" s="146">
        <f t="shared" si="12"/>
        <v>0.10077519379845</v>
      </c>
      <c r="R52" s="37"/>
    </row>
    <row r="53" spans="1:18">
      <c r="A53" s="1">
        <v>45</v>
      </c>
      <c r="B53" s="37" t="s">
        <v>72</v>
      </c>
      <c r="C53" s="37" t="s">
        <v>73</v>
      </c>
      <c r="D53" s="109">
        <v>2.1</v>
      </c>
      <c r="E53" s="111" t="s">
        <v>105</v>
      </c>
      <c r="F53" s="95" t="s">
        <v>75</v>
      </c>
      <c r="G53" s="37" t="s">
        <v>76</v>
      </c>
      <c r="H53" s="37" t="s">
        <v>117</v>
      </c>
      <c r="I53" s="97">
        <f t="shared" si="9"/>
        <v>266.4</v>
      </c>
      <c r="J53" s="58">
        <v>296</v>
      </c>
      <c r="K53" s="39">
        <f t="shared" si="10"/>
        <v>310.8</v>
      </c>
      <c r="L53" s="144">
        <f t="shared" si="13"/>
        <v>532.8</v>
      </c>
      <c r="M53" s="39">
        <f t="shared" si="14"/>
        <v>592</v>
      </c>
      <c r="N53" s="145">
        <f t="shared" si="15"/>
        <v>621.6</v>
      </c>
      <c r="O53" s="39">
        <f t="shared" si="11"/>
        <v>22.205551387847</v>
      </c>
      <c r="P53" s="37">
        <v>269</v>
      </c>
      <c r="Q53" s="146">
        <f t="shared" si="12"/>
        <v>0.100371747211896</v>
      </c>
      <c r="R53" s="37"/>
    </row>
    <row r="54" spans="1:18">
      <c r="A54" s="1">
        <v>46</v>
      </c>
      <c r="B54" s="37" t="s">
        <v>72</v>
      </c>
      <c r="C54" s="37" t="s">
        <v>73</v>
      </c>
      <c r="D54" s="109">
        <v>2.2</v>
      </c>
      <c r="E54" s="111" t="s">
        <v>105</v>
      </c>
      <c r="F54" s="95" t="s">
        <v>75</v>
      </c>
      <c r="G54" s="37" t="s">
        <v>76</v>
      </c>
      <c r="H54" s="37" t="s">
        <v>118</v>
      </c>
      <c r="I54" s="97">
        <f t="shared" si="9"/>
        <v>266.4</v>
      </c>
      <c r="J54" s="58">
        <v>296</v>
      </c>
      <c r="K54" s="39">
        <f t="shared" si="10"/>
        <v>310.8</v>
      </c>
      <c r="L54" s="144">
        <f t="shared" si="13"/>
        <v>532.8</v>
      </c>
      <c r="M54" s="39">
        <f t="shared" si="14"/>
        <v>592</v>
      </c>
      <c r="N54" s="145">
        <f t="shared" si="15"/>
        <v>621.6</v>
      </c>
      <c r="O54" s="39">
        <f t="shared" si="11"/>
        <v>22.205551387847</v>
      </c>
      <c r="P54" s="37">
        <v>269</v>
      </c>
      <c r="Q54" s="146">
        <f t="shared" si="12"/>
        <v>0.100371747211896</v>
      </c>
      <c r="R54" s="37"/>
    </row>
    <row r="55" spans="1:18">
      <c r="A55" s="1">
        <v>47</v>
      </c>
      <c r="B55" s="37" t="s">
        <v>72</v>
      </c>
      <c r="C55" s="37" t="s">
        <v>73</v>
      </c>
      <c r="D55" s="109" t="s">
        <v>119</v>
      </c>
      <c r="E55" s="111" t="s">
        <v>105</v>
      </c>
      <c r="F55" s="95" t="s">
        <v>75</v>
      </c>
      <c r="G55" s="37" t="s">
        <v>76</v>
      </c>
      <c r="H55" s="37" t="s">
        <v>118</v>
      </c>
      <c r="I55" s="97">
        <f t="shared" si="9"/>
        <v>272.7</v>
      </c>
      <c r="J55" s="58">
        <v>303</v>
      </c>
      <c r="K55" s="39">
        <f t="shared" si="10"/>
        <v>318.15</v>
      </c>
      <c r="L55" s="144">
        <f t="shared" si="13"/>
        <v>545.4</v>
      </c>
      <c r="M55" s="39">
        <f t="shared" si="14"/>
        <v>606</v>
      </c>
      <c r="N55" s="145">
        <f t="shared" si="15"/>
        <v>636.3</v>
      </c>
      <c r="O55" s="39">
        <f t="shared" si="11"/>
        <v>22.7306826706677</v>
      </c>
      <c r="P55" s="37">
        <v>275</v>
      </c>
      <c r="Q55" s="146">
        <f t="shared" si="12"/>
        <v>0.101818181818182</v>
      </c>
      <c r="R55" s="37"/>
    </row>
    <row r="56" spans="1:18">
      <c r="A56" s="1">
        <v>48</v>
      </c>
      <c r="B56" s="37" t="s">
        <v>72</v>
      </c>
      <c r="C56" s="37" t="s">
        <v>73</v>
      </c>
      <c r="D56" s="109">
        <v>2.4</v>
      </c>
      <c r="E56" s="111" t="s">
        <v>105</v>
      </c>
      <c r="F56" s="95" t="s">
        <v>75</v>
      </c>
      <c r="G56" s="37" t="s">
        <v>76</v>
      </c>
      <c r="H56" s="37" t="s">
        <v>120</v>
      </c>
      <c r="I56" s="97">
        <f t="shared" si="9"/>
        <v>279.9</v>
      </c>
      <c r="J56" s="58">
        <v>311</v>
      </c>
      <c r="K56" s="39">
        <f t="shared" si="10"/>
        <v>326.55</v>
      </c>
      <c r="L56" s="144">
        <f t="shared" si="13"/>
        <v>559.8</v>
      </c>
      <c r="M56" s="39">
        <f t="shared" si="14"/>
        <v>622</v>
      </c>
      <c r="N56" s="145">
        <f t="shared" si="15"/>
        <v>653.1</v>
      </c>
      <c r="O56" s="39">
        <f t="shared" si="11"/>
        <v>23.330832708177</v>
      </c>
      <c r="P56" s="37">
        <v>283</v>
      </c>
      <c r="Q56" s="146">
        <f t="shared" si="12"/>
        <v>0.0989399293286219</v>
      </c>
      <c r="R56" s="37"/>
    </row>
    <row r="57" spans="1:18">
      <c r="A57" s="1">
        <v>49</v>
      </c>
      <c r="B57" s="37" t="s">
        <v>72</v>
      </c>
      <c r="C57" s="37" t="s">
        <v>73</v>
      </c>
      <c r="D57" s="109">
        <v>2.6</v>
      </c>
      <c r="E57" s="111" t="s">
        <v>105</v>
      </c>
      <c r="F57" s="95" t="s">
        <v>75</v>
      </c>
      <c r="G57" s="37" t="s">
        <v>76</v>
      </c>
      <c r="H57" s="37" t="s">
        <v>121</v>
      </c>
      <c r="I57" s="97">
        <f t="shared" si="9"/>
        <v>297</v>
      </c>
      <c r="J57" s="58">
        <v>330</v>
      </c>
      <c r="K57" s="39">
        <f t="shared" si="10"/>
        <v>346.5</v>
      </c>
      <c r="L57" s="144">
        <f t="shared" si="13"/>
        <v>594</v>
      </c>
      <c r="M57" s="39">
        <f t="shared" si="14"/>
        <v>660</v>
      </c>
      <c r="N57" s="145">
        <f t="shared" si="15"/>
        <v>693</v>
      </c>
      <c r="O57" s="39">
        <f t="shared" si="11"/>
        <v>24.7561890472618</v>
      </c>
      <c r="P57" s="37">
        <v>300</v>
      </c>
      <c r="Q57" s="146">
        <f t="shared" si="12"/>
        <v>0.1</v>
      </c>
      <c r="R57" s="37"/>
    </row>
    <row r="58" spans="1:18">
      <c r="A58" s="1">
        <v>50</v>
      </c>
      <c r="B58" s="37" t="s">
        <v>72</v>
      </c>
      <c r="C58" s="37" t="s">
        <v>73</v>
      </c>
      <c r="D58" s="109" t="s">
        <v>122</v>
      </c>
      <c r="E58" s="111" t="s">
        <v>105</v>
      </c>
      <c r="F58" s="95" t="s">
        <v>75</v>
      </c>
      <c r="G58" s="37" t="s">
        <v>76</v>
      </c>
      <c r="H58" s="37" t="s">
        <v>123</v>
      </c>
      <c r="I58" s="97">
        <f t="shared" si="9"/>
        <v>313.2</v>
      </c>
      <c r="J58" s="58">
        <v>348</v>
      </c>
      <c r="K58" s="39">
        <f t="shared" si="10"/>
        <v>365.4</v>
      </c>
      <c r="L58" s="144">
        <f t="shared" si="13"/>
        <v>626.4</v>
      </c>
      <c r="M58" s="39">
        <f t="shared" si="14"/>
        <v>696</v>
      </c>
      <c r="N58" s="145">
        <f t="shared" si="15"/>
        <v>730.8</v>
      </c>
      <c r="O58" s="39">
        <f t="shared" si="11"/>
        <v>26.1065266316579</v>
      </c>
      <c r="P58" s="37">
        <v>316</v>
      </c>
      <c r="Q58" s="146">
        <f t="shared" si="12"/>
        <v>0.10126582278481</v>
      </c>
      <c r="R58" s="37"/>
    </row>
    <row r="59" spans="1:18">
      <c r="A59" s="1">
        <v>51</v>
      </c>
      <c r="B59" s="37" t="s">
        <v>72</v>
      </c>
      <c r="C59" s="37" t="s">
        <v>73</v>
      </c>
      <c r="D59" s="109" t="s">
        <v>124</v>
      </c>
      <c r="E59" s="111" t="s">
        <v>105</v>
      </c>
      <c r="F59" s="95" t="s">
        <v>75</v>
      </c>
      <c r="G59" s="37" t="s">
        <v>76</v>
      </c>
      <c r="H59" s="37" t="s">
        <v>125</v>
      </c>
      <c r="I59" s="97">
        <f t="shared" si="9"/>
        <v>326.7</v>
      </c>
      <c r="J59" s="58">
        <v>363</v>
      </c>
      <c r="K59" s="39">
        <f t="shared" si="10"/>
        <v>381.15</v>
      </c>
      <c r="L59" s="144">
        <f t="shared" si="13"/>
        <v>653.4</v>
      </c>
      <c r="M59" s="39">
        <f t="shared" si="14"/>
        <v>726</v>
      </c>
      <c r="N59" s="145">
        <f t="shared" si="15"/>
        <v>762.3</v>
      </c>
      <c r="O59" s="39">
        <f t="shared" si="11"/>
        <v>27.231807951988</v>
      </c>
      <c r="P59" s="37">
        <v>330</v>
      </c>
      <c r="Q59" s="146">
        <f t="shared" si="12"/>
        <v>0.1</v>
      </c>
      <c r="R59" s="37"/>
    </row>
    <row r="60" spans="1:18">
      <c r="A60" s="1">
        <v>52</v>
      </c>
      <c r="B60" s="37" t="s">
        <v>72</v>
      </c>
      <c r="C60" s="37" t="s">
        <v>73</v>
      </c>
      <c r="D60" s="109" t="s">
        <v>126</v>
      </c>
      <c r="E60" s="111" t="s">
        <v>105</v>
      </c>
      <c r="F60" s="95" t="s">
        <v>75</v>
      </c>
      <c r="G60" s="37" t="s">
        <v>76</v>
      </c>
      <c r="H60" s="37" t="s">
        <v>125</v>
      </c>
      <c r="I60" s="97">
        <f t="shared" si="9"/>
        <v>327.6</v>
      </c>
      <c r="J60" s="58">
        <v>364</v>
      </c>
      <c r="K60" s="39">
        <f t="shared" si="10"/>
        <v>382.2</v>
      </c>
      <c r="L60" s="144">
        <f t="shared" si="13"/>
        <v>655.2</v>
      </c>
      <c r="M60" s="39">
        <f t="shared" si="14"/>
        <v>728</v>
      </c>
      <c r="N60" s="145">
        <f t="shared" si="15"/>
        <v>764.4</v>
      </c>
      <c r="O60" s="39">
        <f t="shared" si="11"/>
        <v>27.3068267066767</v>
      </c>
      <c r="P60" s="37">
        <v>331</v>
      </c>
      <c r="Q60" s="146">
        <f t="shared" si="12"/>
        <v>0.0996978851963746</v>
      </c>
      <c r="R60" s="37"/>
    </row>
    <row r="61" spans="1:18">
      <c r="A61" s="1">
        <v>53</v>
      </c>
      <c r="B61" s="37" t="s">
        <v>72</v>
      </c>
      <c r="C61" s="37" t="s">
        <v>73</v>
      </c>
      <c r="D61" s="109" t="s">
        <v>127</v>
      </c>
      <c r="E61" s="111" t="s">
        <v>105</v>
      </c>
      <c r="F61" s="95" t="s">
        <v>75</v>
      </c>
      <c r="G61" s="37" t="s">
        <v>76</v>
      </c>
      <c r="H61" s="37" t="s">
        <v>125</v>
      </c>
      <c r="I61" s="97">
        <f t="shared" si="9"/>
        <v>327.6</v>
      </c>
      <c r="J61" s="58">
        <v>364</v>
      </c>
      <c r="K61" s="39">
        <f t="shared" si="10"/>
        <v>382.2</v>
      </c>
      <c r="L61" s="144">
        <f t="shared" si="13"/>
        <v>655.2</v>
      </c>
      <c r="M61" s="39">
        <f t="shared" si="14"/>
        <v>728</v>
      </c>
      <c r="N61" s="145">
        <f t="shared" si="15"/>
        <v>764.4</v>
      </c>
      <c r="O61" s="39">
        <f t="shared" si="11"/>
        <v>27.3068267066767</v>
      </c>
      <c r="P61" s="37">
        <v>331</v>
      </c>
      <c r="Q61" s="146">
        <f t="shared" si="12"/>
        <v>0.0996978851963746</v>
      </c>
      <c r="R61" s="37"/>
    </row>
    <row r="62" spans="1:18">
      <c r="A62" s="1">
        <v>54</v>
      </c>
      <c r="B62" s="37" t="s">
        <v>72</v>
      </c>
      <c r="C62" s="37" t="s">
        <v>73</v>
      </c>
      <c r="D62" s="109">
        <v>0.05</v>
      </c>
      <c r="E62" s="94" t="s">
        <v>74</v>
      </c>
      <c r="F62" s="95" t="s">
        <v>128</v>
      </c>
      <c r="G62" s="37" t="s">
        <v>76</v>
      </c>
      <c r="H62" s="37" t="s">
        <v>129</v>
      </c>
      <c r="I62" s="97">
        <f t="shared" si="9"/>
        <v>132.3</v>
      </c>
      <c r="J62" s="58">
        <v>147</v>
      </c>
      <c r="K62" s="39">
        <f t="shared" si="10"/>
        <v>154.35</v>
      </c>
      <c r="L62" s="144">
        <f t="shared" si="13"/>
        <v>264.6</v>
      </c>
      <c r="M62" s="39">
        <f t="shared" si="14"/>
        <v>294</v>
      </c>
      <c r="N62" s="145">
        <f t="shared" si="15"/>
        <v>308.7</v>
      </c>
      <c r="O62" s="39">
        <f t="shared" si="11"/>
        <v>11.0277569392348</v>
      </c>
      <c r="P62" s="37">
        <v>134</v>
      </c>
      <c r="Q62" s="146">
        <f t="shared" si="12"/>
        <v>0.0970149253731343</v>
      </c>
      <c r="R62" s="37"/>
    </row>
    <row r="63" spans="1:18">
      <c r="A63" s="1">
        <v>55</v>
      </c>
      <c r="B63" s="37" t="s">
        <v>72</v>
      </c>
      <c r="C63" s="37" t="s">
        <v>73</v>
      </c>
      <c r="D63" s="109">
        <v>0.076</v>
      </c>
      <c r="E63" s="94" t="s">
        <v>74</v>
      </c>
      <c r="F63" s="95" t="s">
        <v>128</v>
      </c>
      <c r="G63" s="37" t="s">
        <v>76</v>
      </c>
      <c r="H63" s="37" t="s">
        <v>77</v>
      </c>
      <c r="I63" s="97">
        <f t="shared" si="9"/>
        <v>132.3</v>
      </c>
      <c r="J63" s="58">
        <v>147</v>
      </c>
      <c r="K63" s="39">
        <f t="shared" si="10"/>
        <v>154.35</v>
      </c>
      <c r="L63" s="144">
        <f t="shared" si="13"/>
        <v>264.6</v>
      </c>
      <c r="M63" s="39">
        <f t="shared" si="14"/>
        <v>294</v>
      </c>
      <c r="N63" s="145">
        <f t="shared" si="15"/>
        <v>308.7</v>
      </c>
      <c r="O63" s="39">
        <f t="shared" si="11"/>
        <v>11.0277569392348</v>
      </c>
      <c r="P63" s="37">
        <v>134</v>
      </c>
      <c r="Q63" s="146">
        <f t="shared" si="12"/>
        <v>0.0970149253731343</v>
      </c>
      <c r="R63" s="37"/>
    </row>
    <row r="64" spans="1:18">
      <c r="A64" s="1">
        <v>56</v>
      </c>
      <c r="B64" s="37" t="s">
        <v>72</v>
      </c>
      <c r="C64" s="37" t="s">
        <v>73</v>
      </c>
      <c r="D64" s="109">
        <v>0.1</v>
      </c>
      <c r="E64" s="94" t="s">
        <v>74</v>
      </c>
      <c r="F64" s="95" t="s">
        <v>128</v>
      </c>
      <c r="G64" s="37" t="s">
        <v>76</v>
      </c>
      <c r="H64" s="37" t="s">
        <v>78</v>
      </c>
      <c r="I64" s="97">
        <f t="shared" si="9"/>
        <v>129.6</v>
      </c>
      <c r="J64" s="58">
        <v>144</v>
      </c>
      <c r="K64" s="39">
        <f t="shared" si="10"/>
        <v>151.2</v>
      </c>
      <c r="L64" s="144">
        <f t="shared" si="13"/>
        <v>259.2</v>
      </c>
      <c r="M64" s="39">
        <f t="shared" si="14"/>
        <v>288</v>
      </c>
      <c r="N64" s="145">
        <f t="shared" si="15"/>
        <v>302.4</v>
      </c>
      <c r="O64" s="39">
        <f t="shared" si="11"/>
        <v>10.8027006751688</v>
      </c>
      <c r="P64" s="37">
        <v>131</v>
      </c>
      <c r="Q64" s="146">
        <f t="shared" si="12"/>
        <v>0.099236641221374</v>
      </c>
      <c r="R64" s="37"/>
    </row>
    <row r="65" s="1" customFormat="1" spans="1:18">
      <c r="A65" s="1">
        <v>57</v>
      </c>
      <c r="B65" s="37" t="s">
        <v>72</v>
      </c>
      <c r="C65" s="37" t="s">
        <v>73</v>
      </c>
      <c r="D65" s="109">
        <v>0.1</v>
      </c>
      <c r="E65" s="94" t="s">
        <v>74</v>
      </c>
      <c r="F65" s="95" t="s">
        <v>128</v>
      </c>
      <c r="G65" s="37" t="s">
        <v>76</v>
      </c>
      <c r="H65" s="37" t="s">
        <v>81</v>
      </c>
      <c r="I65" s="97">
        <f t="shared" si="9"/>
        <v>135.9</v>
      </c>
      <c r="J65" s="58">
        <v>151</v>
      </c>
      <c r="K65" s="39">
        <f t="shared" si="10"/>
        <v>158.55</v>
      </c>
      <c r="L65" s="144">
        <f t="shared" si="13"/>
        <v>271.8</v>
      </c>
      <c r="M65" s="39">
        <f t="shared" si="14"/>
        <v>302</v>
      </c>
      <c r="N65" s="145">
        <f t="shared" si="15"/>
        <v>317.1</v>
      </c>
      <c r="O65" s="39">
        <f t="shared" si="11"/>
        <v>11.3278319579895</v>
      </c>
      <c r="P65" s="37">
        <v>137</v>
      </c>
      <c r="Q65" s="146">
        <f t="shared" si="12"/>
        <v>0.102189781021898</v>
      </c>
      <c r="R65" s="37"/>
    </row>
    <row r="66" s="1" customFormat="1" spans="1:18">
      <c r="A66" s="1">
        <v>58</v>
      </c>
      <c r="B66" s="37" t="s">
        <v>72</v>
      </c>
      <c r="C66" s="37" t="s">
        <v>73</v>
      </c>
      <c r="D66" s="109">
        <v>0.1</v>
      </c>
      <c r="E66" s="94" t="s">
        <v>74</v>
      </c>
      <c r="F66" s="95" t="s">
        <v>128</v>
      </c>
      <c r="G66" s="37" t="s">
        <v>76</v>
      </c>
      <c r="H66" s="37" t="s">
        <v>79</v>
      </c>
      <c r="I66" s="97">
        <f t="shared" si="9"/>
        <v>148.5</v>
      </c>
      <c r="J66" s="58">
        <v>165</v>
      </c>
      <c r="K66" s="39">
        <f t="shared" si="10"/>
        <v>173.25</v>
      </c>
      <c r="L66" s="144">
        <f t="shared" si="13"/>
        <v>297</v>
      </c>
      <c r="M66" s="39">
        <f t="shared" si="14"/>
        <v>330</v>
      </c>
      <c r="N66" s="145">
        <f t="shared" si="15"/>
        <v>346.5</v>
      </c>
      <c r="O66" s="39">
        <f t="shared" si="11"/>
        <v>12.3780945236309</v>
      </c>
      <c r="P66" s="37">
        <v>150</v>
      </c>
      <c r="Q66" s="146">
        <f t="shared" si="12"/>
        <v>0.1</v>
      </c>
      <c r="R66" s="37"/>
    </row>
    <row r="67" s="1" customFormat="1" spans="1:18">
      <c r="A67" s="1">
        <v>59</v>
      </c>
      <c r="B67" s="37" t="s">
        <v>72</v>
      </c>
      <c r="C67" s="37" t="s">
        <v>73</v>
      </c>
      <c r="D67" s="109" t="s">
        <v>80</v>
      </c>
      <c r="E67" s="94" t="s">
        <v>74</v>
      </c>
      <c r="F67" s="95" t="s">
        <v>128</v>
      </c>
      <c r="G67" s="37" t="s">
        <v>76</v>
      </c>
      <c r="H67" s="37" t="s">
        <v>81</v>
      </c>
      <c r="I67" s="97">
        <f t="shared" si="9"/>
        <v>131.4</v>
      </c>
      <c r="J67" s="58">
        <v>146</v>
      </c>
      <c r="K67" s="39">
        <f t="shared" si="10"/>
        <v>153.3</v>
      </c>
      <c r="L67" s="144">
        <f t="shared" si="13"/>
        <v>262.8</v>
      </c>
      <c r="M67" s="39">
        <f t="shared" si="14"/>
        <v>292</v>
      </c>
      <c r="N67" s="145">
        <f t="shared" si="15"/>
        <v>306.6</v>
      </c>
      <c r="O67" s="39">
        <f t="shared" si="11"/>
        <v>10.9527381845461</v>
      </c>
      <c r="P67" s="37" t="s">
        <v>82</v>
      </c>
      <c r="Q67" s="146" t="s">
        <v>82</v>
      </c>
      <c r="R67" s="37"/>
    </row>
    <row r="68" spans="1:18">
      <c r="A68" s="1">
        <v>60</v>
      </c>
      <c r="B68" s="37" t="s">
        <v>72</v>
      </c>
      <c r="C68" s="37" t="s">
        <v>73</v>
      </c>
      <c r="D68" s="109">
        <v>0.13</v>
      </c>
      <c r="E68" s="94" t="s">
        <v>74</v>
      </c>
      <c r="F68" s="95" t="s">
        <v>128</v>
      </c>
      <c r="G68" s="37" t="s">
        <v>76</v>
      </c>
      <c r="H68" s="37" t="s">
        <v>81</v>
      </c>
      <c r="I68" s="97">
        <f t="shared" si="9"/>
        <v>131.4</v>
      </c>
      <c r="J68" s="58">
        <v>146</v>
      </c>
      <c r="K68" s="39">
        <f t="shared" si="10"/>
        <v>153.3</v>
      </c>
      <c r="L68" s="144">
        <f t="shared" si="13"/>
        <v>262.8</v>
      </c>
      <c r="M68" s="39">
        <f t="shared" si="14"/>
        <v>292</v>
      </c>
      <c r="N68" s="145">
        <f t="shared" si="15"/>
        <v>306.6</v>
      </c>
      <c r="O68" s="39">
        <f t="shared" si="11"/>
        <v>10.9527381845461</v>
      </c>
      <c r="P68" s="37">
        <v>133</v>
      </c>
      <c r="Q68" s="146">
        <f>(J68-P68)/P68</f>
        <v>0.0977443609022556</v>
      </c>
      <c r="R68" s="37"/>
    </row>
    <row r="69" spans="1:18">
      <c r="A69" s="1">
        <v>61</v>
      </c>
      <c r="B69" s="37" t="s">
        <v>72</v>
      </c>
      <c r="C69" s="37" t="s">
        <v>73</v>
      </c>
      <c r="D69" s="109">
        <v>0.15</v>
      </c>
      <c r="E69" s="94" t="s">
        <v>74</v>
      </c>
      <c r="F69" s="95" t="s">
        <v>128</v>
      </c>
      <c r="G69" s="37" t="s">
        <v>76</v>
      </c>
      <c r="H69" s="37" t="s">
        <v>83</v>
      </c>
      <c r="I69" s="97">
        <f t="shared" si="9"/>
        <v>135.9</v>
      </c>
      <c r="J69" s="58">
        <v>151</v>
      </c>
      <c r="K69" s="39">
        <f t="shared" si="10"/>
        <v>158.55</v>
      </c>
      <c r="L69" s="144">
        <f t="shared" si="13"/>
        <v>271.8</v>
      </c>
      <c r="M69" s="39">
        <f t="shared" si="14"/>
        <v>302</v>
      </c>
      <c r="N69" s="145">
        <f t="shared" si="15"/>
        <v>317.1</v>
      </c>
      <c r="O69" s="39">
        <f t="shared" si="11"/>
        <v>11.3278319579895</v>
      </c>
      <c r="P69" s="37">
        <v>137</v>
      </c>
      <c r="Q69" s="146">
        <f t="shared" ref="Q68:Q75" si="16">(J69-P69)/P69</f>
        <v>0.102189781021898</v>
      </c>
      <c r="R69" s="37"/>
    </row>
    <row r="70" spans="1:18">
      <c r="A70" s="1">
        <v>62</v>
      </c>
      <c r="B70" s="37" t="s">
        <v>72</v>
      </c>
      <c r="C70" s="37" t="s">
        <v>73</v>
      </c>
      <c r="D70" s="109">
        <v>0.152</v>
      </c>
      <c r="E70" s="94" t="s">
        <v>74</v>
      </c>
      <c r="F70" s="95" t="s">
        <v>128</v>
      </c>
      <c r="G70" s="37" t="s">
        <v>76</v>
      </c>
      <c r="H70" s="37" t="s">
        <v>83</v>
      </c>
      <c r="I70" s="97">
        <f t="shared" si="9"/>
        <v>135.9</v>
      </c>
      <c r="J70" s="58">
        <v>151</v>
      </c>
      <c r="K70" s="39">
        <f t="shared" si="10"/>
        <v>158.55</v>
      </c>
      <c r="L70" s="144">
        <f t="shared" si="13"/>
        <v>271.8</v>
      </c>
      <c r="M70" s="39">
        <f t="shared" si="14"/>
        <v>302</v>
      </c>
      <c r="N70" s="145">
        <f t="shared" si="15"/>
        <v>317.1</v>
      </c>
      <c r="O70" s="39">
        <f t="shared" si="11"/>
        <v>11.3278319579895</v>
      </c>
      <c r="P70" s="37">
        <v>137</v>
      </c>
      <c r="Q70" s="146">
        <f t="shared" si="16"/>
        <v>0.102189781021898</v>
      </c>
      <c r="R70" s="37"/>
    </row>
    <row r="71" spans="1:18">
      <c r="A71" s="1">
        <v>63</v>
      </c>
      <c r="B71" s="37" t="s">
        <v>72</v>
      </c>
      <c r="C71" s="37" t="s">
        <v>73</v>
      </c>
      <c r="D71" s="109" t="s">
        <v>84</v>
      </c>
      <c r="E71" s="94" t="s">
        <v>74</v>
      </c>
      <c r="F71" s="95" t="s">
        <v>128</v>
      </c>
      <c r="G71" s="37" t="s">
        <v>76</v>
      </c>
      <c r="H71" s="37" t="s">
        <v>85</v>
      </c>
      <c r="I71" s="97">
        <f t="shared" si="9"/>
        <v>135</v>
      </c>
      <c r="J71" s="102">
        <v>150</v>
      </c>
      <c r="K71" s="39">
        <f t="shared" si="10"/>
        <v>157.5</v>
      </c>
      <c r="L71" s="144">
        <f t="shared" si="13"/>
        <v>270</v>
      </c>
      <c r="M71" s="39">
        <f t="shared" si="14"/>
        <v>300</v>
      </c>
      <c r="N71" s="145">
        <f t="shared" si="15"/>
        <v>315</v>
      </c>
      <c r="O71" s="39">
        <f t="shared" si="11"/>
        <v>11.2528132033008</v>
      </c>
      <c r="P71" s="37">
        <v>136</v>
      </c>
      <c r="Q71" s="146">
        <f t="shared" si="16"/>
        <v>0.102941176470588</v>
      </c>
      <c r="R71" s="37"/>
    </row>
    <row r="72" spans="1:18">
      <c r="A72" s="1">
        <v>64</v>
      </c>
      <c r="B72" s="37" t="s">
        <v>72</v>
      </c>
      <c r="C72" s="37" t="s">
        <v>73</v>
      </c>
      <c r="D72" s="109">
        <v>0.203</v>
      </c>
      <c r="E72" s="94" t="s">
        <v>74</v>
      </c>
      <c r="F72" s="95" t="s">
        <v>128</v>
      </c>
      <c r="G72" s="37" t="s">
        <v>76</v>
      </c>
      <c r="H72" s="37" t="s">
        <v>85</v>
      </c>
      <c r="I72" s="97">
        <f t="shared" si="9"/>
        <v>140.4</v>
      </c>
      <c r="J72" s="58">
        <v>156</v>
      </c>
      <c r="K72" s="39">
        <f t="shared" si="10"/>
        <v>163.8</v>
      </c>
      <c r="L72" s="144">
        <f t="shared" si="13"/>
        <v>280.8</v>
      </c>
      <c r="M72" s="39">
        <f t="shared" si="14"/>
        <v>312</v>
      </c>
      <c r="N72" s="145">
        <f t="shared" si="15"/>
        <v>327.6</v>
      </c>
      <c r="O72" s="39">
        <f t="shared" si="11"/>
        <v>11.7029257314329</v>
      </c>
      <c r="P72" s="37">
        <v>142</v>
      </c>
      <c r="Q72" s="146">
        <f t="shared" si="16"/>
        <v>0.0985915492957746</v>
      </c>
      <c r="R72" s="37"/>
    </row>
    <row r="73" s="1" customFormat="1" spans="1:18">
      <c r="A73" s="1">
        <v>65</v>
      </c>
      <c r="B73" s="37" t="s">
        <v>72</v>
      </c>
      <c r="C73" s="37" t="s">
        <v>73</v>
      </c>
      <c r="D73" s="109">
        <v>0.203</v>
      </c>
      <c r="E73" s="94" t="s">
        <v>74</v>
      </c>
      <c r="F73" s="95" t="s">
        <v>128</v>
      </c>
      <c r="G73" s="37" t="s">
        <v>76</v>
      </c>
      <c r="H73" s="37" t="s">
        <v>86</v>
      </c>
      <c r="I73" s="97">
        <f t="shared" si="9"/>
        <v>155.7</v>
      </c>
      <c r="J73" s="58">
        <v>173</v>
      </c>
      <c r="K73" s="39">
        <f t="shared" si="10"/>
        <v>181.65</v>
      </c>
      <c r="L73" s="144">
        <f t="shared" si="13"/>
        <v>311.4</v>
      </c>
      <c r="M73" s="39">
        <f t="shared" si="14"/>
        <v>346</v>
      </c>
      <c r="N73" s="145">
        <f t="shared" si="15"/>
        <v>363.3</v>
      </c>
      <c r="O73" s="39">
        <f t="shared" si="11"/>
        <v>12.9782445611403</v>
      </c>
      <c r="P73" s="37">
        <v>157</v>
      </c>
      <c r="Q73" s="146">
        <f t="shared" si="16"/>
        <v>0.101910828025478</v>
      </c>
      <c r="R73" s="37"/>
    </row>
    <row r="74" spans="1:18">
      <c r="A74" s="1">
        <v>66</v>
      </c>
      <c r="B74" s="37" t="s">
        <v>72</v>
      </c>
      <c r="C74" s="37" t="s">
        <v>73</v>
      </c>
      <c r="D74" s="109">
        <v>0.23</v>
      </c>
      <c r="E74" s="94" t="s">
        <v>74</v>
      </c>
      <c r="F74" s="95" t="s">
        <v>128</v>
      </c>
      <c r="G74" s="37" t="s">
        <v>76</v>
      </c>
      <c r="H74" s="37" t="s">
        <v>87</v>
      </c>
      <c r="I74" s="97">
        <f t="shared" si="9"/>
        <v>149.4</v>
      </c>
      <c r="J74" s="58">
        <v>166</v>
      </c>
      <c r="K74" s="39">
        <f t="shared" si="10"/>
        <v>174.3</v>
      </c>
      <c r="L74" s="144">
        <f t="shared" si="13"/>
        <v>298.8</v>
      </c>
      <c r="M74" s="39">
        <f t="shared" si="14"/>
        <v>332</v>
      </c>
      <c r="N74" s="145">
        <f t="shared" si="15"/>
        <v>348.6</v>
      </c>
      <c r="O74" s="39">
        <f t="shared" si="11"/>
        <v>12.4531132783196</v>
      </c>
      <c r="P74" s="37">
        <v>151</v>
      </c>
      <c r="Q74" s="146">
        <f t="shared" si="16"/>
        <v>0.0993377483443709</v>
      </c>
      <c r="R74" s="37"/>
    </row>
    <row r="75" spans="1:18">
      <c r="A75" s="1">
        <v>67</v>
      </c>
      <c r="B75" s="37" t="s">
        <v>72</v>
      </c>
      <c r="C75" s="37" t="s">
        <v>73</v>
      </c>
      <c r="D75" s="109">
        <v>0.25</v>
      </c>
      <c r="E75" s="94" t="s">
        <v>74</v>
      </c>
      <c r="F75" s="95" t="s">
        <v>128</v>
      </c>
      <c r="G75" s="37" t="s">
        <v>76</v>
      </c>
      <c r="H75" s="37" t="s">
        <v>87</v>
      </c>
      <c r="I75" s="97">
        <f t="shared" si="9"/>
        <v>149.4</v>
      </c>
      <c r="J75" s="58">
        <v>166</v>
      </c>
      <c r="K75" s="39">
        <f t="shared" si="10"/>
        <v>174.3</v>
      </c>
      <c r="L75" s="144">
        <f t="shared" si="13"/>
        <v>298.8</v>
      </c>
      <c r="M75" s="39">
        <f t="shared" si="14"/>
        <v>332</v>
      </c>
      <c r="N75" s="145">
        <f t="shared" si="15"/>
        <v>348.6</v>
      </c>
      <c r="O75" s="39">
        <f t="shared" si="11"/>
        <v>12.4531132783196</v>
      </c>
      <c r="P75" s="37">
        <v>151</v>
      </c>
      <c r="Q75" s="146">
        <f t="shared" si="16"/>
        <v>0.0993377483443709</v>
      </c>
      <c r="R75" s="37"/>
    </row>
    <row r="76" spans="1:18">
      <c r="A76" s="1">
        <v>68</v>
      </c>
      <c r="B76" s="37" t="s">
        <v>72</v>
      </c>
      <c r="C76" s="37" t="s">
        <v>73</v>
      </c>
      <c r="D76" s="109" t="s">
        <v>88</v>
      </c>
      <c r="E76" s="94" t="s">
        <v>74</v>
      </c>
      <c r="F76" s="95" t="s">
        <v>128</v>
      </c>
      <c r="G76" s="37" t="s">
        <v>76</v>
      </c>
      <c r="H76" s="37" t="s">
        <v>87</v>
      </c>
      <c r="I76" s="97">
        <f t="shared" si="9"/>
        <v>155.7</v>
      </c>
      <c r="J76" s="58">
        <v>173</v>
      </c>
      <c r="K76" s="39">
        <f t="shared" si="10"/>
        <v>181.65</v>
      </c>
      <c r="L76" s="144">
        <f t="shared" si="13"/>
        <v>311.4</v>
      </c>
      <c r="M76" s="39">
        <f t="shared" si="14"/>
        <v>346</v>
      </c>
      <c r="N76" s="145">
        <f t="shared" si="15"/>
        <v>363.3</v>
      </c>
      <c r="O76" s="39">
        <f t="shared" si="11"/>
        <v>12.9782445611403</v>
      </c>
      <c r="P76" s="37" t="s">
        <v>82</v>
      </c>
      <c r="Q76" s="146" t="s">
        <v>82</v>
      </c>
      <c r="R76" s="37"/>
    </row>
    <row r="77" spans="1:18">
      <c r="A77" s="1">
        <v>69</v>
      </c>
      <c r="B77" s="37" t="s">
        <v>72</v>
      </c>
      <c r="C77" s="37" t="s">
        <v>73</v>
      </c>
      <c r="D77" s="109" t="s">
        <v>130</v>
      </c>
      <c r="E77" s="94" t="s">
        <v>74</v>
      </c>
      <c r="F77" s="95" t="s">
        <v>128</v>
      </c>
      <c r="G77" s="37" t="s">
        <v>76</v>
      </c>
      <c r="H77" s="37" t="s">
        <v>89</v>
      </c>
      <c r="I77" s="97">
        <f t="shared" si="9"/>
        <v>155.7</v>
      </c>
      <c r="J77" s="58">
        <v>173</v>
      </c>
      <c r="K77" s="39">
        <f t="shared" si="10"/>
        <v>181.65</v>
      </c>
      <c r="L77" s="144">
        <f t="shared" si="13"/>
        <v>311.4</v>
      </c>
      <c r="M77" s="39">
        <f t="shared" si="14"/>
        <v>346</v>
      </c>
      <c r="N77" s="145">
        <f t="shared" si="15"/>
        <v>363.3</v>
      </c>
      <c r="O77" s="39">
        <f t="shared" si="11"/>
        <v>12.9782445611403</v>
      </c>
      <c r="P77" s="37" t="s">
        <v>82</v>
      </c>
      <c r="Q77" s="146" t="s">
        <v>82</v>
      </c>
      <c r="R77" s="37"/>
    </row>
    <row r="78" spans="1:18">
      <c r="A78" s="1">
        <v>70</v>
      </c>
      <c r="B78" s="37" t="s">
        <v>72</v>
      </c>
      <c r="C78" s="37" t="s">
        <v>73</v>
      </c>
      <c r="D78" s="109">
        <v>0.3</v>
      </c>
      <c r="E78" s="94" t="s">
        <v>74</v>
      </c>
      <c r="F78" s="95" t="s">
        <v>128</v>
      </c>
      <c r="G78" s="37" t="s">
        <v>76</v>
      </c>
      <c r="H78" s="37" t="s">
        <v>89</v>
      </c>
      <c r="I78" s="97">
        <f t="shared" si="9"/>
        <v>155.7</v>
      </c>
      <c r="J78" s="58">
        <v>173</v>
      </c>
      <c r="K78" s="39">
        <f t="shared" si="10"/>
        <v>181.65</v>
      </c>
      <c r="L78" s="144">
        <f t="shared" si="13"/>
        <v>311.4</v>
      </c>
      <c r="M78" s="39">
        <f t="shared" si="14"/>
        <v>346</v>
      </c>
      <c r="N78" s="145">
        <f t="shared" si="15"/>
        <v>363.3</v>
      </c>
      <c r="O78" s="39">
        <f t="shared" si="11"/>
        <v>12.9782445611403</v>
      </c>
      <c r="P78" s="37">
        <v>157</v>
      </c>
      <c r="Q78" s="146">
        <f>(J78-P78)/P78</f>
        <v>0.101910828025478</v>
      </c>
      <c r="R78" s="37"/>
    </row>
    <row r="79" spans="1:18">
      <c r="A79" s="1">
        <v>71</v>
      </c>
      <c r="B79" s="37" t="s">
        <v>72</v>
      </c>
      <c r="C79" s="37" t="s">
        <v>73</v>
      </c>
      <c r="D79" s="109">
        <v>0.33</v>
      </c>
      <c r="E79" s="94" t="s">
        <v>74</v>
      </c>
      <c r="F79" s="95" t="s">
        <v>128</v>
      </c>
      <c r="G79" s="37" t="s">
        <v>76</v>
      </c>
      <c r="H79" s="37" t="s">
        <v>91</v>
      </c>
      <c r="I79" s="97">
        <f t="shared" si="9"/>
        <v>154.8</v>
      </c>
      <c r="J79" s="58">
        <v>172</v>
      </c>
      <c r="K79" s="39">
        <f t="shared" si="10"/>
        <v>180.6</v>
      </c>
      <c r="L79" s="144">
        <f t="shared" si="13"/>
        <v>309.6</v>
      </c>
      <c r="M79" s="39">
        <f t="shared" si="14"/>
        <v>344</v>
      </c>
      <c r="N79" s="145">
        <f t="shared" si="15"/>
        <v>361.2</v>
      </c>
      <c r="O79" s="39">
        <f t="shared" si="11"/>
        <v>12.9032258064516</v>
      </c>
      <c r="P79" s="37">
        <v>156</v>
      </c>
      <c r="Q79" s="146">
        <f>(J79-P79)/P79</f>
        <v>0.102564102564103</v>
      </c>
      <c r="R79" s="37"/>
    </row>
    <row r="80" spans="1:18">
      <c r="A80" s="1">
        <v>72</v>
      </c>
      <c r="B80" s="37" t="s">
        <v>72</v>
      </c>
      <c r="C80" s="37" t="s">
        <v>73</v>
      </c>
      <c r="D80" s="109">
        <v>0.36</v>
      </c>
      <c r="E80" s="94" t="s">
        <v>74</v>
      </c>
      <c r="F80" s="95" t="s">
        <v>128</v>
      </c>
      <c r="G80" s="37" t="s">
        <v>76</v>
      </c>
      <c r="H80" s="37" t="s">
        <v>92</v>
      </c>
      <c r="I80" s="97">
        <f t="shared" si="9"/>
        <v>149.4</v>
      </c>
      <c r="J80" s="58">
        <v>166</v>
      </c>
      <c r="K80" s="39">
        <f t="shared" si="10"/>
        <v>174.3</v>
      </c>
      <c r="L80" s="144">
        <f t="shared" si="13"/>
        <v>298.8</v>
      </c>
      <c r="M80" s="39">
        <f t="shared" si="14"/>
        <v>332</v>
      </c>
      <c r="N80" s="145">
        <f t="shared" si="15"/>
        <v>348.6</v>
      </c>
      <c r="O80" s="39">
        <f t="shared" si="11"/>
        <v>12.4531132783196</v>
      </c>
      <c r="P80" s="37">
        <v>151</v>
      </c>
      <c r="Q80" s="146">
        <f>(J80-P80)/P80</f>
        <v>0.0993377483443709</v>
      </c>
      <c r="R80" s="37"/>
    </row>
    <row r="81" spans="1:18">
      <c r="A81" s="1">
        <v>73</v>
      </c>
      <c r="B81" s="37" t="s">
        <v>72</v>
      </c>
      <c r="C81" s="37" t="s">
        <v>73</v>
      </c>
      <c r="D81" s="109" t="s">
        <v>131</v>
      </c>
      <c r="E81" s="94" t="s">
        <v>74</v>
      </c>
      <c r="F81" s="95" t="s">
        <v>128</v>
      </c>
      <c r="G81" s="37" t="s">
        <v>76</v>
      </c>
      <c r="H81" s="37" t="s">
        <v>92</v>
      </c>
      <c r="I81" s="97">
        <f t="shared" si="9"/>
        <v>154.8</v>
      </c>
      <c r="J81" s="58">
        <v>172</v>
      </c>
      <c r="K81" s="39">
        <f t="shared" si="10"/>
        <v>180.6</v>
      </c>
      <c r="L81" s="144">
        <f t="shared" si="13"/>
        <v>309.6</v>
      </c>
      <c r="M81" s="39">
        <f t="shared" si="14"/>
        <v>344</v>
      </c>
      <c r="N81" s="145">
        <f t="shared" si="15"/>
        <v>361.2</v>
      </c>
      <c r="O81" s="39">
        <f t="shared" si="11"/>
        <v>12.9032258064516</v>
      </c>
      <c r="P81" s="37" t="s">
        <v>82</v>
      </c>
      <c r="Q81" s="146" t="s">
        <v>82</v>
      </c>
      <c r="R81" s="37"/>
    </row>
    <row r="82" spans="1:18">
      <c r="A82" s="1">
        <v>74</v>
      </c>
      <c r="B82" s="37" t="s">
        <v>72</v>
      </c>
      <c r="C82" s="37" t="s">
        <v>73</v>
      </c>
      <c r="D82" s="109" t="s">
        <v>93</v>
      </c>
      <c r="E82" s="94" t="s">
        <v>74</v>
      </c>
      <c r="F82" s="95" t="s">
        <v>128</v>
      </c>
      <c r="G82" s="37" t="s">
        <v>76</v>
      </c>
      <c r="H82" s="37" t="s">
        <v>92</v>
      </c>
      <c r="I82" s="97">
        <f t="shared" ref="I82:I145" si="17">J82*0.9</f>
        <v>154.8</v>
      </c>
      <c r="J82" s="58">
        <v>172</v>
      </c>
      <c r="K82" s="39">
        <f t="shared" ref="K82:K145" si="18">J82*1.05</f>
        <v>180.6</v>
      </c>
      <c r="L82" s="144">
        <f t="shared" ref="L82:L122" si="19">I82*2</f>
        <v>309.6</v>
      </c>
      <c r="M82" s="39">
        <f t="shared" ref="M82:M122" si="20">J82*2</f>
        <v>344</v>
      </c>
      <c r="N82" s="145">
        <f t="shared" ref="N82:N122" si="21">K82*2</f>
        <v>361.2</v>
      </c>
      <c r="O82" s="39">
        <f t="shared" ref="O82:O145" si="22">J82/13.33</f>
        <v>12.9032258064516</v>
      </c>
      <c r="P82" s="37">
        <v>156</v>
      </c>
      <c r="Q82" s="146">
        <f t="shared" ref="Q82:Q144" si="23">(J82-P82)/P82</f>
        <v>0.102564102564103</v>
      </c>
      <c r="R82" s="37"/>
    </row>
    <row r="83" spans="1:18">
      <c r="A83" s="1">
        <v>75</v>
      </c>
      <c r="B83" s="37" t="s">
        <v>72</v>
      </c>
      <c r="C83" s="37" t="s">
        <v>73</v>
      </c>
      <c r="D83" s="109">
        <v>0.43</v>
      </c>
      <c r="E83" s="94" t="s">
        <v>74</v>
      </c>
      <c r="F83" s="95" t="s">
        <v>128</v>
      </c>
      <c r="G83" s="37" t="s">
        <v>76</v>
      </c>
      <c r="H83" s="37" t="s">
        <v>94</v>
      </c>
      <c r="I83" s="97">
        <f t="shared" si="17"/>
        <v>169.2</v>
      </c>
      <c r="J83" s="58">
        <v>188</v>
      </c>
      <c r="K83" s="39">
        <f t="shared" si="18"/>
        <v>197.4</v>
      </c>
      <c r="L83" s="144">
        <f t="shared" si="19"/>
        <v>338.4</v>
      </c>
      <c r="M83" s="39">
        <f t="shared" si="20"/>
        <v>376</v>
      </c>
      <c r="N83" s="145">
        <f t="shared" si="21"/>
        <v>394.8</v>
      </c>
      <c r="O83" s="39">
        <f t="shared" si="22"/>
        <v>14.1035258814704</v>
      </c>
      <c r="P83" s="37">
        <v>171</v>
      </c>
      <c r="Q83" s="146">
        <f t="shared" si="23"/>
        <v>0.0994152046783626</v>
      </c>
      <c r="R83" s="37"/>
    </row>
    <row r="84" spans="1:18">
      <c r="A84" s="1">
        <v>76</v>
      </c>
      <c r="B84" s="37" t="s">
        <v>72</v>
      </c>
      <c r="C84" s="37" t="s">
        <v>73</v>
      </c>
      <c r="D84" s="109">
        <v>0.46</v>
      </c>
      <c r="E84" s="94" t="s">
        <v>74</v>
      </c>
      <c r="F84" s="95" t="s">
        <v>128</v>
      </c>
      <c r="G84" s="37" t="s">
        <v>76</v>
      </c>
      <c r="H84" s="37" t="s">
        <v>94</v>
      </c>
      <c r="I84" s="97">
        <f t="shared" si="17"/>
        <v>169.2</v>
      </c>
      <c r="J84" s="58">
        <v>188</v>
      </c>
      <c r="K84" s="39">
        <f t="shared" si="18"/>
        <v>197.4</v>
      </c>
      <c r="L84" s="144">
        <f t="shared" si="19"/>
        <v>338.4</v>
      </c>
      <c r="M84" s="39">
        <f t="shared" si="20"/>
        <v>376</v>
      </c>
      <c r="N84" s="145">
        <f t="shared" si="21"/>
        <v>394.8</v>
      </c>
      <c r="O84" s="39">
        <f t="shared" si="22"/>
        <v>14.1035258814704</v>
      </c>
      <c r="P84" s="37">
        <v>171</v>
      </c>
      <c r="Q84" s="146">
        <f t="shared" si="23"/>
        <v>0.0994152046783626</v>
      </c>
      <c r="R84" s="37"/>
    </row>
    <row r="85" spans="1:18">
      <c r="A85" s="1">
        <v>77</v>
      </c>
      <c r="B85" s="37" t="s">
        <v>72</v>
      </c>
      <c r="C85" s="37" t="s">
        <v>73</v>
      </c>
      <c r="D85" s="109">
        <v>0.48</v>
      </c>
      <c r="E85" s="94" t="s">
        <v>74</v>
      </c>
      <c r="F85" s="95" t="s">
        <v>128</v>
      </c>
      <c r="G85" s="37" t="s">
        <v>76</v>
      </c>
      <c r="H85" s="37" t="s">
        <v>95</v>
      </c>
      <c r="I85" s="97">
        <f t="shared" si="17"/>
        <v>169.2</v>
      </c>
      <c r="J85" s="58">
        <v>188</v>
      </c>
      <c r="K85" s="39">
        <f t="shared" si="18"/>
        <v>197.4</v>
      </c>
      <c r="L85" s="144">
        <f t="shared" si="19"/>
        <v>338.4</v>
      </c>
      <c r="M85" s="39">
        <f t="shared" si="20"/>
        <v>376</v>
      </c>
      <c r="N85" s="145">
        <f t="shared" si="21"/>
        <v>394.8</v>
      </c>
      <c r="O85" s="39">
        <f t="shared" si="22"/>
        <v>14.1035258814704</v>
      </c>
      <c r="P85" s="37">
        <v>171</v>
      </c>
      <c r="Q85" s="146">
        <f t="shared" si="23"/>
        <v>0.0994152046783626</v>
      </c>
      <c r="R85" s="37"/>
    </row>
    <row r="86" spans="1:18">
      <c r="A86" s="1">
        <v>78</v>
      </c>
      <c r="B86" s="37" t="s">
        <v>72</v>
      </c>
      <c r="C86" s="37" t="s">
        <v>73</v>
      </c>
      <c r="D86" s="109" t="s">
        <v>96</v>
      </c>
      <c r="E86" s="94" t="s">
        <v>74</v>
      </c>
      <c r="F86" s="95" t="s">
        <v>128</v>
      </c>
      <c r="G86" s="37" t="s">
        <v>76</v>
      </c>
      <c r="H86" s="37" t="s">
        <v>95</v>
      </c>
      <c r="I86" s="97">
        <f t="shared" si="17"/>
        <v>169.2</v>
      </c>
      <c r="J86" s="58">
        <v>188</v>
      </c>
      <c r="K86" s="39">
        <f t="shared" si="18"/>
        <v>197.4</v>
      </c>
      <c r="L86" s="144">
        <f t="shared" si="19"/>
        <v>338.4</v>
      </c>
      <c r="M86" s="39">
        <f t="shared" si="20"/>
        <v>376</v>
      </c>
      <c r="N86" s="145">
        <f t="shared" si="21"/>
        <v>394.8</v>
      </c>
      <c r="O86" s="39">
        <f t="shared" si="22"/>
        <v>14.1035258814704</v>
      </c>
      <c r="P86" s="37">
        <v>171</v>
      </c>
      <c r="Q86" s="146">
        <f t="shared" si="23"/>
        <v>0.0994152046783626</v>
      </c>
      <c r="R86" s="37"/>
    </row>
    <row r="87" s="1" customFormat="1" spans="1:18">
      <c r="A87" s="1">
        <v>79</v>
      </c>
      <c r="B87" s="37" t="s">
        <v>72</v>
      </c>
      <c r="C87" s="37" t="s">
        <v>73</v>
      </c>
      <c r="D87" s="109" t="s">
        <v>97</v>
      </c>
      <c r="E87" s="94" t="s">
        <v>74</v>
      </c>
      <c r="F87" s="95" t="s">
        <v>128</v>
      </c>
      <c r="G87" s="37" t="s">
        <v>76</v>
      </c>
      <c r="H87" s="37" t="s">
        <v>98</v>
      </c>
      <c r="I87" s="97">
        <f t="shared" si="17"/>
        <v>174.6</v>
      </c>
      <c r="J87" s="58">
        <v>194</v>
      </c>
      <c r="K87" s="39">
        <f t="shared" si="18"/>
        <v>203.7</v>
      </c>
      <c r="L87" s="144">
        <f t="shared" si="19"/>
        <v>349.2</v>
      </c>
      <c r="M87" s="39">
        <f t="shared" si="20"/>
        <v>388</v>
      </c>
      <c r="N87" s="145">
        <f t="shared" si="21"/>
        <v>407.4</v>
      </c>
      <c r="O87" s="39">
        <f t="shared" si="22"/>
        <v>14.5536384096024</v>
      </c>
      <c r="P87" s="37">
        <v>176</v>
      </c>
      <c r="Q87" s="146">
        <f t="shared" si="23"/>
        <v>0.102272727272727</v>
      </c>
      <c r="R87" s="37"/>
    </row>
    <row r="88" spans="1:18">
      <c r="A88" s="1">
        <v>80</v>
      </c>
      <c r="B88" s="37" t="s">
        <v>72</v>
      </c>
      <c r="C88" s="37" t="s">
        <v>73</v>
      </c>
      <c r="D88" s="109">
        <v>0.559</v>
      </c>
      <c r="E88" s="94" t="s">
        <v>74</v>
      </c>
      <c r="F88" s="95" t="s">
        <v>128</v>
      </c>
      <c r="G88" s="37" t="s">
        <v>76</v>
      </c>
      <c r="H88" s="37" t="s">
        <v>98</v>
      </c>
      <c r="I88" s="97">
        <f t="shared" si="17"/>
        <v>174.6</v>
      </c>
      <c r="J88" s="58">
        <v>194</v>
      </c>
      <c r="K88" s="39">
        <f t="shared" si="18"/>
        <v>203.7</v>
      </c>
      <c r="L88" s="144">
        <f t="shared" si="19"/>
        <v>349.2</v>
      </c>
      <c r="M88" s="39">
        <f t="shared" si="20"/>
        <v>388</v>
      </c>
      <c r="N88" s="145">
        <f t="shared" si="21"/>
        <v>407.4</v>
      </c>
      <c r="O88" s="39">
        <f t="shared" si="22"/>
        <v>14.5536384096024</v>
      </c>
      <c r="P88" s="37">
        <v>176</v>
      </c>
      <c r="Q88" s="146">
        <f t="shared" si="23"/>
        <v>0.102272727272727</v>
      </c>
      <c r="R88" s="37"/>
    </row>
    <row r="89" spans="1:18">
      <c r="A89" s="1">
        <v>81</v>
      </c>
      <c r="B89" s="37" t="s">
        <v>72</v>
      </c>
      <c r="C89" s="37" t="s">
        <v>73</v>
      </c>
      <c r="D89" s="109">
        <v>0.584</v>
      </c>
      <c r="E89" s="94" t="s">
        <v>74</v>
      </c>
      <c r="F89" s="95" t="s">
        <v>128</v>
      </c>
      <c r="G89" s="37" t="s">
        <v>76</v>
      </c>
      <c r="H89" s="37" t="s">
        <v>98</v>
      </c>
      <c r="I89" s="97">
        <f t="shared" si="17"/>
        <v>167.4</v>
      </c>
      <c r="J89" s="58">
        <v>186</v>
      </c>
      <c r="K89" s="39">
        <f t="shared" si="18"/>
        <v>195.3</v>
      </c>
      <c r="L89" s="144">
        <f t="shared" si="19"/>
        <v>334.8</v>
      </c>
      <c r="M89" s="39">
        <f t="shared" si="20"/>
        <v>372</v>
      </c>
      <c r="N89" s="145">
        <f t="shared" si="21"/>
        <v>390.6</v>
      </c>
      <c r="O89" s="39">
        <f t="shared" si="22"/>
        <v>13.953488372093</v>
      </c>
      <c r="P89" s="37">
        <v>169</v>
      </c>
      <c r="Q89" s="146">
        <f t="shared" si="23"/>
        <v>0.100591715976331</v>
      </c>
      <c r="R89" s="37"/>
    </row>
    <row r="90" ht="16" customHeight="1" spans="1:18">
      <c r="A90" s="1">
        <v>82</v>
      </c>
      <c r="B90" s="37" t="s">
        <v>72</v>
      </c>
      <c r="C90" s="37" t="s">
        <v>73</v>
      </c>
      <c r="D90" s="109" t="s">
        <v>100</v>
      </c>
      <c r="E90" s="94" t="s">
        <v>74</v>
      </c>
      <c r="F90" s="95" t="s">
        <v>128</v>
      </c>
      <c r="G90" s="37" t="s">
        <v>76</v>
      </c>
      <c r="H90" s="37" t="s">
        <v>98</v>
      </c>
      <c r="I90" s="97">
        <f t="shared" si="17"/>
        <v>177.3</v>
      </c>
      <c r="J90" s="58">
        <v>197</v>
      </c>
      <c r="K90" s="39">
        <f t="shared" si="18"/>
        <v>206.85</v>
      </c>
      <c r="L90" s="144">
        <f t="shared" si="19"/>
        <v>354.6</v>
      </c>
      <c r="M90" s="39">
        <f t="shared" si="20"/>
        <v>394</v>
      </c>
      <c r="N90" s="145">
        <f t="shared" si="21"/>
        <v>413.7</v>
      </c>
      <c r="O90" s="39">
        <f t="shared" si="22"/>
        <v>14.7786946736684</v>
      </c>
      <c r="P90" s="37">
        <v>179</v>
      </c>
      <c r="Q90" s="146">
        <f t="shared" si="23"/>
        <v>0.100558659217877</v>
      </c>
      <c r="R90" s="37"/>
    </row>
    <row r="91" spans="1:18">
      <c r="A91" s="1">
        <v>83</v>
      </c>
      <c r="B91" s="37" t="s">
        <v>72</v>
      </c>
      <c r="C91" s="37" t="s">
        <v>73</v>
      </c>
      <c r="D91" s="109">
        <v>0.63</v>
      </c>
      <c r="E91" s="94" t="s">
        <v>74</v>
      </c>
      <c r="F91" s="95" t="s">
        <v>128</v>
      </c>
      <c r="G91" s="37" t="s">
        <v>76</v>
      </c>
      <c r="H91" s="37" t="s">
        <v>101</v>
      </c>
      <c r="I91" s="97">
        <f t="shared" si="17"/>
        <v>183.6</v>
      </c>
      <c r="J91" s="58">
        <v>204</v>
      </c>
      <c r="K91" s="39">
        <f t="shared" si="18"/>
        <v>214.2</v>
      </c>
      <c r="L91" s="144">
        <f t="shared" si="19"/>
        <v>367.2</v>
      </c>
      <c r="M91" s="39">
        <f t="shared" si="20"/>
        <v>408</v>
      </c>
      <c r="N91" s="145">
        <f t="shared" si="21"/>
        <v>428.4</v>
      </c>
      <c r="O91" s="39">
        <f t="shared" si="22"/>
        <v>15.3038259564891</v>
      </c>
      <c r="P91" s="37">
        <v>185</v>
      </c>
      <c r="Q91" s="146">
        <f t="shared" si="23"/>
        <v>0.102702702702703</v>
      </c>
      <c r="R91" s="37"/>
    </row>
    <row r="92" spans="1:18">
      <c r="A92" s="1">
        <v>84</v>
      </c>
      <c r="B92" s="37" t="s">
        <v>72</v>
      </c>
      <c r="C92" s="37" t="s">
        <v>73</v>
      </c>
      <c r="D92" s="109">
        <v>0.66</v>
      </c>
      <c r="E92" s="94" t="s">
        <v>74</v>
      </c>
      <c r="F92" s="95" t="s">
        <v>128</v>
      </c>
      <c r="G92" s="37" t="s">
        <v>76</v>
      </c>
      <c r="H92" s="37" t="s">
        <v>102</v>
      </c>
      <c r="I92" s="97">
        <f t="shared" si="17"/>
        <v>187.2</v>
      </c>
      <c r="J92" s="58">
        <v>208</v>
      </c>
      <c r="K92" s="39">
        <f t="shared" si="18"/>
        <v>218.4</v>
      </c>
      <c r="L92" s="144">
        <f t="shared" si="19"/>
        <v>374.4</v>
      </c>
      <c r="M92" s="39">
        <f t="shared" si="20"/>
        <v>416</v>
      </c>
      <c r="N92" s="145">
        <f t="shared" si="21"/>
        <v>436.8</v>
      </c>
      <c r="O92" s="39">
        <f t="shared" si="22"/>
        <v>15.6039009752438</v>
      </c>
      <c r="P92" s="37">
        <v>189</v>
      </c>
      <c r="Q92" s="146">
        <f t="shared" si="23"/>
        <v>0.100529100529101</v>
      </c>
      <c r="R92" s="37"/>
    </row>
    <row r="93" spans="1:18">
      <c r="A93" s="1">
        <v>85</v>
      </c>
      <c r="B93" s="37" t="s">
        <v>72</v>
      </c>
      <c r="C93" s="37" t="s">
        <v>73</v>
      </c>
      <c r="D93" s="109" t="s">
        <v>103</v>
      </c>
      <c r="E93" s="94" t="s">
        <v>74</v>
      </c>
      <c r="F93" s="95" t="s">
        <v>128</v>
      </c>
      <c r="G93" s="37" t="s">
        <v>76</v>
      </c>
      <c r="H93" s="37" t="s">
        <v>104</v>
      </c>
      <c r="I93" s="97">
        <f t="shared" si="17"/>
        <v>183.6</v>
      </c>
      <c r="J93" s="58">
        <v>204</v>
      </c>
      <c r="K93" s="39">
        <f t="shared" si="18"/>
        <v>214.2</v>
      </c>
      <c r="L93" s="144">
        <f t="shared" si="19"/>
        <v>367.2</v>
      </c>
      <c r="M93" s="39">
        <f t="shared" si="20"/>
        <v>408</v>
      </c>
      <c r="N93" s="145">
        <f t="shared" si="21"/>
        <v>428.4</v>
      </c>
      <c r="O93" s="39">
        <f t="shared" si="22"/>
        <v>15.3038259564891</v>
      </c>
      <c r="P93" s="37">
        <v>185</v>
      </c>
      <c r="Q93" s="146">
        <f t="shared" si="23"/>
        <v>0.102702702702703</v>
      </c>
      <c r="R93" s="37"/>
    </row>
    <row r="94" spans="1:18">
      <c r="A94" s="1">
        <v>86</v>
      </c>
      <c r="B94" s="37" t="s">
        <v>72</v>
      </c>
      <c r="C94" s="37" t="s">
        <v>73</v>
      </c>
      <c r="D94" s="109">
        <v>0.73</v>
      </c>
      <c r="E94" s="94" t="s">
        <v>74</v>
      </c>
      <c r="F94" s="95" t="s">
        <v>128</v>
      </c>
      <c r="G94" s="37" t="s">
        <v>76</v>
      </c>
      <c r="H94" s="37" t="s">
        <v>104</v>
      </c>
      <c r="I94" s="97">
        <f t="shared" si="17"/>
        <v>186.3</v>
      </c>
      <c r="J94" s="58">
        <v>207</v>
      </c>
      <c r="K94" s="39">
        <f t="shared" si="18"/>
        <v>217.35</v>
      </c>
      <c r="L94" s="144">
        <f t="shared" si="19"/>
        <v>372.6</v>
      </c>
      <c r="M94" s="39">
        <f t="shared" si="20"/>
        <v>414</v>
      </c>
      <c r="N94" s="145">
        <f t="shared" si="21"/>
        <v>434.7</v>
      </c>
      <c r="O94" s="39">
        <f t="shared" si="22"/>
        <v>15.5288822205551</v>
      </c>
      <c r="P94" s="37">
        <v>188</v>
      </c>
      <c r="Q94" s="146">
        <f t="shared" si="23"/>
        <v>0.101063829787234</v>
      </c>
      <c r="R94" s="37"/>
    </row>
    <row r="95" spans="1:18">
      <c r="A95" s="1">
        <v>87</v>
      </c>
      <c r="B95" s="37" t="s">
        <v>72</v>
      </c>
      <c r="C95" s="37" t="s">
        <v>73</v>
      </c>
      <c r="D95" s="109">
        <v>0.76</v>
      </c>
      <c r="E95" s="94" t="s">
        <v>74</v>
      </c>
      <c r="F95" s="95" t="s">
        <v>128</v>
      </c>
      <c r="G95" s="37" t="s">
        <v>76</v>
      </c>
      <c r="H95" s="37" t="s">
        <v>104</v>
      </c>
      <c r="I95" s="97">
        <f t="shared" si="17"/>
        <v>187.2</v>
      </c>
      <c r="J95" s="58">
        <v>208</v>
      </c>
      <c r="K95" s="39">
        <f t="shared" si="18"/>
        <v>218.4</v>
      </c>
      <c r="L95" s="144">
        <f t="shared" si="19"/>
        <v>374.4</v>
      </c>
      <c r="M95" s="39">
        <f t="shared" si="20"/>
        <v>416</v>
      </c>
      <c r="N95" s="145">
        <f t="shared" si="21"/>
        <v>436.8</v>
      </c>
      <c r="O95" s="39">
        <f t="shared" si="22"/>
        <v>15.6039009752438</v>
      </c>
      <c r="P95" s="37">
        <v>189</v>
      </c>
      <c r="Q95" s="146">
        <f t="shared" si="23"/>
        <v>0.100529100529101</v>
      </c>
      <c r="R95" s="37"/>
    </row>
    <row r="96" spans="1:18">
      <c r="A96" s="1">
        <v>88</v>
      </c>
      <c r="B96" s="37" t="s">
        <v>72</v>
      </c>
      <c r="C96" s="37" t="s">
        <v>73</v>
      </c>
      <c r="D96" s="109">
        <v>0.8</v>
      </c>
      <c r="E96" s="111" t="s">
        <v>105</v>
      </c>
      <c r="F96" s="95" t="s">
        <v>128</v>
      </c>
      <c r="G96" s="37" t="s">
        <v>76</v>
      </c>
      <c r="H96" s="37" t="s">
        <v>104</v>
      </c>
      <c r="I96" s="97">
        <f t="shared" si="17"/>
        <v>189</v>
      </c>
      <c r="J96" s="149">
        <v>210</v>
      </c>
      <c r="K96" s="39">
        <f t="shared" si="18"/>
        <v>220.5</v>
      </c>
      <c r="L96" s="144">
        <f t="shared" si="19"/>
        <v>378</v>
      </c>
      <c r="M96" s="39">
        <f t="shared" si="20"/>
        <v>420</v>
      </c>
      <c r="N96" s="145">
        <f t="shared" si="21"/>
        <v>441</v>
      </c>
      <c r="O96" s="39">
        <f t="shared" si="22"/>
        <v>15.7539384846212</v>
      </c>
      <c r="P96" s="37">
        <v>181</v>
      </c>
      <c r="Q96" s="146">
        <f t="shared" si="23"/>
        <v>0.160220994475138</v>
      </c>
      <c r="R96" s="37"/>
    </row>
    <row r="97" spans="1:18">
      <c r="A97" s="1">
        <v>89</v>
      </c>
      <c r="B97" s="37" t="s">
        <v>72</v>
      </c>
      <c r="C97" s="37" t="s">
        <v>73</v>
      </c>
      <c r="D97" s="109">
        <v>0.9</v>
      </c>
      <c r="E97" s="111" t="s">
        <v>105</v>
      </c>
      <c r="F97" s="95" t="s">
        <v>128</v>
      </c>
      <c r="G97" s="37" t="s">
        <v>76</v>
      </c>
      <c r="H97" s="37" t="s">
        <v>107</v>
      </c>
      <c r="I97" s="97">
        <f t="shared" si="17"/>
        <v>196.2</v>
      </c>
      <c r="J97" s="58">
        <v>218</v>
      </c>
      <c r="K97" s="39">
        <f t="shared" si="18"/>
        <v>228.9</v>
      </c>
      <c r="L97" s="144">
        <f t="shared" si="19"/>
        <v>392.4</v>
      </c>
      <c r="M97" s="39">
        <f t="shared" si="20"/>
        <v>436</v>
      </c>
      <c r="N97" s="145">
        <f t="shared" si="21"/>
        <v>457.8</v>
      </c>
      <c r="O97" s="39">
        <f t="shared" si="22"/>
        <v>16.3540885221305</v>
      </c>
      <c r="P97" s="37">
        <v>198</v>
      </c>
      <c r="Q97" s="146">
        <f t="shared" si="23"/>
        <v>0.101010101010101</v>
      </c>
      <c r="R97" s="37"/>
    </row>
    <row r="98" spans="1:18">
      <c r="A98" s="1">
        <v>90</v>
      </c>
      <c r="B98" s="37" t="s">
        <v>72</v>
      </c>
      <c r="C98" s="37" t="s">
        <v>73</v>
      </c>
      <c r="D98" s="109" t="s">
        <v>108</v>
      </c>
      <c r="E98" s="111" t="s">
        <v>105</v>
      </c>
      <c r="F98" s="95" t="s">
        <v>128</v>
      </c>
      <c r="G98" s="37" t="s">
        <v>76</v>
      </c>
      <c r="H98" s="37" t="s">
        <v>109</v>
      </c>
      <c r="I98" s="97">
        <f t="shared" si="17"/>
        <v>197.1</v>
      </c>
      <c r="J98" s="58">
        <v>219</v>
      </c>
      <c r="K98" s="39">
        <f t="shared" si="18"/>
        <v>229.95</v>
      </c>
      <c r="L98" s="144">
        <f t="shared" si="19"/>
        <v>394.2</v>
      </c>
      <c r="M98" s="39">
        <f t="shared" si="20"/>
        <v>438</v>
      </c>
      <c r="N98" s="145">
        <f t="shared" si="21"/>
        <v>459.9</v>
      </c>
      <c r="O98" s="39">
        <f t="shared" si="22"/>
        <v>16.4291072768192</v>
      </c>
      <c r="P98" s="37">
        <v>199</v>
      </c>
      <c r="Q98" s="146">
        <f t="shared" si="23"/>
        <v>0.100502512562814</v>
      </c>
      <c r="R98" s="37"/>
    </row>
    <row r="99" spans="1:18">
      <c r="A99" s="1">
        <v>91</v>
      </c>
      <c r="B99" s="37" t="s">
        <v>72</v>
      </c>
      <c r="C99" s="37" t="s">
        <v>73</v>
      </c>
      <c r="D99" s="109">
        <v>1.1</v>
      </c>
      <c r="E99" s="111" t="s">
        <v>105</v>
      </c>
      <c r="F99" s="95" t="s">
        <v>128</v>
      </c>
      <c r="G99" s="37" t="s">
        <v>76</v>
      </c>
      <c r="H99" s="37" t="s">
        <v>110</v>
      </c>
      <c r="I99" s="97">
        <f t="shared" si="17"/>
        <v>199.8</v>
      </c>
      <c r="J99" s="58">
        <v>222</v>
      </c>
      <c r="K99" s="39">
        <f t="shared" si="18"/>
        <v>233.1</v>
      </c>
      <c r="L99" s="144">
        <f t="shared" si="19"/>
        <v>399.6</v>
      </c>
      <c r="M99" s="39">
        <f t="shared" si="20"/>
        <v>444</v>
      </c>
      <c r="N99" s="145">
        <f t="shared" si="21"/>
        <v>466.2</v>
      </c>
      <c r="O99" s="39">
        <f t="shared" si="22"/>
        <v>16.6541635408852</v>
      </c>
      <c r="P99" s="37">
        <v>202</v>
      </c>
      <c r="Q99" s="146">
        <f t="shared" si="23"/>
        <v>0.099009900990099</v>
      </c>
      <c r="R99" s="37"/>
    </row>
    <row r="100" spans="1:18">
      <c r="A100" s="1">
        <v>92</v>
      </c>
      <c r="B100" s="37" t="s">
        <v>72</v>
      </c>
      <c r="C100" s="37" t="s">
        <v>73</v>
      </c>
      <c r="D100" s="109">
        <v>1.2</v>
      </c>
      <c r="E100" s="111" t="s">
        <v>105</v>
      </c>
      <c r="F100" s="95" t="s">
        <v>128</v>
      </c>
      <c r="G100" s="37" t="s">
        <v>76</v>
      </c>
      <c r="H100" s="37" t="s">
        <v>110</v>
      </c>
      <c r="I100" s="97">
        <f t="shared" si="17"/>
        <v>207</v>
      </c>
      <c r="J100" s="58">
        <v>230</v>
      </c>
      <c r="K100" s="39">
        <f t="shared" si="18"/>
        <v>241.5</v>
      </c>
      <c r="L100" s="144">
        <f t="shared" si="19"/>
        <v>414</v>
      </c>
      <c r="M100" s="39">
        <f t="shared" si="20"/>
        <v>460</v>
      </c>
      <c r="N100" s="145">
        <f t="shared" si="21"/>
        <v>483</v>
      </c>
      <c r="O100" s="39">
        <f t="shared" si="22"/>
        <v>17.2543135783946</v>
      </c>
      <c r="P100" s="37">
        <v>209</v>
      </c>
      <c r="Q100" s="146">
        <f t="shared" si="23"/>
        <v>0.100478468899522</v>
      </c>
      <c r="R100" s="37"/>
    </row>
    <row r="101" spans="1:18">
      <c r="A101" s="1">
        <v>93</v>
      </c>
      <c r="B101" s="37" t="s">
        <v>72</v>
      </c>
      <c r="C101" s="37" t="s">
        <v>73</v>
      </c>
      <c r="D101" s="109">
        <v>1.3</v>
      </c>
      <c r="E101" s="111" t="s">
        <v>105</v>
      </c>
      <c r="F101" s="95" t="s">
        <v>128</v>
      </c>
      <c r="G101" s="37" t="s">
        <v>76</v>
      </c>
      <c r="H101" s="37" t="s">
        <v>111</v>
      </c>
      <c r="I101" s="97">
        <f t="shared" si="17"/>
        <v>215.1</v>
      </c>
      <c r="J101" s="58">
        <v>239</v>
      </c>
      <c r="K101" s="39">
        <f t="shared" si="18"/>
        <v>250.95</v>
      </c>
      <c r="L101" s="144">
        <f t="shared" si="19"/>
        <v>430.2</v>
      </c>
      <c r="M101" s="39">
        <f t="shared" si="20"/>
        <v>478</v>
      </c>
      <c r="N101" s="145">
        <f t="shared" si="21"/>
        <v>501.9</v>
      </c>
      <c r="O101" s="39">
        <f t="shared" si="22"/>
        <v>17.9294823705926</v>
      </c>
      <c r="P101" s="37">
        <v>217</v>
      </c>
      <c r="Q101" s="146">
        <f t="shared" si="23"/>
        <v>0.101382488479263</v>
      </c>
      <c r="R101" s="37"/>
    </row>
    <row r="102" spans="1:18">
      <c r="A102" s="1">
        <v>94</v>
      </c>
      <c r="B102" s="37" t="s">
        <v>72</v>
      </c>
      <c r="C102" s="37" t="s">
        <v>73</v>
      </c>
      <c r="D102" s="109">
        <v>1.4</v>
      </c>
      <c r="E102" s="111" t="s">
        <v>105</v>
      </c>
      <c r="F102" s="95" t="s">
        <v>128</v>
      </c>
      <c r="G102" s="37" t="s">
        <v>76</v>
      </c>
      <c r="H102" s="37" t="s">
        <v>111</v>
      </c>
      <c r="I102" s="97">
        <f t="shared" si="17"/>
        <v>223.2</v>
      </c>
      <c r="J102" s="58">
        <v>248</v>
      </c>
      <c r="K102" s="39">
        <f t="shared" si="18"/>
        <v>260.4</v>
      </c>
      <c r="L102" s="144">
        <f t="shared" si="19"/>
        <v>446.4</v>
      </c>
      <c r="M102" s="39">
        <f t="shared" si="20"/>
        <v>496</v>
      </c>
      <c r="N102" s="145">
        <f t="shared" si="21"/>
        <v>520.8</v>
      </c>
      <c r="O102" s="39">
        <f t="shared" si="22"/>
        <v>18.6046511627907</v>
      </c>
      <c r="P102" s="37">
        <v>225</v>
      </c>
      <c r="Q102" s="146">
        <f t="shared" si="23"/>
        <v>0.102222222222222</v>
      </c>
      <c r="R102" s="37"/>
    </row>
    <row r="103" spans="1:18">
      <c r="A103" s="1">
        <v>95</v>
      </c>
      <c r="B103" s="37" t="s">
        <v>72</v>
      </c>
      <c r="C103" s="37" t="s">
        <v>73</v>
      </c>
      <c r="D103" s="181" t="s">
        <v>112</v>
      </c>
      <c r="E103" s="111" t="s">
        <v>105</v>
      </c>
      <c r="F103" s="95" t="s">
        <v>128</v>
      </c>
      <c r="G103" s="37" t="s">
        <v>76</v>
      </c>
      <c r="H103" s="37" t="s">
        <v>113</v>
      </c>
      <c r="I103" s="97">
        <f t="shared" si="17"/>
        <v>243</v>
      </c>
      <c r="J103" s="58">
        <v>270</v>
      </c>
      <c r="K103" s="39">
        <f t="shared" si="18"/>
        <v>283.5</v>
      </c>
      <c r="L103" s="144">
        <f t="shared" si="19"/>
        <v>486</v>
      </c>
      <c r="M103" s="39">
        <f t="shared" si="20"/>
        <v>540</v>
      </c>
      <c r="N103" s="145">
        <f t="shared" si="21"/>
        <v>567</v>
      </c>
      <c r="O103" s="39">
        <f t="shared" si="22"/>
        <v>20.2550637659415</v>
      </c>
      <c r="P103" s="37">
        <v>245</v>
      </c>
      <c r="Q103" s="146">
        <f t="shared" si="23"/>
        <v>0.102040816326531</v>
      </c>
      <c r="R103" s="37"/>
    </row>
    <row r="104" spans="1:18">
      <c r="A104" s="1">
        <v>96</v>
      </c>
      <c r="B104" s="37" t="s">
        <v>72</v>
      </c>
      <c r="C104" s="37" t="s">
        <v>73</v>
      </c>
      <c r="D104" s="109">
        <v>1.5</v>
      </c>
      <c r="E104" s="111" t="s">
        <v>105</v>
      </c>
      <c r="F104" s="95" t="s">
        <v>128</v>
      </c>
      <c r="G104" s="37" t="s">
        <v>76</v>
      </c>
      <c r="H104" s="37" t="s">
        <v>113</v>
      </c>
      <c r="I104" s="97">
        <f t="shared" si="17"/>
        <v>250.2</v>
      </c>
      <c r="J104" s="58">
        <v>278</v>
      </c>
      <c r="K104" s="39">
        <f t="shared" si="18"/>
        <v>291.9</v>
      </c>
      <c r="L104" s="144">
        <f t="shared" si="19"/>
        <v>500.4</v>
      </c>
      <c r="M104" s="39">
        <f t="shared" si="20"/>
        <v>556</v>
      </c>
      <c r="N104" s="145">
        <f t="shared" si="21"/>
        <v>583.8</v>
      </c>
      <c r="O104" s="39">
        <f t="shared" si="22"/>
        <v>20.8552138034509</v>
      </c>
      <c r="P104" s="37">
        <v>253</v>
      </c>
      <c r="Q104" s="146">
        <f t="shared" si="23"/>
        <v>0.0988142292490119</v>
      </c>
      <c r="R104" s="37"/>
    </row>
    <row r="105" spans="1:18">
      <c r="A105" s="1">
        <v>97</v>
      </c>
      <c r="B105" s="37" t="s">
        <v>72</v>
      </c>
      <c r="C105" s="37" t="s">
        <v>73</v>
      </c>
      <c r="D105" s="109">
        <v>1.6</v>
      </c>
      <c r="E105" s="111" t="s">
        <v>105</v>
      </c>
      <c r="F105" s="95" t="s">
        <v>128</v>
      </c>
      <c r="G105" s="37" t="s">
        <v>76</v>
      </c>
      <c r="H105" s="37" t="s">
        <v>113</v>
      </c>
      <c r="I105" s="97">
        <f t="shared" si="17"/>
        <v>260.1</v>
      </c>
      <c r="J105" s="58">
        <v>289</v>
      </c>
      <c r="K105" s="39">
        <f t="shared" si="18"/>
        <v>303.45</v>
      </c>
      <c r="L105" s="144">
        <f t="shared" si="19"/>
        <v>520.2</v>
      </c>
      <c r="M105" s="39">
        <f t="shared" si="20"/>
        <v>578</v>
      </c>
      <c r="N105" s="145">
        <f t="shared" si="21"/>
        <v>606.9</v>
      </c>
      <c r="O105" s="39">
        <f t="shared" si="22"/>
        <v>21.6804201050263</v>
      </c>
      <c r="P105" s="37">
        <v>263</v>
      </c>
      <c r="Q105" s="146">
        <f t="shared" si="23"/>
        <v>0.0988593155893536</v>
      </c>
      <c r="R105" s="37"/>
    </row>
    <row r="106" spans="1:18">
      <c r="A106" s="1">
        <v>98</v>
      </c>
      <c r="B106" s="37" t="s">
        <v>72</v>
      </c>
      <c r="C106" s="37" t="s">
        <v>73</v>
      </c>
      <c r="D106" s="109">
        <v>1.7</v>
      </c>
      <c r="E106" s="111" t="s">
        <v>105</v>
      </c>
      <c r="F106" s="95" t="s">
        <v>128</v>
      </c>
      <c r="G106" s="37" t="s">
        <v>76</v>
      </c>
      <c r="H106" s="37" t="s">
        <v>114</v>
      </c>
      <c r="I106" s="97">
        <f t="shared" si="17"/>
        <v>270</v>
      </c>
      <c r="J106" s="58">
        <v>300</v>
      </c>
      <c r="K106" s="39">
        <f t="shared" si="18"/>
        <v>315</v>
      </c>
      <c r="L106" s="144">
        <f t="shared" si="19"/>
        <v>540</v>
      </c>
      <c r="M106" s="39">
        <f t="shared" si="20"/>
        <v>600</v>
      </c>
      <c r="N106" s="145">
        <f t="shared" si="21"/>
        <v>630</v>
      </c>
      <c r="O106" s="39">
        <f t="shared" si="22"/>
        <v>22.5056264066016</v>
      </c>
      <c r="P106" s="37">
        <v>273</v>
      </c>
      <c r="Q106" s="146">
        <f t="shared" si="23"/>
        <v>0.0989010989010989</v>
      </c>
      <c r="R106" s="37"/>
    </row>
    <row r="107" spans="1:18">
      <c r="A107" s="1">
        <v>99</v>
      </c>
      <c r="B107" s="37" t="s">
        <v>72</v>
      </c>
      <c r="C107" s="37" t="s">
        <v>73</v>
      </c>
      <c r="D107" s="109">
        <v>1.8</v>
      </c>
      <c r="E107" s="111" t="s">
        <v>105</v>
      </c>
      <c r="F107" s="95" t="s">
        <v>128</v>
      </c>
      <c r="G107" s="37" t="s">
        <v>76</v>
      </c>
      <c r="H107" s="37" t="s">
        <v>115</v>
      </c>
      <c r="I107" s="97">
        <f t="shared" si="17"/>
        <v>279.9</v>
      </c>
      <c r="J107" s="58">
        <v>311</v>
      </c>
      <c r="K107" s="39">
        <f t="shared" si="18"/>
        <v>326.55</v>
      </c>
      <c r="L107" s="144">
        <f t="shared" si="19"/>
        <v>559.8</v>
      </c>
      <c r="M107" s="39">
        <f t="shared" si="20"/>
        <v>622</v>
      </c>
      <c r="N107" s="145">
        <f t="shared" si="21"/>
        <v>653.1</v>
      </c>
      <c r="O107" s="39">
        <f t="shared" si="22"/>
        <v>23.330832708177</v>
      </c>
      <c r="P107" s="37">
        <v>283</v>
      </c>
      <c r="Q107" s="146">
        <f t="shared" si="23"/>
        <v>0.0989399293286219</v>
      </c>
      <c r="R107" s="37"/>
    </row>
    <row r="108" spans="1:18">
      <c r="A108" s="1">
        <v>100</v>
      </c>
      <c r="B108" s="37" t="s">
        <v>72</v>
      </c>
      <c r="C108" s="37" t="s">
        <v>73</v>
      </c>
      <c r="D108" s="109" t="s">
        <v>132</v>
      </c>
      <c r="E108" s="111" t="s">
        <v>105</v>
      </c>
      <c r="F108" s="95" t="s">
        <v>128</v>
      </c>
      <c r="G108" s="37" t="s">
        <v>76</v>
      </c>
      <c r="H108" s="37" t="s">
        <v>115</v>
      </c>
      <c r="I108" s="97">
        <f t="shared" si="17"/>
        <v>294.3</v>
      </c>
      <c r="J108" s="58">
        <v>327</v>
      </c>
      <c r="K108" s="39">
        <f t="shared" si="18"/>
        <v>343.35</v>
      </c>
      <c r="L108" s="144">
        <f t="shared" si="19"/>
        <v>588.6</v>
      </c>
      <c r="M108" s="39">
        <f t="shared" si="20"/>
        <v>654</v>
      </c>
      <c r="N108" s="145">
        <f t="shared" si="21"/>
        <v>686.7</v>
      </c>
      <c r="O108" s="39">
        <f t="shared" si="22"/>
        <v>24.5311327831958</v>
      </c>
      <c r="P108" s="37">
        <v>297</v>
      </c>
      <c r="Q108" s="146">
        <f t="shared" si="23"/>
        <v>0.101010101010101</v>
      </c>
      <c r="R108" s="37"/>
    </row>
    <row r="109" spans="1:18">
      <c r="A109" s="1">
        <v>101</v>
      </c>
      <c r="B109" s="37" t="s">
        <v>72</v>
      </c>
      <c r="C109" s="37" t="s">
        <v>73</v>
      </c>
      <c r="D109" s="109" t="s">
        <v>116</v>
      </c>
      <c r="E109" s="111" t="s">
        <v>105</v>
      </c>
      <c r="F109" s="95" t="s">
        <v>128</v>
      </c>
      <c r="G109" s="37" t="s">
        <v>76</v>
      </c>
      <c r="H109" s="37" t="s">
        <v>117</v>
      </c>
      <c r="I109" s="97">
        <f t="shared" si="17"/>
        <v>294.3</v>
      </c>
      <c r="J109" s="58">
        <v>327</v>
      </c>
      <c r="K109" s="39">
        <f t="shared" si="18"/>
        <v>343.35</v>
      </c>
      <c r="L109" s="144">
        <f t="shared" si="19"/>
        <v>588.6</v>
      </c>
      <c r="M109" s="39">
        <f t="shared" si="20"/>
        <v>654</v>
      </c>
      <c r="N109" s="145">
        <f t="shared" si="21"/>
        <v>686.7</v>
      </c>
      <c r="O109" s="39">
        <f t="shared" si="22"/>
        <v>24.5311327831958</v>
      </c>
      <c r="P109" s="37">
        <v>297</v>
      </c>
      <c r="Q109" s="146">
        <f t="shared" si="23"/>
        <v>0.101010101010101</v>
      </c>
      <c r="R109" s="37"/>
    </row>
    <row r="110" spans="1:18">
      <c r="A110" s="1">
        <v>102</v>
      </c>
      <c r="B110" s="37" t="s">
        <v>72</v>
      </c>
      <c r="C110" s="37" t="s">
        <v>73</v>
      </c>
      <c r="D110" s="109" t="s">
        <v>133</v>
      </c>
      <c r="E110" s="111" t="s">
        <v>105</v>
      </c>
      <c r="F110" s="95" t="s">
        <v>128</v>
      </c>
      <c r="G110" s="37" t="s">
        <v>76</v>
      </c>
      <c r="H110" s="37" t="s">
        <v>117</v>
      </c>
      <c r="I110" s="97">
        <f t="shared" si="17"/>
        <v>318.6</v>
      </c>
      <c r="J110" s="58">
        <v>354</v>
      </c>
      <c r="K110" s="39">
        <f t="shared" si="18"/>
        <v>371.7</v>
      </c>
      <c r="L110" s="144">
        <f t="shared" si="19"/>
        <v>637.2</v>
      </c>
      <c r="M110" s="39">
        <f t="shared" si="20"/>
        <v>708</v>
      </c>
      <c r="N110" s="145">
        <f t="shared" si="21"/>
        <v>743.4</v>
      </c>
      <c r="O110" s="39">
        <f t="shared" si="22"/>
        <v>26.5566391597899</v>
      </c>
      <c r="P110" s="37">
        <v>322</v>
      </c>
      <c r="Q110" s="146">
        <f t="shared" si="23"/>
        <v>0.0993788819875776</v>
      </c>
      <c r="R110" s="37"/>
    </row>
    <row r="111" spans="1:18">
      <c r="A111" s="1">
        <v>103</v>
      </c>
      <c r="B111" s="37" t="s">
        <v>72</v>
      </c>
      <c r="C111" s="37" t="s">
        <v>73</v>
      </c>
      <c r="D111" s="109" t="s">
        <v>134</v>
      </c>
      <c r="E111" s="111" t="s">
        <v>105</v>
      </c>
      <c r="F111" s="95" t="s">
        <v>128</v>
      </c>
      <c r="G111" s="37" t="s">
        <v>76</v>
      </c>
      <c r="H111" s="37" t="s">
        <v>118</v>
      </c>
      <c r="I111" s="97">
        <f t="shared" si="17"/>
        <v>318.6</v>
      </c>
      <c r="J111" s="58">
        <v>354</v>
      </c>
      <c r="K111" s="39">
        <f t="shared" si="18"/>
        <v>371.7</v>
      </c>
      <c r="L111" s="144">
        <f t="shared" si="19"/>
        <v>637.2</v>
      </c>
      <c r="M111" s="39">
        <f t="shared" si="20"/>
        <v>708</v>
      </c>
      <c r="N111" s="145">
        <f t="shared" si="21"/>
        <v>743.4</v>
      </c>
      <c r="O111" s="39">
        <f t="shared" si="22"/>
        <v>26.5566391597899</v>
      </c>
      <c r="P111" s="37">
        <v>322</v>
      </c>
      <c r="Q111" s="146">
        <f t="shared" si="23"/>
        <v>0.0993788819875776</v>
      </c>
      <c r="R111" s="37"/>
    </row>
    <row r="112" spans="1:18">
      <c r="A112" s="1">
        <v>104</v>
      </c>
      <c r="B112" s="37" t="s">
        <v>72</v>
      </c>
      <c r="C112" s="37" t="s">
        <v>73</v>
      </c>
      <c r="D112" s="109" t="s">
        <v>119</v>
      </c>
      <c r="E112" s="111" t="s">
        <v>105</v>
      </c>
      <c r="F112" s="95" t="s">
        <v>128</v>
      </c>
      <c r="G112" s="37" t="s">
        <v>76</v>
      </c>
      <c r="H112" s="37" t="s">
        <v>118</v>
      </c>
      <c r="I112" s="97">
        <f t="shared" si="17"/>
        <v>324.9</v>
      </c>
      <c r="J112" s="58">
        <v>361</v>
      </c>
      <c r="K112" s="39">
        <f t="shared" si="18"/>
        <v>379.05</v>
      </c>
      <c r="L112" s="144">
        <f t="shared" si="19"/>
        <v>649.8</v>
      </c>
      <c r="M112" s="39">
        <f t="shared" si="20"/>
        <v>722</v>
      </c>
      <c r="N112" s="145">
        <f t="shared" si="21"/>
        <v>758.1</v>
      </c>
      <c r="O112" s="39">
        <f t="shared" si="22"/>
        <v>27.0817704426107</v>
      </c>
      <c r="P112" s="37">
        <v>328</v>
      </c>
      <c r="Q112" s="146">
        <f t="shared" si="23"/>
        <v>0.100609756097561</v>
      </c>
      <c r="R112" s="37"/>
    </row>
    <row r="113" spans="1:18">
      <c r="A113" s="1">
        <v>105</v>
      </c>
      <c r="B113" s="37" t="s">
        <v>72</v>
      </c>
      <c r="C113" s="37" t="s">
        <v>73</v>
      </c>
      <c r="D113" s="109">
        <v>2.4</v>
      </c>
      <c r="E113" s="111" t="s">
        <v>105</v>
      </c>
      <c r="F113" s="95" t="s">
        <v>128</v>
      </c>
      <c r="G113" s="37" t="s">
        <v>76</v>
      </c>
      <c r="H113" s="37" t="s">
        <v>120</v>
      </c>
      <c r="I113" s="97">
        <f t="shared" si="17"/>
        <v>333</v>
      </c>
      <c r="J113" s="58">
        <v>370</v>
      </c>
      <c r="K113" s="39">
        <f t="shared" si="18"/>
        <v>388.5</v>
      </c>
      <c r="L113" s="144">
        <f t="shared" si="19"/>
        <v>666</v>
      </c>
      <c r="M113" s="39">
        <f t="shared" si="20"/>
        <v>740</v>
      </c>
      <c r="N113" s="145">
        <f t="shared" si="21"/>
        <v>777</v>
      </c>
      <c r="O113" s="39">
        <f t="shared" si="22"/>
        <v>27.7569392348087</v>
      </c>
      <c r="P113" s="37">
        <v>336</v>
      </c>
      <c r="Q113" s="146">
        <f t="shared" si="23"/>
        <v>0.101190476190476</v>
      </c>
      <c r="R113" s="37"/>
    </row>
    <row r="114" spans="1:18">
      <c r="A114" s="1">
        <v>106</v>
      </c>
      <c r="B114" s="37" t="s">
        <v>72</v>
      </c>
      <c r="C114" s="37" t="s">
        <v>73</v>
      </c>
      <c r="D114" s="109">
        <v>2.6</v>
      </c>
      <c r="E114" s="111" t="s">
        <v>105</v>
      </c>
      <c r="F114" s="95" t="s">
        <v>128</v>
      </c>
      <c r="G114" s="37" t="s">
        <v>76</v>
      </c>
      <c r="H114" s="37" t="s">
        <v>121</v>
      </c>
      <c r="I114" s="97">
        <f t="shared" si="17"/>
        <v>349.2</v>
      </c>
      <c r="J114" s="58">
        <v>388</v>
      </c>
      <c r="K114" s="39">
        <f t="shared" si="18"/>
        <v>407.4</v>
      </c>
      <c r="L114" s="144">
        <f t="shared" si="19"/>
        <v>698.4</v>
      </c>
      <c r="M114" s="39">
        <f t="shared" si="20"/>
        <v>776</v>
      </c>
      <c r="N114" s="145">
        <f t="shared" si="21"/>
        <v>814.8</v>
      </c>
      <c r="O114" s="39">
        <f t="shared" si="22"/>
        <v>29.1072768192048</v>
      </c>
      <c r="P114" s="37">
        <v>353</v>
      </c>
      <c r="Q114" s="146">
        <f t="shared" si="23"/>
        <v>0.0991501416430595</v>
      </c>
      <c r="R114" s="37"/>
    </row>
    <row r="115" spans="1:18">
      <c r="A115" s="1">
        <v>107</v>
      </c>
      <c r="B115" s="37" t="s">
        <v>72</v>
      </c>
      <c r="C115" s="37" t="s">
        <v>73</v>
      </c>
      <c r="D115" s="109" t="s">
        <v>122</v>
      </c>
      <c r="E115" s="111" t="s">
        <v>105</v>
      </c>
      <c r="F115" s="95" t="s">
        <v>128</v>
      </c>
      <c r="G115" s="37" t="s">
        <v>76</v>
      </c>
      <c r="H115" s="37" t="s">
        <v>123</v>
      </c>
      <c r="I115" s="97">
        <f t="shared" si="17"/>
        <v>382.5</v>
      </c>
      <c r="J115" s="58">
        <v>425</v>
      </c>
      <c r="K115" s="39">
        <f t="shared" si="18"/>
        <v>446.25</v>
      </c>
      <c r="L115" s="144">
        <f t="shared" si="19"/>
        <v>765</v>
      </c>
      <c r="M115" s="39">
        <f t="shared" si="20"/>
        <v>850</v>
      </c>
      <c r="N115" s="145">
        <f t="shared" si="21"/>
        <v>892.5</v>
      </c>
      <c r="O115" s="39">
        <f t="shared" si="22"/>
        <v>31.8829707426857</v>
      </c>
      <c r="P115" s="37">
        <v>386</v>
      </c>
      <c r="Q115" s="146">
        <f t="shared" si="23"/>
        <v>0.101036269430052</v>
      </c>
      <c r="R115" s="37"/>
    </row>
    <row r="116" spans="1:18">
      <c r="A116" s="1">
        <v>108</v>
      </c>
      <c r="B116" s="37" t="s">
        <v>72</v>
      </c>
      <c r="C116" s="37" t="s">
        <v>73</v>
      </c>
      <c r="D116" s="109" t="s">
        <v>124</v>
      </c>
      <c r="E116" s="111" t="s">
        <v>105</v>
      </c>
      <c r="F116" s="95" t="s">
        <v>128</v>
      </c>
      <c r="G116" s="37" t="s">
        <v>76</v>
      </c>
      <c r="H116" s="37" t="s">
        <v>125</v>
      </c>
      <c r="I116" s="97">
        <f t="shared" si="17"/>
        <v>378.9</v>
      </c>
      <c r="J116" s="58">
        <v>421</v>
      </c>
      <c r="K116" s="39">
        <f t="shared" si="18"/>
        <v>442.05</v>
      </c>
      <c r="L116" s="144">
        <f t="shared" si="19"/>
        <v>757.8</v>
      </c>
      <c r="M116" s="39">
        <f t="shared" si="20"/>
        <v>842</v>
      </c>
      <c r="N116" s="145">
        <f t="shared" si="21"/>
        <v>884.1</v>
      </c>
      <c r="O116" s="39">
        <f t="shared" si="22"/>
        <v>31.582895723931</v>
      </c>
      <c r="P116" s="37">
        <v>383</v>
      </c>
      <c r="Q116" s="146">
        <f t="shared" si="23"/>
        <v>0.0992167101827676</v>
      </c>
      <c r="R116" s="37"/>
    </row>
    <row r="117" spans="1:18">
      <c r="A117" s="1">
        <v>109</v>
      </c>
      <c r="B117" s="37" t="s">
        <v>72</v>
      </c>
      <c r="C117" s="37" t="s">
        <v>73</v>
      </c>
      <c r="D117" s="109" t="s">
        <v>126</v>
      </c>
      <c r="E117" s="111" t="s">
        <v>105</v>
      </c>
      <c r="F117" s="95" t="s">
        <v>128</v>
      </c>
      <c r="G117" s="37" t="s">
        <v>76</v>
      </c>
      <c r="H117" s="37" t="s">
        <v>125</v>
      </c>
      <c r="I117" s="97">
        <f t="shared" si="17"/>
        <v>379.8</v>
      </c>
      <c r="J117" s="58">
        <v>422</v>
      </c>
      <c r="K117" s="39">
        <f t="shared" si="18"/>
        <v>443.1</v>
      </c>
      <c r="L117" s="144">
        <f t="shared" si="19"/>
        <v>759.6</v>
      </c>
      <c r="M117" s="39">
        <f t="shared" si="20"/>
        <v>844</v>
      </c>
      <c r="N117" s="145">
        <f t="shared" si="21"/>
        <v>886.2</v>
      </c>
      <c r="O117" s="39">
        <f t="shared" si="22"/>
        <v>31.6579144786197</v>
      </c>
      <c r="P117" s="37">
        <v>384</v>
      </c>
      <c r="Q117" s="146">
        <f t="shared" si="23"/>
        <v>0.0989583333333333</v>
      </c>
      <c r="R117" s="37"/>
    </row>
    <row r="118" spans="1:18">
      <c r="A118" s="1">
        <v>110</v>
      </c>
      <c r="B118" s="37" t="s">
        <v>72</v>
      </c>
      <c r="C118" s="37" t="s">
        <v>73</v>
      </c>
      <c r="D118" s="109" t="s">
        <v>127</v>
      </c>
      <c r="E118" s="111" t="s">
        <v>105</v>
      </c>
      <c r="F118" s="95" t="s">
        <v>128</v>
      </c>
      <c r="G118" s="37" t="s">
        <v>76</v>
      </c>
      <c r="H118" s="37" t="s">
        <v>125</v>
      </c>
      <c r="I118" s="97">
        <f t="shared" si="17"/>
        <v>379.8</v>
      </c>
      <c r="J118" s="58">
        <v>422</v>
      </c>
      <c r="K118" s="39">
        <f t="shared" si="18"/>
        <v>443.1</v>
      </c>
      <c r="L118" s="144">
        <f t="shared" si="19"/>
        <v>759.6</v>
      </c>
      <c r="M118" s="39">
        <f t="shared" si="20"/>
        <v>844</v>
      </c>
      <c r="N118" s="145">
        <f t="shared" si="21"/>
        <v>886.2</v>
      </c>
      <c r="O118" s="39">
        <f t="shared" si="22"/>
        <v>31.6579144786197</v>
      </c>
      <c r="P118" s="37">
        <v>384</v>
      </c>
      <c r="Q118" s="146">
        <f t="shared" si="23"/>
        <v>0.0989583333333333</v>
      </c>
      <c r="R118" s="37"/>
    </row>
    <row r="119" spans="1:18">
      <c r="A119" s="1">
        <v>111</v>
      </c>
      <c r="B119" s="37" t="s">
        <v>135</v>
      </c>
      <c r="C119" s="37" t="s">
        <v>73</v>
      </c>
      <c r="D119" s="109">
        <v>0.076</v>
      </c>
      <c r="E119" s="94" t="s">
        <v>74</v>
      </c>
      <c r="F119" s="95" t="s">
        <v>75</v>
      </c>
      <c r="G119" s="37" t="s">
        <v>76</v>
      </c>
      <c r="H119" s="37" t="s">
        <v>77</v>
      </c>
      <c r="I119" s="97">
        <f t="shared" si="17"/>
        <v>89.1</v>
      </c>
      <c r="J119" s="58">
        <v>99</v>
      </c>
      <c r="K119" s="39">
        <f t="shared" si="18"/>
        <v>103.95</v>
      </c>
      <c r="L119" s="144">
        <f t="shared" si="19"/>
        <v>178.2</v>
      </c>
      <c r="M119" s="39">
        <f t="shared" si="20"/>
        <v>198</v>
      </c>
      <c r="N119" s="145">
        <f t="shared" si="21"/>
        <v>207.9</v>
      </c>
      <c r="O119" s="39">
        <f t="shared" si="22"/>
        <v>7.42685671417854</v>
      </c>
      <c r="P119" s="37">
        <v>90</v>
      </c>
      <c r="Q119" s="146">
        <f t="shared" si="23"/>
        <v>0.1</v>
      </c>
      <c r="R119" s="37"/>
    </row>
    <row r="120" spans="1:18">
      <c r="A120" s="1">
        <v>112</v>
      </c>
      <c r="B120" s="37" t="s">
        <v>135</v>
      </c>
      <c r="C120" s="37" t="s">
        <v>73</v>
      </c>
      <c r="D120" s="109">
        <v>0.1</v>
      </c>
      <c r="E120" s="94" t="s">
        <v>74</v>
      </c>
      <c r="F120" s="95" t="s">
        <v>75</v>
      </c>
      <c r="G120" s="37" t="s">
        <v>76</v>
      </c>
      <c r="H120" s="37" t="s">
        <v>136</v>
      </c>
      <c r="I120" s="97">
        <f t="shared" si="17"/>
        <v>89.1</v>
      </c>
      <c r="J120" s="58">
        <v>99</v>
      </c>
      <c r="K120" s="39">
        <f t="shared" si="18"/>
        <v>103.95</v>
      </c>
      <c r="L120" s="144">
        <f t="shared" si="19"/>
        <v>178.2</v>
      </c>
      <c r="M120" s="39">
        <f t="shared" si="20"/>
        <v>198</v>
      </c>
      <c r="N120" s="145">
        <f t="shared" si="21"/>
        <v>207.9</v>
      </c>
      <c r="O120" s="39">
        <f t="shared" si="22"/>
        <v>7.42685671417854</v>
      </c>
      <c r="P120" s="37">
        <v>90</v>
      </c>
      <c r="Q120" s="146">
        <f t="shared" si="23"/>
        <v>0.1</v>
      </c>
      <c r="R120" s="37"/>
    </row>
    <row r="121" s="1" customFormat="1" spans="1:18">
      <c r="A121" s="1">
        <v>113</v>
      </c>
      <c r="B121" s="37" t="s">
        <v>135</v>
      </c>
      <c r="C121" s="37" t="s">
        <v>73</v>
      </c>
      <c r="D121" s="109">
        <v>0.1</v>
      </c>
      <c r="E121" s="94" t="s">
        <v>74</v>
      </c>
      <c r="F121" s="95" t="s">
        <v>75</v>
      </c>
      <c r="G121" s="37" t="s">
        <v>76</v>
      </c>
      <c r="H121" s="37" t="s">
        <v>81</v>
      </c>
      <c r="I121" s="97">
        <f t="shared" si="17"/>
        <v>90.9</v>
      </c>
      <c r="J121" s="58">
        <v>101</v>
      </c>
      <c r="K121" s="39">
        <f t="shared" si="18"/>
        <v>106.05</v>
      </c>
      <c r="L121" s="144">
        <f t="shared" si="19"/>
        <v>181.8</v>
      </c>
      <c r="M121" s="39">
        <f t="shared" si="20"/>
        <v>202</v>
      </c>
      <c r="N121" s="145">
        <f t="shared" si="21"/>
        <v>212.1</v>
      </c>
      <c r="O121" s="39">
        <f t="shared" si="22"/>
        <v>7.57689422355589</v>
      </c>
      <c r="P121" s="37">
        <v>92</v>
      </c>
      <c r="Q121" s="146">
        <f t="shared" si="23"/>
        <v>0.0978260869565217</v>
      </c>
      <c r="R121" s="37"/>
    </row>
    <row r="122" s="1" customFormat="1" spans="1:18">
      <c r="A122" s="1">
        <v>114</v>
      </c>
      <c r="B122" s="37" t="s">
        <v>135</v>
      </c>
      <c r="C122" s="37" t="s">
        <v>73</v>
      </c>
      <c r="D122" s="109" t="s">
        <v>137</v>
      </c>
      <c r="E122" s="94" t="s">
        <v>74</v>
      </c>
      <c r="F122" s="95" t="s">
        <v>75</v>
      </c>
      <c r="G122" s="37" t="s">
        <v>76</v>
      </c>
      <c r="H122" s="37" t="s">
        <v>81</v>
      </c>
      <c r="I122" s="97">
        <f t="shared" si="17"/>
        <v>91.8</v>
      </c>
      <c r="J122" s="58">
        <v>102</v>
      </c>
      <c r="K122" s="39">
        <f t="shared" si="18"/>
        <v>107.1</v>
      </c>
      <c r="L122" s="144">
        <f t="shared" si="19"/>
        <v>183.6</v>
      </c>
      <c r="M122" s="39">
        <f t="shared" si="20"/>
        <v>204</v>
      </c>
      <c r="N122" s="145">
        <f t="shared" si="21"/>
        <v>214.2</v>
      </c>
      <c r="O122" s="39">
        <f t="shared" si="22"/>
        <v>7.65191297824456</v>
      </c>
      <c r="P122" s="37" t="s">
        <v>82</v>
      </c>
      <c r="Q122" s="146" t="s">
        <v>82</v>
      </c>
      <c r="R122" s="37"/>
    </row>
    <row r="123" spans="1:18">
      <c r="A123" s="1">
        <v>115</v>
      </c>
      <c r="B123" s="37" t="s">
        <v>135</v>
      </c>
      <c r="C123" s="37" t="s">
        <v>73</v>
      </c>
      <c r="D123" s="109">
        <v>0.13</v>
      </c>
      <c r="E123" s="94" t="s">
        <v>74</v>
      </c>
      <c r="F123" s="95" t="s">
        <v>75</v>
      </c>
      <c r="G123" s="37" t="s">
        <v>76</v>
      </c>
      <c r="H123" s="37" t="s">
        <v>81</v>
      </c>
      <c r="I123" s="97">
        <f t="shared" si="17"/>
        <v>91.8</v>
      </c>
      <c r="J123" s="58">
        <v>102</v>
      </c>
      <c r="K123" s="39">
        <f t="shared" si="18"/>
        <v>107.1</v>
      </c>
      <c r="L123" s="144">
        <f t="shared" ref="L123:L141" si="24">I123*2</f>
        <v>183.6</v>
      </c>
      <c r="M123" s="39">
        <f t="shared" ref="M123:M141" si="25">J123*2</f>
        <v>204</v>
      </c>
      <c r="N123" s="145">
        <f t="shared" ref="N123:N141" si="26">K123*2</f>
        <v>214.2</v>
      </c>
      <c r="O123" s="39">
        <f t="shared" si="22"/>
        <v>7.65191297824456</v>
      </c>
      <c r="P123" s="37">
        <v>93</v>
      </c>
      <c r="Q123" s="146">
        <f>(J123-P123)/P123</f>
        <v>0.0967741935483871</v>
      </c>
      <c r="R123" s="37"/>
    </row>
    <row r="124" spans="1:18">
      <c r="A124" s="1">
        <v>116</v>
      </c>
      <c r="B124" s="37" t="s">
        <v>135</v>
      </c>
      <c r="C124" s="37" t="s">
        <v>73</v>
      </c>
      <c r="D124" s="109">
        <v>0.15</v>
      </c>
      <c r="E124" s="94" t="s">
        <v>74</v>
      </c>
      <c r="F124" s="95" t="s">
        <v>75</v>
      </c>
      <c r="G124" s="37" t="s">
        <v>76</v>
      </c>
      <c r="H124" s="37" t="s">
        <v>83</v>
      </c>
      <c r="I124" s="97">
        <f t="shared" si="17"/>
        <v>92.7</v>
      </c>
      <c r="J124" s="58">
        <v>103</v>
      </c>
      <c r="K124" s="39">
        <f t="shared" si="18"/>
        <v>108.15</v>
      </c>
      <c r="L124" s="144">
        <f t="shared" si="24"/>
        <v>185.4</v>
      </c>
      <c r="M124" s="39">
        <f t="shared" si="25"/>
        <v>206</v>
      </c>
      <c r="N124" s="145">
        <f t="shared" si="26"/>
        <v>216.3</v>
      </c>
      <c r="O124" s="39">
        <f t="shared" si="22"/>
        <v>7.72693173293323</v>
      </c>
      <c r="P124" s="37">
        <v>94</v>
      </c>
      <c r="Q124" s="146">
        <f>(J124-P124)/P124</f>
        <v>0.0957446808510638</v>
      </c>
      <c r="R124" s="37"/>
    </row>
    <row r="125" spans="1:18">
      <c r="A125" s="1">
        <v>117</v>
      </c>
      <c r="B125" s="37" t="s">
        <v>135</v>
      </c>
      <c r="C125" s="37" t="s">
        <v>73</v>
      </c>
      <c r="D125" s="109" t="s">
        <v>138</v>
      </c>
      <c r="E125" s="94" t="s">
        <v>74</v>
      </c>
      <c r="F125" s="95" t="s">
        <v>75</v>
      </c>
      <c r="G125" s="37" t="s">
        <v>76</v>
      </c>
      <c r="H125" s="37" t="s">
        <v>85</v>
      </c>
      <c r="I125" s="97">
        <f t="shared" si="17"/>
        <v>94.5</v>
      </c>
      <c r="J125" s="58">
        <v>105</v>
      </c>
      <c r="K125" s="39">
        <f t="shared" si="18"/>
        <v>110.25</v>
      </c>
      <c r="L125" s="144">
        <f t="shared" si="24"/>
        <v>189</v>
      </c>
      <c r="M125" s="39">
        <f t="shared" si="25"/>
        <v>210</v>
      </c>
      <c r="N125" s="145">
        <f t="shared" si="26"/>
        <v>220.5</v>
      </c>
      <c r="O125" s="39">
        <f t="shared" si="22"/>
        <v>7.87696924231058</v>
      </c>
      <c r="P125" s="37">
        <v>95</v>
      </c>
      <c r="Q125" s="146">
        <f>(J125-P125)/P125</f>
        <v>0.105263157894737</v>
      </c>
      <c r="R125" s="37"/>
    </row>
    <row r="126" spans="1:18">
      <c r="A126" s="1">
        <v>118</v>
      </c>
      <c r="B126" s="37" t="s">
        <v>135</v>
      </c>
      <c r="C126" s="37" t="s">
        <v>73</v>
      </c>
      <c r="D126" s="109" t="s">
        <v>139</v>
      </c>
      <c r="E126" s="94" t="s">
        <v>74</v>
      </c>
      <c r="F126" s="95" t="s">
        <v>75</v>
      </c>
      <c r="G126" s="37" t="s">
        <v>76</v>
      </c>
      <c r="H126" s="37" t="s">
        <v>87</v>
      </c>
      <c r="I126" s="97">
        <f t="shared" si="17"/>
        <v>110.7</v>
      </c>
      <c r="J126" s="58">
        <v>123</v>
      </c>
      <c r="K126" s="39">
        <f t="shared" si="18"/>
        <v>129.15</v>
      </c>
      <c r="L126" s="144">
        <f t="shared" si="24"/>
        <v>221.4</v>
      </c>
      <c r="M126" s="39">
        <f t="shared" si="25"/>
        <v>246</v>
      </c>
      <c r="N126" s="145">
        <f t="shared" si="26"/>
        <v>258.3</v>
      </c>
      <c r="O126" s="39">
        <f t="shared" si="22"/>
        <v>9.22730682670668</v>
      </c>
      <c r="P126" s="37">
        <v>112</v>
      </c>
      <c r="Q126" s="146">
        <f>(J126-P126)/P126</f>
        <v>0.0982142857142857</v>
      </c>
      <c r="R126" s="37"/>
    </row>
    <row r="127" spans="1:18">
      <c r="A127" s="1">
        <v>119</v>
      </c>
      <c r="B127" s="37" t="s">
        <v>135</v>
      </c>
      <c r="C127" s="37" t="s">
        <v>73</v>
      </c>
      <c r="D127" s="109" t="s">
        <v>140</v>
      </c>
      <c r="E127" s="94" t="s">
        <v>74</v>
      </c>
      <c r="F127" s="95" t="s">
        <v>75</v>
      </c>
      <c r="G127" s="37" t="s">
        <v>76</v>
      </c>
      <c r="H127" s="37" t="s">
        <v>89</v>
      </c>
      <c r="I127" s="97">
        <f t="shared" si="17"/>
        <v>111.6</v>
      </c>
      <c r="J127" s="58">
        <v>124</v>
      </c>
      <c r="K127" s="39">
        <f t="shared" si="18"/>
        <v>130.2</v>
      </c>
      <c r="L127" s="144">
        <f t="shared" si="24"/>
        <v>223.2</v>
      </c>
      <c r="M127" s="39">
        <f t="shared" si="25"/>
        <v>248</v>
      </c>
      <c r="N127" s="145">
        <f t="shared" si="26"/>
        <v>260.4</v>
      </c>
      <c r="O127" s="39">
        <f t="shared" si="22"/>
        <v>9.30232558139535</v>
      </c>
      <c r="P127" s="37">
        <v>113</v>
      </c>
      <c r="Q127" s="146">
        <f>(J127-P127)/P127</f>
        <v>0.0973451327433628</v>
      </c>
      <c r="R127" s="37"/>
    </row>
    <row r="128" spans="1:18">
      <c r="A128" s="1">
        <v>120</v>
      </c>
      <c r="B128" s="37" t="s">
        <v>135</v>
      </c>
      <c r="C128" s="37" t="s">
        <v>73</v>
      </c>
      <c r="D128" s="109" t="s">
        <v>90</v>
      </c>
      <c r="E128" s="94" t="s">
        <v>74</v>
      </c>
      <c r="F128" s="95" t="s">
        <v>75</v>
      </c>
      <c r="G128" s="37" t="s">
        <v>76</v>
      </c>
      <c r="H128" s="37" t="s">
        <v>89</v>
      </c>
      <c r="I128" s="97">
        <f t="shared" si="17"/>
        <v>117</v>
      </c>
      <c r="J128" s="149">
        <v>130</v>
      </c>
      <c r="K128" s="39">
        <f t="shared" si="18"/>
        <v>136.5</v>
      </c>
      <c r="L128" s="144">
        <f t="shared" si="24"/>
        <v>234</v>
      </c>
      <c r="M128" s="39">
        <f t="shared" si="25"/>
        <v>260</v>
      </c>
      <c r="N128" s="145">
        <f t="shared" si="26"/>
        <v>273</v>
      </c>
      <c r="O128" s="39">
        <f t="shared" si="22"/>
        <v>9.75243810952738</v>
      </c>
      <c r="P128" s="37" t="s">
        <v>82</v>
      </c>
      <c r="Q128" s="146" t="s">
        <v>82</v>
      </c>
      <c r="R128" s="37"/>
    </row>
    <row r="129" spans="1:18">
      <c r="A129" s="1">
        <v>121</v>
      </c>
      <c r="B129" s="37" t="s">
        <v>135</v>
      </c>
      <c r="C129" s="37" t="s">
        <v>73</v>
      </c>
      <c r="D129" s="109" t="s">
        <v>141</v>
      </c>
      <c r="E129" s="94" t="s">
        <v>74</v>
      </c>
      <c r="F129" s="95" t="s">
        <v>75</v>
      </c>
      <c r="G129" s="37" t="s">
        <v>76</v>
      </c>
      <c r="H129" s="37" t="s">
        <v>89</v>
      </c>
      <c r="I129" s="97">
        <f t="shared" si="17"/>
        <v>111.6</v>
      </c>
      <c r="J129" s="58">
        <v>124</v>
      </c>
      <c r="K129" s="39">
        <f t="shared" si="18"/>
        <v>130.2</v>
      </c>
      <c r="L129" s="144">
        <f t="shared" si="24"/>
        <v>223.2</v>
      </c>
      <c r="M129" s="39">
        <f t="shared" si="25"/>
        <v>248</v>
      </c>
      <c r="N129" s="145">
        <f t="shared" si="26"/>
        <v>260.4</v>
      </c>
      <c r="O129" s="39">
        <f t="shared" si="22"/>
        <v>9.30232558139535</v>
      </c>
      <c r="P129" s="37">
        <v>113</v>
      </c>
      <c r="Q129" s="146">
        <f t="shared" ref="Q129:Q159" si="27">(J129-P129)/P129</f>
        <v>0.0973451327433628</v>
      </c>
      <c r="R129" s="37"/>
    </row>
    <row r="130" spans="1:18">
      <c r="A130" s="1">
        <v>122</v>
      </c>
      <c r="B130" s="37" t="s">
        <v>135</v>
      </c>
      <c r="C130" s="37" t="s">
        <v>73</v>
      </c>
      <c r="D130" s="109">
        <v>0.36</v>
      </c>
      <c r="E130" s="94" t="s">
        <v>74</v>
      </c>
      <c r="F130" s="95" t="s">
        <v>75</v>
      </c>
      <c r="G130" s="37" t="s">
        <v>76</v>
      </c>
      <c r="H130" s="37" t="s">
        <v>92</v>
      </c>
      <c r="I130" s="97">
        <f t="shared" si="17"/>
        <v>111.6</v>
      </c>
      <c r="J130" s="58">
        <v>124</v>
      </c>
      <c r="K130" s="39">
        <f t="shared" si="18"/>
        <v>130.2</v>
      </c>
      <c r="L130" s="144">
        <f t="shared" si="24"/>
        <v>223.2</v>
      </c>
      <c r="M130" s="39">
        <f t="shared" si="25"/>
        <v>248</v>
      </c>
      <c r="N130" s="145">
        <f t="shared" si="26"/>
        <v>260.4</v>
      </c>
      <c r="O130" s="39">
        <f t="shared" si="22"/>
        <v>9.30232558139535</v>
      </c>
      <c r="P130" s="37">
        <v>113</v>
      </c>
      <c r="Q130" s="146">
        <f t="shared" si="27"/>
        <v>0.0973451327433628</v>
      </c>
      <c r="R130" s="37"/>
    </row>
    <row r="131" spans="1:18">
      <c r="A131" s="1">
        <v>123</v>
      </c>
      <c r="B131" s="37" t="s">
        <v>135</v>
      </c>
      <c r="C131" s="37" t="s">
        <v>73</v>
      </c>
      <c r="D131" s="109">
        <v>0.4</v>
      </c>
      <c r="E131" s="94" t="s">
        <v>74</v>
      </c>
      <c r="F131" s="95" t="s">
        <v>75</v>
      </c>
      <c r="G131" s="37" t="s">
        <v>76</v>
      </c>
      <c r="H131" s="37" t="s">
        <v>92</v>
      </c>
      <c r="I131" s="97">
        <f t="shared" si="17"/>
        <v>111.6</v>
      </c>
      <c r="J131" s="58">
        <v>124</v>
      </c>
      <c r="K131" s="39">
        <f t="shared" si="18"/>
        <v>130.2</v>
      </c>
      <c r="L131" s="144">
        <f t="shared" si="24"/>
        <v>223.2</v>
      </c>
      <c r="M131" s="39">
        <f t="shared" si="25"/>
        <v>248</v>
      </c>
      <c r="N131" s="145">
        <f t="shared" si="26"/>
        <v>260.4</v>
      </c>
      <c r="O131" s="39">
        <f t="shared" si="22"/>
        <v>9.30232558139535</v>
      </c>
      <c r="P131" s="37">
        <v>113</v>
      </c>
      <c r="Q131" s="146">
        <f t="shared" si="27"/>
        <v>0.0973451327433628</v>
      </c>
      <c r="R131" s="37"/>
    </row>
    <row r="132" spans="1:18">
      <c r="A132" s="1">
        <v>124</v>
      </c>
      <c r="B132" s="37" t="s">
        <v>135</v>
      </c>
      <c r="C132" s="37" t="s">
        <v>73</v>
      </c>
      <c r="D132" s="109">
        <v>0.46</v>
      </c>
      <c r="E132" s="94" t="s">
        <v>74</v>
      </c>
      <c r="F132" s="95" t="s">
        <v>75</v>
      </c>
      <c r="G132" s="37" t="s">
        <v>76</v>
      </c>
      <c r="H132" s="37" t="s">
        <v>94</v>
      </c>
      <c r="I132" s="97">
        <f t="shared" si="17"/>
        <v>129.6</v>
      </c>
      <c r="J132" s="58">
        <v>144</v>
      </c>
      <c r="K132" s="39">
        <f t="shared" si="18"/>
        <v>151.2</v>
      </c>
      <c r="L132" s="144">
        <f t="shared" si="24"/>
        <v>259.2</v>
      </c>
      <c r="M132" s="39">
        <f t="shared" si="25"/>
        <v>288</v>
      </c>
      <c r="N132" s="145">
        <f t="shared" si="26"/>
        <v>302.4</v>
      </c>
      <c r="O132" s="39">
        <f t="shared" si="22"/>
        <v>10.8027006751688</v>
      </c>
      <c r="P132" s="37">
        <v>131</v>
      </c>
      <c r="Q132" s="146">
        <f t="shared" si="27"/>
        <v>0.099236641221374</v>
      </c>
      <c r="R132" s="37"/>
    </row>
    <row r="133" spans="1:18">
      <c r="A133" s="1">
        <v>125</v>
      </c>
      <c r="B133" s="37" t="s">
        <v>135</v>
      </c>
      <c r="C133" s="37" t="s">
        <v>73</v>
      </c>
      <c r="D133" s="109">
        <v>0.48</v>
      </c>
      <c r="E133" s="94" t="s">
        <v>74</v>
      </c>
      <c r="F133" s="95" t="s">
        <v>75</v>
      </c>
      <c r="G133" s="37" t="s">
        <v>76</v>
      </c>
      <c r="H133" s="37" t="s">
        <v>95</v>
      </c>
      <c r="I133" s="97">
        <f t="shared" si="17"/>
        <v>129.6</v>
      </c>
      <c r="J133" s="58">
        <v>144</v>
      </c>
      <c r="K133" s="39">
        <f t="shared" si="18"/>
        <v>151.2</v>
      </c>
      <c r="L133" s="144">
        <f t="shared" si="24"/>
        <v>259.2</v>
      </c>
      <c r="M133" s="39">
        <f t="shared" si="25"/>
        <v>288</v>
      </c>
      <c r="N133" s="145">
        <f t="shared" si="26"/>
        <v>302.4</v>
      </c>
      <c r="O133" s="39">
        <f t="shared" si="22"/>
        <v>10.8027006751688</v>
      </c>
      <c r="P133" s="37">
        <v>131</v>
      </c>
      <c r="Q133" s="146">
        <f t="shared" si="27"/>
        <v>0.099236641221374</v>
      </c>
      <c r="R133" s="37"/>
    </row>
    <row r="134" spans="1:18">
      <c r="A134" s="1">
        <v>126</v>
      </c>
      <c r="B134" s="37" t="s">
        <v>135</v>
      </c>
      <c r="C134" s="37" t="s">
        <v>73</v>
      </c>
      <c r="D134" s="109">
        <v>0.51</v>
      </c>
      <c r="E134" s="94" t="s">
        <v>74</v>
      </c>
      <c r="F134" s="95" t="s">
        <v>75</v>
      </c>
      <c r="G134" s="37" t="s">
        <v>76</v>
      </c>
      <c r="H134" s="37" t="s">
        <v>95</v>
      </c>
      <c r="I134" s="97">
        <f t="shared" si="17"/>
        <v>135.9</v>
      </c>
      <c r="J134" s="58">
        <v>151</v>
      </c>
      <c r="K134" s="39">
        <f t="shared" si="18"/>
        <v>158.55</v>
      </c>
      <c r="L134" s="144">
        <f t="shared" si="24"/>
        <v>271.8</v>
      </c>
      <c r="M134" s="39">
        <f t="shared" si="25"/>
        <v>302</v>
      </c>
      <c r="N134" s="145">
        <f t="shared" si="26"/>
        <v>317.1</v>
      </c>
      <c r="O134" s="39">
        <f t="shared" si="22"/>
        <v>11.3278319579895</v>
      </c>
      <c r="P134" s="37">
        <v>137</v>
      </c>
      <c r="Q134" s="146">
        <f t="shared" si="27"/>
        <v>0.102189781021898</v>
      </c>
      <c r="R134" s="37"/>
    </row>
    <row r="135" spans="1:18">
      <c r="A135" s="1">
        <v>127</v>
      </c>
      <c r="B135" s="37" t="s">
        <v>135</v>
      </c>
      <c r="C135" s="37" t="s">
        <v>73</v>
      </c>
      <c r="D135" s="109">
        <v>0.6</v>
      </c>
      <c r="E135" s="94" t="s">
        <v>74</v>
      </c>
      <c r="F135" s="95" t="s">
        <v>75</v>
      </c>
      <c r="G135" s="37" t="s">
        <v>76</v>
      </c>
      <c r="H135" s="37" t="s">
        <v>98</v>
      </c>
      <c r="I135" s="97">
        <f t="shared" si="17"/>
        <v>135</v>
      </c>
      <c r="J135" s="58">
        <v>150</v>
      </c>
      <c r="K135" s="39">
        <f t="shared" si="18"/>
        <v>157.5</v>
      </c>
      <c r="L135" s="144">
        <f t="shared" si="24"/>
        <v>270</v>
      </c>
      <c r="M135" s="39">
        <f t="shared" si="25"/>
        <v>300</v>
      </c>
      <c r="N135" s="145">
        <f t="shared" si="26"/>
        <v>315</v>
      </c>
      <c r="O135" s="39">
        <f t="shared" si="22"/>
        <v>11.2528132033008</v>
      </c>
      <c r="P135" s="37">
        <v>136</v>
      </c>
      <c r="Q135" s="146">
        <f t="shared" si="27"/>
        <v>0.102941176470588</v>
      </c>
      <c r="R135" s="37"/>
    </row>
    <row r="136" spans="1:18">
      <c r="A136" s="1">
        <v>128</v>
      </c>
      <c r="B136" s="37" t="s">
        <v>135</v>
      </c>
      <c r="C136" s="37" t="s">
        <v>73</v>
      </c>
      <c r="D136" s="109">
        <v>0.63</v>
      </c>
      <c r="E136" s="94" t="s">
        <v>74</v>
      </c>
      <c r="F136" s="95" t="s">
        <v>75</v>
      </c>
      <c r="G136" s="37" t="s">
        <v>76</v>
      </c>
      <c r="H136" s="37" t="s">
        <v>142</v>
      </c>
      <c r="I136" s="97">
        <f t="shared" si="17"/>
        <v>148.5</v>
      </c>
      <c r="J136" s="58">
        <v>165</v>
      </c>
      <c r="K136" s="39">
        <f t="shared" si="18"/>
        <v>173.25</v>
      </c>
      <c r="L136" s="144">
        <f t="shared" si="24"/>
        <v>297</v>
      </c>
      <c r="M136" s="39">
        <f t="shared" si="25"/>
        <v>330</v>
      </c>
      <c r="N136" s="145">
        <f t="shared" si="26"/>
        <v>346.5</v>
      </c>
      <c r="O136" s="39">
        <f t="shared" si="22"/>
        <v>12.3780945236309</v>
      </c>
      <c r="P136" s="37">
        <v>150</v>
      </c>
      <c r="Q136" s="146">
        <f t="shared" si="27"/>
        <v>0.1</v>
      </c>
      <c r="R136" s="37"/>
    </row>
    <row r="137" spans="1:18">
      <c r="A137" s="1">
        <v>129</v>
      </c>
      <c r="B137" s="37" t="s">
        <v>135</v>
      </c>
      <c r="C137" s="37" t="s">
        <v>73</v>
      </c>
      <c r="D137" s="109">
        <v>0.66</v>
      </c>
      <c r="E137" s="94" t="s">
        <v>74</v>
      </c>
      <c r="F137" s="95" t="s">
        <v>75</v>
      </c>
      <c r="G137" s="37" t="s">
        <v>76</v>
      </c>
      <c r="H137" s="37" t="s">
        <v>142</v>
      </c>
      <c r="I137" s="97">
        <f t="shared" si="17"/>
        <v>148.5</v>
      </c>
      <c r="J137" s="58">
        <v>165</v>
      </c>
      <c r="K137" s="39">
        <f t="shared" si="18"/>
        <v>173.25</v>
      </c>
      <c r="L137" s="144">
        <f t="shared" si="24"/>
        <v>297</v>
      </c>
      <c r="M137" s="39">
        <f t="shared" si="25"/>
        <v>330</v>
      </c>
      <c r="N137" s="145">
        <f t="shared" si="26"/>
        <v>346.5</v>
      </c>
      <c r="O137" s="39">
        <f t="shared" si="22"/>
        <v>12.3780945236309</v>
      </c>
      <c r="P137" s="37">
        <v>150</v>
      </c>
      <c r="Q137" s="146">
        <f t="shared" si="27"/>
        <v>0.1</v>
      </c>
      <c r="R137" s="37"/>
    </row>
    <row r="138" spans="1:18">
      <c r="A138" s="1">
        <v>130</v>
      </c>
      <c r="B138" s="37" t="s">
        <v>135</v>
      </c>
      <c r="C138" s="37" t="s">
        <v>73</v>
      </c>
      <c r="D138" s="109" t="s">
        <v>143</v>
      </c>
      <c r="E138" s="94" t="s">
        <v>74</v>
      </c>
      <c r="F138" s="95" t="s">
        <v>75</v>
      </c>
      <c r="G138" s="37" t="s">
        <v>76</v>
      </c>
      <c r="H138" s="37" t="s">
        <v>104</v>
      </c>
      <c r="I138" s="97">
        <f t="shared" si="17"/>
        <v>148.5</v>
      </c>
      <c r="J138" s="58">
        <v>165</v>
      </c>
      <c r="K138" s="39">
        <f t="shared" si="18"/>
        <v>173.25</v>
      </c>
      <c r="L138" s="144">
        <f t="shared" si="24"/>
        <v>297</v>
      </c>
      <c r="M138" s="39">
        <f t="shared" si="25"/>
        <v>330</v>
      </c>
      <c r="N138" s="145">
        <f t="shared" si="26"/>
        <v>346.5</v>
      </c>
      <c r="O138" s="39">
        <f t="shared" si="22"/>
        <v>12.3780945236309</v>
      </c>
      <c r="P138" s="37">
        <v>150</v>
      </c>
      <c r="Q138" s="146">
        <f t="shared" si="27"/>
        <v>0.1</v>
      </c>
      <c r="R138" s="37"/>
    </row>
    <row r="139" spans="1:18">
      <c r="A139" s="1">
        <v>131</v>
      </c>
      <c r="B139" s="37" t="s">
        <v>135</v>
      </c>
      <c r="C139" s="37" t="s">
        <v>73</v>
      </c>
      <c r="D139" s="109">
        <v>0.76</v>
      </c>
      <c r="E139" s="94" t="s">
        <v>74</v>
      </c>
      <c r="F139" s="95" t="s">
        <v>75</v>
      </c>
      <c r="G139" s="37" t="s">
        <v>76</v>
      </c>
      <c r="H139" s="37" t="s">
        <v>104</v>
      </c>
      <c r="I139" s="97">
        <f t="shared" si="17"/>
        <v>154.8</v>
      </c>
      <c r="J139" s="58">
        <v>172</v>
      </c>
      <c r="K139" s="39">
        <f t="shared" si="18"/>
        <v>180.6</v>
      </c>
      <c r="L139" s="144">
        <f t="shared" si="24"/>
        <v>309.6</v>
      </c>
      <c r="M139" s="39">
        <f t="shared" si="25"/>
        <v>344</v>
      </c>
      <c r="N139" s="145">
        <f t="shared" si="26"/>
        <v>361.2</v>
      </c>
      <c r="O139" s="39">
        <f t="shared" si="22"/>
        <v>12.9032258064516</v>
      </c>
      <c r="P139" s="37">
        <v>156</v>
      </c>
      <c r="Q139" s="146">
        <f t="shared" si="27"/>
        <v>0.102564102564103</v>
      </c>
      <c r="R139" s="37"/>
    </row>
    <row r="140" spans="1:18">
      <c r="A140" s="1">
        <v>132</v>
      </c>
      <c r="B140" s="37" t="s">
        <v>135</v>
      </c>
      <c r="C140" s="37" t="s">
        <v>73</v>
      </c>
      <c r="D140" s="109">
        <v>0.8</v>
      </c>
      <c r="E140" s="111" t="s">
        <v>105</v>
      </c>
      <c r="F140" s="95" t="s">
        <v>75</v>
      </c>
      <c r="G140" s="37" t="s">
        <v>76</v>
      </c>
      <c r="H140" s="37" t="s">
        <v>104</v>
      </c>
      <c r="I140" s="97">
        <f t="shared" si="17"/>
        <v>144.9</v>
      </c>
      <c r="J140" s="58">
        <v>161</v>
      </c>
      <c r="K140" s="39">
        <f t="shared" si="18"/>
        <v>169.05</v>
      </c>
      <c r="L140" s="144">
        <f t="shared" si="24"/>
        <v>289.8</v>
      </c>
      <c r="M140" s="39">
        <f t="shared" si="25"/>
        <v>322</v>
      </c>
      <c r="N140" s="145">
        <f t="shared" si="26"/>
        <v>338.1</v>
      </c>
      <c r="O140" s="39">
        <f t="shared" si="22"/>
        <v>12.0780195048762</v>
      </c>
      <c r="P140" s="37">
        <v>146</v>
      </c>
      <c r="Q140" s="146">
        <f t="shared" si="27"/>
        <v>0.102739726027397</v>
      </c>
      <c r="R140" s="37"/>
    </row>
    <row r="141" spans="1:18">
      <c r="A141" s="1">
        <v>133</v>
      </c>
      <c r="B141" s="37" t="s">
        <v>135</v>
      </c>
      <c r="C141" s="37" t="s">
        <v>73</v>
      </c>
      <c r="D141" s="109">
        <v>0.9</v>
      </c>
      <c r="E141" s="111" t="s">
        <v>105</v>
      </c>
      <c r="F141" s="95" t="s">
        <v>75</v>
      </c>
      <c r="G141" s="37" t="s">
        <v>76</v>
      </c>
      <c r="H141" s="37" t="s">
        <v>109</v>
      </c>
      <c r="I141" s="97">
        <f t="shared" si="17"/>
        <v>149.4</v>
      </c>
      <c r="J141" s="58">
        <v>166</v>
      </c>
      <c r="K141" s="39">
        <f t="shared" si="18"/>
        <v>174.3</v>
      </c>
      <c r="L141" s="144">
        <f t="shared" si="24"/>
        <v>298.8</v>
      </c>
      <c r="M141" s="39">
        <f t="shared" si="25"/>
        <v>332</v>
      </c>
      <c r="N141" s="145">
        <f t="shared" si="26"/>
        <v>348.6</v>
      </c>
      <c r="O141" s="39">
        <f t="shared" si="22"/>
        <v>12.4531132783196</v>
      </c>
      <c r="P141" s="37">
        <v>151</v>
      </c>
      <c r="Q141" s="146">
        <f t="shared" si="27"/>
        <v>0.0993377483443709</v>
      </c>
      <c r="R141" s="37"/>
    </row>
    <row r="142" spans="1:18">
      <c r="A142" s="1">
        <v>134</v>
      </c>
      <c r="B142" s="37" t="s">
        <v>135</v>
      </c>
      <c r="C142" s="37" t="s">
        <v>73</v>
      </c>
      <c r="D142" s="109" t="s">
        <v>108</v>
      </c>
      <c r="E142" s="111" t="s">
        <v>105</v>
      </c>
      <c r="F142" s="95" t="s">
        <v>75</v>
      </c>
      <c r="G142" s="37" t="s">
        <v>76</v>
      </c>
      <c r="H142" s="37" t="s">
        <v>109</v>
      </c>
      <c r="I142" s="97">
        <f t="shared" si="17"/>
        <v>166.5</v>
      </c>
      <c r="J142" s="149">
        <v>185</v>
      </c>
      <c r="K142" s="39">
        <f t="shared" si="18"/>
        <v>194.25</v>
      </c>
      <c r="L142" s="144">
        <f t="shared" ref="L142:L175" si="28">I142*2</f>
        <v>333</v>
      </c>
      <c r="M142" s="39">
        <f t="shared" ref="M142:M175" si="29">J142*2</f>
        <v>370</v>
      </c>
      <c r="N142" s="145">
        <f t="shared" ref="N142:N175" si="30">K142*2</f>
        <v>388.5</v>
      </c>
      <c r="O142" s="39">
        <f t="shared" si="22"/>
        <v>13.8784696174044</v>
      </c>
      <c r="P142" s="37">
        <v>162</v>
      </c>
      <c r="Q142" s="146">
        <f t="shared" si="27"/>
        <v>0.141975308641975</v>
      </c>
      <c r="R142" s="37"/>
    </row>
    <row r="143" spans="1:18">
      <c r="A143" s="1">
        <v>135</v>
      </c>
      <c r="B143" s="37" t="s">
        <v>135</v>
      </c>
      <c r="C143" s="37" t="s">
        <v>73</v>
      </c>
      <c r="D143" s="109" t="s">
        <v>144</v>
      </c>
      <c r="E143" s="111" t="s">
        <v>105</v>
      </c>
      <c r="F143" s="95" t="s">
        <v>75</v>
      </c>
      <c r="G143" s="37" t="s">
        <v>76</v>
      </c>
      <c r="H143" s="37" t="s">
        <v>110</v>
      </c>
      <c r="I143" s="97">
        <f t="shared" si="17"/>
        <v>171</v>
      </c>
      <c r="J143" s="149">
        <v>190</v>
      </c>
      <c r="K143" s="39">
        <f t="shared" si="18"/>
        <v>199.5</v>
      </c>
      <c r="L143" s="144">
        <f t="shared" si="28"/>
        <v>342</v>
      </c>
      <c r="M143" s="39">
        <f t="shared" si="29"/>
        <v>380</v>
      </c>
      <c r="N143" s="145">
        <f t="shared" si="30"/>
        <v>399</v>
      </c>
      <c r="O143" s="39">
        <f t="shared" si="22"/>
        <v>14.2535633908477</v>
      </c>
      <c r="P143" s="37">
        <v>167</v>
      </c>
      <c r="Q143" s="146">
        <f t="shared" si="27"/>
        <v>0.137724550898204</v>
      </c>
      <c r="R143" s="37"/>
    </row>
    <row r="144" spans="1:18">
      <c r="A144" s="1">
        <v>136</v>
      </c>
      <c r="B144" s="37" t="s">
        <v>135</v>
      </c>
      <c r="C144" s="37" t="s">
        <v>73</v>
      </c>
      <c r="D144" s="109">
        <v>1.3</v>
      </c>
      <c r="E144" s="111" t="s">
        <v>105</v>
      </c>
      <c r="F144" s="95" t="s">
        <v>75</v>
      </c>
      <c r="G144" s="37" t="s">
        <v>76</v>
      </c>
      <c r="H144" s="37" t="s">
        <v>111</v>
      </c>
      <c r="I144" s="97">
        <f t="shared" si="17"/>
        <v>186.3</v>
      </c>
      <c r="J144" s="58">
        <v>207</v>
      </c>
      <c r="K144" s="39">
        <f t="shared" si="18"/>
        <v>217.35</v>
      </c>
      <c r="L144" s="144">
        <f t="shared" si="28"/>
        <v>372.6</v>
      </c>
      <c r="M144" s="39">
        <f t="shared" si="29"/>
        <v>414</v>
      </c>
      <c r="N144" s="145">
        <f t="shared" si="30"/>
        <v>434.7</v>
      </c>
      <c r="O144" s="39">
        <f t="shared" si="22"/>
        <v>15.5288822205551</v>
      </c>
      <c r="P144" s="37">
        <v>188</v>
      </c>
      <c r="Q144" s="146">
        <f t="shared" si="27"/>
        <v>0.101063829787234</v>
      </c>
      <c r="R144" s="37"/>
    </row>
    <row r="145" spans="1:18">
      <c r="A145" s="1">
        <v>137</v>
      </c>
      <c r="B145" s="37" t="s">
        <v>135</v>
      </c>
      <c r="C145" s="37" t="s">
        <v>73</v>
      </c>
      <c r="D145" s="109">
        <v>1.4</v>
      </c>
      <c r="E145" s="111" t="s">
        <v>105</v>
      </c>
      <c r="F145" s="95" t="s">
        <v>75</v>
      </c>
      <c r="G145" s="37" t="s">
        <v>76</v>
      </c>
      <c r="H145" s="37" t="s">
        <v>111</v>
      </c>
      <c r="I145" s="97">
        <f t="shared" si="17"/>
        <v>186.3</v>
      </c>
      <c r="J145" s="58">
        <v>207</v>
      </c>
      <c r="K145" s="39">
        <f t="shared" si="18"/>
        <v>217.35</v>
      </c>
      <c r="L145" s="144">
        <f t="shared" si="28"/>
        <v>372.6</v>
      </c>
      <c r="M145" s="39">
        <f t="shared" si="29"/>
        <v>414</v>
      </c>
      <c r="N145" s="145">
        <f t="shared" si="30"/>
        <v>434.7</v>
      </c>
      <c r="O145" s="39">
        <f t="shared" si="22"/>
        <v>15.5288822205551</v>
      </c>
      <c r="P145" s="37">
        <v>188</v>
      </c>
      <c r="Q145" s="146">
        <f t="shared" si="27"/>
        <v>0.101063829787234</v>
      </c>
      <c r="R145" s="37"/>
    </row>
    <row r="146" spans="1:18">
      <c r="A146" s="1">
        <v>138</v>
      </c>
      <c r="B146" s="37" t="s">
        <v>135</v>
      </c>
      <c r="C146" s="37" t="s">
        <v>73</v>
      </c>
      <c r="D146" s="109" t="s">
        <v>145</v>
      </c>
      <c r="E146" s="111" t="s">
        <v>105</v>
      </c>
      <c r="F146" s="95" t="s">
        <v>75</v>
      </c>
      <c r="G146" s="37" t="s">
        <v>76</v>
      </c>
      <c r="H146" s="37" t="s">
        <v>113</v>
      </c>
      <c r="I146" s="97">
        <f t="shared" ref="I146:I164" si="31">J146*0.9</f>
        <v>211.5</v>
      </c>
      <c r="J146" s="58">
        <v>235</v>
      </c>
      <c r="K146" s="39">
        <f t="shared" ref="K146:K164" si="32">J146*1.05</f>
        <v>246.75</v>
      </c>
      <c r="L146" s="144">
        <f t="shared" si="28"/>
        <v>423</v>
      </c>
      <c r="M146" s="39">
        <f t="shared" si="29"/>
        <v>470</v>
      </c>
      <c r="N146" s="145">
        <f t="shared" si="30"/>
        <v>493.5</v>
      </c>
      <c r="O146" s="39">
        <f t="shared" ref="O146:O164" si="33">J146/13.33</f>
        <v>17.629407351838</v>
      </c>
      <c r="P146" s="37">
        <v>214</v>
      </c>
      <c r="Q146" s="146">
        <f t="shared" si="27"/>
        <v>0.0981308411214953</v>
      </c>
      <c r="R146" s="37"/>
    </row>
    <row r="147" spans="1:18">
      <c r="A147" s="1">
        <v>139</v>
      </c>
      <c r="B147" s="37" t="s">
        <v>135</v>
      </c>
      <c r="C147" s="37" t="s">
        <v>73</v>
      </c>
      <c r="D147" s="109">
        <v>1.6</v>
      </c>
      <c r="E147" s="111" t="s">
        <v>105</v>
      </c>
      <c r="F147" s="95" t="s">
        <v>75</v>
      </c>
      <c r="G147" s="37" t="s">
        <v>76</v>
      </c>
      <c r="H147" s="37" t="s">
        <v>113</v>
      </c>
      <c r="I147" s="97">
        <f t="shared" si="31"/>
        <v>224.1</v>
      </c>
      <c r="J147" s="58">
        <v>249</v>
      </c>
      <c r="K147" s="39">
        <f t="shared" si="32"/>
        <v>261.45</v>
      </c>
      <c r="L147" s="144">
        <f t="shared" si="28"/>
        <v>448.2</v>
      </c>
      <c r="M147" s="39">
        <f t="shared" si="29"/>
        <v>498</v>
      </c>
      <c r="N147" s="145">
        <f t="shared" si="30"/>
        <v>522.9</v>
      </c>
      <c r="O147" s="39">
        <f t="shared" si="33"/>
        <v>18.6796699174794</v>
      </c>
      <c r="P147" s="37">
        <v>226</v>
      </c>
      <c r="Q147" s="146">
        <f t="shared" si="27"/>
        <v>0.101769911504425</v>
      </c>
      <c r="R147" s="37"/>
    </row>
    <row r="148" spans="1:18">
      <c r="A148" s="1">
        <v>140</v>
      </c>
      <c r="B148" s="37" t="s">
        <v>135</v>
      </c>
      <c r="C148" s="37" t="s">
        <v>73</v>
      </c>
      <c r="D148" s="109">
        <v>1.7</v>
      </c>
      <c r="E148" s="111" t="s">
        <v>105</v>
      </c>
      <c r="F148" s="95" t="s">
        <v>75</v>
      </c>
      <c r="G148" s="37" t="s">
        <v>76</v>
      </c>
      <c r="H148" s="37" t="s">
        <v>114</v>
      </c>
      <c r="I148" s="97">
        <f t="shared" si="31"/>
        <v>229.5</v>
      </c>
      <c r="J148" s="58">
        <v>255</v>
      </c>
      <c r="K148" s="39">
        <f t="shared" si="32"/>
        <v>267.75</v>
      </c>
      <c r="L148" s="144">
        <f t="shared" si="28"/>
        <v>459</v>
      </c>
      <c r="M148" s="39">
        <f t="shared" si="29"/>
        <v>510</v>
      </c>
      <c r="N148" s="145">
        <f t="shared" si="30"/>
        <v>535.5</v>
      </c>
      <c r="O148" s="39">
        <f t="shared" si="33"/>
        <v>19.1297824456114</v>
      </c>
      <c r="P148" s="37">
        <v>232</v>
      </c>
      <c r="Q148" s="146">
        <f t="shared" si="27"/>
        <v>0.0991379310344828</v>
      </c>
      <c r="R148" s="37"/>
    </row>
    <row r="149" spans="1:18">
      <c r="A149" s="1">
        <v>141</v>
      </c>
      <c r="B149" s="37" t="s">
        <v>135</v>
      </c>
      <c r="C149" s="37" t="s">
        <v>73</v>
      </c>
      <c r="D149" s="109">
        <v>1.8</v>
      </c>
      <c r="E149" s="111" t="s">
        <v>105</v>
      </c>
      <c r="F149" s="95" t="s">
        <v>75</v>
      </c>
      <c r="G149" s="37" t="s">
        <v>76</v>
      </c>
      <c r="H149" s="37" t="s">
        <v>115</v>
      </c>
      <c r="I149" s="97">
        <f t="shared" si="31"/>
        <v>240.3</v>
      </c>
      <c r="J149" s="58">
        <v>267</v>
      </c>
      <c r="K149" s="39">
        <f t="shared" si="32"/>
        <v>280.35</v>
      </c>
      <c r="L149" s="144">
        <f t="shared" si="28"/>
        <v>480.6</v>
      </c>
      <c r="M149" s="39">
        <f t="shared" si="29"/>
        <v>534</v>
      </c>
      <c r="N149" s="145">
        <f t="shared" si="30"/>
        <v>560.7</v>
      </c>
      <c r="O149" s="39">
        <f t="shared" si="33"/>
        <v>20.0300075018755</v>
      </c>
      <c r="P149" s="37">
        <v>243</v>
      </c>
      <c r="Q149" s="146">
        <f t="shared" si="27"/>
        <v>0.0987654320987654</v>
      </c>
      <c r="R149" s="37"/>
    </row>
    <row r="150" spans="1:18">
      <c r="A150" s="1">
        <v>142</v>
      </c>
      <c r="B150" s="37" t="s">
        <v>135</v>
      </c>
      <c r="C150" s="37" t="s">
        <v>73</v>
      </c>
      <c r="D150" s="109">
        <v>1.9</v>
      </c>
      <c r="E150" s="111" t="s">
        <v>105</v>
      </c>
      <c r="F150" s="95" t="s">
        <v>75</v>
      </c>
      <c r="G150" s="37" t="s">
        <v>76</v>
      </c>
      <c r="H150" s="37" t="s">
        <v>115</v>
      </c>
      <c r="I150" s="97">
        <f t="shared" si="31"/>
        <v>256.5</v>
      </c>
      <c r="J150" s="58">
        <v>285</v>
      </c>
      <c r="K150" s="39">
        <f t="shared" si="32"/>
        <v>299.25</v>
      </c>
      <c r="L150" s="144">
        <f t="shared" si="28"/>
        <v>513</v>
      </c>
      <c r="M150" s="39">
        <f t="shared" si="29"/>
        <v>570</v>
      </c>
      <c r="N150" s="145">
        <f t="shared" si="30"/>
        <v>598.5</v>
      </c>
      <c r="O150" s="39">
        <f t="shared" si="33"/>
        <v>21.3803450862716</v>
      </c>
      <c r="P150" s="37">
        <v>259</v>
      </c>
      <c r="Q150" s="146">
        <f t="shared" si="27"/>
        <v>0.1003861003861</v>
      </c>
      <c r="R150" s="37"/>
    </row>
    <row r="151" spans="1:18">
      <c r="A151" s="1">
        <v>143</v>
      </c>
      <c r="B151" s="37" t="s">
        <v>135</v>
      </c>
      <c r="C151" s="37" t="s">
        <v>73</v>
      </c>
      <c r="D151" s="109">
        <v>2.3</v>
      </c>
      <c r="E151" s="111" t="s">
        <v>105</v>
      </c>
      <c r="F151" s="95" t="s">
        <v>75</v>
      </c>
      <c r="G151" s="37" t="s">
        <v>76</v>
      </c>
      <c r="H151" s="37" t="s">
        <v>118</v>
      </c>
      <c r="I151" s="97">
        <f t="shared" si="31"/>
        <v>297.9</v>
      </c>
      <c r="J151" s="58">
        <v>331</v>
      </c>
      <c r="K151" s="39">
        <f t="shared" si="32"/>
        <v>347.55</v>
      </c>
      <c r="L151" s="144">
        <f t="shared" si="28"/>
        <v>595.8</v>
      </c>
      <c r="M151" s="39">
        <f t="shared" si="29"/>
        <v>662</v>
      </c>
      <c r="N151" s="145">
        <f t="shared" si="30"/>
        <v>695.1</v>
      </c>
      <c r="O151" s="39">
        <f t="shared" si="33"/>
        <v>24.8312078019505</v>
      </c>
      <c r="P151" s="37">
        <v>301</v>
      </c>
      <c r="Q151" s="146">
        <f t="shared" si="27"/>
        <v>0.0996677740863787</v>
      </c>
      <c r="R151" s="37"/>
    </row>
    <row r="152" spans="1:18">
      <c r="A152" s="1">
        <v>144</v>
      </c>
      <c r="B152" s="37" t="s">
        <v>135</v>
      </c>
      <c r="C152" s="37" t="s">
        <v>73</v>
      </c>
      <c r="D152" s="109" t="s">
        <v>146</v>
      </c>
      <c r="E152" s="94" t="s">
        <v>74</v>
      </c>
      <c r="F152" s="95" t="s">
        <v>128</v>
      </c>
      <c r="G152" s="37" t="s">
        <v>76</v>
      </c>
      <c r="H152" s="37" t="s">
        <v>77</v>
      </c>
      <c r="I152" s="97">
        <f t="shared" si="31"/>
        <v>132.3</v>
      </c>
      <c r="J152" s="58">
        <v>147</v>
      </c>
      <c r="K152" s="39">
        <f t="shared" si="32"/>
        <v>154.35</v>
      </c>
      <c r="L152" s="144">
        <f t="shared" si="28"/>
        <v>264.6</v>
      </c>
      <c r="M152" s="39">
        <f t="shared" si="29"/>
        <v>294</v>
      </c>
      <c r="N152" s="145">
        <f t="shared" si="30"/>
        <v>308.7</v>
      </c>
      <c r="O152" s="39">
        <f t="shared" si="33"/>
        <v>11.0277569392348</v>
      </c>
      <c r="P152" s="37">
        <v>134</v>
      </c>
      <c r="Q152" s="146">
        <f t="shared" si="27"/>
        <v>0.0970149253731343</v>
      </c>
      <c r="R152" s="37"/>
    </row>
    <row r="153" s="1" customFormat="1" spans="1:18">
      <c r="A153" s="1">
        <v>145</v>
      </c>
      <c r="B153" s="37" t="s">
        <v>135</v>
      </c>
      <c r="C153" s="37" t="s">
        <v>73</v>
      </c>
      <c r="D153" s="109">
        <v>0.1</v>
      </c>
      <c r="E153" s="94" t="s">
        <v>74</v>
      </c>
      <c r="F153" s="95" t="s">
        <v>128</v>
      </c>
      <c r="G153" s="37" t="s">
        <v>76</v>
      </c>
      <c r="H153" s="37" t="s">
        <v>136</v>
      </c>
      <c r="I153" s="97">
        <f t="shared" si="31"/>
        <v>129.6</v>
      </c>
      <c r="J153" s="58">
        <v>144</v>
      </c>
      <c r="K153" s="39">
        <f t="shared" si="32"/>
        <v>151.2</v>
      </c>
      <c r="L153" s="144">
        <f t="shared" si="28"/>
        <v>259.2</v>
      </c>
      <c r="M153" s="39">
        <f t="shared" si="29"/>
        <v>288</v>
      </c>
      <c r="N153" s="145">
        <f t="shared" si="30"/>
        <v>302.4</v>
      </c>
      <c r="O153" s="39">
        <f t="shared" si="33"/>
        <v>10.8027006751688</v>
      </c>
      <c r="P153" s="37">
        <v>131</v>
      </c>
      <c r="Q153" s="146">
        <f t="shared" si="27"/>
        <v>0.099236641221374</v>
      </c>
      <c r="R153" s="37"/>
    </row>
    <row r="154" s="1" customFormat="1" spans="1:18">
      <c r="A154" s="1">
        <v>146</v>
      </c>
      <c r="B154" s="37" t="s">
        <v>135</v>
      </c>
      <c r="C154" s="37" t="s">
        <v>73</v>
      </c>
      <c r="D154" s="109">
        <v>0.1</v>
      </c>
      <c r="E154" s="94" t="s">
        <v>74</v>
      </c>
      <c r="F154" s="95" t="s">
        <v>128</v>
      </c>
      <c r="G154" s="37" t="s">
        <v>76</v>
      </c>
      <c r="H154" s="37" t="s">
        <v>81</v>
      </c>
      <c r="I154" s="97">
        <f t="shared" si="31"/>
        <v>129.6</v>
      </c>
      <c r="J154" s="58">
        <v>144</v>
      </c>
      <c r="K154" s="39">
        <f t="shared" si="32"/>
        <v>151.2</v>
      </c>
      <c r="L154" s="144">
        <f t="shared" si="28"/>
        <v>259.2</v>
      </c>
      <c r="M154" s="39">
        <f t="shared" si="29"/>
        <v>288</v>
      </c>
      <c r="N154" s="145">
        <f t="shared" si="30"/>
        <v>302.4</v>
      </c>
      <c r="O154" s="39">
        <f t="shared" si="33"/>
        <v>10.8027006751688</v>
      </c>
      <c r="P154" s="37">
        <v>131</v>
      </c>
      <c r="Q154" s="146">
        <f t="shared" si="27"/>
        <v>0.099236641221374</v>
      </c>
      <c r="R154" s="37"/>
    </row>
    <row r="155" spans="1:18">
      <c r="A155" s="1">
        <v>147</v>
      </c>
      <c r="B155" s="37" t="s">
        <v>135</v>
      </c>
      <c r="C155" s="37" t="s">
        <v>73</v>
      </c>
      <c r="D155" s="109">
        <v>0.13</v>
      </c>
      <c r="E155" s="94" t="s">
        <v>74</v>
      </c>
      <c r="F155" s="95" t="s">
        <v>128</v>
      </c>
      <c r="G155" s="37" t="s">
        <v>76</v>
      </c>
      <c r="H155" s="37" t="s">
        <v>81</v>
      </c>
      <c r="I155" s="97">
        <f t="shared" si="31"/>
        <v>132.3</v>
      </c>
      <c r="J155" s="58">
        <v>147</v>
      </c>
      <c r="K155" s="39">
        <f t="shared" si="32"/>
        <v>154.35</v>
      </c>
      <c r="L155" s="144">
        <f t="shared" si="28"/>
        <v>264.6</v>
      </c>
      <c r="M155" s="39">
        <f t="shared" si="29"/>
        <v>294</v>
      </c>
      <c r="N155" s="145">
        <f t="shared" si="30"/>
        <v>308.7</v>
      </c>
      <c r="O155" s="39">
        <f t="shared" si="33"/>
        <v>11.0277569392348</v>
      </c>
      <c r="P155" s="37">
        <v>134</v>
      </c>
      <c r="Q155" s="146">
        <f t="shared" si="27"/>
        <v>0.0970149253731343</v>
      </c>
      <c r="R155" s="37"/>
    </row>
    <row r="156" spans="1:18">
      <c r="A156" s="1">
        <v>148</v>
      </c>
      <c r="B156" s="37" t="s">
        <v>135</v>
      </c>
      <c r="C156" s="37" t="s">
        <v>73</v>
      </c>
      <c r="D156" s="109">
        <v>0.15</v>
      </c>
      <c r="E156" s="94" t="s">
        <v>74</v>
      </c>
      <c r="F156" s="95" t="s">
        <v>128</v>
      </c>
      <c r="G156" s="37" t="s">
        <v>76</v>
      </c>
      <c r="H156" s="37" t="s">
        <v>83</v>
      </c>
      <c r="I156" s="97">
        <f t="shared" si="31"/>
        <v>135.9</v>
      </c>
      <c r="J156" s="58">
        <v>151</v>
      </c>
      <c r="K156" s="39">
        <f t="shared" si="32"/>
        <v>158.55</v>
      </c>
      <c r="L156" s="144">
        <f t="shared" si="28"/>
        <v>271.8</v>
      </c>
      <c r="M156" s="39">
        <f t="shared" si="29"/>
        <v>302</v>
      </c>
      <c r="N156" s="145">
        <f t="shared" si="30"/>
        <v>317.1</v>
      </c>
      <c r="O156" s="39">
        <f t="shared" si="33"/>
        <v>11.3278319579895</v>
      </c>
      <c r="P156" s="37">
        <v>137</v>
      </c>
      <c r="Q156" s="146">
        <f t="shared" si="27"/>
        <v>0.102189781021898</v>
      </c>
      <c r="R156" s="37"/>
    </row>
    <row r="157" spans="1:18">
      <c r="A157" s="1">
        <v>149</v>
      </c>
      <c r="B157" s="37" t="s">
        <v>135</v>
      </c>
      <c r="C157" s="37" t="s">
        <v>73</v>
      </c>
      <c r="D157" s="109" t="s">
        <v>138</v>
      </c>
      <c r="E157" s="94" t="s">
        <v>74</v>
      </c>
      <c r="F157" s="95" t="s">
        <v>128</v>
      </c>
      <c r="G157" s="37" t="s">
        <v>76</v>
      </c>
      <c r="H157" s="37" t="s">
        <v>85</v>
      </c>
      <c r="I157" s="97">
        <f t="shared" si="31"/>
        <v>141.3</v>
      </c>
      <c r="J157" s="58">
        <v>157</v>
      </c>
      <c r="K157" s="39">
        <f t="shared" si="32"/>
        <v>164.85</v>
      </c>
      <c r="L157" s="144">
        <f t="shared" si="28"/>
        <v>282.6</v>
      </c>
      <c r="M157" s="39">
        <f t="shared" si="29"/>
        <v>314</v>
      </c>
      <c r="N157" s="145">
        <f t="shared" si="30"/>
        <v>329.7</v>
      </c>
      <c r="O157" s="39">
        <f t="shared" si="33"/>
        <v>11.7779444861215</v>
      </c>
      <c r="P157" s="37">
        <v>143</v>
      </c>
      <c r="Q157" s="146">
        <f t="shared" si="27"/>
        <v>0.0979020979020979</v>
      </c>
      <c r="R157" s="37"/>
    </row>
    <row r="158" spans="1:18">
      <c r="A158" s="1">
        <v>150</v>
      </c>
      <c r="B158" s="37" t="s">
        <v>135</v>
      </c>
      <c r="C158" s="37" t="s">
        <v>73</v>
      </c>
      <c r="D158" s="109" t="s">
        <v>139</v>
      </c>
      <c r="E158" s="94" t="s">
        <v>74</v>
      </c>
      <c r="F158" s="95" t="s">
        <v>128</v>
      </c>
      <c r="G158" s="37" t="s">
        <v>76</v>
      </c>
      <c r="H158" s="37" t="s">
        <v>87</v>
      </c>
      <c r="I158" s="97">
        <f t="shared" si="31"/>
        <v>155.7</v>
      </c>
      <c r="J158" s="58">
        <v>173</v>
      </c>
      <c r="K158" s="39">
        <f t="shared" si="32"/>
        <v>181.65</v>
      </c>
      <c r="L158" s="144">
        <f t="shared" si="28"/>
        <v>311.4</v>
      </c>
      <c r="M158" s="39">
        <f t="shared" si="29"/>
        <v>346</v>
      </c>
      <c r="N158" s="145">
        <f t="shared" si="30"/>
        <v>363.3</v>
      </c>
      <c r="O158" s="39">
        <f t="shared" si="33"/>
        <v>12.9782445611403</v>
      </c>
      <c r="P158" s="37">
        <v>157</v>
      </c>
      <c r="Q158" s="146">
        <f t="shared" si="27"/>
        <v>0.101910828025478</v>
      </c>
      <c r="R158" s="37"/>
    </row>
    <row r="159" spans="1:18">
      <c r="A159" s="1">
        <v>151</v>
      </c>
      <c r="B159" s="37" t="s">
        <v>135</v>
      </c>
      <c r="C159" s="37" t="s">
        <v>73</v>
      </c>
      <c r="D159" s="109" t="s">
        <v>140</v>
      </c>
      <c r="E159" s="94" t="s">
        <v>74</v>
      </c>
      <c r="F159" s="95" t="s">
        <v>128</v>
      </c>
      <c r="G159" s="37" t="s">
        <v>76</v>
      </c>
      <c r="H159" s="37" t="s">
        <v>89</v>
      </c>
      <c r="I159" s="97">
        <f t="shared" si="31"/>
        <v>157.5</v>
      </c>
      <c r="J159" s="58">
        <v>175</v>
      </c>
      <c r="K159" s="39">
        <f t="shared" si="32"/>
        <v>183.75</v>
      </c>
      <c r="L159" s="144">
        <f t="shared" si="28"/>
        <v>315</v>
      </c>
      <c r="M159" s="39">
        <f t="shared" si="29"/>
        <v>350</v>
      </c>
      <c r="N159" s="145">
        <f t="shared" si="30"/>
        <v>367.5</v>
      </c>
      <c r="O159" s="39">
        <f t="shared" si="33"/>
        <v>13.1282820705176</v>
      </c>
      <c r="P159" s="37">
        <v>159</v>
      </c>
      <c r="Q159" s="146">
        <f t="shared" si="27"/>
        <v>0.10062893081761</v>
      </c>
      <c r="R159" s="37"/>
    </row>
    <row r="160" spans="1:18">
      <c r="A160" s="1">
        <v>152</v>
      </c>
      <c r="B160" s="37" t="s">
        <v>135</v>
      </c>
      <c r="C160" s="37" t="s">
        <v>73</v>
      </c>
      <c r="D160" s="109" t="s">
        <v>90</v>
      </c>
      <c r="E160" s="94" t="s">
        <v>74</v>
      </c>
      <c r="F160" s="95" t="s">
        <v>128</v>
      </c>
      <c r="G160" s="37" t="s">
        <v>76</v>
      </c>
      <c r="H160" s="37" t="s">
        <v>89</v>
      </c>
      <c r="I160" s="97">
        <f t="shared" si="31"/>
        <v>157.5</v>
      </c>
      <c r="J160" s="58">
        <v>175</v>
      </c>
      <c r="K160" s="39">
        <f t="shared" si="32"/>
        <v>183.75</v>
      </c>
      <c r="L160" s="144">
        <f t="shared" si="28"/>
        <v>315</v>
      </c>
      <c r="M160" s="39">
        <f t="shared" si="29"/>
        <v>350</v>
      </c>
      <c r="N160" s="145">
        <f t="shared" si="30"/>
        <v>367.5</v>
      </c>
      <c r="O160" s="39">
        <f t="shared" si="33"/>
        <v>13.1282820705176</v>
      </c>
      <c r="P160" s="37" t="s">
        <v>82</v>
      </c>
      <c r="Q160" s="146" t="s">
        <v>82</v>
      </c>
      <c r="R160" s="37"/>
    </row>
    <row r="161" spans="1:18">
      <c r="A161" s="1">
        <v>153</v>
      </c>
      <c r="B161" s="37" t="s">
        <v>135</v>
      </c>
      <c r="C161" s="37" t="s">
        <v>73</v>
      </c>
      <c r="D161" s="109" t="s">
        <v>141</v>
      </c>
      <c r="E161" s="94" t="s">
        <v>74</v>
      </c>
      <c r="F161" s="95" t="s">
        <v>128</v>
      </c>
      <c r="G161" s="37" t="s">
        <v>76</v>
      </c>
      <c r="H161" s="37" t="s">
        <v>89</v>
      </c>
      <c r="I161" s="97">
        <f t="shared" si="31"/>
        <v>157.5</v>
      </c>
      <c r="J161" s="58">
        <v>175</v>
      </c>
      <c r="K161" s="39">
        <f t="shared" si="32"/>
        <v>183.75</v>
      </c>
      <c r="L161" s="144">
        <f t="shared" si="28"/>
        <v>315</v>
      </c>
      <c r="M161" s="39">
        <f t="shared" si="29"/>
        <v>350</v>
      </c>
      <c r="N161" s="145">
        <f t="shared" si="30"/>
        <v>367.5</v>
      </c>
      <c r="O161" s="39">
        <f t="shared" si="33"/>
        <v>13.1282820705176</v>
      </c>
      <c r="P161" s="37">
        <v>159</v>
      </c>
      <c r="Q161" s="146">
        <f>(J161-P161)/P161</f>
        <v>0.10062893081761</v>
      </c>
      <c r="R161" s="37"/>
    </row>
    <row r="162" spans="1:18">
      <c r="A162" s="1">
        <v>154</v>
      </c>
      <c r="B162" s="37" t="s">
        <v>135</v>
      </c>
      <c r="C162" s="37" t="s">
        <v>73</v>
      </c>
      <c r="D162" s="109">
        <v>0.36</v>
      </c>
      <c r="E162" s="94" t="s">
        <v>74</v>
      </c>
      <c r="F162" s="95" t="s">
        <v>128</v>
      </c>
      <c r="G162" s="37" t="s">
        <v>76</v>
      </c>
      <c r="H162" s="37" t="s">
        <v>92</v>
      </c>
      <c r="I162" s="97">
        <f t="shared" si="31"/>
        <v>157.5</v>
      </c>
      <c r="J162" s="58">
        <v>175</v>
      </c>
      <c r="K162" s="39">
        <f t="shared" si="32"/>
        <v>183.75</v>
      </c>
      <c r="L162" s="144">
        <f t="shared" si="28"/>
        <v>315</v>
      </c>
      <c r="M162" s="39">
        <f t="shared" si="29"/>
        <v>350</v>
      </c>
      <c r="N162" s="145">
        <f t="shared" si="30"/>
        <v>367.5</v>
      </c>
      <c r="O162" s="39">
        <f t="shared" si="33"/>
        <v>13.1282820705176</v>
      </c>
      <c r="P162" s="37">
        <v>159</v>
      </c>
      <c r="Q162" s="146">
        <f>(J162-P162)/P162</f>
        <v>0.10062893081761</v>
      </c>
      <c r="R162" s="37"/>
    </row>
    <row r="163" spans="1:18">
      <c r="A163" s="1">
        <v>155</v>
      </c>
      <c r="B163" s="37" t="s">
        <v>135</v>
      </c>
      <c r="C163" s="37" t="s">
        <v>73</v>
      </c>
      <c r="D163" s="109" t="s">
        <v>93</v>
      </c>
      <c r="E163" s="94" t="s">
        <v>74</v>
      </c>
      <c r="F163" s="95" t="s">
        <v>128</v>
      </c>
      <c r="G163" s="37" t="s">
        <v>76</v>
      </c>
      <c r="H163" s="37" t="s">
        <v>92</v>
      </c>
      <c r="I163" s="97">
        <f t="shared" si="31"/>
        <v>157.5</v>
      </c>
      <c r="J163" s="58">
        <v>175</v>
      </c>
      <c r="K163" s="39">
        <f t="shared" si="32"/>
        <v>183.75</v>
      </c>
      <c r="L163" s="144">
        <f t="shared" si="28"/>
        <v>315</v>
      </c>
      <c r="M163" s="39">
        <f t="shared" si="29"/>
        <v>350</v>
      </c>
      <c r="N163" s="145">
        <f t="shared" si="30"/>
        <v>367.5</v>
      </c>
      <c r="O163" s="39">
        <f t="shared" si="33"/>
        <v>13.1282820705176</v>
      </c>
      <c r="P163" s="37">
        <v>159</v>
      </c>
      <c r="Q163" s="146">
        <f>(J163-P163)/P163</f>
        <v>0.10062893081761</v>
      </c>
      <c r="R163" s="37"/>
    </row>
    <row r="164" spans="1:18">
      <c r="A164" s="1">
        <v>156</v>
      </c>
      <c r="B164" s="37" t="s">
        <v>135</v>
      </c>
      <c r="C164" s="37" t="s">
        <v>73</v>
      </c>
      <c r="D164" s="109" t="s">
        <v>147</v>
      </c>
      <c r="E164" s="94" t="s">
        <v>74</v>
      </c>
      <c r="F164" s="95" t="s">
        <v>128</v>
      </c>
      <c r="G164" s="37" t="s">
        <v>76</v>
      </c>
      <c r="H164" s="37" t="s">
        <v>94</v>
      </c>
      <c r="I164" s="97">
        <f t="shared" si="31"/>
        <v>175.5</v>
      </c>
      <c r="J164" s="58">
        <v>195</v>
      </c>
      <c r="K164" s="39">
        <f t="shared" si="32"/>
        <v>204.75</v>
      </c>
      <c r="L164" s="144">
        <f t="shared" si="28"/>
        <v>351</v>
      </c>
      <c r="M164" s="39">
        <f t="shared" si="29"/>
        <v>390</v>
      </c>
      <c r="N164" s="145">
        <f t="shared" si="30"/>
        <v>409.5</v>
      </c>
      <c r="O164" s="39">
        <f t="shared" si="33"/>
        <v>14.6286571642911</v>
      </c>
      <c r="P164" s="37" t="s">
        <v>82</v>
      </c>
      <c r="Q164" s="146" t="s">
        <v>82</v>
      </c>
      <c r="R164" s="37"/>
    </row>
    <row r="165" spans="1:18">
      <c r="A165" s="1">
        <v>157</v>
      </c>
      <c r="B165" s="37" t="s">
        <v>135</v>
      </c>
      <c r="C165" s="37" t="s">
        <v>73</v>
      </c>
      <c r="D165" s="109">
        <v>0.46</v>
      </c>
      <c r="E165" s="94" t="s">
        <v>74</v>
      </c>
      <c r="F165" s="95" t="s">
        <v>128</v>
      </c>
      <c r="G165" s="37" t="s">
        <v>76</v>
      </c>
      <c r="H165" s="37" t="s">
        <v>94</v>
      </c>
      <c r="I165" s="97">
        <f t="shared" ref="I165:I197" si="34">J165*0.9</f>
        <v>175.5</v>
      </c>
      <c r="J165" s="58">
        <v>195</v>
      </c>
      <c r="K165" s="39">
        <f t="shared" ref="K165:K197" si="35">J165*1.05</f>
        <v>204.75</v>
      </c>
      <c r="L165" s="144">
        <f t="shared" si="28"/>
        <v>351</v>
      </c>
      <c r="M165" s="39">
        <f t="shared" si="29"/>
        <v>390</v>
      </c>
      <c r="N165" s="145">
        <f t="shared" si="30"/>
        <v>409.5</v>
      </c>
      <c r="O165" s="39">
        <f t="shared" ref="O165:O197" si="36">J165/13.33</f>
        <v>14.6286571642911</v>
      </c>
      <c r="P165" s="37">
        <v>177</v>
      </c>
      <c r="Q165" s="146">
        <f t="shared" ref="Q165:Q189" si="37">(J165-P165)/P165</f>
        <v>0.101694915254237</v>
      </c>
      <c r="R165" s="37"/>
    </row>
    <row r="166" spans="1:18">
      <c r="A166" s="1">
        <v>158</v>
      </c>
      <c r="B166" s="37" t="s">
        <v>135</v>
      </c>
      <c r="C166" s="37" t="s">
        <v>73</v>
      </c>
      <c r="D166" s="109">
        <v>0.48</v>
      </c>
      <c r="E166" s="94" t="s">
        <v>74</v>
      </c>
      <c r="F166" s="95" t="s">
        <v>128</v>
      </c>
      <c r="G166" s="37" t="s">
        <v>76</v>
      </c>
      <c r="H166" s="37" t="s">
        <v>95</v>
      </c>
      <c r="I166" s="97">
        <f t="shared" si="34"/>
        <v>175.5</v>
      </c>
      <c r="J166" s="58">
        <v>195</v>
      </c>
      <c r="K166" s="39">
        <f t="shared" si="35"/>
        <v>204.75</v>
      </c>
      <c r="L166" s="144">
        <f t="shared" si="28"/>
        <v>351</v>
      </c>
      <c r="M166" s="39">
        <f t="shared" si="29"/>
        <v>390</v>
      </c>
      <c r="N166" s="145">
        <f t="shared" si="30"/>
        <v>409.5</v>
      </c>
      <c r="O166" s="39">
        <f t="shared" si="36"/>
        <v>14.6286571642911</v>
      </c>
      <c r="P166" s="37">
        <v>177</v>
      </c>
      <c r="Q166" s="146">
        <f t="shared" si="37"/>
        <v>0.101694915254237</v>
      </c>
      <c r="R166" s="37"/>
    </row>
    <row r="167" spans="1:18">
      <c r="A167" s="1">
        <v>159</v>
      </c>
      <c r="B167" s="37" t="s">
        <v>135</v>
      </c>
      <c r="C167" s="37" t="s">
        <v>73</v>
      </c>
      <c r="D167" s="109">
        <v>0.51</v>
      </c>
      <c r="E167" s="94" t="s">
        <v>74</v>
      </c>
      <c r="F167" s="95" t="s">
        <v>128</v>
      </c>
      <c r="G167" s="37" t="s">
        <v>76</v>
      </c>
      <c r="H167" s="37" t="s">
        <v>95</v>
      </c>
      <c r="I167" s="97">
        <f t="shared" si="34"/>
        <v>175.5</v>
      </c>
      <c r="J167" s="58">
        <v>195</v>
      </c>
      <c r="K167" s="39">
        <f t="shared" si="35"/>
        <v>204.75</v>
      </c>
      <c r="L167" s="144">
        <f t="shared" si="28"/>
        <v>351</v>
      </c>
      <c r="M167" s="39">
        <f t="shared" si="29"/>
        <v>390</v>
      </c>
      <c r="N167" s="145">
        <f t="shared" si="30"/>
        <v>409.5</v>
      </c>
      <c r="O167" s="39">
        <f t="shared" si="36"/>
        <v>14.6286571642911</v>
      </c>
      <c r="P167" s="37">
        <v>177</v>
      </c>
      <c r="Q167" s="146">
        <f t="shared" si="37"/>
        <v>0.101694915254237</v>
      </c>
      <c r="R167" s="37"/>
    </row>
    <row r="168" spans="1:18">
      <c r="A168" s="1">
        <v>160</v>
      </c>
      <c r="B168" s="37" t="s">
        <v>135</v>
      </c>
      <c r="C168" s="37" t="s">
        <v>73</v>
      </c>
      <c r="D168" s="109">
        <v>0.6</v>
      </c>
      <c r="E168" s="94" t="s">
        <v>74</v>
      </c>
      <c r="F168" s="95" t="s">
        <v>128</v>
      </c>
      <c r="G168" s="37" t="s">
        <v>76</v>
      </c>
      <c r="H168" s="37" t="s">
        <v>98</v>
      </c>
      <c r="I168" s="97">
        <f t="shared" si="34"/>
        <v>186.3</v>
      </c>
      <c r="J168" s="58">
        <v>207</v>
      </c>
      <c r="K168" s="39">
        <f t="shared" si="35"/>
        <v>217.35</v>
      </c>
      <c r="L168" s="144">
        <f t="shared" si="28"/>
        <v>372.6</v>
      </c>
      <c r="M168" s="39">
        <f t="shared" si="29"/>
        <v>414</v>
      </c>
      <c r="N168" s="145">
        <f t="shared" si="30"/>
        <v>434.7</v>
      </c>
      <c r="O168" s="39">
        <f t="shared" si="36"/>
        <v>15.5288822205551</v>
      </c>
      <c r="P168" s="37">
        <v>188</v>
      </c>
      <c r="Q168" s="146">
        <f t="shared" si="37"/>
        <v>0.101063829787234</v>
      </c>
      <c r="R168" s="37"/>
    </row>
    <row r="169" spans="1:18">
      <c r="A169" s="1">
        <v>161</v>
      </c>
      <c r="B169" s="37" t="s">
        <v>135</v>
      </c>
      <c r="C169" s="37" t="s">
        <v>73</v>
      </c>
      <c r="D169" s="109">
        <v>0.63</v>
      </c>
      <c r="E169" s="94" t="s">
        <v>74</v>
      </c>
      <c r="F169" s="95" t="s">
        <v>128</v>
      </c>
      <c r="G169" s="37" t="s">
        <v>76</v>
      </c>
      <c r="H169" s="37" t="s">
        <v>142</v>
      </c>
      <c r="I169" s="97">
        <f t="shared" si="34"/>
        <v>186.3</v>
      </c>
      <c r="J169" s="58">
        <v>207</v>
      </c>
      <c r="K169" s="39">
        <f t="shared" si="35"/>
        <v>217.35</v>
      </c>
      <c r="L169" s="144">
        <f t="shared" si="28"/>
        <v>372.6</v>
      </c>
      <c r="M169" s="39">
        <f t="shared" si="29"/>
        <v>414</v>
      </c>
      <c r="N169" s="145">
        <f t="shared" si="30"/>
        <v>434.7</v>
      </c>
      <c r="O169" s="39">
        <f t="shared" si="36"/>
        <v>15.5288822205551</v>
      </c>
      <c r="P169" s="37">
        <v>188</v>
      </c>
      <c r="Q169" s="146">
        <f t="shared" si="37"/>
        <v>0.101063829787234</v>
      </c>
      <c r="R169" s="37"/>
    </row>
    <row r="170" spans="1:18">
      <c r="A170" s="1">
        <v>162</v>
      </c>
      <c r="B170" s="37" t="s">
        <v>135</v>
      </c>
      <c r="C170" s="37" t="s">
        <v>73</v>
      </c>
      <c r="D170" s="109">
        <v>0.66</v>
      </c>
      <c r="E170" s="94" t="s">
        <v>74</v>
      </c>
      <c r="F170" s="95" t="s">
        <v>128</v>
      </c>
      <c r="G170" s="37" t="s">
        <v>76</v>
      </c>
      <c r="H170" s="37" t="s">
        <v>142</v>
      </c>
      <c r="I170" s="97">
        <f t="shared" si="34"/>
        <v>186.3</v>
      </c>
      <c r="J170" s="58">
        <v>207</v>
      </c>
      <c r="K170" s="39">
        <f t="shared" si="35"/>
        <v>217.35</v>
      </c>
      <c r="L170" s="144">
        <f t="shared" si="28"/>
        <v>372.6</v>
      </c>
      <c r="M170" s="39">
        <f t="shared" si="29"/>
        <v>414</v>
      </c>
      <c r="N170" s="145">
        <f t="shared" si="30"/>
        <v>434.7</v>
      </c>
      <c r="O170" s="39">
        <f t="shared" si="36"/>
        <v>15.5288822205551</v>
      </c>
      <c r="P170" s="37">
        <v>188</v>
      </c>
      <c r="Q170" s="146">
        <f t="shared" si="37"/>
        <v>0.101063829787234</v>
      </c>
      <c r="R170" s="37"/>
    </row>
    <row r="171" spans="1:18">
      <c r="A171" s="1">
        <v>163</v>
      </c>
      <c r="B171" s="37" t="s">
        <v>135</v>
      </c>
      <c r="C171" s="37" t="s">
        <v>73</v>
      </c>
      <c r="D171" s="109" t="s">
        <v>143</v>
      </c>
      <c r="E171" s="94" t="s">
        <v>74</v>
      </c>
      <c r="F171" s="95" t="s">
        <v>128</v>
      </c>
      <c r="G171" s="37" t="s">
        <v>76</v>
      </c>
      <c r="H171" s="37" t="s">
        <v>104</v>
      </c>
      <c r="I171" s="97">
        <f t="shared" si="34"/>
        <v>186.3</v>
      </c>
      <c r="J171" s="58">
        <v>207</v>
      </c>
      <c r="K171" s="39">
        <f t="shared" si="35"/>
        <v>217.35</v>
      </c>
      <c r="L171" s="144">
        <f t="shared" si="28"/>
        <v>372.6</v>
      </c>
      <c r="M171" s="39">
        <f t="shared" si="29"/>
        <v>414</v>
      </c>
      <c r="N171" s="145">
        <f t="shared" si="30"/>
        <v>434.7</v>
      </c>
      <c r="O171" s="39">
        <f t="shared" si="36"/>
        <v>15.5288822205551</v>
      </c>
      <c r="P171" s="37">
        <v>188</v>
      </c>
      <c r="Q171" s="146">
        <f t="shared" si="37"/>
        <v>0.101063829787234</v>
      </c>
      <c r="R171" s="37"/>
    </row>
    <row r="172" spans="1:18">
      <c r="A172" s="1">
        <v>164</v>
      </c>
      <c r="B172" s="37" t="s">
        <v>135</v>
      </c>
      <c r="C172" s="37" t="s">
        <v>73</v>
      </c>
      <c r="D172" s="109">
        <v>0.76</v>
      </c>
      <c r="E172" s="94" t="s">
        <v>74</v>
      </c>
      <c r="F172" s="95" t="s">
        <v>128</v>
      </c>
      <c r="G172" s="37" t="s">
        <v>76</v>
      </c>
      <c r="H172" s="37" t="s">
        <v>104</v>
      </c>
      <c r="I172" s="97">
        <f t="shared" si="34"/>
        <v>199.8</v>
      </c>
      <c r="J172" s="58">
        <v>222</v>
      </c>
      <c r="K172" s="39">
        <f t="shared" si="35"/>
        <v>233.1</v>
      </c>
      <c r="L172" s="144">
        <f t="shared" si="28"/>
        <v>399.6</v>
      </c>
      <c r="M172" s="39">
        <f t="shared" si="29"/>
        <v>444</v>
      </c>
      <c r="N172" s="145">
        <f t="shared" si="30"/>
        <v>466.2</v>
      </c>
      <c r="O172" s="39">
        <f t="shared" si="36"/>
        <v>16.6541635408852</v>
      </c>
      <c r="P172" s="37">
        <v>202</v>
      </c>
      <c r="Q172" s="146">
        <f t="shared" si="37"/>
        <v>0.099009900990099</v>
      </c>
      <c r="R172" s="37"/>
    </row>
    <row r="173" spans="1:18">
      <c r="A173" s="1">
        <v>165</v>
      </c>
      <c r="B173" s="37" t="s">
        <v>135</v>
      </c>
      <c r="C173" s="37" t="s">
        <v>73</v>
      </c>
      <c r="D173" s="109">
        <v>0.8</v>
      </c>
      <c r="E173" s="111" t="s">
        <v>105</v>
      </c>
      <c r="F173" s="95" t="s">
        <v>128</v>
      </c>
      <c r="G173" s="37" t="s">
        <v>76</v>
      </c>
      <c r="H173" s="37" t="s">
        <v>104</v>
      </c>
      <c r="I173" s="97">
        <f t="shared" si="34"/>
        <v>193.5</v>
      </c>
      <c r="J173" s="58">
        <v>215</v>
      </c>
      <c r="K173" s="39">
        <f t="shared" si="35"/>
        <v>225.75</v>
      </c>
      <c r="L173" s="144">
        <f t="shared" si="28"/>
        <v>387</v>
      </c>
      <c r="M173" s="39">
        <f t="shared" si="29"/>
        <v>430</v>
      </c>
      <c r="N173" s="145">
        <f t="shared" si="30"/>
        <v>451.5</v>
      </c>
      <c r="O173" s="39">
        <f t="shared" si="36"/>
        <v>16.1290322580645</v>
      </c>
      <c r="P173" s="37">
        <v>195</v>
      </c>
      <c r="Q173" s="146">
        <f t="shared" si="37"/>
        <v>0.102564102564103</v>
      </c>
      <c r="R173" s="37"/>
    </row>
    <row r="174" spans="1:18">
      <c r="A174" s="1">
        <v>166</v>
      </c>
      <c r="B174" s="37" t="s">
        <v>135</v>
      </c>
      <c r="C174" s="37" t="s">
        <v>73</v>
      </c>
      <c r="D174" s="109">
        <v>0.9</v>
      </c>
      <c r="E174" s="111" t="s">
        <v>105</v>
      </c>
      <c r="F174" s="95" t="s">
        <v>128</v>
      </c>
      <c r="G174" s="37" t="s">
        <v>76</v>
      </c>
      <c r="H174" s="37" t="s">
        <v>109</v>
      </c>
      <c r="I174" s="97">
        <f t="shared" si="34"/>
        <v>200.7</v>
      </c>
      <c r="J174" s="58">
        <v>223</v>
      </c>
      <c r="K174" s="39">
        <f t="shared" si="35"/>
        <v>234.15</v>
      </c>
      <c r="L174" s="144">
        <f t="shared" si="28"/>
        <v>401.4</v>
      </c>
      <c r="M174" s="39">
        <f t="shared" si="29"/>
        <v>446</v>
      </c>
      <c r="N174" s="145">
        <f t="shared" si="30"/>
        <v>468.3</v>
      </c>
      <c r="O174" s="39">
        <f t="shared" si="36"/>
        <v>16.7291822955739</v>
      </c>
      <c r="P174" s="37">
        <v>203</v>
      </c>
      <c r="Q174" s="146">
        <f t="shared" si="37"/>
        <v>0.0985221674876847</v>
      </c>
      <c r="R174" s="37"/>
    </row>
    <row r="175" spans="1:18">
      <c r="A175" s="1">
        <v>167</v>
      </c>
      <c r="B175" s="37" t="s">
        <v>135</v>
      </c>
      <c r="C175" s="37" t="s">
        <v>73</v>
      </c>
      <c r="D175" s="109" t="s">
        <v>108</v>
      </c>
      <c r="E175" s="111" t="s">
        <v>105</v>
      </c>
      <c r="F175" s="95" t="s">
        <v>128</v>
      </c>
      <c r="G175" s="37" t="s">
        <v>76</v>
      </c>
      <c r="H175" s="37" t="s">
        <v>109</v>
      </c>
      <c r="I175" s="97">
        <f t="shared" si="34"/>
        <v>197.1</v>
      </c>
      <c r="J175" s="58">
        <v>219</v>
      </c>
      <c r="K175" s="39">
        <f t="shared" si="35"/>
        <v>229.95</v>
      </c>
      <c r="L175" s="144">
        <f t="shared" si="28"/>
        <v>394.2</v>
      </c>
      <c r="M175" s="39">
        <f t="shared" si="29"/>
        <v>438</v>
      </c>
      <c r="N175" s="145">
        <f t="shared" si="30"/>
        <v>459.9</v>
      </c>
      <c r="O175" s="39">
        <f t="shared" si="36"/>
        <v>16.4291072768192</v>
      </c>
      <c r="P175" s="37">
        <v>199</v>
      </c>
      <c r="Q175" s="146">
        <f t="shared" si="37"/>
        <v>0.100502512562814</v>
      </c>
      <c r="R175" s="37"/>
    </row>
    <row r="176" spans="1:18">
      <c r="A176" s="1">
        <v>168</v>
      </c>
      <c r="B176" s="37" t="s">
        <v>135</v>
      </c>
      <c r="C176" s="37" t="s">
        <v>73</v>
      </c>
      <c r="D176" s="109" t="s">
        <v>144</v>
      </c>
      <c r="E176" s="111" t="s">
        <v>105</v>
      </c>
      <c r="F176" s="95" t="s">
        <v>128</v>
      </c>
      <c r="G176" s="37" t="s">
        <v>76</v>
      </c>
      <c r="H176" s="37" t="s">
        <v>110</v>
      </c>
      <c r="I176" s="97">
        <f t="shared" si="34"/>
        <v>211.5</v>
      </c>
      <c r="J176" s="58">
        <v>235</v>
      </c>
      <c r="K176" s="39">
        <f t="shared" si="35"/>
        <v>246.75</v>
      </c>
      <c r="L176" s="144">
        <f t="shared" ref="L176:L197" si="38">I176*2</f>
        <v>423</v>
      </c>
      <c r="M176" s="39">
        <f t="shared" ref="M176:M197" si="39">J176*2</f>
        <v>470</v>
      </c>
      <c r="N176" s="145">
        <f t="shared" ref="N176:N197" si="40">K176*2</f>
        <v>493.5</v>
      </c>
      <c r="O176" s="39">
        <f t="shared" si="36"/>
        <v>17.629407351838</v>
      </c>
      <c r="P176" s="37">
        <v>214</v>
      </c>
      <c r="Q176" s="146">
        <f t="shared" si="37"/>
        <v>0.0981308411214953</v>
      </c>
      <c r="R176" s="37"/>
    </row>
    <row r="177" spans="1:18">
      <c r="A177" s="1">
        <v>169</v>
      </c>
      <c r="B177" s="37" t="s">
        <v>135</v>
      </c>
      <c r="C177" s="37" t="s">
        <v>73</v>
      </c>
      <c r="D177" s="109">
        <v>1.3</v>
      </c>
      <c r="E177" s="111" t="s">
        <v>105</v>
      </c>
      <c r="F177" s="95" t="s">
        <v>128</v>
      </c>
      <c r="G177" s="37" t="s">
        <v>76</v>
      </c>
      <c r="H177" s="37" t="s">
        <v>111</v>
      </c>
      <c r="I177" s="97">
        <f t="shared" si="34"/>
        <v>233.1</v>
      </c>
      <c r="J177" s="58">
        <v>259</v>
      </c>
      <c r="K177" s="39">
        <f t="shared" si="35"/>
        <v>271.95</v>
      </c>
      <c r="L177" s="144">
        <f t="shared" si="38"/>
        <v>466.2</v>
      </c>
      <c r="M177" s="39">
        <f t="shared" si="39"/>
        <v>518</v>
      </c>
      <c r="N177" s="145">
        <f t="shared" si="40"/>
        <v>543.9</v>
      </c>
      <c r="O177" s="39">
        <f t="shared" si="36"/>
        <v>19.4298574643661</v>
      </c>
      <c r="P177" s="37">
        <v>235</v>
      </c>
      <c r="Q177" s="146">
        <f t="shared" si="37"/>
        <v>0.102127659574468</v>
      </c>
      <c r="R177" s="37"/>
    </row>
    <row r="178" spans="1:18">
      <c r="A178" s="1">
        <v>170</v>
      </c>
      <c r="B178" s="37" t="s">
        <v>135</v>
      </c>
      <c r="C178" s="37" t="s">
        <v>73</v>
      </c>
      <c r="D178" s="109">
        <v>1.4</v>
      </c>
      <c r="E178" s="111" t="s">
        <v>105</v>
      </c>
      <c r="F178" s="95" t="s">
        <v>128</v>
      </c>
      <c r="G178" s="37" t="s">
        <v>76</v>
      </c>
      <c r="H178" s="37" t="s">
        <v>111</v>
      </c>
      <c r="I178" s="97">
        <f t="shared" si="34"/>
        <v>233.1</v>
      </c>
      <c r="J178" s="58">
        <v>259</v>
      </c>
      <c r="K178" s="39">
        <f t="shared" si="35"/>
        <v>271.95</v>
      </c>
      <c r="L178" s="144">
        <f t="shared" si="38"/>
        <v>466.2</v>
      </c>
      <c r="M178" s="39">
        <f t="shared" si="39"/>
        <v>518</v>
      </c>
      <c r="N178" s="145">
        <f t="shared" si="40"/>
        <v>543.9</v>
      </c>
      <c r="O178" s="39">
        <f t="shared" si="36"/>
        <v>19.4298574643661</v>
      </c>
      <c r="P178" s="37">
        <v>235</v>
      </c>
      <c r="Q178" s="146">
        <f t="shared" si="37"/>
        <v>0.102127659574468</v>
      </c>
      <c r="R178" s="37"/>
    </row>
    <row r="179" spans="1:18">
      <c r="A179" s="1">
        <v>171</v>
      </c>
      <c r="B179" s="37" t="s">
        <v>135</v>
      </c>
      <c r="C179" s="37" t="s">
        <v>73</v>
      </c>
      <c r="D179" s="109" t="s">
        <v>145</v>
      </c>
      <c r="E179" s="111" t="s">
        <v>105</v>
      </c>
      <c r="F179" s="95" t="s">
        <v>128</v>
      </c>
      <c r="G179" s="37" t="s">
        <v>76</v>
      </c>
      <c r="H179" s="37" t="s">
        <v>113</v>
      </c>
      <c r="I179" s="97">
        <f t="shared" si="34"/>
        <v>261</v>
      </c>
      <c r="J179" s="58">
        <v>290</v>
      </c>
      <c r="K179" s="39">
        <f t="shared" si="35"/>
        <v>304.5</v>
      </c>
      <c r="L179" s="144">
        <f t="shared" si="38"/>
        <v>522</v>
      </c>
      <c r="M179" s="39">
        <f t="shared" si="39"/>
        <v>580</v>
      </c>
      <c r="N179" s="145">
        <f t="shared" si="40"/>
        <v>609</v>
      </c>
      <c r="O179" s="39">
        <f t="shared" si="36"/>
        <v>21.7554388597149</v>
      </c>
      <c r="P179" s="37">
        <v>264</v>
      </c>
      <c r="Q179" s="146">
        <f t="shared" si="37"/>
        <v>0.0984848484848485</v>
      </c>
      <c r="R179" s="37"/>
    </row>
    <row r="180" spans="1:18">
      <c r="A180" s="1">
        <v>172</v>
      </c>
      <c r="B180" s="37" t="s">
        <v>135</v>
      </c>
      <c r="C180" s="37" t="s">
        <v>73</v>
      </c>
      <c r="D180" s="109">
        <v>1.6</v>
      </c>
      <c r="E180" s="111" t="s">
        <v>105</v>
      </c>
      <c r="F180" s="95" t="s">
        <v>128</v>
      </c>
      <c r="G180" s="37" t="s">
        <v>76</v>
      </c>
      <c r="H180" s="37" t="s">
        <v>113</v>
      </c>
      <c r="I180" s="97">
        <f t="shared" si="34"/>
        <v>270</v>
      </c>
      <c r="J180" s="58">
        <v>300</v>
      </c>
      <c r="K180" s="39">
        <f t="shared" si="35"/>
        <v>315</v>
      </c>
      <c r="L180" s="144">
        <f t="shared" si="38"/>
        <v>540</v>
      </c>
      <c r="M180" s="39">
        <f t="shared" si="39"/>
        <v>600</v>
      </c>
      <c r="N180" s="145">
        <f t="shared" si="40"/>
        <v>630</v>
      </c>
      <c r="O180" s="39">
        <f t="shared" si="36"/>
        <v>22.5056264066016</v>
      </c>
      <c r="P180" s="37">
        <v>273</v>
      </c>
      <c r="Q180" s="146">
        <f t="shared" si="37"/>
        <v>0.0989010989010989</v>
      </c>
      <c r="R180" s="37"/>
    </row>
    <row r="181" spans="1:18">
      <c r="A181" s="1">
        <v>173</v>
      </c>
      <c r="B181" s="37" t="s">
        <v>135</v>
      </c>
      <c r="C181" s="37" t="s">
        <v>73</v>
      </c>
      <c r="D181" s="109">
        <v>1.7</v>
      </c>
      <c r="E181" s="111" t="s">
        <v>105</v>
      </c>
      <c r="F181" s="95" t="s">
        <v>128</v>
      </c>
      <c r="G181" s="37" t="s">
        <v>76</v>
      </c>
      <c r="H181" s="37" t="s">
        <v>114</v>
      </c>
      <c r="I181" s="97">
        <f t="shared" si="34"/>
        <v>280.8</v>
      </c>
      <c r="J181" s="58">
        <v>312</v>
      </c>
      <c r="K181" s="39">
        <f t="shared" si="35"/>
        <v>327.6</v>
      </c>
      <c r="L181" s="144">
        <f t="shared" si="38"/>
        <v>561.6</v>
      </c>
      <c r="M181" s="39">
        <f t="shared" si="39"/>
        <v>624</v>
      </c>
      <c r="N181" s="145">
        <f t="shared" si="40"/>
        <v>655.2</v>
      </c>
      <c r="O181" s="39">
        <f t="shared" si="36"/>
        <v>23.4058514628657</v>
      </c>
      <c r="P181" s="37">
        <v>284</v>
      </c>
      <c r="Q181" s="146">
        <f t="shared" si="37"/>
        <v>0.0985915492957746</v>
      </c>
      <c r="R181" s="37"/>
    </row>
    <row r="182" spans="1:18">
      <c r="A182" s="1">
        <v>174</v>
      </c>
      <c r="B182" s="37" t="s">
        <v>135</v>
      </c>
      <c r="C182" s="37" t="s">
        <v>73</v>
      </c>
      <c r="D182" s="109">
        <v>1.8</v>
      </c>
      <c r="E182" s="111" t="s">
        <v>105</v>
      </c>
      <c r="F182" s="95" t="s">
        <v>128</v>
      </c>
      <c r="G182" s="37" t="s">
        <v>76</v>
      </c>
      <c r="H182" s="37" t="s">
        <v>115</v>
      </c>
      <c r="I182" s="97">
        <f t="shared" si="34"/>
        <v>293.4</v>
      </c>
      <c r="J182" s="58">
        <v>326</v>
      </c>
      <c r="K182" s="39">
        <f t="shared" si="35"/>
        <v>342.3</v>
      </c>
      <c r="L182" s="144">
        <f t="shared" si="38"/>
        <v>586.8</v>
      </c>
      <c r="M182" s="39">
        <f t="shared" si="39"/>
        <v>652</v>
      </c>
      <c r="N182" s="145">
        <f t="shared" si="40"/>
        <v>684.6</v>
      </c>
      <c r="O182" s="39">
        <f t="shared" si="36"/>
        <v>24.4561140285071</v>
      </c>
      <c r="P182" s="37">
        <v>296</v>
      </c>
      <c r="Q182" s="146">
        <f t="shared" si="37"/>
        <v>0.101351351351351</v>
      </c>
      <c r="R182" s="37"/>
    </row>
    <row r="183" spans="1:18">
      <c r="A183" s="1">
        <v>175</v>
      </c>
      <c r="B183" s="37" t="s">
        <v>135</v>
      </c>
      <c r="C183" s="37" t="s">
        <v>73</v>
      </c>
      <c r="D183" s="109">
        <v>1.9</v>
      </c>
      <c r="E183" s="111" t="s">
        <v>105</v>
      </c>
      <c r="F183" s="95" t="s">
        <v>128</v>
      </c>
      <c r="G183" s="37" t="s">
        <v>76</v>
      </c>
      <c r="H183" s="37" t="s">
        <v>115</v>
      </c>
      <c r="I183" s="97">
        <f t="shared" si="34"/>
        <v>309.6</v>
      </c>
      <c r="J183" s="58">
        <v>344</v>
      </c>
      <c r="K183" s="39">
        <f t="shared" si="35"/>
        <v>361.2</v>
      </c>
      <c r="L183" s="144">
        <f t="shared" si="38"/>
        <v>619.2</v>
      </c>
      <c r="M183" s="39">
        <f t="shared" si="39"/>
        <v>688</v>
      </c>
      <c r="N183" s="145">
        <f t="shared" si="40"/>
        <v>722.4</v>
      </c>
      <c r="O183" s="39">
        <f t="shared" si="36"/>
        <v>25.8064516129032</v>
      </c>
      <c r="P183" s="37">
        <v>313</v>
      </c>
      <c r="Q183" s="146">
        <f t="shared" si="37"/>
        <v>0.0990415335463259</v>
      </c>
      <c r="R183" s="37"/>
    </row>
    <row r="184" spans="1:18">
      <c r="A184" s="1">
        <v>176</v>
      </c>
      <c r="B184" s="37" t="s">
        <v>135</v>
      </c>
      <c r="C184" s="37" t="s">
        <v>73</v>
      </c>
      <c r="D184" s="109">
        <v>2.3</v>
      </c>
      <c r="E184" s="111" t="s">
        <v>105</v>
      </c>
      <c r="F184" s="95" t="s">
        <v>128</v>
      </c>
      <c r="G184" s="37" t="s">
        <v>76</v>
      </c>
      <c r="H184" s="37" t="s">
        <v>118</v>
      </c>
      <c r="I184" s="97">
        <f t="shared" si="34"/>
        <v>350.1</v>
      </c>
      <c r="J184" s="58">
        <v>389</v>
      </c>
      <c r="K184" s="39">
        <f t="shared" si="35"/>
        <v>408.45</v>
      </c>
      <c r="L184" s="144">
        <f t="shared" si="38"/>
        <v>700.2</v>
      </c>
      <c r="M184" s="39">
        <f t="shared" si="39"/>
        <v>778</v>
      </c>
      <c r="N184" s="145">
        <f t="shared" si="40"/>
        <v>816.9</v>
      </c>
      <c r="O184" s="39">
        <f t="shared" si="36"/>
        <v>29.1822955738935</v>
      </c>
      <c r="P184" s="37">
        <v>354</v>
      </c>
      <c r="Q184" s="146">
        <f t="shared" si="37"/>
        <v>0.0988700564971751</v>
      </c>
      <c r="R184" s="37"/>
    </row>
    <row r="185" spans="1:18">
      <c r="A185" s="1">
        <v>177</v>
      </c>
      <c r="B185" s="37" t="s">
        <v>148</v>
      </c>
      <c r="C185" s="37" t="s">
        <v>73</v>
      </c>
      <c r="D185" s="109" t="s">
        <v>149</v>
      </c>
      <c r="E185" s="111" t="s">
        <v>105</v>
      </c>
      <c r="F185" s="95" t="s">
        <v>75</v>
      </c>
      <c r="G185" s="37" t="s">
        <v>76</v>
      </c>
      <c r="H185" s="37" t="s">
        <v>113</v>
      </c>
      <c r="I185" s="97">
        <f t="shared" si="34"/>
        <v>198</v>
      </c>
      <c r="J185" s="58">
        <v>220</v>
      </c>
      <c r="K185" s="39">
        <f t="shared" si="35"/>
        <v>231</v>
      </c>
      <c r="L185" s="144">
        <f t="shared" si="38"/>
        <v>396</v>
      </c>
      <c r="M185" s="39">
        <f t="shared" si="39"/>
        <v>440</v>
      </c>
      <c r="N185" s="145">
        <f t="shared" si="40"/>
        <v>462</v>
      </c>
      <c r="O185" s="39">
        <f t="shared" si="36"/>
        <v>16.5041260315079</v>
      </c>
      <c r="P185" s="37">
        <v>200</v>
      </c>
      <c r="Q185" s="146">
        <f t="shared" si="37"/>
        <v>0.1</v>
      </c>
      <c r="R185" s="37"/>
    </row>
    <row r="186" spans="1:18">
      <c r="A186" s="1">
        <v>178</v>
      </c>
      <c r="B186" s="37" t="s">
        <v>148</v>
      </c>
      <c r="C186" s="37" t="s">
        <v>73</v>
      </c>
      <c r="D186" s="109" t="s">
        <v>149</v>
      </c>
      <c r="E186" s="111" t="s">
        <v>105</v>
      </c>
      <c r="F186" s="95" t="s">
        <v>150</v>
      </c>
      <c r="G186" s="37" t="s">
        <v>76</v>
      </c>
      <c r="H186" s="37" t="s">
        <v>113</v>
      </c>
      <c r="I186" s="97">
        <f t="shared" si="34"/>
        <v>196.2</v>
      </c>
      <c r="J186" s="58">
        <v>218</v>
      </c>
      <c r="K186" s="39">
        <f t="shared" si="35"/>
        <v>228.9</v>
      </c>
      <c r="L186" s="144">
        <f t="shared" si="38"/>
        <v>392.4</v>
      </c>
      <c r="M186" s="39">
        <f t="shared" si="39"/>
        <v>436</v>
      </c>
      <c r="N186" s="145">
        <f t="shared" si="40"/>
        <v>457.8</v>
      </c>
      <c r="O186" s="39">
        <f t="shared" si="36"/>
        <v>16.3540885221305</v>
      </c>
      <c r="P186" s="37">
        <v>198</v>
      </c>
      <c r="Q186" s="146">
        <f t="shared" si="37"/>
        <v>0.101010101010101</v>
      </c>
      <c r="R186" s="37"/>
    </row>
    <row r="187" s="130" customFormat="1" spans="1:18">
      <c r="A187" s="1">
        <v>179</v>
      </c>
      <c r="B187" s="37" t="s">
        <v>151</v>
      </c>
      <c r="C187" s="37" t="s">
        <v>73</v>
      </c>
      <c r="D187" s="109" t="s">
        <v>152</v>
      </c>
      <c r="E187" s="111" t="s">
        <v>74</v>
      </c>
      <c r="F187" s="95" t="s">
        <v>153</v>
      </c>
      <c r="G187" s="37" t="s">
        <v>154</v>
      </c>
      <c r="H187" s="37" t="s">
        <v>77</v>
      </c>
      <c r="I187" s="97">
        <f t="shared" si="34"/>
        <v>532.8</v>
      </c>
      <c r="J187" s="58">
        <v>592</v>
      </c>
      <c r="K187" s="39">
        <f t="shared" si="35"/>
        <v>621.6</v>
      </c>
      <c r="L187" s="144">
        <f t="shared" si="38"/>
        <v>1065.6</v>
      </c>
      <c r="M187" s="39">
        <f t="shared" si="39"/>
        <v>1184</v>
      </c>
      <c r="N187" s="145">
        <f t="shared" si="40"/>
        <v>1243.2</v>
      </c>
      <c r="O187" s="39">
        <f t="shared" si="36"/>
        <v>44.4111027756939</v>
      </c>
      <c r="P187" s="37">
        <v>538</v>
      </c>
      <c r="Q187" s="146">
        <f t="shared" si="37"/>
        <v>0.100371747211896</v>
      </c>
      <c r="R187" s="37"/>
    </row>
    <row r="188" s="130" customFormat="1" spans="1:18">
      <c r="A188" s="1">
        <v>180</v>
      </c>
      <c r="B188" s="37" t="s">
        <v>151</v>
      </c>
      <c r="C188" s="37" t="s">
        <v>73</v>
      </c>
      <c r="D188" s="109" t="s">
        <v>137</v>
      </c>
      <c r="E188" s="111" t="s">
        <v>74</v>
      </c>
      <c r="F188" s="95" t="s">
        <v>128</v>
      </c>
      <c r="G188" s="37" t="s">
        <v>76</v>
      </c>
      <c r="H188" s="37" t="s">
        <v>81</v>
      </c>
      <c r="I188" s="97">
        <f t="shared" si="34"/>
        <v>149.4</v>
      </c>
      <c r="J188" s="58">
        <v>166</v>
      </c>
      <c r="K188" s="39">
        <f t="shared" si="35"/>
        <v>174.3</v>
      </c>
      <c r="L188" s="144">
        <f t="shared" si="38"/>
        <v>298.8</v>
      </c>
      <c r="M188" s="39">
        <f t="shared" si="39"/>
        <v>332</v>
      </c>
      <c r="N188" s="145">
        <f t="shared" si="40"/>
        <v>348.6</v>
      </c>
      <c r="O188" s="39">
        <f t="shared" si="36"/>
        <v>12.4531132783196</v>
      </c>
      <c r="P188" s="37">
        <v>151</v>
      </c>
      <c r="Q188" s="146">
        <f t="shared" si="37"/>
        <v>0.0993377483443709</v>
      </c>
      <c r="R188" s="37"/>
    </row>
    <row r="189" s="130" customFormat="1" spans="1:18">
      <c r="A189" s="1">
        <v>181</v>
      </c>
      <c r="B189" s="37" t="s">
        <v>151</v>
      </c>
      <c r="C189" s="37" t="s">
        <v>73</v>
      </c>
      <c r="D189" s="109" t="s">
        <v>155</v>
      </c>
      <c r="E189" s="111" t="s">
        <v>74</v>
      </c>
      <c r="F189" s="95" t="s">
        <v>156</v>
      </c>
      <c r="G189" s="37" t="s">
        <v>76</v>
      </c>
      <c r="H189" s="37" t="s">
        <v>83</v>
      </c>
      <c r="I189" s="97">
        <f t="shared" si="34"/>
        <v>262.8</v>
      </c>
      <c r="J189" s="58">
        <v>292</v>
      </c>
      <c r="K189" s="39">
        <f t="shared" si="35"/>
        <v>306.6</v>
      </c>
      <c r="L189" s="144">
        <f t="shared" si="38"/>
        <v>525.6</v>
      </c>
      <c r="M189" s="39">
        <f t="shared" si="39"/>
        <v>584</v>
      </c>
      <c r="N189" s="145">
        <f t="shared" si="40"/>
        <v>613.2</v>
      </c>
      <c r="O189" s="39">
        <f t="shared" si="36"/>
        <v>21.9054763690923</v>
      </c>
      <c r="P189" s="37">
        <v>265</v>
      </c>
      <c r="Q189" s="146">
        <f t="shared" si="37"/>
        <v>0.10188679245283</v>
      </c>
      <c r="R189" s="37"/>
    </row>
    <row r="190" s="130" customFormat="1" spans="1:18">
      <c r="A190" s="1">
        <v>182</v>
      </c>
      <c r="B190" s="37" t="s">
        <v>151</v>
      </c>
      <c r="C190" s="37" t="s">
        <v>73</v>
      </c>
      <c r="D190" s="109" t="s">
        <v>155</v>
      </c>
      <c r="E190" s="111" t="s">
        <v>74</v>
      </c>
      <c r="F190" s="95" t="s">
        <v>157</v>
      </c>
      <c r="G190" s="37" t="s">
        <v>76</v>
      </c>
      <c r="H190" s="37" t="s">
        <v>158</v>
      </c>
      <c r="I190" s="97">
        <f t="shared" si="34"/>
        <v>657</v>
      </c>
      <c r="J190" s="58">
        <v>730</v>
      </c>
      <c r="K190" s="39">
        <f t="shared" si="35"/>
        <v>766.5</v>
      </c>
      <c r="L190" s="144">
        <f t="shared" si="38"/>
        <v>1314</v>
      </c>
      <c r="M190" s="39">
        <f t="shared" si="39"/>
        <v>1460</v>
      </c>
      <c r="N190" s="145">
        <f t="shared" si="40"/>
        <v>1533</v>
      </c>
      <c r="O190" s="39">
        <f t="shared" si="36"/>
        <v>54.7636909227307</v>
      </c>
      <c r="P190" s="37">
        <v>730</v>
      </c>
      <c r="Q190" s="146" t="s">
        <v>82</v>
      </c>
      <c r="R190" s="37"/>
    </row>
    <row r="191" s="130" customFormat="1" spans="1:18">
      <c r="A191" s="1">
        <v>183</v>
      </c>
      <c r="B191" s="37" t="s">
        <v>151</v>
      </c>
      <c r="C191" s="37" t="s">
        <v>73</v>
      </c>
      <c r="D191" s="109" t="s">
        <v>155</v>
      </c>
      <c r="E191" s="111" t="s">
        <v>74</v>
      </c>
      <c r="F191" s="95" t="s">
        <v>157</v>
      </c>
      <c r="G191" s="37" t="s">
        <v>76</v>
      </c>
      <c r="H191" s="37" t="s">
        <v>159</v>
      </c>
      <c r="I191" s="97">
        <f t="shared" si="34"/>
        <v>657</v>
      </c>
      <c r="J191" s="58">
        <v>730</v>
      </c>
      <c r="K191" s="39">
        <f t="shared" si="35"/>
        <v>766.5</v>
      </c>
      <c r="L191" s="144">
        <f t="shared" si="38"/>
        <v>1314</v>
      </c>
      <c r="M191" s="39">
        <f t="shared" si="39"/>
        <v>1460</v>
      </c>
      <c r="N191" s="145">
        <f t="shared" si="40"/>
        <v>1533</v>
      </c>
      <c r="O191" s="39">
        <f t="shared" si="36"/>
        <v>54.7636909227307</v>
      </c>
      <c r="P191" s="37">
        <v>730</v>
      </c>
      <c r="Q191" s="146" t="s">
        <v>82</v>
      </c>
      <c r="R191" s="37"/>
    </row>
    <row r="192" s="130" customFormat="1" spans="1:18">
      <c r="A192" s="1">
        <v>184</v>
      </c>
      <c r="B192" s="37" t="s">
        <v>135</v>
      </c>
      <c r="C192" s="37" t="s">
        <v>73</v>
      </c>
      <c r="D192" s="109" t="s">
        <v>160</v>
      </c>
      <c r="E192" s="111" t="s">
        <v>74</v>
      </c>
      <c r="F192" s="95" t="s">
        <v>128</v>
      </c>
      <c r="G192" s="37" t="s">
        <v>76</v>
      </c>
      <c r="H192" s="37" t="s">
        <v>161</v>
      </c>
      <c r="I192" s="97">
        <f t="shared" si="34"/>
        <v>132.3</v>
      </c>
      <c r="J192" s="58">
        <v>147</v>
      </c>
      <c r="K192" s="39">
        <f t="shared" si="35"/>
        <v>154.35</v>
      </c>
      <c r="L192" s="144">
        <f t="shared" si="38"/>
        <v>264.6</v>
      </c>
      <c r="M192" s="39">
        <f t="shared" si="39"/>
        <v>294</v>
      </c>
      <c r="N192" s="145">
        <f t="shared" si="40"/>
        <v>308.7</v>
      </c>
      <c r="O192" s="39">
        <f t="shared" si="36"/>
        <v>11.0277569392348</v>
      </c>
      <c r="P192" s="37">
        <v>147</v>
      </c>
      <c r="Q192" s="146" t="s">
        <v>82</v>
      </c>
      <c r="R192" s="37"/>
    </row>
    <row r="193" s="130" customFormat="1" spans="1:18">
      <c r="A193" s="1">
        <v>185</v>
      </c>
      <c r="B193" s="37" t="s">
        <v>135</v>
      </c>
      <c r="C193" s="37" t="s">
        <v>73</v>
      </c>
      <c r="D193" s="109" t="s">
        <v>152</v>
      </c>
      <c r="E193" s="111" t="s">
        <v>74</v>
      </c>
      <c r="F193" s="95" t="s">
        <v>162</v>
      </c>
      <c r="G193" s="37" t="s">
        <v>154</v>
      </c>
      <c r="H193" s="37" t="s">
        <v>77</v>
      </c>
      <c r="I193" s="97">
        <f t="shared" si="34"/>
        <v>112.5</v>
      </c>
      <c r="J193" s="58">
        <v>125</v>
      </c>
      <c r="K193" s="39">
        <f t="shared" si="35"/>
        <v>131.25</v>
      </c>
      <c r="L193" s="144">
        <f t="shared" si="38"/>
        <v>225</v>
      </c>
      <c r="M193" s="39">
        <f t="shared" si="39"/>
        <v>250</v>
      </c>
      <c r="N193" s="145">
        <f t="shared" si="40"/>
        <v>262.5</v>
      </c>
      <c r="O193" s="39">
        <f t="shared" si="36"/>
        <v>9.37734433608402</v>
      </c>
      <c r="P193" s="37">
        <v>125</v>
      </c>
      <c r="Q193" s="146" t="s">
        <v>82</v>
      </c>
      <c r="R193" s="37"/>
    </row>
    <row r="194" s="130" customFormat="1" spans="1:18">
      <c r="A194" s="1">
        <v>186</v>
      </c>
      <c r="B194" s="37" t="s">
        <v>163</v>
      </c>
      <c r="C194" s="37" t="s">
        <v>73</v>
      </c>
      <c r="D194" s="109" t="s">
        <v>164</v>
      </c>
      <c r="E194" s="111" t="s">
        <v>74</v>
      </c>
      <c r="F194" s="95" t="s">
        <v>165</v>
      </c>
      <c r="G194" s="37" t="s">
        <v>76</v>
      </c>
      <c r="H194" s="37" t="s">
        <v>95</v>
      </c>
      <c r="I194" s="97">
        <f t="shared" si="34"/>
        <v>409.5</v>
      </c>
      <c r="J194" s="58">
        <v>455</v>
      </c>
      <c r="K194" s="39">
        <f t="shared" si="35"/>
        <v>477.75</v>
      </c>
      <c r="L194" s="144">
        <f t="shared" si="38"/>
        <v>819</v>
      </c>
      <c r="M194" s="39">
        <f t="shared" si="39"/>
        <v>910</v>
      </c>
      <c r="N194" s="145">
        <f t="shared" si="40"/>
        <v>955.5</v>
      </c>
      <c r="O194" s="39">
        <f t="shared" si="36"/>
        <v>34.1335333833458</v>
      </c>
      <c r="P194" s="37" t="s">
        <v>82</v>
      </c>
      <c r="Q194" s="146"/>
      <c r="R194" s="37">
        <v>6.8</v>
      </c>
    </row>
    <row r="195" s="130" customFormat="1" spans="1:18">
      <c r="A195" s="1">
        <v>187</v>
      </c>
      <c r="B195" s="37" t="s">
        <v>135</v>
      </c>
      <c r="C195" s="37" t="s">
        <v>73</v>
      </c>
      <c r="D195" s="109" t="s">
        <v>166</v>
      </c>
      <c r="E195" s="111" t="s">
        <v>74</v>
      </c>
      <c r="F195" s="95" t="s">
        <v>128</v>
      </c>
      <c r="G195" s="37" t="s">
        <v>76</v>
      </c>
      <c r="H195" s="37" t="s">
        <v>77</v>
      </c>
      <c r="I195" s="97">
        <f t="shared" si="34"/>
        <v>144</v>
      </c>
      <c r="J195" s="58">
        <v>160</v>
      </c>
      <c r="K195" s="39">
        <f t="shared" si="35"/>
        <v>168</v>
      </c>
      <c r="L195" s="144">
        <f t="shared" si="38"/>
        <v>288</v>
      </c>
      <c r="M195" s="39">
        <f t="shared" si="39"/>
        <v>320</v>
      </c>
      <c r="N195" s="145">
        <f t="shared" si="40"/>
        <v>336</v>
      </c>
      <c r="O195" s="39">
        <f t="shared" si="36"/>
        <v>12.0030007501875</v>
      </c>
      <c r="P195" s="37"/>
      <c r="Q195" s="146"/>
      <c r="R195" s="37">
        <v>6.16</v>
      </c>
    </row>
    <row r="196" s="130" customFormat="1" spans="1:18">
      <c r="A196" s="1">
        <v>188</v>
      </c>
      <c r="B196" s="37" t="s">
        <v>135</v>
      </c>
      <c r="C196" s="37" t="s">
        <v>73</v>
      </c>
      <c r="D196" s="109" t="s">
        <v>116</v>
      </c>
      <c r="E196" s="111" t="s">
        <v>105</v>
      </c>
      <c r="F196" s="95" t="s">
        <v>156</v>
      </c>
      <c r="G196" s="37" t="s">
        <v>76</v>
      </c>
      <c r="H196" s="37" t="s">
        <v>115</v>
      </c>
      <c r="I196" s="97">
        <f t="shared" si="34"/>
        <v>445.5</v>
      </c>
      <c r="J196" s="58">
        <v>495</v>
      </c>
      <c r="K196" s="39">
        <f t="shared" si="35"/>
        <v>519.75</v>
      </c>
      <c r="L196" s="144">
        <f t="shared" si="38"/>
        <v>891</v>
      </c>
      <c r="M196" s="39">
        <f t="shared" si="39"/>
        <v>990</v>
      </c>
      <c r="N196" s="145">
        <f t="shared" si="40"/>
        <v>1039.5</v>
      </c>
      <c r="O196" s="39">
        <f t="shared" si="36"/>
        <v>37.1342835708927</v>
      </c>
      <c r="P196" s="37"/>
      <c r="Q196" s="146"/>
      <c r="R196" s="37">
        <v>6.18</v>
      </c>
    </row>
    <row r="197" s="130" customFormat="1" spans="1:18">
      <c r="A197" s="1">
        <v>189</v>
      </c>
      <c r="B197" s="37" t="s">
        <v>135</v>
      </c>
      <c r="C197" s="37" t="s">
        <v>73</v>
      </c>
      <c r="D197" s="109" t="s">
        <v>134</v>
      </c>
      <c r="E197" s="111" t="s">
        <v>105</v>
      </c>
      <c r="F197" s="95" t="s">
        <v>128</v>
      </c>
      <c r="G197" s="37" t="s">
        <v>76</v>
      </c>
      <c r="H197" s="37" t="s">
        <v>118</v>
      </c>
      <c r="I197" s="97">
        <f t="shared" si="34"/>
        <v>350.1</v>
      </c>
      <c r="J197" s="58">
        <v>389</v>
      </c>
      <c r="K197" s="39">
        <f t="shared" si="35"/>
        <v>408.45</v>
      </c>
      <c r="L197" s="144">
        <f t="shared" si="38"/>
        <v>700.2</v>
      </c>
      <c r="M197" s="39">
        <f t="shared" si="39"/>
        <v>778</v>
      </c>
      <c r="N197" s="145">
        <f t="shared" si="40"/>
        <v>816.9</v>
      </c>
      <c r="O197" s="39">
        <f t="shared" si="36"/>
        <v>29.1822955738935</v>
      </c>
      <c r="P197" s="37"/>
      <c r="Q197" s="146"/>
      <c r="R197" s="37">
        <v>6.18</v>
      </c>
    </row>
    <row r="198" s="130" customFormat="1" spans="1:18">
      <c r="A198" s="1"/>
      <c r="B198" s="37"/>
      <c r="C198" s="37"/>
      <c r="D198" s="109"/>
      <c r="E198" s="111"/>
      <c r="F198" s="95"/>
      <c r="G198" s="37"/>
      <c r="H198" s="37"/>
      <c r="I198" s="97"/>
      <c r="J198" s="58"/>
      <c r="K198" s="39"/>
      <c r="L198" s="144"/>
      <c r="M198" s="39"/>
      <c r="N198" s="145"/>
      <c r="O198" s="39"/>
      <c r="P198" s="37"/>
      <c r="Q198" s="146"/>
      <c r="R198" s="37"/>
    </row>
    <row r="199" s="130" customFormat="1" spans="1:18">
      <c r="A199" s="1"/>
      <c r="B199" s="37"/>
      <c r="C199" s="37"/>
      <c r="D199" s="109"/>
      <c r="E199" s="111"/>
      <c r="F199" s="95"/>
      <c r="G199" s="37"/>
      <c r="H199" s="37"/>
      <c r="I199" s="97"/>
      <c r="J199" s="58"/>
      <c r="K199" s="39"/>
      <c r="L199" s="144"/>
      <c r="M199" s="39"/>
      <c r="N199" s="145"/>
      <c r="O199" s="39"/>
      <c r="P199" s="37"/>
      <c r="Q199" s="146"/>
      <c r="R199" s="37"/>
    </row>
    <row r="200" customFormat="1" spans="1:18">
      <c r="A200" s="1"/>
      <c r="B200" s="1"/>
      <c r="C200" s="1"/>
      <c r="D200" s="152"/>
      <c r="E200" s="153"/>
      <c r="F200" s="26"/>
      <c r="G200" s="1"/>
      <c r="H200" s="1"/>
      <c r="I200" s="154"/>
      <c r="J200" s="4"/>
      <c r="K200" s="10"/>
      <c r="L200" s="131"/>
      <c r="M200" s="10"/>
      <c r="N200" s="132"/>
      <c r="O200" s="10"/>
      <c r="P200" s="1"/>
      <c r="Q200" s="133"/>
      <c r="R200" s="1"/>
    </row>
    <row r="201" s="6" customFormat="1" spans="1:18">
      <c r="B201" s="21" t="s">
        <v>53</v>
      </c>
      <c r="C201" s="115"/>
      <c r="D201" s="115"/>
      <c r="E201" s="24"/>
      <c r="F201" s="115"/>
      <c r="G201" s="115"/>
      <c r="H201" s="115"/>
      <c r="I201" s="115"/>
      <c r="J201" s="155"/>
      <c r="K201" s="115"/>
      <c r="L201" s="156"/>
      <c r="M201" s="115"/>
      <c r="N201" s="157"/>
      <c r="O201" s="115"/>
      <c r="P201" s="25"/>
      <c r="Q201" s="115"/>
      <c r="R201" s="115"/>
    </row>
    <row r="202" s="7" customFormat="1" spans="1:18">
      <c r="B202" s="22" t="s">
        <v>167</v>
      </c>
      <c r="E202" s="118"/>
      <c r="J202" s="158"/>
      <c r="L202" s="159"/>
      <c r="N202" s="160"/>
      <c r="P202" s="120"/>
    </row>
    <row r="203" s="7" customFormat="1" ht="52" customHeight="1" spans="1:18">
      <c r="B203" s="124" t="s">
        <v>168</v>
      </c>
      <c r="C203" s="124"/>
      <c r="D203" s="124"/>
      <c r="E203" s="124"/>
      <c r="F203" s="124"/>
      <c r="G203" s="124"/>
      <c r="H203" s="124"/>
      <c r="I203" s="124"/>
      <c r="J203" s="128"/>
      <c r="K203" s="124"/>
      <c r="L203" s="161"/>
      <c r="M203" s="124"/>
      <c r="N203" s="162"/>
      <c r="O203" s="124"/>
      <c r="P203" s="124"/>
      <c r="Q203" s="124"/>
      <c r="R203" s="124"/>
    </row>
    <row r="204" s="7" customFormat="1" spans="1:18">
      <c r="B204" s="22" t="s">
        <v>169</v>
      </c>
      <c r="E204" s="118"/>
      <c r="J204" s="158"/>
      <c r="L204" s="159"/>
      <c r="N204" s="160"/>
      <c r="P204" s="120"/>
    </row>
    <row r="205" s="7" customFormat="1" spans="1:18">
      <c r="B205" s="22" t="s">
        <v>170</v>
      </c>
      <c r="E205" s="118"/>
      <c r="J205" s="158"/>
      <c r="L205" s="159"/>
      <c r="N205" s="160"/>
      <c r="P205" s="120"/>
    </row>
    <row r="206" s="7" customFormat="1" spans="1:18">
      <c r="B206" s="22" t="s">
        <v>171</v>
      </c>
      <c r="E206" s="118"/>
      <c r="J206" s="158"/>
      <c r="L206" s="159"/>
      <c r="N206" s="160"/>
      <c r="P206" s="120"/>
    </row>
    <row r="207" s="7" customFormat="1" spans="1:18">
      <c r="B207" s="22" t="s">
        <v>172</v>
      </c>
      <c r="E207" s="118"/>
      <c r="J207" s="158"/>
      <c r="L207" s="159"/>
      <c r="N207" s="160"/>
      <c r="P207" s="120"/>
    </row>
    <row r="208" s="7" customFormat="1" spans="1:18">
      <c r="B208" s="22" t="s">
        <v>173</v>
      </c>
      <c r="E208" s="118"/>
      <c r="J208" s="158"/>
      <c r="L208" s="159"/>
      <c r="N208" s="160"/>
      <c r="P208" s="120"/>
    </row>
  </sheetData>
  <autoFilter xmlns:etc="http://www.wps.cn/officeDocument/2017/etCustomData" ref="B8:R208" etc:filterBottomFollowUsedRange="0">
    <extLst/>
  </autoFilter>
  <mergeCells count="4">
    <mergeCell ref="B1:H1"/>
    <mergeCell ref="B2:H2"/>
    <mergeCell ref="B3:H3"/>
    <mergeCell ref="B203:R203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EY129"/>
  <sheetViews>
    <sheetView workbookViewId="0">
      <pane xSplit="2" ySplit="8" topLeftCell="C106" activePane="bottomRight" state="frozen"/>
      <selection/>
      <selection pane="topRight"/>
      <selection pane="bottomLeft"/>
      <selection pane="bottomRight" activeCell="A124" sqref="A124:P124"/>
    </sheetView>
  </sheetViews>
  <sheetFormatPr defaultColWidth="8.8" defaultRowHeight="15.6"/>
  <cols>
    <col min="1" max="1" width="4.4" style="1" customWidth="1"/>
    <col min="2" max="2" width="9.5" style="1" customWidth="1"/>
    <col min="3" max="3" width="8.9" style="1" customWidth="1"/>
    <col min="4" max="4" width="9.5" style="26" customWidth="1"/>
    <col min="5" max="5" width="6.9" style="68" customWidth="1"/>
    <col min="6" max="6" width="8.3" style="1" customWidth="1"/>
    <col min="7" max="7" width="6.9" style="26" customWidth="1"/>
    <col min="8" max="8" width="12.2" style="1" customWidth="1"/>
    <col min="9" max="9" width="11.5" style="1" customWidth="1"/>
    <col min="10" max="10" width="12.1" style="10" customWidth="1"/>
    <col min="11" max="11" width="12.1" style="4" customWidth="1"/>
    <col min="12" max="13" width="12.1" style="10" customWidth="1"/>
    <col min="14" max="14" width="8.8" style="69" customWidth="1"/>
    <col min="15" max="15" width="12.1" style="10" customWidth="1"/>
    <col min="16" max="16" width="9.5" style="10" customWidth="1"/>
    <col min="17" max="17" width="8.8" style="53" customWidth="1"/>
    <col min="18" max="18" width="8.8" style="1" customWidth="1"/>
    <col min="19" max="16384" width="8.8" style="1"/>
  </cols>
  <sheetData>
    <row r="1" s="1" customFormat="1" ht="22.8" spans="1:18">
      <c r="B1" s="12" t="s">
        <v>0</v>
      </c>
      <c r="C1" s="12"/>
      <c r="D1" s="15"/>
      <c r="E1" s="70"/>
      <c r="F1" s="12"/>
      <c r="G1" s="15"/>
      <c r="H1" s="12"/>
      <c r="I1" s="12"/>
      <c r="J1" s="71"/>
      <c r="K1" s="4"/>
      <c r="L1" s="10"/>
      <c r="M1" s="10"/>
      <c r="N1" s="69"/>
      <c r="O1" s="10"/>
      <c r="P1" s="10"/>
      <c r="Q1" s="53"/>
    </row>
    <row r="2" s="1" customFormat="1" spans="1:18">
      <c r="B2" s="16" t="s">
        <v>1</v>
      </c>
      <c r="C2" s="20"/>
      <c r="D2" s="19"/>
      <c r="E2" s="72"/>
      <c r="F2" s="20"/>
      <c r="G2" s="19"/>
      <c r="H2" s="20"/>
      <c r="I2" s="20"/>
      <c r="J2" s="73"/>
      <c r="K2" s="4"/>
      <c r="L2" s="10"/>
      <c r="M2" s="10"/>
      <c r="N2" s="69"/>
      <c r="O2" s="10"/>
      <c r="P2" s="10"/>
      <c r="Q2" s="53"/>
    </row>
    <row r="3" s="1" customFormat="1" spans="1:18">
      <c r="B3" s="20" t="s">
        <v>2</v>
      </c>
      <c r="C3" s="20"/>
      <c r="D3" s="19"/>
      <c r="E3" s="72"/>
      <c r="F3" s="20"/>
      <c r="G3" s="19"/>
      <c r="H3" s="20"/>
      <c r="I3" s="20"/>
      <c r="J3" s="73"/>
      <c r="K3" s="4"/>
      <c r="L3" s="10"/>
      <c r="M3" s="10"/>
      <c r="N3" s="69"/>
      <c r="O3" s="10"/>
      <c r="P3" s="10"/>
      <c r="Q3" s="53"/>
    </row>
    <row r="4" s="1" customFormat="1" spans="1:18">
      <c r="B4" s="21" t="s">
        <v>3</v>
      </c>
      <c r="C4" s="22"/>
      <c r="D4" s="24"/>
      <c r="E4" s="74"/>
      <c r="F4" s="22"/>
      <c r="G4" s="24"/>
      <c r="H4" s="22"/>
      <c r="I4" s="21"/>
      <c r="J4" s="75"/>
      <c r="K4" s="76" t="s">
        <v>58</v>
      </c>
      <c r="L4" s="75"/>
      <c r="M4" s="75"/>
      <c r="N4" s="77"/>
      <c r="O4" s="75"/>
      <c r="P4" s="25"/>
      <c r="Q4" s="53"/>
    </row>
    <row r="5" s="1" customFormat="1" spans="1:18">
      <c r="B5" s="21" t="s">
        <v>5</v>
      </c>
      <c r="C5" s="22"/>
      <c r="D5" s="24"/>
      <c r="E5" s="74"/>
      <c r="F5" s="22"/>
      <c r="G5" s="24"/>
      <c r="H5" s="22"/>
      <c r="I5" s="78"/>
      <c r="J5" s="79"/>
      <c r="K5" s="80" t="s">
        <v>6</v>
      </c>
      <c r="L5" s="79"/>
      <c r="M5" s="79"/>
      <c r="N5" s="81"/>
      <c r="O5" s="79"/>
      <c r="P5" s="25"/>
      <c r="Q5" s="53"/>
    </row>
    <row r="6" s="1" customFormat="1" spans="1:18">
      <c r="B6" s="21" t="s">
        <v>7</v>
      </c>
      <c r="C6" s="22"/>
      <c r="D6" s="24"/>
      <c r="E6" s="74"/>
      <c r="F6" s="22"/>
      <c r="G6" s="24"/>
      <c r="H6" s="22"/>
      <c r="I6" s="22"/>
      <c r="J6" s="25"/>
      <c r="K6" s="82"/>
      <c r="L6" s="25"/>
      <c r="M6" s="25"/>
      <c r="N6" s="83"/>
      <c r="O6" s="25"/>
      <c r="P6" s="25"/>
      <c r="Q6" s="53"/>
    </row>
    <row r="7" s="1" customFormat="1" spans="1:18">
      <c r="D7" s="26"/>
      <c r="E7" s="68"/>
      <c r="G7" s="26"/>
      <c r="I7" s="1" t="s">
        <v>8</v>
      </c>
      <c r="J7" s="10"/>
      <c r="K7" s="4"/>
      <c r="L7" s="10"/>
      <c r="M7" s="10"/>
      <c r="N7" s="69"/>
      <c r="O7" s="10"/>
      <c r="P7" s="10"/>
      <c r="Q7" s="53"/>
    </row>
    <row r="8" s="2" customFormat="1" ht="32" customHeight="1" spans="1:18">
      <c r="A8" s="84" t="s">
        <v>9</v>
      </c>
      <c r="B8" s="85" t="s">
        <v>10</v>
      </c>
      <c r="C8" s="85" t="s">
        <v>59</v>
      </c>
      <c r="D8" s="86" t="s">
        <v>60</v>
      </c>
      <c r="E8" s="87" t="s">
        <v>174</v>
      </c>
      <c r="F8" s="85" t="s">
        <v>61</v>
      </c>
      <c r="G8" s="86" t="s">
        <v>62</v>
      </c>
      <c r="H8" s="85" t="s">
        <v>63</v>
      </c>
      <c r="I8" s="85" t="s">
        <v>64</v>
      </c>
      <c r="J8" s="88" t="s">
        <v>65</v>
      </c>
      <c r="K8" s="89" t="s">
        <v>175</v>
      </c>
      <c r="L8" s="88" t="s">
        <v>67</v>
      </c>
      <c r="M8" s="90" t="s">
        <v>16</v>
      </c>
      <c r="N8" s="91" t="s">
        <v>176</v>
      </c>
      <c r="O8" s="90" t="s">
        <v>177</v>
      </c>
      <c r="P8" s="90" t="s">
        <v>20</v>
      </c>
      <c r="Q8" s="52"/>
    </row>
    <row r="9" s="1" customFormat="1" spans="1:18">
      <c r="A9" s="1">
        <v>1</v>
      </c>
      <c r="B9" s="37" t="s">
        <v>178</v>
      </c>
      <c r="C9" s="37" t="s">
        <v>179</v>
      </c>
      <c r="D9" s="92" t="s">
        <v>180</v>
      </c>
      <c r="E9" s="93"/>
      <c r="F9" s="94" t="s">
        <v>74</v>
      </c>
      <c r="G9" s="95" t="s">
        <v>75</v>
      </c>
      <c r="H9" s="37" t="s">
        <v>154</v>
      </c>
      <c r="I9" s="96" t="s">
        <v>181</v>
      </c>
      <c r="J9" s="97">
        <f t="shared" ref="J9:J67" si="0">K9*0.9</f>
        <v>150.3</v>
      </c>
      <c r="K9" s="58">
        <v>167</v>
      </c>
      <c r="L9" s="39">
        <f t="shared" ref="L9:L72" si="1">K9*1.05</f>
        <v>175.35</v>
      </c>
      <c r="M9" s="39">
        <f t="shared" ref="M9:M72" si="2">K9/13.33</f>
        <v>12.5281320330083</v>
      </c>
      <c r="N9" s="98">
        <v>155</v>
      </c>
      <c r="O9" s="99">
        <f t="shared" ref="O9:O72" si="3">(K9-N9)/N9</f>
        <v>0.0774193548387097</v>
      </c>
      <c r="P9" s="39"/>
      <c r="Q9" s="53">
        <f t="shared" ref="Q9:Q72" si="4">N9*1.08</f>
        <v>167.4</v>
      </c>
      <c r="R9" s="100">
        <f t="shared" ref="R9:R72" si="5">ROUND(Q9,0)</f>
        <v>167</v>
      </c>
    </row>
    <row r="10" s="1" customFormat="1" spans="1:18">
      <c r="A10" s="1">
        <v>2</v>
      </c>
      <c r="B10" s="37" t="s">
        <v>178</v>
      </c>
      <c r="C10" s="37" t="s">
        <v>179</v>
      </c>
      <c r="D10" s="92" t="s">
        <v>180</v>
      </c>
      <c r="E10" s="93"/>
      <c r="F10" s="94" t="s">
        <v>74</v>
      </c>
      <c r="G10" s="95" t="s">
        <v>75</v>
      </c>
      <c r="H10" s="37" t="s">
        <v>154</v>
      </c>
      <c r="I10" s="96" t="s">
        <v>85</v>
      </c>
      <c r="J10" s="97">
        <f t="shared" si="0"/>
        <v>117</v>
      </c>
      <c r="K10" s="58">
        <v>130</v>
      </c>
      <c r="L10" s="39">
        <f t="shared" si="1"/>
        <v>136.5</v>
      </c>
      <c r="M10" s="39">
        <f t="shared" si="2"/>
        <v>9.75243810952738</v>
      </c>
      <c r="N10" s="98">
        <v>120</v>
      </c>
      <c r="O10" s="99">
        <f t="shared" si="3"/>
        <v>0.0833333333333333</v>
      </c>
      <c r="P10" s="39"/>
      <c r="Q10" s="53">
        <f t="shared" si="4"/>
        <v>129.6</v>
      </c>
      <c r="R10" s="100">
        <f t="shared" si="5"/>
        <v>130</v>
      </c>
    </row>
    <row r="11" s="1" customFormat="1" spans="1:18">
      <c r="A11" s="1">
        <v>3</v>
      </c>
      <c r="B11" s="37" t="s">
        <v>178</v>
      </c>
      <c r="C11" s="37" t="s">
        <v>179</v>
      </c>
      <c r="D11" s="92" t="s">
        <v>137</v>
      </c>
      <c r="E11" s="93"/>
      <c r="F11" s="94" t="s">
        <v>74</v>
      </c>
      <c r="G11" s="95" t="s">
        <v>165</v>
      </c>
      <c r="H11" s="37" t="s">
        <v>154</v>
      </c>
      <c r="I11" s="96" t="s">
        <v>182</v>
      </c>
      <c r="J11" s="97">
        <f t="shared" si="0"/>
        <v>407.7</v>
      </c>
      <c r="K11" s="58">
        <v>453</v>
      </c>
      <c r="L11" s="39">
        <f t="shared" si="1"/>
        <v>475.65</v>
      </c>
      <c r="M11" s="39">
        <f t="shared" si="2"/>
        <v>33.9834958739685</v>
      </c>
      <c r="N11" s="98">
        <v>419</v>
      </c>
      <c r="O11" s="99">
        <f t="shared" si="3"/>
        <v>0.081145584725537</v>
      </c>
      <c r="P11" s="39"/>
      <c r="Q11" s="53">
        <f t="shared" si="4"/>
        <v>452.52</v>
      </c>
      <c r="R11" s="100">
        <f t="shared" si="5"/>
        <v>453</v>
      </c>
    </row>
    <row r="12" s="1" customFormat="1" spans="1:18">
      <c r="A12" s="1">
        <v>4</v>
      </c>
      <c r="B12" s="37" t="s">
        <v>178</v>
      </c>
      <c r="C12" s="37" t="s">
        <v>179</v>
      </c>
      <c r="D12" s="92" t="s">
        <v>183</v>
      </c>
      <c r="E12" s="93"/>
      <c r="F12" s="94" t="s">
        <v>74</v>
      </c>
      <c r="G12" s="95" t="s">
        <v>75</v>
      </c>
      <c r="H12" s="37" t="s">
        <v>154</v>
      </c>
      <c r="I12" s="96" t="s">
        <v>184</v>
      </c>
      <c r="J12" s="97">
        <f t="shared" si="0"/>
        <v>126</v>
      </c>
      <c r="K12" s="58">
        <v>140</v>
      </c>
      <c r="L12" s="39">
        <f t="shared" si="1"/>
        <v>147</v>
      </c>
      <c r="M12" s="39">
        <f t="shared" si="2"/>
        <v>10.5026256564141</v>
      </c>
      <c r="N12" s="98">
        <v>130</v>
      </c>
      <c r="O12" s="99">
        <f t="shared" si="3"/>
        <v>0.0769230769230769</v>
      </c>
      <c r="P12" s="39"/>
      <c r="Q12" s="53">
        <f t="shared" si="4"/>
        <v>140.4</v>
      </c>
      <c r="R12" s="100">
        <f t="shared" si="5"/>
        <v>140</v>
      </c>
    </row>
    <row r="13" s="1" customFormat="1" spans="1:18">
      <c r="A13" s="1">
        <v>5</v>
      </c>
      <c r="B13" s="37" t="s">
        <v>178</v>
      </c>
      <c r="C13" s="37" t="s">
        <v>179</v>
      </c>
      <c r="D13" s="92" t="s">
        <v>183</v>
      </c>
      <c r="E13" s="93"/>
      <c r="F13" s="94" t="s">
        <v>74</v>
      </c>
      <c r="G13" s="95" t="s">
        <v>75</v>
      </c>
      <c r="H13" s="37" t="s">
        <v>154</v>
      </c>
      <c r="I13" s="96" t="s">
        <v>85</v>
      </c>
      <c r="J13" s="97">
        <f t="shared" si="0"/>
        <v>111.6</v>
      </c>
      <c r="K13" s="58">
        <v>124</v>
      </c>
      <c r="L13" s="39">
        <f t="shared" si="1"/>
        <v>130.2</v>
      </c>
      <c r="M13" s="39">
        <f t="shared" si="2"/>
        <v>9.30232558139535</v>
      </c>
      <c r="N13" s="98">
        <v>115</v>
      </c>
      <c r="O13" s="99">
        <f t="shared" si="3"/>
        <v>0.0782608695652174</v>
      </c>
      <c r="P13" s="39"/>
      <c r="Q13" s="53">
        <f t="shared" si="4"/>
        <v>124.2</v>
      </c>
      <c r="R13" s="100">
        <f t="shared" si="5"/>
        <v>124</v>
      </c>
    </row>
    <row r="14" s="1" customFormat="1" spans="1:18">
      <c r="A14" s="1">
        <v>6</v>
      </c>
      <c r="B14" s="37" t="s">
        <v>178</v>
      </c>
      <c r="C14" s="37" t="s">
        <v>179</v>
      </c>
      <c r="D14" s="92" t="s">
        <v>164</v>
      </c>
      <c r="E14" s="93">
        <f>D14*39.37</f>
        <v>20.0787</v>
      </c>
      <c r="F14" s="94" t="s">
        <v>74</v>
      </c>
      <c r="G14" s="95" t="s">
        <v>75</v>
      </c>
      <c r="H14" s="37" t="s">
        <v>154</v>
      </c>
      <c r="I14" s="96" t="s">
        <v>185</v>
      </c>
      <c r="J14" s="97">
        <f t="shared" si="0"/>
        <v>194.4</v>
      </c>
      <c r="K14" s="58">
        <v>216</v>
      </c>
      <c r="L14" s="39">
        <f t="shared" si="1"/>
        <v>226.8</v>
      </c>
      <c r="M14" s="39">
        <f t="shared" si="2"/>
        <v>16.2040510127532</v>
      </c>
      <c r="N14" s="98">
        <v>200</v>
      </c>
      <c r="O14" s="99">
        <f t="shared" si="3"/>
        <v>0.08</v>
      </c>
      <c r="P14" s="39"/>
      <c r="Q14" s="53">
        <f t="shared" si="4"/>
        <v>216</v>
      </c>
      <c r="R14" s="100">
        <f t="shared" si="5"/>
        <v>216</v>
      </c>
    </row>
    <row r="15" s="1" customFormat="1" spans="1:18">
      <c r="A15" s="1">
        <v>7</v>
      </c>
      <c r="B15" s="37" t="s">
        <v>178</v>
      </c>
      <c r="C15" s="37" t="s">
        <v>179</v>
      </c>
      <c r="D15" s="92" t="s">
        <v>186</v>
      </c>
      <c r="E15" s="93">
        <f>D15*39.37</f>
        <v>47.244</v>
      </c>
      <c r="F15" s="94" t="s">
        <v>74</v>
      </c>
      <c r="G15" s="95" t="s">
        <v>75</v>
      </c>
      <c r="H15" s="37" t="s">
        <v>154</v>
      </c>
      <c r="I15" s="96" t="s">
        <v>110</v>
      </c>
      <c r="J15" s="97">
        <f t="shared" si="0"/>
        <v>262.8</v>
      </c>
      <c r="K15" s="58">
        <v>292</v>
      </c>
      <c r="L15" s="39">
        <f t="shared" si="1"/>
        <v>306.6</v>
      </c>
      <c r="M15" s="39">
        <f t="shared" si="2"/>
        <v>21.9054763690923</v>
      </c>
      <c r="N15" s="98">
        <v>270</v>
      </c>
      <c r="O15" s="99">
        <f t="shared" si="3"/>
        <v>0.0814814814814815</v>
      </c>
      <c r="P15" s="39"/>
      <c r="Q15" s="53">
        <f t="shared" si="4"/>
        <v>291.6</v>
      </c>
      <c r="R15" s="100">
        <f t="shared" si="5"/>
        <v>292</v>
      </c>
    </row>
    <row r="16" s="1" customFormat="1" spans="1:18">
      <c r="A16" s="1">
        <v>8</v>
      </c>
      <c r="B16" s="37" t="s">
        <v>187</v>
      </c>
      <c r="C16" s="37" t="s">
        <v>179</v>
      </c>
      <c r="D16" s="92">
        <v>0.076</v>
      </c>
      <c r="E16" s="93"/>
      <c r="F16" s="94" t="s">
        <v>74</v>
      </c>
      <c r="G16" s="95" t="s">
        <v>128</v>
      </c>
      <c r="H16" s="37" t="s">
        <v>188</v>
      </c>
      <c r="I16" s="96" t="s">
        <v>77</v>
      </c>
      <c r="J16" s="97">
        <f t="shared" si="0"/>
        <v>170.1</v>
      </c>
      <c r="K16" s="58">
        <v>189</v>
      </c>
      <c r="L16" s="39">
        <f t="shared" si="1"/>
        <v>198.45</v>
      </c>
      <c r="M16" s="39">
        <f t="shared" si="2"/>
        <v>14.178544636159</v>
      </c>
      <c r="N16" s="98">
        <v>175</v>
      </c>
      <c r="O16" s="99">
        <f t="shared" si="3"/>
        <v>0.08</v>
      </c>
      <c r="P16" s="39"/>
      <c r="Q16" s="53">
        <f t="shared" si="4"/>
        <v>189</v>
      </c>
      <c r="R16" s="100">
        <f t="shared" si="5"/>
        <v>189</v>
      </c>
    </row>
    <row r="17" s="1" customFormat="1" spans="1:19 16379:16379">
      <c r="A17" s="1">
        <v>9</v>
      </c>
      <c r="B17" s="37" t="s">
        <v>187</v>
      </c>
      <c r="C17" s="37" t="s">
        <v>179</v>
      </c>
      <c r="D17" s="92">
        <v>0.076</v>
      </c>
      <c r="E17" s="93"/>
      <c r="F17" s="94" t="s">
        <v>74</v>
      </c>
      <c r="G17" s="95" t="s">
        <v>75</v>
      </c>
      <c r="H17" s="37" t="s">
        <v>188</v>
      </c>
      <c r="I17" s="96" t="s">
        <v>189</v>
      </c>
      <c r="J17" s="97">
        <f t="shared" si="0"/>
        <v>107.1</v>
      </c>
      <c r="K17" s="58">
        <v>119</v>
      </c>
      <c r="L17" s="39">
        <f t="shared" si="1"/>
        <v>124.95</v>
      </c>
      <c r="M17" s="39">
        <f t="shared" si="2"/>
        <v>8.92723180795199</v>
      </c>
      <c r="N17" s="98">
        <v>110</v>
      </c>
      <c r="O17" s="99">
        <f t="shared" si="3"/>
        <v>0.0818181818181818</v>
      </c>
      <c r="P17" s="39"/>
      <c r="Q17" s="53">
        <f t="shared" si="4"/>
        <v>118.8</v>
      </c>
      <c r="R17" s="100">
        <f t="shared" si="5"/>
        <v>119</v>
      </c>
    </row>
    <row r="18" s="1" customFormat="1" spans="1:19 16379:16379">
      <c r="A18" s="1">
        <v>10</v>
      </c>
      <c r="B18" s="37" t="s">
        <v>187</v>
      </c>
      <c r="C18" s="37" t="s">
        <v>179</v>
      </c>
      <c r="D18" s="92">
        <v>0.127</v>
      </c>
      <c r="E18" s="93"/>
      <c r="F18" s="94" t="s">
        <v>74</v>
      </c>
      <c r="G18" s="95" t="s">
        <v>190</v>
      </c>
      <c r="H18" s="37" t="s">
        <v>191</v>
      </c>
      <c r="I18" s="96" t="s">
        <v>81</v>
      </c>
      <c r="J18" s="97">
        <f t="shared" si="0"/>
        <v>226.8</v>
      </c>
      <c r="K18" s="58">
        <v>252</v>
      </c>
      <c r="L18" s="39">
        <f t="shared" si="1"/>
        <v>264.6</v>
      </c>
      <c r="M18" s="39">
        <f t="shared" si="2"/>
        <v>18.9047261815454</v>
      </c>
      <c r="N18" s="98">
        <v>233</v>
      </c>
      <c r="O18" s="99">
        <f t="shared" si="3"/>
        <v>0.0815450643776824</v>
      </c>
      <c r="P18" s="39"/>
      <c r="Q18" s="53">
        <f t="shared" si="4"/>
        <v>251.64</v>
      </c>
      <c r="R18" s="100">
        <f t="shared" si="5"/>
        <v>252</v>
      </c>
    </row>
    <row r="19" s="1" customFormat="1" spans="1:19 16379:16379">
      <c r="A19" s="1">
        <v>11</v>
      </c>
      <c r="B19" s="37" t="s">
        <v>187</v>
      </c>
      <c r="C19" s="37" t="s">
        <v>179</v>
      </c>
      <c r="D19" s="92">
        <v>0.152</v>
      </c>
      <c r="E19" s="93"/>
      <c r="F19" s="94" t="s">
        <v>74</v>
      </c>
      <c r="G19" s="95" t="s">
        <v>128</v>
      </c>
      <c r="H19" s="37" t="s">
        <v>188</v>
      </c>
      <c r="I19" s="96" t="s">
        <v>159</v>
      </c>
      <c r="J19" s="97">
        <f t="shared" si="0"/>
        <v>180</v>
      </c>
      <c r="K19" s="58">
        <v>200</v>
      </c>
      <c r="L19" s="39">
        <f t="shared" si="1"/>
        <v>210</v>
      </c>
      <c r="M19" s="39">
        <f t="shared" si="2"/>
        <v>15.0037509377344</v>
      </c>
      <c r="N19" s="98">
        <v>185</v>
      </c>
      <c r="O19" s="99">
        <f t="shared" si="3"/>
        <v>0.0810810810810811</v>
      </c>
      <c r="P19" s="39"/>
      <c r="Q19" s="53">
        <f t="shared" si="4"/>
        <v>199.8</v>
      </c>
      <c r="R19" s="100">
        <f t="shared" si="5"/>
        <v>200</v>
      </c>
    </row>
    <row r="20" s="1" customFormat="1" spans="1:19 16379:16379">
      <c r="A20" s="1">
        <v>12</v>
      </c>
      <c r="B20" s="37" t="s">
        <v>187</v>
      </c>
      <c r="C20" s="37" t="s">
        <v>179</v>
      </c>
      <c r="D20" s="92">
        <v>0.152</v>
      </c>
      <c r="E20" s="93"/>
      <c r="F20" s="94" t="s">
        <v>74</v>
      </c>
      <c r="G20" s="95" t="s">
        <v>190</v>
      </c>
      <c r="H20" s="37" t="s">
        <v>191</v>
      </c>
      <c r="I20" s="96" t="s">
        <v>158</v>
      </c>
      <c r="J20" s="97">
        <f t="shared" si="0"/>
        <v>247.5</v>
      </c>
      <c r="K20" s="58">
        <v>275</v>
      </c>
      <c r="L20" s="39">
        <f t="shared" si="1"/>
        <v>288.75</v>
      </c>
      <c r="M20" s="39">
        <f t="shared" si="2"/>
        <v>20.6301575393848</v>
      </c>
      <c r="N20" s="98">
        <v>255</v>
      </c>
      <c r="O20" s="99">
        <f t="shared" si="3"/>
        <v>0.0784313725490196</v>
      </c>
      <c r="P20" s="39"/>
      <c r="Q20" s="53">
        <f t="shared" si="4"/>
        <v>275.4</v>
      </c>
      <c r="R20" s="100">
        <f t="shared" si="5"/>
        <v>275</v>
      </c>
    </row>
    <row r="21" s="1" customFormat="1" spans="1:19 16379:16379">
      <c r="A21" s="1">
        <v>13</v>
      </c>
      <c r="B21" s="37" t="s">
        <v>187</v>
      </c>
      <c r="C21" s="37" t="s">
        <v>179</v>
      </c>
      <c r="D21" s="92" t="s">
        <v>137</v>
      </c>
      <c r="E21" s="93"/>
      <c r="F21" s="94" t="s">
        <v>74</v>
      </c>
      <c r="G21" s="95" t="s">
        <v>128</v>
      </c>
      <c r="H21" s="37" t="s">
        <v>188</v>
      </c>
      <c r="I21" s="96" t="s">
        <v>81</v>
      </c>
      <c r="J21" s="97">
        <f t="shared" si="0"/>
        <v>165.6</v>
      </c>
      <c r="K21" s="58">
        <v>184</v>
      </c>
      <c r="L21" s="39">
        <f t="shared" si="1"/>
        <v>193.2</v>
      </c>
      <c r="M21" s="39">
        <f t="shared" si="2"/>
        <v>13.8034508627157</v>
      </c>
      <c r="N21" s="98">
        <v>170</v>
      </c>
      <c r="O21" s="99">
        <f t="shared" si="3"/>
        <v>0.0823529411764706</v>
      </c>
      <c r="P21" s="39"/>
      <c r="Q21" s="53">
        <f t="shared" si="4"/>
        <v>183.6</v>
      </c>
      <c r="R21" s="100">
        <f t="shared" si="5"/>
        <v>184</v>
      </c>
    </row>
    <row r="22" s="1" customFormat="1" spans="1:19 16379:16379">
      <c r="A22" s="1">
        <v>14</v>
      </c>
      <c r="B22" s="37" t="s">
        <v>187</v>
      </c>
      <c r="C22" s="37" t="s">
        <v>179</v>
      </c>
      <c r="D22" s="92" t="s">
        <v>137</v>
      </c>
      <c r="E22" s="93">
        <f>D22*39.37</f>
        <v>4.01574</v>
      </c>
      <c r="F22" s="94" t="s">
        <v>74</v>
      </c>
      <c r="G22" s="95" t="s">
        <v>128</v>
      </c>
      <c r="H22" s="37" t="s">
        <v>188</v>
      </c>
      <c r="I22" s="96" t="s">
        <v>182</v>
      </c>
      <c r="J22" s="97">
        <f t="shared" si="0"/>
        <v>192.6</v>
      </c>
      <c r="K22" s="58">
        <v>214</v>
      </c>
      <c r="L22" s="39">
        <f t="shared" si="1"/>
        <v>224.7</v>
      </c>
      <c r="M22" s="39">
        <f t="shared" si="2"/>
        <v>16.0540135033758</v>
      </c>
      <c r="N22" s="98">
        <v>198</v>
      </c>
      <c r="O22" s="99">
        <f t="shared" si="3"/>
        <v>0.0808080808080808</v>
      </c>
      <c r="P22" s="39"/>
      <c r="Q22" s="53">
        <f t="shared" si="4"/>
        <v>213.84</v>
      </c>
      <c r="R22" s="100">
        <f t="shared" si="5"/>
        <v>214</v>
      </c>
    </row>
    <row r="23" s="1" customFormat="1" spans="1:19 16379:16379">
      <c r="A23" s="1">
        <v>15</v>
      </c>
      <c r="B23" s="37" t="s">
        <v>187</v>
      </c>
      <c r="C23" s="37" t="s">
        <v>179</v>
      </c>
      <c r="D23" s="92" t="s">
        <v>137</v>
      </c>
      <c r="E23" s="93"/>
      <c r="F23" s="94" t="s">
        <v>74</v>
      </c>
      <c r="G23" s="95" t="s">
        <v>156</v>
      </c>
      <c r="H23" s="37" t="s">
        <v>154</v>
      </c>
      <c r="I23" s="96" t="s">
        <v>81</v>
      </c>
      <c r="J23" s="97">
        <f t="shared" si="0"/>
        <v>281.7</v>
      </c>
      <c r="K23" s="58">
        <v>313</v>
      </c>
      <c r="L23" s="39">
        <f t="shared" si="1"/>
        <v>328.65</v>
      </c>
      <c r="M23" s="39">
        <f t="shared" si="2"/>
        <v>23.4808702175544</v>
      </c>
      <c r="N23" s="98">
        <v>290</v>
      </c>
      <c r="O23" s="99">
        <f t="shared" si="3"/>
        <v>0.0793103448275862</v>
      </c>
      <c r="P23" s="39"/>
      <c r="Q23" s="53">
        <f t="shared" si="4"/>
        <v>313.2</v>
      </c>
      <c r="R23" s="100">
        <f t="shared" si="5"/>
        <v>313</v>
      </c>
      <c r="S23" s="101">
        <v>290</v>
      </c>
    </row>
    <row r="24" s="1" customFormat="1" spans="1:19 16379:16379">
      <c r="A24" s="1">
        <v>16</v>
      </c>
      <c r="B24" s="37" t="s">
        <v>187</v>
      </c>
      <c r="C24" s="37" t="s">
        <v>179</v>
      </c>
      <c r="D24" s="92" t="s">
        <v>137</v>
      </c>
      <c r="E24" s="93"/>
      <c r="F24" s="94" t="s">
        <v>74</v>
      </c>
      <c r="G24" s="95" t="s">
        <v>75</v>
      </c>
      <c r="H24" s="37" t="s">
        <v>188</v>
      </c>
      <c r="I24" s="96" t="s">
        <v>182</v>
      </c>
      <c r="J24" s="97">
        <f t="shared" si="0"/>
        <v>124.2</v>
      </c>
      <c r="K24" s="58">
        <v>138</v>
      </c>
      <c r="L24" s="39">
        <f t="shared" si="1"/>
        <v>144.9</v>
      </c>
      <c r="M24" s="39">
        <f t="shared" si="2"/>
        <v>10.3525881470368</v>
      </c>
      <c r="N24" s="98">
        <v>128</v>
      </c>
      <c r="O24" s="99">
        <f t="shared" si="3"/>
        <v>0.078125</v>
      </c>
      <c r="P24" s="39"/>
      <c r="Q24" s="53">
        <f t="shared" si="4"/>
        <v>138.24</v>
      </c>
      <c r="R24" s="100">
        <f t="shared" si="5"/>
        <v>138</v>
      </c>
    </row>
    <row r="25" s="1" customFormat="1" spans="1:19 16379:16379">
      <c r="A25" s="1">
        <v>17</v>
      </c>
      <c r="B25" s="37" t="s">
        <v>187</v>
      </c>
      <c r="C25" s="37" t="s">
        <v>179</v>
      </c>
      <c r="D25" s="92" t="s">
        <v>80</v>
      </c>
      <c r="E25" s="93"/>
      <c r="F25" s="94" t="s">
        <v>74</v>
      </c>
      <c r="G25" s="95" t="s">
        <v>128</v>
      </c>
      <c r="H25" s="37" t="s">
        <v>188</v>
      </c>
      <c r="I25" s="96" t="s">
        <v>81</v>
      </c>
      <c r="J25" s="97">
        <f t="shared" si="0"/>
        <v>165.6</v>
      </c>
      <c r="K25" s="58">
        <v>184</v>
      </c>
      <c r="L25" s="39">
        <f t="shared" si="1"/>
        <v>193.2</v>
      </c>
      <c r="M25" s="39">
        <f t="shared" si="2"/>
        <v>13.8034508627157</v>
      </c>
      <c r="N25" s="98">
        <v>170</v>
      </c>
      <c r="O25" s="99">
        <f t="shared" si="3"/>
        <v>0.0823529411764706</v>
      </c>
      <c r="P25" s="39"/>
      <c r="Q25" s="53">
        <f t="shared" si="4"/>
        <v>183.6</v>
      </c>
      <c r="R25" s="100">
        <f t="shared" si="5"/>
        <v>184</v>
      </c>
    </row>
    <row r="26" s="1" customFormat="1" spans="1:19 16379:16379">
      <c r="A26" s="1">
        <v>18</v>
      </c>
      <c r="B26" s="37" t="s">
        <v>187</v>
      </c>
      <c r="C26" s="37" t="s">
        <v>179</v>
      </c>
      <c r="D26" s="92" t="s">
        <v>192</v>
      </c>
      <c r="E26" s="93"/>
      <c r="F26" s="94" t="s">
        <v>74</v>
      </c>
      <c r="G26" s="95" t="s">
        <v>190</v>
      </c>
      <c r="H26" s="37" t="s">
        <v>191</v>
      </c>
      <c r="I26" s="96" t="s">
        <v>87</v>
      </c>
      <c r="J26" s="97">
        <f t="shared" si="0"/>
        <v>240.3</v>
      </c>
      <c r="K26" s="58">
        <v>267</v>
      </c>
      <c r="L26" s="39">
        <f t="shared" si="1"/>
        <v>280.35</v>
      </c>
      <c r="M26" s="39">
        <f t="shared" si="2"/>
        <v>20.0300075018755</v>
      </c>
      <c r="N26" s="98">
        <v>247</v>
      </c>
      <c r="O26" s="99">
        <f t="shared" si="3"/>
        <v>0.0809716599190283</v>
      </c>
      <c r="P26" s="39"/>
      <c r="Q26" s="53">
        <f t="shared" si="4"/>
        <v>266.76</v>
      </c>
      <c r="R26" s="100">
        <f t="shared" si="5"/>
        <v>267</v>
      </c>
    </row>
    <row r="27" s="1" customFormat="1" spans="1:19 16379:16379">
      <c r="A27" s="1">
        <v>19</v>
      </c>
      <c r="B27" s="37" t="s">
        <v>187</v>
      </c>
      <c r="C27" s="37" t="s">
        <v>179</v>
      </c>
      <c r="D27" s="92" t="s">
        <v>90</v>
      </c>
      <c r="E27" s="93"/>
      <c r="F27" s="94" t="s">
        <v>74</v>
      </c>
      <c r="G27" s="95" t="s">
        <v>156</v>
      </c>
      <c r="H27" s="37" t="s">
        <v>154</v>
      </c>
      <c r="I27" s="96" t="s">
        <v>89</v>
      </c>
      <c r="J27" s="97">
        <f t="shared" si="0"/>
        <v>335.7</v>
      </c>
      <c r="K27" s="58">
        <v>373</v>
      </c>
      <c r="L27" s="39">
        <f t="shared" si="1"/>
        <v>391.65</v>
      </c>
      <c r="M27" s="39">
        <f t="shared" si="2"/>
        <v>27.9819954988747</v>
      </c>
      <c r="N27" s="98">
        <v>345</v>
      </c>
      <c r="O27" s="99">
        <f t="shared" si="3"/>
        <v>0.0811594202898551</v>
      </c>
      <c r="P27" s="39"/>
      <c r="Q27" s="53">
        <f t="shared" si="4"/>
        <v>372.6</v>
      </c>
      <c r="R27" s="100">
        <f t="shared" si="5"/>
        <v>373</v>
      </c>
      <c r="S27" s="101">
        <v>345</v>
      </c>
    </row>
    <row r="28" s="1" customFormat="1" spans="1:19 16379:16379">
      <c r="A28" s="1">
        <v>20</v>
      </c>
      <c r="B28" s="37" t="s">
        <v>187</v>
      </c>
      <c r="C28" s="37" t="s">
        <v>179</v>
      </c>
      <c r="D28" s="92" t="s">
        <v>193</v>
      </c>
      <c r="E28" s="93">
        <f>D28*39.37</f>
        <v>17.99209</v>
      </c>
      <c r="F28" s="94" t="s">
        <v>74</v>
      </c>
      <c r="G28" s="95" t="s">
        <v>128</v>
      </c>
      <c r="H28" s="37" t="s">
        <v>188</v>
      </c>
      <c r="I28" s="96" t="s">
        <v>194</v>
      </c>
      <c r="J28" s="97">
        <f t="shared" si="0"/>
        <v>257.4</v>
      </c>
      <c r="K28" s="58">
        <v>286</v>
      </c>
      <c r="L28" s="39">
        <f t="shared" si="1"/>
        <v>300.3</v>
      </c>
      <c r="M28" s="39">
        <f t="shared" si="2"/>
        <v>21.4553638409602</v>
      </c>
      <c r="N28" s="98">
        <v>265</v>
      </c>
      <c r="O28" s="99">
        <f t="shared" si="3"/>
        <v>0.0792452830188679</v>
      </c>
      <c r="P28" s="39"/>
      <c r="Q28" s="53">
        <f t="shared" si="4"/>
        <v>286.2</v>
      </c>
      <c r="R28" s="100">
        <f t="shared" si="5"/>
        <v>286</v>
      </c>
    </row>
    <row r="29" s="1" customFormat="1" spans="1:19 16379:16379">
      <c r="A29" s="1">
        <v>21</v>
      </c>
      <c r="B29" s="37" t="s">
        <v>187</v>
      </c>
      <c r="C29" s="37" t="s">
        <v>179</v>
      </c>
      <c r="D29" s="92" t="s">
        <v>195</v>
      </c>
      <c r="E29" s="93">
        <f>D29*39.37</f>
        <v>19.99996</v>
      </c>
      <c r="F29" s="94" t="s">
        <v>74</v>
      </c>
      <c r="G29" s="95" t="s">
        <v>128</v>
      </c>
      <c r="H29" s="37" t="s">
        <v>188</v>
      </c>
      <c r="I29" s="96" t="s">
        <v>185</v>
      </c>
      <c r="J29" s="97">
        <f t="shared" si="0"/>
        <v>277.2</v>
      </c>
      <c r="K29" s="58">
        <v>308</v>
      </c>
      <c r="L29" s="39">
        <f t="shared" si="1"/>
        <v>323.4</v>
      </c>
      <c r="M29" s="39">
        <f t="shared" si="2"/>
        <v>23.105776444111</v>
      </c>
      <c r="N29" s="98">
        <v>285</v>
      </c>
      <c r="O29" s="99">
        <f t="shared" si="3"/>
        <v>0.0807017543859649</v>
      </c>
      <c r="P29" s="39"/>
      <c r="Q29" s="53">
        <f t="shared" si="4"/>
        <v>307.8</v>
      </c>
      <c r="R29" s="100">
        <f t="shared" si="5"/>
        <v>308</v>
      </c>
    </row>
    <row r="30" s="67" customFormat="1" spans="1:19 16379:16379">
      <c r="A30" s="1">
        <v>22</v>
      </c>
      <c r="B30" s="102" t="s">
        <v>187</v>
      </c>
      <c r="C30" s="102" t="s">
        <v>179</v>
      </c>
      <c r="D30" s="103" t="s">
        <v>196</v>
      </c>
      <c r="E30" s="104"/>
      <c r="F30" s="94" t="s">
        <v>74</v>
      </c>
      <c r="G30" s="105" t="s">
        <v>128</v>
      </c>
      <c r="H30" s="102" t="s">
        <v>188</v>
      </c>
      <c r="I30" s="106"/>
      <c r="J30" s="107">
        <f t="shared" si="0"/>
        <v>330.3</v>
      </c>
      <c r="K30" s="58">
        <v>367</v>
      </c>
      <c r="L30" s="108">
        <f t="shared" si="1"/>
        <v>385.35</v>
      </c>
      <c r="M30" s="108">
        <f t="shared" si="2"/>
        <v>27.5318829707427</v>
      </c>
      <c r="N30" s="98">
        <v>340</v>
      </c>
      <c r="O30" s="99">
        <f t="shared" si="3"/>
        <v>0.0794117647058823</v>
      </c>
      <c r="P30" s="108"/>
      <c r="Q30" s="53">
        <f t="shared" si="4"/>
        <v>367.2</v>
      </c>
      <c r="R30" s="100">
        <f t="shared" si="5"/>
        <v>367</v>
      </c>
    </row>
    <row r="31" s="1" customFormat="1" spans="1:19 16379:16379">
      <c r="A31" s="1">
        <v>23</v>
      </c>
      <c r="B31" s="37" t="s">
        <v>187</v>
      </c>
      <c r="C31" s="37" t="s">
        <v>179</v>
      </c>
      <c r="D31" s="92" t="s">
        <v>197</v>
      </c>
      <c r="E31" s="93"/>
      <c r="F31" s="94" t="s">
        <v>105</v>
      </c>
      <c r="G31" s="95" t="s">
        <v>162</v>
      </c>
      <c r="H31" s="37" t="s">
        <v>188</v>
      </c>
      <c r="I31" s="96" t="s">
        <v>109</v>
      </c>
      <c r="J31" s="97">
        <f t="shared" si="0"/>
        <v>262.8</v>
      </c>
      <c r="K31" s="58">
        <v>292</v>
      </c>
      <c r="L31" s="39">
        <f t="shared" si="1"/>
        <v>306.6</v>
      </c>
      <c r="M31" s="39">
        <f t="shared" si="2"/>
        <v>21.9054763690923</v>
      </c>
      <c r="N31" s="98">
        <v>270</v>
      </c>
      <c r="O31" s="99">
        <f t="shared" si="3"/>
        <v>0.0814814814814815</v>
      </c>
      <c r="P31" s="39"/>
      <c r="Q31" s="53">
        <f t="shared" si="4"/>
        <v>291.6</v>
      </c>
      <c r="R31" s="100">
        <f t="shared" si="5"/>
        <v>292</v>
      </c>
    </row>
    <row r="32" s="1" customFormat="1" spans="1:19 16379:16379">
      <c r="A32" s="1">
        <v>24</v>
      </c>
      <c r="B32" s="37" t="s">
        <v>187</v>
      </c>
      <c r="C32" s="37" t="s">
        <v>179</v>
      </c>
      <c r="D32" s="109" t="s">
        <v>198</v>
      </c>
      <c r="E32" s="110"/>
      <c r="F32" s="111" t="s">
        <v>105</v>
      </c>
      <c r="G32" s="95" t="s">
        <v>156</v>
      </c>
      <c r="H32" s="37" t="s">
        <v>154</v>
      </c>
      <c r="I32" s="37" t="s">
        <v>199</v>
      </c>
      <c r="J32" s="97">
        <f t="shared" si="0"/>
        <v>801.9</v>
      </c>
      <c r="K32" s="58">
        <v>891</v>
      </c>
      <c r="L32" s="39">
        <f t="shared" si="1"/>
        <v>935.55</v>
      </c>
      <c r="M32" s="39">
        <f t="shared" si="2"/>
        <v>66.8417104276069</v>
      </c>
      <c r="N32" s="98">
        <v>825</v>
      </c>
      <c r="O32" s="99">
        <f t="shared" si="3"/>
        <v>0.08</v>
      </c>
      <c r="P32" s="39"/>
      <c r="Q32" s="53">
        <f t="shared" si="4"/>
        <v>891</v>
      </c>
      <c r="R32" s="100">
        <f t="shared" si="5"/>
        <v>891</v>
      </c>
      <c r="S32" s="101">
        <v>825</v>
      </c>
      <c r="XEY32" s="2"/>
    </row>
    <row r="33" s="1" customFormat="1" spans="1:19">
      <c r="A33" s="1">
        <v>25</v>
      </c>
      <c r="B33" s="37" t="s">
        <v>200</v>
      </c>
      <c r="C33" s="37" t="s">
        <v>179</v>
      </c>
      <c r="D33" s="92" t="s">
        <v>152</v>
      </c>
      <c r="E33" s="93"/>
      <c r="F33" s="94" t="s">
        <v>74</v>
      </c>
      <c r="G33" s="95" t="s">
        <v>128</v>
      </c>
      <c r="H33" s="37" t="s">
        <v>188</v>
      </c>
      <c r="I33" s="96" t="s">
        <v>189</v>
      </c>
      <c r="J33" s="97">
        <f t="shared" si="0"/>
        <v>209.7</v>
      </c>
      <c r="K33" s="58">
        <v>233</v>
      </c>
      <c r="L33" s="39">
        <f t="shared" si="1"/>
        <v>244.65</v>
      </c>
      <c r="M33" s="39">
        <f t="shared" si="2"/>
        <v>17.4793698424606</v>
      </c>
      <c r="N33" s="98">
        <v>216</v>
      </c>
      <c r="O33" s="99">
        <f t="shared" si="3"/>
        <v>0.0787037037037037</v>
      </c>
      <c r="P33" s="39" t="s">
        <v>201</v>
      </c>
      <c r="Q33" s="53">
        <f t="shared" si="4"/>
        <v>233.28</v>
      </c>
      <c r="R33" s="100">
        <f t="shared" si="5"/>
        <v>233</v>
      </c>
    </row>
    <row r="34" s="1" customFormat="1" spans="1:19">
      <c r="A34" s="1">
        <v>26</v>
      </c>
      <c r="B34" s="37" t="s">
        <v>200</v>
      </c>
      <c r="C34" s="37" t="s">
        <v>179</v>
      </c>
      <c r="D34" s="92" t="s">
        <v>152</v>
      </c>
      <c r="E34" s="93"/>
      <c r="F34" s="94" t="s">
        <v>74</v>
      </c>
      <c r="G34" s="95" t="s">
        <v>190</v>
      </c>
      <c r="H34" s="37" t="s">
        <v>191</v>
      </c>
      <c r="I34" s="96" t="s">
        <v>189</v>
      </c>
      <c r="J34" s="97">
        <f t="shared" si="0"/>
        <v>287.1</v>
      </c>
      <c r="K34" s="58">
        <v>319</v>
      </c>
      <c r="L34" s="39">
        <f t="shared" si="1"/>
        <v>334.95</v>
      </c>
      <c r="M34" s="39">
        <f t="shared" si="2"/>
        <v>23.9309827456864</v>
      </c>
      <c r="N34" s="98">
        <v>295</v>
      </c>
      <c r="O34" s="99">
        <f t="shared" si="3"/>
        <v>0.0813559322033898</v>
      </c>
      <c r="P34" s="39"/>
      <c r="Q34" s="53">
        <f t="shared" si="4"/>
        <v>318.6</v>
      </c>
      <c r="R34" s="100">
        <f t="shared" si="5"/>
        <v>319</v>
      </c>
    </row>
    <row r="35" s="1" customFormat="1" spans="1:19">
      <c r="A35" s="1">
        <v>27</v>
      </c>
      <c r="B35" s="37" t="s">
        <v>200</v>
      </c>
      <c r="C35" s="37" t="s">
        <v>179</v>
      </c>
      <c r="D35" s="92" t="s">
        <v>152</v>
      </c>
      <c r="E35" s="93"/>
      <c r="F35" s="94" t="s">
        <v>74</v>
      </c>
      <c r="G35" s="95" t="s">
        <v>156</v>
      </c>
      <c r="H35" s="37" t="s">
        <v>154</v>
      </c>
      <c r="I35" s="96" t="s">
        <v>189</v>
      </c>
      <c r="J35" s="97">
        <f t="shared" si="0"/>
        <v>344.7</v>
      </c>
      <c r="K35" s="58">
        <v>383</v>
      </c>
      <c r="L35" s="39">
        <f t="shared" si="1"/>
        <v>402.15</v>
      </c>
      <c r="M35" s="39">
        <f t="shared" si="2"/>
        <v>28.7321830457614</v>
      </c>
      <c r="N35" s="98">
        <v>355</v>
      </c>
      <c r="O35" s="99">
        <f t="shared" si="3"/>
        <v>0.0788732394366197</v>
      </c>
      <c r="P35" s="39"/>
      <c r="Q35" s="53">
        <f t="shared" si="4"/>
        <v>383.4</v>
      </c>
      <c r="R35" s="100">
        <f t="shared" si="5"/>
        <v>383</v>
      </c>
      <c r="S35" s="101">
        <v>355</v>
      </c>
    </row>
    <row r="36" s="1" customFormat="1" spans="1:19">
      <c r="A36" s="1">
        <v>28</v>
      </c>
      <c r="B36" s="37" t="s">
        <v>200</v>
      </c>
      <c r="C36" s="37" t="s">
        <v>179</v>
      </c>
      <c r="D36" s="92" t="s">
        <v>137</v>
      </c>
      <c r="E36" s="93"/>
      <c r="F36" s="94" t="s">
        <v>74</v>
      </c>
      <c r="G36" s="95" t="s">
        <v>156</v>
      </c>
      <c r="H36" s="37" t="s">
        <v>154</v>
      </c>
      <c r="I36" s="96" t="s">
        <v>202</v>
      </c>
      <c r="J36" s="97">
        <f t="shared" si="0"/>
        <v>403.2</v>
      </c>
      <c r="K36" s="58">
        <v>448</v>
      </c>
      <c r="L36" s="39">
        <f t="shared" si="1"/>
        <v>470.4</v>
      </c>
      <c r="M36" s="39">
        <f t="shared" si="2"/>
        <v>33.6084021005251</v>
      </c>
      <c r="N36" s="98">
        <v>415</v>
      </c>
      <c r="O36" s="99">
        <f t="shared" si="3"/>
        <v>0.0795180722891566</v>
      </c>
      <c r="P36" s="39"/>
      <c r="Q36" s="53">
        <f t="shared" si="4"/>
        <v>448.2</v>
      </c>
      <c r="R36" s="100">
        <f t="shared" si="5"/>
        <v>448</v>
      </c>
    </row>
    <row r="37" s="1" customFormat="1" spans="1:19">
      <c r="A37" s="1">
        <v>29</v>
      </c>
      <c r="B37" s="37" t="s">
        <v>200</v>
      </c>
      <c r="C37" s="37" t="s">
        <v>179</v>
      </c>
      <c r="D37" s="92" t="s">
        <v>203</v>
      </c>
      <c r="E37" s="93"/>
      <c r="F37" s="94" t="s">
        <v>74</v>
      </c>
      <c r="G37" s="95" t="s">
        <v>128</v>
      </c>
      <c r="H37" s="37" t="s">
        <v>188</v>
      </c>
      <c r="I37" s="96" t="s">
        <v>189</v>
      </c>
      <c r="J37" s="97">
        <f t="shared" si="0"/>
        <v>223.2</v>
      </c>
      <c r="K37" s="58">
        <v>248</v>
      </c>
      <c r="L37" s="39">
        <f t="shared" si="1"/>
        <v>260.4</v>
      </c>
      <c r="M37" s="39">
        <f t="shared" si="2"/>
        <v>18.6046511627907</v>
      </c>
      <c r="N37" s="98">
        <v>230</v>
      </c>
      <c r="O37" s="99">
        <f t="shared" si="3"/>
        <v>0.0782608695652174</v>
      </c>
      <c r="P37" s="39"/>
      <c r="Q37" s="53">
        <f t="shared" si="4"/>
        <v>248.4</v>
      </c>
      <c r="R37" s="100">
        <f t="shared" si="5"/>
        <v>248</v>
      </c>
    </row>
    <row r="38" s="1" customFormat="1" spans="1:19">
      <c r="A38" s="1">
        <v>30</v>
      </c>
      <c r="B38" s="37" t="s">
        <v>200</v>
      </c>
      <c r="C38" s="37" t="s">
        <v>179</v>
      </c>
      <c r="D38" s="92" t="s">
        <v>203</v>
      </c>
      <c r="E38" s="93"/>
      <c r="F38" s="94" t="s">
        <v>74</v>
      </c>
      <c r="G38" s="95" t="s">
        <v>190</v>
      </c>
      <c r="H38" s="37" t="s">
        <v>191</v>
      </c>
      <c r="I38" s="96" t="s">
        <v>204</v>
      </c>
      <c r="J38" s="97">
        <f t="shared" si="0"/>
        <v>301.5</v>
      </c>
      <c r="K38" s="58">
        <v>335</v>
      </c>
      <c r="L38" s="39">
        <f t="shared" si="1"/>
        <v>351.75</v>
      </c>
      <c r="M38" s="39">
        <f t="shared" si="2"/>
        <v>25.1312828207052</v>
      </c>
      <c r="N38" s="98">
        <v>310</v>
      </c>
      <c r="O38" s="99">
        <f t="shared" si="3"/>
        <v>0.0806451612903226</v>
      </c>
      <c r="P38" s="39"/>
      <c r="Q38" s="53">
        <f t="shared" si="4"/>
        <v>334.8</v>
      </c>
      <c r="R38" s="100">
        <f t="shared" si="5"/>
        <v>335</v>
      </c>
    </row>
    <row r="39" s="1" customFormat="1" spans="1:19">
      <c r="A39" s="1">
        <v>31</v>
      </c>
      <c r="B39" s="37" t="s">
        <v>200</v>
      </c>
      <c r="C39" s="37" t="s">
        <v>179</v>
      </c>
      <c r="D39" s="92" t="s">
        <v>203</v>
      </c>
      <c r="E39" s="93"/>
      <c r="F39" s="94" t="s">
        <v>74</v>
      </c>
      <c r="G39" s="95" t="s">
        <v>75</v>
      </c>
      <c r="H39" s="37" t="s">
        <v>188</v>
      </c>
      <c r="I39" s="96" t="s">
        <v>189</v>
      </c>
      <c r="J39" s="97">
        <f t="shared" si="0"/>
        <v>160.2</v>
      </c>
      <c r="K39" s="58">
        <v>178</v>
      </c>
      <c r="L39" s="39">
        <f t="shared" si="1"/>
        <v>186.9</v>
      </c>
      <c r="M39" s="39">
        <f t="shared" si="2"/>
        <v>13.3533383345836</v>
      </c>
      <c r="N39" s="98">
        <v>165</v>
      </c>
      <c r="O39" s="99">
        <f t="shared" si="3"/>
        <v>0.0787878787878788</v>
      </c>
      <c r="P39" s="39"/>
      <c r="Q39" s="53">
        <f t="shared" si="4"/>
        <v>178.2</v>
      </c>
      <c r="R39" s="100">
        <f t="shared" si="5"/>
        <v>178</v>
      </c>
    </row>
    <row r="40" s="1" customFormat="1" spans="1:19">
      <c r="A40" s="1">
        <v>32</v>
      </c>
      <c r="B40" s="37" t="s">
        <v>200</v>
      </c>
      <c r="C40" s="37" t="s">
        <v>179</v>
      </c>
      <c r="D40" s="92" t="s">
        <v>137</v>
      </c>
      <c r="E40" s="93"/>
      <c r="F40" s="94" t="s">
        <v>74</v>
      </c>
      <c r="G40" s="95" t="s">
        <v>128</v>
      </c>
      <c r="H40" s="37" t="s">
        <v>188</v>
      </c>
      <c r="I40" s="96" t="s">
        <v>202</v>
      </c>
      <c r="J40" s="97">
        <f t="shared" si="0"/>
        <v>238.5</v>
      </c>
      <c r="K40" s="58">
        <v>265</v>
      </c>
      <c r="L40" s="39">
        <f t="shared" si="1"/>
        <v>278.25</v>
      </c>
      <c r="M40" s="39">
        <f t="shared" si="2"/>
        <v>19.8799699924981</v>
      </c>
      <c r="N40" s="98">
        <v>245</v>
      </c>
      <c r="O40" s="99">
        <f t="shared" si="3"/>
        <v>0.0816326530612245</v>
      </c>
      <c r="P40" s="39"/>
      <c r="Q40" s="53">
        <f t="shared" si="4"/>
        <v>264.6</v>
      </c>
      <c r="R40" s="100">
        <f t="shared" si="5"/>
        <v>265</v>
      </c>
    </row>
    <row r="41" s="1" customFormat="1" spans="1:19">
      <c r="A41" s="1">
        <v>33</v>
      </c>
      <c r="B41" s="37" t="s">
        <v>200</v>
      </c>
      <c r="C41" s="37" t="s">
        <v>179</v>
      </c>
      <c r="D41" s="92" t="s">
        <v>137</v>
      </c>
      <c r="E41" s="93"/>
      <c r="F41" s="94" t="s">
        <v>74</v>
      </c>
      <c r="G41" s="95" t="s">
        <v>75</v>
      </c>
      <c r="H41" s="37" t="s">
        <v>188</v>
      </c>
      <c r="I41" s="96" t="s">
        <v>202</v>
      </c>
      <c r="J41" s="97">
        <f t="shared" si="0"/>
        <v>172.8</v>
      </c>
      <c r="K41" s="58">
        <v>192</v>
      </c>
      <c r="L41" s="39">
        <f t="shared" si="1"/>
        <v>201.6</v>
      </c>
      <c r="M41" s="39">
        <f t="shared" si="2"/>
        <v>14.4036009002251</v>
      </c>
      <c r="N41" s="98">
        <v>178</v>
      </c>
      <c r="O41" s="99">
        <f t="shared" si="3"/>
        <v>0.0786516853932584</v>
      </c>
      <c r="P41" s="39"/>
      <c r="Q41" s="53">
        <f t="shared" si="4"/>
        <v>192.24</v>
      </c>
      <c r="R41" s="100">
        <f t="shared" si="5"/>
        <v>192</v>
      </c>
    </row>
    <row r="42" s="1" customFormat="1" spans="1:19">
      <c r="A42" s="1">
        <v>34</v>
      </c>
      <c r="B42" s="37" t="s">
        <v>200</v>
      </c>
      <c r="C42" s="37" t="s">
        <v>179</v>
      </c>
      <c r="D42" s="92" t="s">
        <v>137</v>
      </c>
      <c r="E42" s="93">
        <v>4</v>
      </c>
      <c r="F42" s="94" t="s">
        <v>74</v>
      </c>
      <c r="G42" s="95" t="s">
        <v>75</v>
      </c>
      <c r="H42" s="37" t="s">
        <v>188</v>
      </c>
      <c r="I42" s="96" t="s">
        <v>189</v>
      </c>
      <c r="J42" s="97">
        <f t="shared" si="0"/>
        <v>174.6</v>
      </c>
      <c r="K42" s="58">
        <v>194</v>
      </c>
      <c r="L42" s="39">
        <f t="shared" si="1"/>
        <v>203.7</v>
      </c>
      <c r="M42" s="39">
        <f t="shared" si="2"/>
        <v>14.5536384096024</v>
      </c>
      <c r="N42" s="98">
        <v>180</v>
      </c>
      <c r="O42" s="99">
        <f t="shared" si="3"/>
        <v>0.0777777777777778</v>
      </c>
      <c r="P42" s="39"/>
      <c r="Q42" s="53">
        <f t="shared" si="4"/>
        <v>194.4</v>
      </c>
      <c r="R42" s="100">
        <f t="shared" si="5"/>
        <v>194</v>
      </c>
    </row>
    <row r="43" s="1" customFormat="1" spans="1:19">
      <c r="A43" s="1">
        <v>35</v>
      </c>
      <c r="B43" s="37" t="s">
        <v>200</v>
      </c>
      <c r="C43" s="37" t="s">
        <v>179</v>
      </c>
      <c r="D43" s="92" t="s">
        <v>137</v>
      </c>
      <c r="E43" s="93">
        <v>4</v>
      </c>
      <c r="F43" s="94" t="s">
        <v>74</v>
      </c>
      <c r="G43" s="95" t="s">
        <v>75</v>
      </c>
      <c r="H43" s="37" t="s">
        <v>188</v>
      </c>
      <c r="I43" s="96" t="s">
        <v>136</v>
      </c>
      <c r="J43" s="97">
        <f t="shared" si="0"/>
        <v>174.6</v>
      </c>
      <c r="K43" s="58">
        <v>194</v>
      </c>
      <c r="L43" s="39">
        <f t="shared" si="1"/>
        <v>203.7</v>
      </c>
      <c r="M43" s="39">
        <f t="shared" si="2"/>
        <v>14.5536384096024</v>
      </c>
      <c r="N43" s="98">
        <v>180</v>
      </c>
      <c r="O43" s="99">
        <f t="shared" si="3"/>
        <v>0.0777777777777778</v>
      </c>
      <c r="P43" s="39" t="s">
        <v>201</v>
      </c>
      <c r="Q43" s="53">
        <f t="shared" si="4"/>
        <v>194.4</v>
      </c>
      <c r="R43" s="100">
        <f t="shared" si="5"/>
        <v>194</v>
      </c>
    </row>
    <row r="44" s="1" customFormat="1" spans="1:19">
      <c r="A44" s="1">
        <v>36</v>
      </c>
      <c r="B44" s="37" t="s">
        <v>200</v>
      </c>
      <c r="C44" s="37" t="s">
        <v>179</v>
      </c>
      <c r="D44" s="92" t="s">
        <v>80</v>
      </c>
      <c r="E44" s="93">
        <f t="shared" ref="E44:E49" si="6">D44*39.37</f>
        <v>4.99999</v>
      </c>
      <c r="F44" s="94" t="s">
        <v>74</v>
      </c>
      <c r="G44" s="95" t="s">
        <v>128</v>
      </c>
      <c r="H44" s="37" t="s">
        <v>188</v>
      </c>
      <c r="I44" s="96" t="s">
        <v>159</v>
      </c>
      <c r="J44" s="97">
        <f t="shared" si="0"/>
        <v>243</v>
      </c>
      <c r="K44" s="58">
        <v>270</v>
      </c>
      <c r="L44" s="39">
        <f t="shared" si="1"/>
        <v>283.5</v>
      </c>
      <c r="M44" s="39">
        <f t="shared" si="2"/>
        <v>20.2550637659415</v>
      </c>
      <c r="N44" s="98">
        <v>250</v>
      </c>
      <c r="O44" s="99">
        <f t="shared" si="3"/>
        <v>0.08</v>
      </c>
      <c r="P44" s="39"/>
      <c r="Q44" s="53">
        <f t="shared" si="4"/>
        <v>270</v>
      </c>
      <c r="R44" s="100">
        <f t="shared" si="5"/>
        <v>270</v>
      </c>
    </row>
    <row r="45" s="1" customFormat="1" spans="1:19">
      <c r="A45" s="1">
        <v>37</v>
      </c>
      <c r="B45" s="37" t="s">
        <v>200</v>
      </c>
      <c r="C45" s="37" t="s">
        <v>179</v>
      </c>
      <c r="D45" s="92" t="s">
        <v>80</v>
      </c>
      <c r="E45" s="93">
        <f t="shared" si="6"/>
        <v>4.99999</v>
      </c>
      <c r="F45" s="94" t="s">
        <v>74</v>
      </c>
      <c r="G45" s="95" t="s">
        <v>190</v>
      </c>
      <c r="H45" s="37" t="s">
        <v>191</v>
      </c>
      <c r="I45" s="96" t="s">
        <v>81</v>
      </c>
      <c r="J45" s="97">
        <f t="shared" si="0"/>
        <v>330.3</v>
      </c>
      <c r="K45" s="58">
        <v>367</v>
      </c>
      <c r="L45" s="39">
        <f t="shared" si="1"/>
        <v>385.35</v>
      </c>
      <c r="M45" s="39">
        <f t="shared" si="2"/>
        <v>27.5318829707427</v>
      </c>
      <c r="N45" s="98">
        <v>340</v>
      </c>
      <c r="O45" s="99">
        <f t="shared" si="3"/>
        <v>0.0794117647058823</v>
      </c>
      <c r="P45" s="39"/>
      <c r="Q45" s="53">
        <f t="shared" si="4"/>
        <v>367.2</v>
      </c>
      <c r="R45" s="100">
        <f t="shared" si="5"/>
        <v>367</v>
      </c>
    </row>
    <row r="46" s="1" customFormat="1" spans="1:19">
      <c r="A46" s="1">
        <v>38</v>
      </c>
      <c r="B46" s="37" t="s">
        <v>200</v>
      </c>
      <c r="C46" s="37" t="s">
        <v>179</v>
      </c>
      <c r="D46" s="92" t="s">
        <v>80</v>
      </c>
      <c r="E46" s="93">
        <f t="shared" si="6"/>
        <v>4.99999</v>
      </c>
      <c r="F46" s="94" t="s">
        <v>74</v>
      </c>
      <c r="G46" s="95" t="s">
        <v>190</v>
      </c>
      <c r="H46" s="37" t="s">
        <v>191</v>
      </c>
      <c r="I46" s="96" t="s">
        <v>159</v>
      </c>
      <c r="J46" s="97">
        <f t="shared" si="0"/>
        <v>350.1</v>
      </c>
      <c r="K46" s="58">
        <v>389</v>
      </c>
      <c r="L46" s="39">
        <f t="shared" si="1"/>
        <v>408.45</v>
      </c>
      <c r="M46" s="39">
        <f t="shared" si="2"/>
        <v>29.1822955738935</v>
      </c>
      <c r="N46" s="98">
        <v>360</v>
      </c>
      <c r="O46" s="99">
        <f t="shared" si="3"/>
        <v>0.0805555555555556</v>
      </c>
      <c r="P46" s="39"/>
      <c r="Q46" s="53">
        <f t="shared" si="4"/>
        <v>388.8</v>
      </c>
      <c r="R46" s="100">
        <f t="shared" si="5"/>
        <v>389</v>
      </c>
    </row>
    <row r="47" s="1" customFormat="1" spans="1:19">
      <c r="A47" s="1">
        <v>39</v>
      </c>
      <c r="B47" s="37" t="s">
        <v>200</v>
      </c>
      <c r="C47" s="37" t="s">
        <v>179</v>
      </c>
      <c r="D47" s="92" t="s">
        <v>80</v>
      </c>
      <c r="E47" s="93">
        <f t="shared" si="6"/>
        <v>4.99999</v>
      </c>
      <c r="F47" s="94" t="s">
        <v>74</v>
      </c>
      <c r="G47" s="95" t="s">
        <v>156</v>
      </c>
      <c r="H47" s="37" t="s">
        <v>154</v>
      </c>
      <c r="I47" s="96" t="s">
        <v>81</v>
      </c>
      <c r="J47" s="97">
        <f t="shared" si="0"/>
        <v>344.7</v>
      </c>
      <c r="K47" s="58">
        <v>383</v>
      </c>
      <c r="L47" s="39">
        <f t="shared" si="1"/>
        <v>402.15</v>
      </c>
      <c r="M47" s="39">
        <f t="shared" si="2"/>
        <v>28.7321830457614</v>
      </c>
      <c r="N47" s="98">
        <v>355</v>
      </c>
      <c r="O47" s="99">
        <f t="shared" si="3"/>
        <v>0.0788732394366197</v>
      </c>
      <c r="P47" s="39"/>
      <c r="Q47" s="53">
        <f t="shared" si="4"/>
        <v>383.4</v>
      </c>
      <c r="R47" s="100">
        <f t="shared" si="5"/>
        <v>383</v>
      </c>
      <c r="S47" s="101">
        <v>355</v>
      </c>
    </row>
    <row r="48" s="1" customFormat="1" spans="1:19">
      <c r="A48" s="1">
        <v>40</v>
      </c>
      <c r="B48" s="37" t="s">
        <v>200</v>
      </c>
      <c r="C48" s="37" t="s">
        <v>179</v>
      </c>
      <c r="D48" s="92" t="s">
        <v>80</v>
      </c>
      <c r="E48" s="93">
        <f t="shared" si="6"/>
        <v>4.99999</v>
      </c>
      <c r="F48" s="94" t="s">
        <v>74</v>
      </c>
      <c r="G48" s="95" t="s">
        <v>165</v>
      </c>
      <c r="H48" s="37" t="s">
        <v>154</v>
      </c>
      <c r="I48" s="96" t="s">
        <v>158</v>
      </c>
      <c r="J48" s="97">
        <f t="shared" si="0"/>
        <v>571.5</v>
      </c>
      <c r="K48" s="58">
        <v>635</v>
      </c>
      <c r="L48" s="39">
        <f t="shared" si="1"/>
        <v>666.75</v>
      </c>
      <c r="M48" s="39">
        <f t="shared" si="2"/>
        <v>47.6369092273068</v>
      </c>
      <c r="N48" s="98">
        <v>588</v>
      </c>
      <c r="O48" s="99">
        <f t="shared" si="3"/>
        <v>0.0799319727891157</v>
      </c>
      <c r="P48" s="39"/>
      <c r="Q48" s="53">
        <f t="shared" si="4"/>
        <v>635.04</v>
      </c>
      <c r="R48" s="100">
        <f t="shared" si="5"/>
        <v>635</v>
      </c>
    </row>
    <row r="49" s="1" customFormat="1" spans="1:19">
      <c r="A49" s="1">
        <v>41</v>
      </c>
      <c r="B49" s="37" t="s">
        <v>200</v>
      </c>
      <c r="C49" s="37" t="s">
        <v>179</v>
      </c>
      <c r="D49" s="109" t="s">
        <v>80</v>
      </c>
      <c r="E49" s="93">
        <f t="shared" si="6"/>
        <v>4.99999</v>
      </c>
      <c r="F49" s="94" t="s">
        <v>74</v>
      </c>
      <c r="G49" s="95" t="s">
        <v>75</v>
      </c>
      <c r="H49" s="37" t="s">
        <v>188</v>
      </c>
      <c r="I49" s="96" t="s">
        <v>159</v>
      </c>
      <c r="J49" s="97">
        <f t="shared" si="0"/>
        <v>180</v>
      </c>
      <c r="K49" s="58">
        <v>200</v>
      </c>
      <c r="L49" s="39">
        <f t="shared" si="1"/>
        <v>210</v>
      </c>
      <c r="M49" s="39">
        <f t="shared" si="2"/>
        <v>15.0037509377344</v>
      </c>
      <c r="N49" s="98">
        <v>185</v>
      </c>
      <c r="O49" s="99">
        <f t="shared" si="3"/>
        <v>0.0810810810810811</v>
      </c>
      <c r="P49" s="37"/>
      <c r="Q49" s="53">
        <f t="shared" si="4"/>
        <v>199.8</v>
      </c>
      <c r="R49" s="100">
        <f t="shared" si="5"/>
        <v>200</v>
      </c>
    </row>
    <row r="50" s="1" customFormat="1" spans="1:19">
      <c r="A50" s="1">
        <v>42</v>
      </c>
      <c r="B50" s="37" t="s">
        <v>200</v>
      </c>
      <c r="C50" s="37" t="s">
        <v>179</v>
      </c>
      <c r="D50" s="92" t="s">
        <v>155</v>
      </c>
      <c r="E50" s="93"/>
      <c r="F50" s="94" t="s">
        <v>74</v>
      </c>
      <c r="G50" s="95" t="s">
        <v>128</v>
      </c>
      <c r="H50" s="37" t="s">
        <v>188</v>
      </c>
      <c r="I50" s="96" t="s">
        <v>159</v>
      </c>
      <c r="J50" s="97">
        <f t="shared" si="0"/>
        <v>262.8</v>
      </c>
      <c r="K50" s="58">
        <v>292</v>
      </c>
      <c r="L50" s="39">
        <f t="shared" si="1"/>
        <v>306.6</v>
      </c>
      <c r="M50" s="39">
        <f t="shared" si="2"/>
        <v>21.9054763690923</v>
      </c>
      <c r="N50" s="98">
        <v>270</v>
      </c>
      <c r="O50" s="99">
        <f t="shared" si="3"/>
        <v>0.0814814814814815</v>
      </c>
      <c r="P50" s="37"/>
      <c r="Q50" s="53">
        <f t="shared" si="4"/>
        <v>291.6</v>
      </c>
      <c r="R50" s="100">
        <f t="shared" si="5"/>
        <v>292</v>
      </c>
    </row>
    <row r="51" s="1" customFormat="1" spans="1:19">
      <c r="A51" s="1">
        <v>43</v>
      </c>
      <c r="B51" s="37" t="s">
        <v>200</v>
      </c>
      <c r="C51" s="37" t="s">
        <v>179</v>
      </c>
      <c r="D51" s="92" t="s">
        <v>205</v>
      </c>
      <c r="E51" s="93"/>
      <c r="F51" s="94" t="s">
        <v>74</v>
      </c>
      <c r="G51" s="95" t="s">
        <v>128</v>
      </c>
      <c r="H51" s="37" t="s">
        <v>188</v>
      </c>
      <c r="I51" s="96" t="s">
        <v>159</v>
      </c>
      <c r="J51" s="97">
        <f t="shared" si="0"/>
        <v>267.3</v>
      </c>
      <c r="K51" s="58">
        <v>297</v>
      </c>
      <c r="L51" s="39">
        <f t="shared" si="1"/>
        <v>311.85</v>
      </c>
      <c r="M51" s="39">
        <f t="shared" si="2"/>
        <v>22.2805701425356</v>
      </c>
      <c r="N51" s="98">
        <v>275</v>
      </c>
      <c r="O51" s="99">
        <f t="shared" si="3"/>
        <v>0.08</v>
      </c>
      <c r="P51" s="39"/>
      <c r="Q51" s="53">
        <f t="shared" si="4"/>
        <v>297</v>
      </c>
      <c r="R51" s="100">
        <f t="shared" si="5"/>
        <v>297</v>
      </c>
    </row>
    <row r="52" s="1" customFormat="1" spans="1:19">
      <c r="A52" s="1">
        <v>44</v>
      </c>
      <c r="B52" s="37" t="s">
        <v>200</v>
      </c>
      <c r="C52" s="37" t="s">
        <v>179</v>
      </c>
      <c r="D52" s="92" t="s">
        <v>205</v>
      </c>
      <c r="E52" s="93"/>
      <c r="F52" s="94" t="s">
        <v>74</v>
      </c>
      <c r="G52" s="95" t="s">
        <v>156</v>
      </c>
      <c r="H52" s="37" t="s">
        <v>154</v>
      </c>
      <c r="I52" s="96" t="s">
        <v>159</v>
      </c>
      <c r="J52" s="97">
        <f t="shared" si="0"/>
        <v>393.3</v>
      </c>
      <c r="K52" s="58">
        <v>437</v>
      </c>
      <c r="L52" s="39">
        <f t="shared" si="1"/>
        <v>458.85</v>
      </c>
      <c r="M52" s="39">
        <f t="shared" si="2"/>
        <v>32.7831957989497</v>
      </c>
      <c r="N52" s="98">
        <v>405</v>
      </c>
      <c r="O52" s="99">
        <f t="shared" si="3"/>
        <v>0.0790123456790123</v>
      </c>
      <c r="P52" s="39"/>
      <c r="Q52" s="53">
        <f t="shared" si="4"/>
        <v>437.4</v>
      </c>
      <c r="R52" s="100">
        <f t="shared" si="5"/>
        <v>437</v>
      </c>
      <c r="S52" s="101">
        <v>405</v>
      </c>
    </row>
    <row r="53" s="1" customFormat="1" spans="1:19">
      <c r="A53" s="1">
        <v>45</v>
      </c>
      <c r="B53" s="37" t="s">
        <v>200</v>
      </c>
      <c r="C53" s="37" t="s">
        <v>179</v>
      </c>
      <c r="D53" s="92" t="s">
        <v>88</v>
      </c>
      <c r="E53" s="93"/>
      <c r="F53" s="94" t="s">
        <v>74</v>
      </c>
      <c r="G53" s="95" t="s">
        <v>190</v>
      </c>
      <c r="H53" s="37" t="s">
        <v>154</v>
      </c>
      <c r="I53" s="96" t="s">
        <v>87</v>
      </c>
      <c r="J53" s="97">
        <f t="shared" si="0"/>
        <v>353.7</v>
      </c>
      <c r="K53" s="58">
        <v>393</v>
      </c>
      <c r="L53" s="39">
        <f t="shared" si="1"/>
        <v>412.65</v>
      </c>
      <c r="M53" s="39">
        <f t="shared" si="2"/>
        <v>29.4823705926482</v>
      </c>
      <c r="N53" s="98">
        <v>364</v>
      </c>
      <c r="O53" s="99">
        <f t="shared" si="3"/>
        <v>0.0796703296703297</v>
      </c>
      <c r="P53" s="39"/>
      <c r="Q53" s="53">
        <f t="shared" si="4"/>
        <v>393.12</v>
      </c>
      <c r="R53" s="100">
        <f t="shared" si="5"/>
        <v>393</v>
      </c>
    </row>
    <row r="54" s="1" customFormat="1" spans="1:19">
      <c r="A54" s="1">
        <v>46</v>
      </c>
      <c r="B54" s="37" t="s">
        <v>200</v>
      </c>
      <c r="C54" s="37" t="s">
        <v>179</v>
      </c>
      <c r="D54" s="92" t="s">
        <v>90</v>
      </c>
      <c r="E54" s="93"/>
      <c r="F54" s="94" t="s">
        <v>74</v>
      </c>
      <c r="G54" s="95" t="s">
        <v>128</v>
      </c>
      <c r="H54" s="37" t="s">
        <v>188</v>
      </c>
      <c r="I54" s="96" t="s">
        <v>206</v>
      </c>
      <c r="J54" s="97">
        <f t="shared" si="0"/>
        <v>310.5</v>
      </c>
      <c r="K54" s="58">
        <v>345</v>
      </c>
      <c r="L54" s="39">
        <f t="shared" si="1"/>
        <v>362.25</v>
      </c>
      <c r="M54" s="39">
        <f t="shared" si="2"/>
        <v>25.8814703675919</v>
      </c>
      <c r="N54" s="98">
        <v>319</v>
      </c>
      <c r="O54" s="99">
        <f t="shared" si="3"/>
        <v>0.0815047021943574</v>
      </c>
      <c r="P54" s="39"/>
      <c r="Q54" s="53">
        <f t="shared" si="4"/>
        <v>344.52</v>
      </c>
      <c r="R54" s="100">
        <f t="shared" si="5"/>
        <v>345</v>
      </c>
    </row>
    <row r="55" s="1" customFormat="1" spans="1:19">
      <c r="A55" s="1">
        <v>47</v>
      </c>
      <c r="B55" s="37" t="s">
        <v>200</v>
      </c>
      <c r="C55" s="37" t="s">
        <v>179</v>
      </c>
      <c r="D55" s="92" t="s">
        <v>90</v>
      </c>
      <c r="E55" s="93"/>
      <c r="F55" s="94" t="s">
        <v>74</v>
      </c>
      <c r="G55" s="95" t="s">
        <v>75</v>
      </c>
      <c r="H55" s="37" t="s">
        <v>188</v>
      </c>
      <c r="I55" s="96" t="s">
        <v>206</v>
      </c>
      <c r="J55" s="97">
        <f t="shared" si="0"/>
        <v>247.5</v>
      </c>
      <c r="K55" s="58">
        <v>275</v>
      </c>
      <c r="L55" s="39">
        <f t="shared" si="1"/>
        <v>288.75</v>
      </c>
      <c r="M55" s="39">
        <f t="shared" si="2"/>
        <v>20.6301575393848</v>
      </c>
      <c r="N55" s="98">
        <v>255</v>
      </c>
      <c r="O55" s="99">
        <f t="shared" si="3"/>
        <v>0.0784313725490196</v>
      </c>
      <c r="P55" s="39"/>
      <c r="Q55" s="53">
        <f t="shared" si="4"/>
        <v>275.4</v>
      </c>
      <c r="R55" s="100">
        <f t="shared" si="5"/>
        <v>275</v>
      </c>
    </row>
    <row r="56" s="1" customFormat="1" spans="1:19">
      <c r="A56" s="1">
        <v>48</v>
      </c>
      <c r="B56" s="37" t="s">
        <v>200</v>
      </c>
      <c r="C56" s="37" t="s">
        <v>179</v>
      </c>
      <c r="D56" s="92" t="s">
        <v>195</v>
      </c>
      <c r="E56" s="93"/>
      <c r="F56" s="94" t="s">
        <v>74</v>
      </c>
      <c r="G56" s="95" t="s">
        <v>128</v>
      </c>
      <c r="H56" s="37" t="s">
        <v>188</v>
      </c>
      <c r="I56" s="96" t="s">
        <v>185</v>
      </c>
      <c r="J56" s="97">
        <f t="shared" si="0"/>
        <v>437.4</v>
      </c>
      <c r="K56" s="58">
        <v>486</v>
      </c>
      <c r="L56" s="39">
        <f t="shared" si="1"/>
        <v>510.3</v>
      </c>
      <c r="M56" s="39">
        <f t="shared" si="2"/>
        <v>36.4591147786947</v>
      </c>
      <c r="N56" s="98">
        <v>450</v>
      </c>
      <c r="O56" s="99">
        <f t="shared" si="3"/>
        <v>0.08</v>
      </c>
      <c r="P56" s="39"/>
      <c r="Q56" s="53">
        <f t="shared" si="4"/>
        <v>486</v>
      </c>
      <c r="R56" s="100">
        <f t="shared" si="5"/>
        <v>486</v>
      </c>
    </row>
    <row r="57" s="1" customFormat="1" spans="1:19">
      <c r="A57" s="1">
        <v>49</v>
      </c>
      <c r="B57" s="37" t="s">
        <v>200</v>
      </c>
      <c r="C57" s="37" t="s">
        <v>179</v>
      </c>
      <c r="D57" s="92" t="s">
        <v>195</v>
      </c>
      <c r="E57" s="93"/>
      <c r="F57" s="94" t="s">
        <v>74</v>
      </c>
      <c r="G57" s="95" t="s">
        <v>156</v>
      </c>
      <c r="H57" s="37" t="s">
        <v>154</v>
      </c>
      <c r="I57" s="96" t="s">
        <v>194</v>
      </c>
      <c r="J57" s="97">
        <f t="shared" si="0"/>
        <v>558.9</v>
      </c>
      <c r="K57" s="58">
        <v>621</v>
      </c>
      <c r="L57" s="39">
        <f t="shared" si="1"/>
        <v>652.05</v>
      </c>
      <c r="M57" s="39">
        <f t="shared" si="2"/>
        <v>46.5866466616654</v>
      </c>
      <c r="N57" s="98">
        <v>575</v>
      </c>
      <c r="O57" s="99">
        <f t="shared" si="3"/>
        <v>0.08</v>
      </c>
      <c r="P57" s="39"/>
      <c r="Q57" s="53">
        <f t="shared" si="4"/>
        <v>621</v>
      </c>
      <c r="R57" s="100">
        <f t="shared" si="5"/>
        <v>621</v>
      </c>
      <c r="S57" s="101">
        <v>575</v>
      </c>
    </row>
    <row r="58" s="1" customFormat="1" spans="1:19">
      <c r="A58" s="1">
        <v>50</v>
      </c>
      <c r="B58" s="37" t="s">
        <v>207</v>
      </c>
      <c r="C58" s="37" t="s">
        <v>179</v>
      </c>
      <c r="D58" s="92" t="s">
        <v>137</v>
      </c>
      <c r="E58" s="93"/>
      <c r="F58" s="94" t="s">
        <v>74</v>
      </c>
      <c r="G58" s="95" t="s">
        <v>128</v>
      </c>
      <c r="H58" s="37" t="s">
        <v>208</v>
      </c>
      <c r="I58" s="96" t="s">
        <v>202</v>
      </c>
      <c r="J58" s="97">
        <f t="shared" si="0"/>
        <v>385.2</v>
      </c>
      <c r="K58" s="58">
        <v>428</v>
      </c>
      <c r="L58" s="39">
        <f t="shared" si="1"/>
        <v>449.4</v>
      </c>
      <c r="M58" s="39">
        <f t="shared" si="2"/>
        <v>32.1080270067517</v>
      </c>
      <c r="N58" s="98">
        <v>396</v>
      </c>
      <c r="O58" s="99">
        <f t="shared" si="3"/>
        <v>0.0808080808080808</v>
      </c>
      <c r="P58" s="39"/>
      <c r="Q58" s="53">
        <f t="shared" si="4"/>
        <v>427.68</v>
      </c>
      <c r="R58" s="100">
        <f t="shared" si="5"/>
        <v>428</v>
      </c>
    </row>
    <row r="59" s="1" customFormat="1" ht="18" customHeight="1" spans="1:19">
      <c r="A59" s="1">
        <v>51</v>
      </c>
      <c r="B59" s="37" t="s">
        <v>207</v>
      </c>
      <c r="C59" s="37" t="s">
        <v>179</v>
      </c>
      <c r="D59" s="92" t="s">
        <v>137</v>
      </c>
      <c r="E59" s="93"/>
      <c r="F59" s="94" t="s">
        <v>74</v>
      </c>
      <c r="G59" s="95" t="s">
        <v>156</v>
      </c>
      <c r="H59" s="37" t="s">
        <v>154</v>
      </c>
      <c r="I59" s="96" t="s">
        <v>136</v>
      </c>
      <c r="J59" s="97">
        <f t="shared" si="0"/>
        <v>369</v>
      </c>
      <c r="K59" s="58">
        <v>410</v>
      </c>
      <c r="L59" s="39">
        <f t="shared" si="1"/>
        <v>430.5</v>
      </c>
      <c r="M59" s="39">
        <f t="shared" si="2"/>
        <v>30.7576894223556</v>
      </c>
      <c r="N59" s="98">
        <v>380</v>
      </c>
      <c r="O59" s="99">
        <f t="shared" si="3"/>
        <v>0.0789473684210526</v>
      </c>
      <c r="P59" s="39"/>
      <c r="Q59" s="53">
        <f t="shared" si="4"/>
        <v>410.4</v>
      </c>
      <c r="R59" s="100">
        <f t="shared" si="5"/>
        <v>410</v>
      </c>
      <c r="S59" s="101">
        <v>380</v>
      </c>
    </row>
    <row r="60" s="1" customFormat="1" ht="18" customHeight="1" spans="1:19">
      <c r="A60" s="1">
        <v>52</v>
      </c>
      <c r="B60" s="37" t="s">
        <v>207</v>
      </c>
      <c r="C60" s="37" t="s">
        <v>179</v>
      </c>
      <c r="D60" s="92" t="s">
        <v>137</v>
      </c>
      <c r="E60" s="93">
        <v>4</v>
      </c>
      <c r="F60" s="94" t="s">
        <v>74</v>
      </c>
      <c r="G60" s="95" t="s">
        <v>156</v>
      </c>
      <c r="H60" s="37" t="s">
        <v>154</v>
      </c>
      <c r="I60" s="96" t="s">
        <v>189</v>
      </c>
      <c r="J60" s="97">
        <f t="shared" si="0"/>
        <v>388.8</v>
      </c>
      <c r="K60" s="58">
        <v>432</v>
      </c>
      <c r="L60" s="39">
        <f t="shared" si="1"/>
        <v>453.6</v>
      </c>
      <c r="M60" s="39">
        <f t="shared" si="2"/>
        <v>32.4081020255064</v>
      </c>
      <c r="N60" s="98">
        <v>400</v>
      </c>
      <c r="O60" s="99">
        <f t="shared" si="3"/>
        <v>0.08</v>
      </c>
      <c r="P60" s="39"/>
      <c r="Q60" s="53">
        <f t="shared" si="4"/>
        <v>432</v>
      </c>
      <c r="R60" s="100">
        <f t="shared" si="5"/>
        <v>432</v>
      </c>
      <c r="S60" s="101">
        <v>400</v>
      </c>
    </row>
    <row r="61" s="1" customFormat="1" ht="18" customHeight="1" spans="1:19">
      <c r="A61" s="1">
        <v>53</v>
      </c>
      <c r="B61" s="37" t="s">
        <v>207</v>
      </c>
      <c r="C61" s="37" t="s">
        <v>179</v>
      </c>
      <c r="D61" s="92" t="s">
        <v>137</v>
      </c>
      <c r="E61" s="93">
        <v>4</v>
      </c>
      <c r="F61" s="94" t="s">
        <v>74</v>
      </c>
      <c r="G61" s="95" t="s">
        <v>156</v>
      </c>
      <c r="H61" s="37" t="s">
        <v>154</v>
      </c>
      <c r="I61" s="96" t="s">
        <v>202</v>
      </c>
      <c r="J61" s="97">
        <f t="shared" si="0"/>
        <v>476.1</v>
      </c>
      <c r="K61" s="58">
        <v>529</v>
      </c>
      <c r="L61" s="39">
        <f t="shared" si="1"/>
        <v>555.45</v>
      </c>
      <c r="M61" s="39">
        <f t="shared" si="2"/>
        <v>39.6849212303076</v>
      </c>
      <c r="N61" s="98">
        <v>490</v>
      </c>
      <c r="O61" s="99">
        <f t="shared" si="3"/>
        <v>0.0795918367346939</v>
      </c>
      <c r="P61" s="39"/>
      <c r="Q61" s="53">
        <f t="shared" si="4"/>
        <v>529.2</v>
      </c>
      <c r="R61" s="100">
        <f t="shared" si="5"/>
        <v>529</v>
      </c>
      <c r="S61" s="101">
        <v>490</v>
      </c>
    </row>
    <row r="62" s="1" customFormat="1" spans="1:19">
      <c r="A62" s="1">
        <v>54</v>
      </c>
      <c r="B62" s="37" t="s">
        <v>207</v>
      </c>
      <c r="C62" s="37" t="s">
        <v>179</v>
      </c>
      <c r="D62" s="92" t="s">
        <v>137</v>
      </c>
      <c r="E62" s="93">
        <v>4</v>
      </c>
      <c r="F62" s="94" t="s">
        <v>74</v>
      </c>
      <c r="G62" s="95" t="s">
        <v>162</v>
      </c>
      <c r="H62" s="37" t="s">
        <v>208</v>
      </c>
      <c r="I62" s="96" t="s">
        <v>189</v>
      </c>
      <c r="J62" s="97">
        <f t="shared" si="0"/>
        <v>262.8</v>
      </c>
      <c r="K62" s="58">
        <v>292</v>
      </c>
      <c r="L62" s="39">
        <f t="shared" si="1"/>
        <v>306.6</v>
      </c>
      <c r="M62" s="39">
        <f t="shared" si="2"/>
        <v>21.9054763690923</v>
      </c>
      <c r="N62" s="98">
        <v>270</v>
      </c>
      <c r="O62" s="99">
        <f t="shared" si="3"/>
        <v>0.0814814814814815</v>
      </c>
      <c r="P62" s="39"/>
      <c r="Q62" s="53">
        <f t="shared" si="4"/>
        <v>291.6</v>
      </c>
      <c r="R62" s="100">
        <f t="shared" si="5"/>
        <v>292</v>
      </c>
    </row>
    <row r="63" s="1" customFormat="1" spans="1:19">
      <c r="A63" s="1">
        <v>55</v>
      </c>
      <c r="B63" s="37" t="s">
        <v>207</v>
      </c>
      <c r="C63" s="37" t="s">
        <v>179</v>
      </c>
      <c r="D63" s="92" t="s">
        <v>137</v>
      </c>
      <c r="E63" s="93">
        <v>4</v>
      </c>
      <c r="F63" s="94" t="s">
        <v>74</v>
      </c>
      <c r="G63" s="95" t="s">
        <v>162</v>
      </c>
      <c r="H63" s="37" t="s">
        <v>208</v>
      </c>
      <c r="I63" s="96" t="s">
        <v>202</v>
      </c>
      <c r="J63" s="97">
        <f t="shared" si="0"/>
        <v>340.2</v>
      </c>
      <c r="K63" s="58">
        <v>378</v>
      </c>
      <c r="L63" s="39">
        <f t="shared" si="1"/>
        <v>396.9</v>
      </c>
      <c r="M63" s="39">
        <f t="shared" si="2"/>
        <v>28.3570892723181</v>
      </c>
      <c r="N63" s="98">
        <v>350</v>
      </c>
      <c r="O63" s="99">
        <f t="shared" si="3"/>
        <v>0.08</v>
      </c>
      <c r="P63" s="39"/>
      <c r="Q63" s="53">
        <f t="shared" si="4"/>
        <v>378</v>
      </c>
      <c r="R63" s="100">
        <f t="shared" si="5"/>
        <v>378</v>
      </c>
    </row>
    <row r="64" s="1" customFormat="1" spans="1:19">
      <c r="A64" s="1">
        <v>56</v>
      </c>
      <c r="B64" s="37" t="s">
        <v>207</v>
      </c>
      <c r="C64" s="37" t="s">
        <v>179</v>
      </c>
      <c r="D64" s="92" t="s">
        <v>137</v>
      </c>
      <c r="E64" s="93">
        <v>4</v>
      </c>
      <c r="F64" s="94" t="s">
        <v>74</v>
      </c>
      <c r="G64" s="95" t="s">
        <v>75</v>
      </c>
      <c r="H64" s="37" t="s">
        <v>208</v>
      </c>
      <c r="I64" s="96" t="s">
        <v>189</v>
      </c>
      <c r="J64" s="97">
        <f t="shared" si="0"/>
        <v>204.3</v>
      </c>
      <c r="K64" s="58">
        <v>227</v>
      </c>
      <c r="L64" s="39">
        <f t="shared" si="1"/>
        <v>238.35</v>
      </c>
      <c r="M64" s="39">
        <f t="shared" si="2"/>
        <v>17.0292573143286</v>
      </c>
      <c r="N64" s="98">
        <v>210</v>
      </c>
      <c r="O64" s="99">
        <f t="shared" si="3"/>
        <v>0.080952380952381</v>
      </c>
      <c r="P64" s="39"/>
      <c r="Q64" s="53">
        <f t="shared" si="4"/>
        <v>226.8</v>
      </c>
      <c r="R64" s="100">
        <f t="shared" si="5"/>
        <v>227</v>
      </c>
    </row>
    <row r="65" s="1" customFormat="1" spans="1:19">
      <c r="A65" s="1">
        <v>57</v>
      </c>
      <c r="B65" s="37" t="s">
        <v>207</v>
      </c>
      <c r="C65" s="37" t="s">
        <v>179</v>
      </c>
      <c r="D65" s="92" t="s">
        <v>137</v>
      </c>
      <c r="E65" s="93">
        <v>4</v>
      </c>
      <c r="F65" s="94" t="s">
        <v>74</v>
      </c>
      <c r="G65" s="95" t="s">
        <v>75</v>
      </c>
      <c r="H65" s="37" t="s">
        <v>208</v>
      </c>
      <c r="I65" s="96" t="s">
        <v>202</v>
      </c>
      <c r="J65" s="97">
        <f t="shared" si="0"/>
        <v>271.8</v>
      </c>
      <c r="K65" s="58">
        <v>302</v>
      </c>
      <c r="L65" s="39">
        <f t="shared" si="1"/>
        <v>317.1</v>
      </c>
      <c r="M65" s="39">
        <f t="shared" si="2"/>
        <v>22.655663915979</v>
      </c>
      <c r="N65" s="98">
        <v>280</v>
      </c>
      <c r="O65" s="99">
        <f t="shared" si="3"/>
        <v>0.0785714285714286</v>
      </c>
      <c r="P65" s="39"/>
      <c r="Q65" s="53">
        <f t="shared" si="4"/>
        <v>302.4</v>
      </c>
      <c r="R65" s="100">
        <f t="shared" si="5"/>
        <v>302</v>
      </c>
    </row>
    <row r="66" s="1" customFormat="1" spans="1:19">
      <c r="A66" s="1">
        <v>58</v>
      </c>
      <c r="B66" s="37" t="s">
        <v>207</v>
      </c>
      <c r="C66" s="37" t="s">
        <v>179</v>
      </c>
      <c r="D66" s="92" t="s">
        <v>80</v>
      </c>
      <c r="E66" s="93"/>
      <c r="F66" s="94" t="s">
        <v>74</v>
      </c>
      <c r="G66" s="95" t="s">
        <v>128</v>
      </c>
      <c r="H66" s="37" t="s">
        <v>188</v>
      </c>
      <c r="I66" s="96" t="s">
        <v>159</v>
      </c>
      <c r="J66" s="97">
        <f t="shared" si="0"/>
        <v>344.7</v>
      </c>
      <c r="K66" s="58">
        <v>383</v>
      </c>
      <c r="L66" s="39">
        <f t="shared" si="1"/>
        <v>402.15</v>
      </c>
      <c r="M66" s="39">
        <f t="shared" si="2"/>
        <v>28.7321830457614</v>
      </c>
      <c r="N66" s="98">
        <v>355</v>
      </c>
      <c r="O66" s="99">
        <f t="shared" si="3"/>
        <v>0.0788732394366197</v>
      </c>
      <c r="P66" s="39"/>
      <c r="Q66" s="53">
        <f t="shared" si="4"/>
        <v>383.4</v>
      </c>
      <c r="R66" s="100">
        <f t="shared" si="5"/>
        <v>383</v>
      </c>
    </row>
    <row r="67" s="1" customFormat="1" spans="1:19">
      <c r="A67" s="1">
        <v>59</v>
      </c>
      <c r="B67" s="37" t="s">
        <v>207</v>
      </c>
      <c r="C67" s="37" t="s">
        <v>179</v>
      </c>
      <c r="D67" s="92" t="s">
        <v>80</v>
      </c>
      <c r="E67" s="93">
        <f>D67*39.37</f>
        <v>4.99999</v>
      </c>
      <c r="F67" s="94" t="s">
        <v>74</v>
      </c>
      <c r="G67" s="95" t="s">
        <v>128</v>
      </c>
      <c r="H67" s="37" t="s">
        <v>209</v>
      </c>
      <c r="I67" s="96" t="s">
        <v>202</v>
      </c>
      <c r="J67" s="97">
        <f t="shared" si="0"/>
        <v>514.8</v>
      </c>
      <c r="K67" s="58">
        <v>572</v>
      </c>
      <c r="L67" s="39">
        <f t="shared" si="1"/>
        <v>600.6</v>
      </c>
      <c r="M67" s="39">
        <f t="shared" si="2"/>
        <v>42.9107276819205</v>
      </c>
      <c r="N67" s="98">
        <v>530</v>
      </c>
      <c r="O67" s="99">
        <f t="shared" si="3"/>
        <v>0.0792452830188679</v>
      </c>
      <c r="P67" s="39"/>
      <c r="Q67" s="53">
        <f t="shared" si="4"/>
        <v>572.4</v>
      </c>
      <c r="R67" s="100">
        <f t="shared" si="5"/>
        <v>572</v>
      </c>
    </row>
    <row r="68" s="1" customFormat="1" spans="1:19">
      <c r="A68" s="1">
        <v>60</v>
      </c>
      <c r="B68" s="37" t="s">
        <v>207</v>
      </c>
      <c r="C68" s="37" t="s">
        <v>179</v>
      </c>
      <c r="D68" s="92" t="s">
        <v>80</v>
      </c>
      <c r="E68" s="93">
        <f>D68*39.37</f>
        <v>4.99999</v>
      </c>
      <c r="F68" s="94" t="s">
        <v>74</v>
      </c>
      <c r="G68" s="95" t="s">
        <v>190</v>
      </c>
      <c r="H68" s="37" t="s">
        <v>210</v>
      </c>
      <c r="I68" s="96" t="s">
        <v>202</v>
      </c>
      <c r="J68" s="97">
        <v>26.8</v>
      </c>
      <c r="K68" s="58">
        <v>616</v>
      </c>
      <c r="L68" s="39">
        <f t="shared" si="1"/>
        <v>646.8</v>
      </c>
      <c r="M68" s="39">
        <f t="shared" si="2"/>
        <v>46.2115528882221</v>
      </c>
      <c r="N68" s="98">
        <v>570</v>
      </c>
      <c r="O68" s="99">
        <f t="shared" si="3"/>
        <v>0.0807017543859649</v>
      </c>
      <c r="P68" s="39"/>
      <c r="Q68" s="53">
        <f t="shared" si="4"/>
        <v>615.6</v>
      </c>
      <c r="R68" s="100">
        <f t="shared" si="5"/>
        <v>616</v>
      </c>
    </row>
    <row r="69" s="1" customFormat="1" spans="1:19">
      <c r="A69" s="1">
        <v>61</v>
      </c>
      <c r="B69" s="37" t="s">
        <v>207</v>
      </c>
      <c r="C69" s="37" t="s">
        <v>179</v>
      </c>
      <c r="D69" s="92" t="s">
        <v>205</v>
      </c>
      <c r="E69" s="93"/>
      <c r="F69" s="94" t="s">
        <v>74</v>
      </c>
      <c r="G69" s="95" t="s">
        <v>156</v>
      </c>
      <c r="H69" s="37" t="s">
        <v>154</v>
      </c>
      <c r="I69" s="96" t="s">
        <v>158</v>
      </c>
      <c r="J69" s="97">
        <f t="shared" ref="J69:J110" si="7">K69*0.9</f>
        <v>463.5</v>
      </c>
      <c r="K69" s="58">
        <v>515</v>
      </c>
      <c r="L69" s="39">
        <f t="shared" si="1"/>
        <v>540.75</v>
      </c>
      <c r="M69" s="39">
        <f t="shared" si="2"/>
        <v>38.6346586646662</v>
      </c>
      <c r="N69" s="98">
        <v>477</v>
      </c>
      <c r="O69" s="99">
        <f t="shared" si="3"/>
        <v>0.079664570230608</v>
      </c>
      <c r="P69" s="39"/>
      <c r="Q69" s="53">
        <f t="shared" si="4"/>
        <v>515.16</v>
      </c>
      <c r="R69" s="100">
        <f t="shared" si="5"/>
        <v>515</v>
      </c>
      <c r="S69" s="101">
        <v>477</v>
      </c>
    </row>
    <row r="70" s="1" customFormat="1" spans="1:19">
      <c r="A70" s="1">
        <v>62</v>
      </c>
      <c r="B70" s="37" t="s">
        <v>207</v>
      </c>
      <c r="C70" s="37" t="s">
        <v>179</v>
      </c>
      <c r="D70" s="92" t="s">
        <v>205</v>
      </c>
      <c r="E70" s="93"/>
      <c r="F70" s="94" t="s">
        <v>74</v>
      </c>
      <c r="G70" s="95" t="s">
        <v>156</v>
      </c>
      <c r="H70" s="37" t="s">
        <v>154</v>
      </c>
      <c r="I70" s="96" t="s">
        <v>158</v>
      </c>
      <c r="J70" s="97">
        <f t="shared" si="7"/>
        <v>476.1</v>
      </c>
      <c r="K70" s="58">
        <v>529</v>
      </c>
      <c r="L70" s="39">
        <f t="shared" si="1"/>
        <v>555.45</v>
      </c>
      <c r="M70" s="39">
        <f t="shared" si="2"/>
        <v>39.6849212303076</v>
      </c>
      <c r="N70" s="98">
        <v>490</v>
      </c>
      <c r="O70" s="99">
        <f t="shared" si="3"/>
        <v>0.0795918367346939</v>
      </c>
      <c r="P70" s="39"/>
      <c r="Q70" s="53">
        <f t="shared" si="4"/>
        <v>529.2</v>
      </c>
      <c r="R70" s="100">
        <f t="shared" si="5"/>
        <v>529</v>
      </c>
      <c r="S70" s="101">
        <v>490</v>
      </c>
    </row>
    <row r="71" s="1" customFormat="1" spans="1:19">
      <c r="A71" s="1">
        <v>63</v>
      </c>
      <c r="B71" s="37" t="s">
        <v>211</v>
      </c>
      <c r="C71" s="37" t="s">
        <v>179</v>
      </c>
      <c r="D71" s="109" t="s">
        <v>152</v>
      </c>
      <c r="E71" s="110"/>
      <c r="F71" s="111" t="s">
        <v>74</v>
      </c>
      <c r="G71" s="95" t="s">
        <v>128</v>
      </c>
      <c r="H71" s="37" t="s">
        <v>212</v>
      </c>
      <c r="I71" s="37" t="s">
        <v>189</v>
      </c>
      <c r="J71" s="97">
        <f t="shared" si="7"/>
        <v>2008.8</v>
      </c>
      <c r="K71" s="58">
        <v>2232</v>
      </c>
      <c r="L71" s="39">
        <f t="shared" si="1"/>
        <v>2343.6</v>
      </c>
      <c r="M71" s="39">
        <f t="shared" si="2"/>
        <v>167.441860465116</v>
      </c>
      <c r="N71" s="98">
        <v>2067</v>
      </c>
      <c r="O71" s="99">
        <f t="shared" si="3"/>
        <v>0.0798258345428157</v>
      </c>
      <c r="P71" s="39"/>
      <c r="Q71" s="53">
        <f t="shared" si="4"/>
        <v>2232.36</v>
      </c>
      <c r="R71" s="100">
        <f t="shared" si="5"/>
        <v>2232</v>
      </c>
    </row>
    <row r="72" s="1" customFormat="1" spans="1:19">
      <c r="A72" s="1">
        <v>64</v>
      </c>
      <c r="B72" s="37" t="s">
        <v>211</v>
      </c>
      <c r="C72" s="37" t="s">
        <v>179</v>
      </c>
      <c r="D72" s="109" t="s">
        <v>152</v>
      </c>
      <c r="E72" s="110"/>
      <c r="F72" s="111" t="s">
        <v>74</v>
      </c>
      <c r="G72" s="95" t="s">
        <v>75</v>
      </c>
      <c r="H72" s="37" t="s">
        <v>212</v>
      </c>
      <c r="I72" s="37" t="s">
        <v>189</v>
      </c>
      <c r="J72" s="97">
        <f t="shared" si="7"/>
        <v>1744.2</v>
      </c>
      <c r="K72" s="58">
        <v>1938</v>
      </c>
      <c r="L72" s="39">
        <f t="shared" si="1"/>
        <v>2034.9</v>
      </c>
      <c r="M72" s="39">
        <f t="shared" si="2"/>
        <v>145.386346586647</v>
      </c>
      <c r="N72" s="98">
        <v>1794</v>
      </c>
      <c r="O72" s="99">
        <f t="shared" si="3"/>
        <v>0.0802675585284281</v>
      </c>
      <c r="P72" s="39"/>
      <c r="Q72" s="53">
        <f t="shared" si="4"/>
        <v>1937.52</v>
      </c>
      <c r="R72" s="100">
        <f t="shared" si="5"/>
        <v>1938</v>
      </c>
    </row>
    <row r="73" s="1" customFormat="1" ht="18" customHeight="1" spans="1:19">
      <c r="A73" s="1">
        <v>65</v>
      </c>
      <c r="B73" s="37" t="s">
        <v>211</v>
      </c>
      <c r="C73" s="37" t="s">
        <v>179</v>
      </c>
      <c r="D73" s="109" t="s">
        <v>137</v>
      </c>
      <c r="E73" s="110"/>
      <c r="F73" s="111" t="s">
        <v>74</v>
      </c>
      <c r="G73" s="95" t="s">
        <v>128</v>
      </c>
      <c r="H73" s="37" t="s">
        <v>212</v>
      </c>
      <c r="I73" s="37" t="s">
        <v>202</v>
      </c>
      <c r="J73" s="97">
        <f t="shared" si="7"/>
        <v>3387.6</v>
      </c>
      <c r="K73" s="58">
        <v>3764</v>
      </c>
      <c r="L73" s="39">
        <f t="shared" ref="L73:L110" si="8">K73*1.05</f>
        <v>3952.2</v>
      </c>
      <c r="M73" s="39">
        <f t="shared" ref="M73:M110" si="9">K73/13.33</f>
        <v>282.370592648162</v>
      </c>
      <c r="N73" s="98">
        <v>3485</v>
      </c>
      <c r="O73" s="99">
        <f t="shared" ref="O73:O80" si="10">(K73-N73)/N73</f>
        <v>0.0800573888091822</v>
      </c>
      <c r="P73" s="39"/>
      <c r="Q73" s="53">
        <f t="shared" ref="Q73:Q80" si="11">N73*1.08</f>
        <v>3763.8</v>
      </c>
      <c r="R73" s="100">
        <f t="shared" ref="R73:R80" si="12">ROUND(Q73,0)</f>
        <v>3764</v>
      </c>
    </row>
    <row r="74" s="1" customFormat="1" spans="1:19">
      <c r="A74" s="1">
        <v>66</v>
      </c>
      <c r="B74" s="37" t="s">
        <v>211</v>
      </c>
      <c r="C74" s="37" t="s">
        <v>179</v>
      </c>
      <c r="D74" s="109" t="s">
        <v>137</v>
      </c>
      <c r="E74" s="110"/>
      <c r="F74" s="111" t="s">
        <v>74</v>
      </c>
      <c r="G74" s="95" t="s">
        <v>156</v>
      </c>
      <c r="H74" s="37" t="s">
        <v>154</v>
      </c>
      <c r="I74" s="37" t="s">
        <v>202</v>
      </c>
      <c r="J74" s="97">
        <f t="shared" si="7"/>
        <v>3038.4</v>
      </c>
      <c r="K74" s="58">
        <v>3376</v>
      </c>
      <c r="L74" s="39">
        <f t="shared" si="8"/>
        <v>3544.8</v>
      </c>
      <c r="M74" s="39">
        <f t="shared" si="9"/>
        <v>253.263315828957</v>
      </c>
      <c r="N74" s="98">
        <v>3376</v>
      </c>
      <c r="O74" s="99">
        <f t="shared" si="10"/>
        <v>0</v>
      </c>
      <c r="P74" s="39"/>
      <c r="Q74" s="53">
        <f t="shared" si="11"/>
        <v>3646.08</v>
      </c>
      <c r="R74" s="100">
        <f t="shared" si="12"/>
        <v>3646</v>
      </c>
      <c r="S74" s="101">
        <v>3376</v>
      </c>
    </row>
    <row r="75" s="1" customFormat="1" spans="1:19">
      <c r="A75" s="1">
        <v>67</v>
      </c>
      <c r="B75" s="37" t="s">
        <v>211</v>
      </c>
      <c r="C75" s="37" t="s">
        <v>179</v>
      </c>
      <c r="D75" s="109" t="s">
        <v>137</v>
      </c>
      <c r="E75" s="110"/>
      <c r="F75" s="111" t="s">
        <v>74</v>
      </c>
      <c r="G75" s="95" t="s">
        <v>75</v>
      </c>
      <c r="H75" s="37" t="s">
        <v>212</v>
      </c>
      <c r="I75" s="37" t="s">
        <v>202</v>
      </c>
      <c r="J75" s="97">
        <f t="shared" si="7"/>
        <v>2783.7</v>
      </c>
      <c r="K75" s="58">
        <v>3093</v>
      </c>
      <c r="L75" s="39">
        <f t="shared" si="8"/>
        <v>3247.65</v>
      </c>
      <c r="M75" s="39">
        <f t="shared" si="9"/>
        <v>232.033008252063</v>
      </c>
      <c r="N75" s="98">
        <v>2864</v>
      </c>
      <c r="O75" s="99">
        <f t="shared" si="10"/>
        <v>0.0799581005586592</v>
      </c>
      <c r="P75" s="39"/>
      <c r="Q75" s="53">
        <f t="shared" si="11"/>
        <v>3093.12</v>
      </c>
      <c r="R75" s="100">
        <f t="shared" si="12"/>
        <v>3093</v>
      </c>
    </row>
    <row r="76" s="1" customFormat="1" spans="1:19">
      <c r="A76" s="1">
        <v>68</v>
      </c>
      <c r="B76" s="37" t="s">
        <v>211</v>
      </c>
      <c r="C76" s="37" t="s">
        <v>179</v>
      </c>
      <c r="D76" s="109" t="s">
        <v>80</v>
      </c>
      <c r="E76" s="110"/>
      <c r="F76" s="111" t="s">
        <v>74</v>
      </c>
      <c r="G76" s="95" t="s">
        <v>128</v>
      </c>
      <c r="H76" s="37" t="s">
        <v>212</v>
      </c>
      <c r="I76" s="37" t="s">
        <v>202</v>
      </c>
      <c r="J76" s="97">
        <f t="shared" si="7"/>
        <v>3333.6</v>
      </c>
      <c r="K76" s="58">
        <v>3704</v>
      </c>
      <c r="L76" s="39">
        <f t="shared" si="8"/>
        <v>3889.2</v>
      </c>
      <c r="M76" s="39">
        <f t="shared" si="9"/>
        <v>277.869467366842</v>
      </c>
      <c r="N76" s="98">
        <v>3430</v>
      </c>
      <c r="O76" s="99">
        <f t="shared" si="10"/>
        <v>0.0798833819241982</v>
      </c>
      <c r="P76" s="39"/>
      <c r="Q76" s="53">
        <f t="shared" si="11"/>
        <v>3704.4</v>
      </c>
      <c r="R76" s="100">
        <f t="shared" si="12"/>
        <v>3704</v>
      </c>
    </row>
    <row r="77" s="1" customFormat="1" spans="1:19">
      <c r="A77" s="1">
        <v>69</v>
      </c>
      <c r="B77" s="37" t="s">
        <v>211</v>
      </c>
      <c r="C77" s="37" t="s">
        <v>179</v>
      </c>
      <c r="D77" s="109" t="s">
        <v>205</v>
      </c>
      <c r="E77" s="110"/>
      <c r="F77" s="111" t="s">
        <v>74</v>
      </c>
      <c r="G77" s="95" t="s">
        <v>128</v>
      </c>
      <c r="H77" s="37" t="s">
        <v>212</v>
      </c>
      <c r="I77" s="37" t="s">
        <v>159</v>
      </c>
      <c r="J77" s="97">
        <f t="shared" si="7"/>
        <v>3270.6</v>
      </c>
      <c r="K77" s="58">
        <v>3634</v>
      </c>
      <c r="L77" s="39">
        <f t="shared" si="8"/>
        <v>3815.7</v>
      </c>
      <c r="M77" s="39">
        <f t="shared" si="9"/>
        <v>272.618154538635</v>
      </c>
      <c r="N77" s="98">
        <v>3365</v>
      </c>
      <c r="O77" s="99">
        <f t="shared" si="10"/>
        <v>0.0799405646359584</v>
      </c>
      <c r="P77" s="39"/>
      <c r="Q77" s="53">
        <f t="shared" si="11"/>
        <v>3634.2</v>
      </c>
      <c r="R77" s="100">
        <f t="shared" si="12"/>
        <v>3634</v>
      </c>
    </row>
    <row r="78" s="1" customFormat="1" spans="1:19">
      <c r="A78" s="1">
        <v>70</v>
      </c>
      <c r="B78" s="37" t="s">
        <v>213</v>
      </c>
      <c r="C78" s="37" t="s">
        <v>179</v>
      </c>
      <c r="D78" s="92" t="s">
        <v>80</v>
      </c>
      <c r="E78" s="93"/>
      <c r="F78" s="94" t="s">
        <v>74</v>
      </c>
      <c r="G78" s="95" t="s">
        <v>128</v>
      </c>
      <c r="H78" s="37" t="s">
        <v>209</v>
      </c>
      <c r="I78" s="96" t="s">
        <v>202</v>
      </c>
      <c r="J78" s="97">
        <f t="shared" si="7"/>
        <v>544.5</v>
      </c>
      <c r="K78" s="58">
        <v>605</v>
      </c>
      <c r="L78" s="39">
        <f t="shared" si="8"/>
        <v>635.25</v>
      </c>
      <c r="M78" s="39">
        <f t="shared" si="9"/>
        <v>45.3863465866467</v>
      </c>
      <c r="N78" s="98">
        <v>560</v>
      </c>
      <c r="O78" s="99">
        <f t="shared" si="10"/>
        <v>0.0803571428571429</v>
      </c>
      <c r="P78" s="39"/>
      <c r="Q78" s="53">
        <f t="shared" si="11"/>
        <v>604.8</v>
      </c>
      <c r="R78" s="100">
        <f t="shared" si="12"/>
        <v>605</v>
      </c>
    </row>
    <row r="79" s="1" customFormat="1" spans="1:19">
      <c r="A79" s="1">
        <v>71</v>
      </c>
      <c r="B79" s="37" t="s">
        <v>214</v>
      </c>
      <c r="C79" s="37" t="s">
        <v>179</v>
      </c>
      <c r="D79" s="92" t="s">
        <v>137</v>
      </c>
      <c r="E79" s="93"/>
      <c r="F79" s="94" t="s">
        <v>74</v>
      </c>
      <c r="G79" s="95" t="s">
        <v>156</v>
      </c>
      <c r="H79" s="37" t="s">
        <v>215</v>
      </c>
      <c r="I79" s="96" t="s">
        <v>202</v>
      </c>
      <c r="J79" s="97">
        <f t="shared" si="7"/>
        <v>3474.9</v>
      </c>
      <c r="K79" s="58">
        <v>3861</v>
      </c>
      <c r="L79" s="39">
        <f t="shared" si="8"/>
        <v>4054.05</v>
      </c>
      <c r="M79" s="39">
        <f t="shared" si="9"/>
        <v>289.647411852963</v>
      </c>
      <c r="N79" s="98">
        <v>3861</v>
      </c>
      <c r="O79" s="99">
        <f t="shared" si="10"/>
        <v>0</v>
      </c>
      <c r="P79" s="39"/>
      <c r="Q79" s="53">
        <f t="shared" si="11"/>
        <v>4169.88</v>
      </c>
      <c r="R79" s="100">
        <f t="shared" si="12"/>
        <v>4170</v>
      </c>
      <c r="S79" s="101">
        <v>3861</v>
      </c>
    </row>
    <row r="80" s="1" customFormat="1" spans="1:19">
      <c r="A80" s="1">
        <v>72</v>
      </c>
      <c r="B80" s="37" t="s">
        <v>214</v>
      </c>
      <c r="C80" s="37" t="s">
        <v>179</v>
      </c>
      <c r="D80" s="92" t="s">
        <v>192</v>
      </c>
      <c r="E80" s="93"/>
      <c r="F80" s="94" t="s">
        <v>74</v>
      </c>
      <c r="G80" s="95" t="s">
        <v>156</v>
      </c>
      <c r="H80" s="37" t="s">
        <v>215</v>
      </c>
      <c r="I80" s="96" t="s">
        <v>216</v>
      </c>
      <c r="J80" s="97">
        <f t="shared" si="7"/>
        <v>3618.9</v>
      </c>
      <c r="K80" s="58">
        <v>4021</v>
      </c>
      <c r="L80" s="39">
        <f t="shared" si="8"/>
        <v>4222.05</v>
      </c>
      <c r="M80" s="39">
        <f t="shared" si="9"/>
        <v>301.650412603151</v>
      </c>
      <c r="N80" s="98">
        <v>4021</v>
      </c>
      <c r="O80" s="99">
        <f t="shared" si="10"/>
        <v>0</v>
      </c>
      <c r="P80" s="39"/>
      <c r="Q80" s="53">
        <f t="shared" si="11"/>
        <v>4342.68</v>
      </c>
      <c r="R80" s="100">
        <f t="shared" si="12"/>
        <v>4343</v>
      </c>
      <c r="S80" s="101">
        <v>4021</v>
      </c>
    </row>
    <row r="81" s="1" customFormat="1" spans="1:16">
      <c r="A81" s="1">
        <v>73</v>
      </c>
      <c r="B81" s="37" t="s">
        <v>217</v>
      </c>
      <c r="C81" s="37" t="s">
        <v>179</v>
      </c>
      <c r="D81" s="92" t="s">
        <v>152</v>
      </c>
      <c r="E81" s="93"/>
      <c r="F81" s="94" t="s">
        <v>74</v>
      </c>
      <c r="G81" s="95" t="s">
        <v>75</v>
      </c>
      <c r="H81" s="37" t="s">
        <v>208</v>
      </c>
      <c r="I81" s="96" t="s">
        <v>189</v>
      </c>
      <c r="J81" s="97">
        <f t="shared" si="7"/>
        <v>184.5</v>
      </c>
      <c r="K81" s="58">
        <v>205</v>
      </c>
      <c r="L81" s="39">
        <f t="shared" si="8"/>
        <v>215.25</v>
      </c>
      <c r="M81" s="39">
        <f t="shared" si="9"/>
        <v>15.3788447111778</v>
      </c>
      <c r="N81" s="98" t="s">
        <v>82</v>
      </c>
      <c r="O81" s="39" t="s">
        <v>82</v>
      </c>
      <c r="P81" s="39" t="s">
        <v>218</v>
      </c>
    </row>
    <row r="82" s="1" customFormat="1" spans="1:16">
      <c r="A82" s="1">
        <v>74</v>
      </c>
      <c r="B82" s="37" t="s">
        <v>217</v>
      </c>
      <c r="C82" s="37" t="s">
        <v>179</v>
      </c>
      <c r="D82" s="92" t="s">
        <v>219</v>
      </c>
      <c r="E82" s="93"/>
      <c r="F82" s="94" t="s">
        <v>74</v>
      </c>
      <c r="G82" s="95" t="s">
        <v>75</v>
      </c>
      <c r="H82" s="37" t="s">
        <v>208</v>
      </c>
      <c r="I82" s="96" t="s">
        <v>136</v>
      </c>
      <c r="J82" s="97">
        <f t="shared" si="7"/>
        <v>189</v>
      </c>
      <c r="K82" s="58">
        <v>210</v>
      </c>
      <c r="L82" s="39">
        <f t="shared" si="8"/>
        <v>220.5</v>
      </c>
      <c r="M82" s="39">
        <f t="shared" si="9"/>
        <v>15.7539384846212</v>
      </c>
      <c r="N82" s="98" t="s">
        <v>82</v>
      </c>
      <c r="O82" s="39" t="s">
        <v>82</v>
      </c>
      <c r="P82" s="39" t="s">
        <v>218</v>
      </c>
    </row>
    <row r="83" s="1" customFormat="1" spans="1:16">
      <c r="A83" s="1">
        <v>75</v>
      </c>
      <c r="B83" s="37" t="s">
        <v>187</v>
      </c>
      <c r="C83" s="37" t="s">
        <v>179</v>
      </c>
      <c r="D83" s="92" t="s">
        <v>196</v>
      </c>
      <c r="E83" s="93"/>
      <c r="F83" s="94" t="s">
        <v>74</v>
      </c>
      <c r="G83" s="95" t="s">
        <v>128</v>
      </c>
      <c r="H83" s="37" t="s">
        <v>188</v>
      </c>
      <c r="I83" s="112" t="s">
        <v>107</v>
      </c>
      <c r="J83" s="97">
        <f t="shared" si="7"/>
        <v>357.3</v>
      </c>
      <c r="K83" s="58">
        <v>397</v>
      </c>
      <c r="L83" s="39">
        <f t="shared" si="8"/>
        <v>416.85</v>
      </c>
      <c r="M83" s="39">
        <f t="shared" si="9"/>
        <v>29.7824456114028</v>
      </c>
      <c r="N83" s="98" t="s">
        <v>82</v>
      </c>
      <c r="O83" s="39" t="s">
        <v>82</v>
      </c>
      <c r="P83" s="39" t="s">
        <v>218</v>
      </c>
    </row>
    <row r="84" s="1" customFormat="1" spans="1:16">
      <c r="A84" s="1">
        <v>76</v>
      </c>
      <c r="B84" s="37" t="s">
        <v>220</v>
      </c>
      <c r="C84" s="37" t="s">
        <v>179</v>
      </c>
      <c r="D84" s="92" t="s">
        <v>186</v>
      </c>
      <c r="E84" s="93"/>
      <c r="F84" s="94" t="s">
        <v>105</v>
      </c>
      <c r="G84" s="95" t="s">
        <v>128</v>
      </c>
      <c r="H84" s="37" t="s">
        <v>188</v>
      </c>
      <c r="I84" s="112" t="s">
        <v>221</v>
      </c>
      <c r="J84" s="97">
        <f t="shared" si="7"/>
        <v>747</v>
      </c>
      <c r="K84" s="58">
        <v>830</v>
      </c>
      <c r="L84" s="39">
        <f t="shared" si="8"/>
        <v>871.5</v>
      </c>
      <c r="M84" s="39">
        <f t="shared" si="9"/>
        <v>62.2655663915979</v>
      </c>
      <c r="N84" s="98" t="s">
        <v>82</v>
      </c>
      <c r="O84" s="39" t="s">
        <v>82</v>
      </c>
      <c r="P84" s="39" t="s">
        <v>222</v>
      </c>
    </row>
    <row r="85" s="1" customFormat="1" spans="1:16">
      <c r="A85" s="1">
        <v>77</v>
      </c>
      <c r="B85" s="37" t="s">
        <v>187</v>
      </c>
      <c r="C85" s="37" t="s">
        <v>179</v>
      </c>
      <c r="D85" s="92" t="s">
        <v>203</v>
      </c>
      <c r="E85" s="93"/>
      <c r="F85" s="94" t="s">
        <v>74</v>
      </c>
      <c r="G85" s="95" t="s">
        <v>75</v>
      </c>
      <c r="H85" s="37" t="s">
        <v>188</v>
      </c>
      <c r="I85" s="112" t="s">
        <v>223</v>
      </c>
      <c r="J85" s="97">
        <f t="shared" si="7"/>
        <v>103.5</v>
      </c>
      <c r="K85" s="58">
        <v>115</v>
      </c>
      <c r="L85" s="39">
        <f t="shared" si="8"/>
        <v>120.75</v>
      </c>
      <c r="M85" s="39">
        <f t="shared" si="9"/>
        <v>8.6271567891973</v>
      </c>
      <c r="N85" s="98" t="s">
        <v>82</v>
      </c>
      <c r="O85" s="39" t="s">
        <v>82</v>
      </c>
      <c r="P85" s="39" t="s">
        <v>222</v>
      </c>
    </row>
    <row r="86" s="1" customFormat="1" spans="1:16">
      <c r="A86" s="1">
        <v>78</v>
      </c>
      <c r="B86" s="37" t="s">
        <v>187</v>
      </c>
      <c r="C86" s="37" t="s">
        <v>179</v>
      </c>
      <c r="D86" s="92" t="s">
        <v>108</v>
      </c>
      <c r="E86" s="93"/>
      <c r="F86" s="94" t="s">
        <v>105</v>
      </c>
      <c r="G86" s="95" t="s">
        <v>75</v>
      </c>
      <c r="H86" s="37" t="s">
        <v>188</v>
      </c>
      <c r="I86" s="112" t="s">
        <v>109</v>
      </c>
      <c r="J86" s="97">
        <f t="shared" si="7"/>
        <v>229.5</v>
      </c>
      <c r="K86" s="58">
        <v>255</v>
      </c>
      <c r="L86" s="39">
        <f t="shared" si="8"/>
        <v>267.75</v>
      </c>
      <c r="M86" s="39">
        <f t="shared" si="9"/>
        <v>19.1297824456114</v>
      </c>
      <c r="N86" s="98" t="s">
        <v>82</v>
      </c>
      <c r="O86" s="39" t="s">
        <v>82</v>
      </c>
      <c r="P86" s="39" t="s">
        <v>222</v>
      </c>
    </row>
    <row r="87" s="1" customFormat="1" spans="1:16">
      <c r="A87" s="1">
        <v>79</v>
      </c>
      <c r="B87" s="37" t="s">
        <v>200</v>
      </c>
      <c r="C87" s="37" t="s">
        <v>179</v>
      </c>
      <c r="D87" s="92" t="s">
        <v>106</v>
      </c>
      <c r="E87" s="93"/>
      <c r="F87" s="94" t="s">
        <v>105</v>
      </c>
      <c r="G87" s="95" t="s">
        <v>128</v>
      </c>
      <c r="H87" s="37" t="s">
        <v>188</v>
      </c>
      <c r="I87" s="112" t="s">
        <v>224</v>
      </c>
      <c r="J87" s="97">
        <f t="shared" si="7"/>
        <v>571.5</v>
      </c>
      <c r="K87" s="58">
        <v>635</v>
      </c>
      <c r="L87" s="39">
        <f t="shared" si="8"/>
        <v>666.75</v>
      </c>
      <c r="M87" s="39">
        <f t="shared" si="9"/>
        <v>47.6369092273068</v>
      </c>
      <c r="N87" s="98" t="s">
        <v>82</v>
      </c>
      <c r="O87" s="39" t="s">
        <v>82</v>
      </c>
      <c r="P87" s="39" t="s">
        <v>225</v>
      </c>
    </row>
    <row r="88" s="1" customFormat="1" spans="1:16">
      <c r="A88" s="1">
        <v>80</v>
      </c>
      <c r="B88" s="37" t="s">
        <v>226</v>
      </c>
      <c r="C88" s="37" t="s">
        <v>179</v>
      </c>
      <c r="D88" s="92" t="s">
        <v>219</v>
      </c>
      <c r="E88" s="113">
        <v>3.937</v>
      </c>
      <c r="F88" s="94" t="s">
        <v>74</v>
      </c>
      <c r="G88" s="95" t="s">
        <v>75</v>
      </c>
      <c r="H88" s="1" t="s">
        <v>227</v>
      </c>
      <c r="I88" s="112" t="s">
        <v>202</v>
      </c>
      <c r="J88" s="97">
        <f t="shared" si="7"/>
        <v>513</v>
      </c>
      <c r="K88" s="58">
        <v>570</v>
      </c>
      <c r="L88" s="39">
        <f t="shared" si="8"/>
        <v>598.5</v>
      </c>
      <c r="M88" s="39">
        <f t="shared" si="9"/>
        <v>42.7606901725431</v>
      </c>
      <c r="N88" s="98" t="s">
        <v>82</v>
      </c>
      <c r="O88" s="39" t="s">
        <v>82</v>
      </c>
      <c r="P88" s="39" t="s">
        <v>225</v>
      </c>
    </row>
    <row r="89" s="1" customFormat="1" spans="1:16">
      <c r="A89" s="1">
        <v>81</v>
      </c>
      <c r="B89" s="37" t="s">
        <v>226</v>
      </c>
      <c r="C89" s="37" t="s">
        <v>179</v>
      </c>
      <c r="D89" s="92" t="s">
        <v>228</v>
      </c>
      <c r="E89" s="113">
        <v>1.969</v>
      </c>
      <c r="F89" s="94" t="s">
        <v>74</v>
      </c>
      <c r="G89" s="95" t="s">
        <v>128</v>
      </c>
      <c r="H89" s="37" t="s">
        <v>227</v>
      </c>
      <c r="I89" s="112" t="s">
        <v>229</v>
      </c>
      <c r="J89" s="97">
        <f t="shared" si="7"/>
        <v>747</v>
      </c>
      <c r="K89" s="58">
        <v>830</v>
      </c>
      <c r="L89" s="39">
        <f t="shared" si="8"/>
        <v>871.5</v>
      </c>
      <c r="M89" s="39">
        <f t="shared" si="9"/>
        <v>62.2655663915979</v>
      </c>
      <c r="N89" s="98" t="s">
        <v>82</v>
      </c>
      <c r="O89" s="39" t="s">
        <v>82</v>
      </c>
      <c r="P89" s="39" t="s">
        <v>225</v>
      </c>
    </row>
    <row r="90" s="1" customFormat="1" spans="1:16">
      <c r="A90" s="1">
        <v>82</v>
      </c>
      <c r="B90" s="37" t="s">
        <v>200</v>
      </c>
      <c r="C90" s="37" t="s">
        <v>179</v>
      </c>
      <c r="D90" s="92" t="s">
        <v>230</v>
      </c>
      <c r="E90" s="93"/>
      <c r="F90" s="94" t="s">
        <v>74</v>
      </c>
      <c r="G90" s="95" t="s">
        <v>75</v>
      </c>
      <c r="H90" s="37" t="s">
        <v>188</v>
      </c>
      <c r="I90" s="112" t="s">
        <v>87</v>
      </c>
      <c r="J90" s="97">
        <f t="shared" si="7"/>
        <v>223.2</v>
      </c>
      <c r="K90" s="58">
        <v>248</v>
      </c>
      <c r="L90" s="39">
        <f t="shared" si="8"/>
        <v>260.4</v>
      </c>
      <c r="M90" s="39">
        <f t="shared" si="9"/>
        <v>18.6046511627907</v>
      </c>
      <c r="N90" s="98" t="s">
        <v>82</v>
      </c>
      <c r="O90" s="39" t="s">
        <v>82</v>
      </c>
      <c r="P90" s="39" t="s">
        <v>231</v>
      </c>
    </row>
    <row r="91" s="1" customFormat="1" spans="1:16">
      <c r="A91" s="1">
        <v>83</v>
      </c>
      <c r="B91" s="37" t="s">
        <v>232</v>
      </c>
      <c r="C91" s="37" t="s">
        <v>179</v>
      </c>
      <c r="D91" s="92" t="s">
        <v>219</v>
      </c>
      <c r="E91" s="113">
        <v>3.937</v>
      </c>
      <c r="F91" s="94" t="s">
        <v>74</v>
      </c>
      <c r="G91" s="95" t="s">
        <v>75</v>
      </c>
      <c r="H91" s="1" t="s">
        <v>227</v>
      </c>
      <c r="I91" s="112" t="s">
        <v>202</v>
      </c>
      <c r="J91" s="97">
        <f t="shared" si="7"/>
        <v>1008</v>
      </c>
      <c r="K91" s="58">
        <v>1120</v>
      </c>
      <c r="L91" s="39">
        <f t="shared" si="8"/>
        <v>1176</v>
      </c>
      <c r="M91" s="39">
        <f t="shared" si="9"/>
        <v>84.0210052513128</v>
      </c>
      <c r="N91" s="98" t="s">
        <v>82</v>
      </c>
      <c r="O91" s="39" t="s">
        <v>82</v>
      </c>
      <c r="P91" s="39" t="s">
        <v>231</v>
      </c>
    </row>
    <row r="92" s="1" customFormat="1" spans="1:16">
      <c r="A92" s="1">
        <v>84</v>
      </c>
      <c r="B92" s="37" t="s">
        <v>232</v>
      </c>
      <c r="C92" s="37" t="s">
        <v>179</v>
      </c>
      <c r="D92" s="92" t="s">
        <v>228</v>
      </c>
      <c r="E92" s="113">
        <v>1.969</v>
      </c>
      <c r="F92" s="94" t="s">
        <v>74</v>
      </c>
      <c r="G92" s="95" t="s">
        <v>128</v>
      </c>
      <c r="H92" s="37" t="s">
        <v>227</v>
      </c>
      <c r="I92" s="112" t="s">
        <v>229</v>
      </c>
      <c r="J92" s="97">
        <f t="shared" si="7"/>
        <v>823.5</v>
      </c>
      <c r="K92" s="58">
        <v>915</v>
      </c>
      <c r="L92" s="39">
        <f t="shared" si="8"/>
        <v>960.75</v>
      </c>
      <c r="M92" s="39">
        <f t="shared" si="9"/>
        <v>68.642160540135</v>
      </c>
      <c r="N92" s="98" t="s">
        <v>82</v>
      </c>
      <c r="O92" s="39" t="s">
        <v>82</v>
      </c>
      <c r="P92" s="39" t="s">
        <v>231</v>
      </c>
    </row>
    <row r="93" s="1" customFormat="1" spans="1:16">
      <c r="A93" s="1">
        <v>85</v>
      </c>
      <c r="B93" s="37" t="s">
        <v>200</v>
      </c>
      <c r="C93" s="37" t="s">
        <v>179</v>
      </c>
      <c r="D93" s="92" t="s">
        <v>80</v>
      </c>
      <c r="E93" s="93">
        <f>D93*39.37</f>
        <v>4.99999</v>
      </c>
      <c r="F93" s="94" t="s">
        <v>74</v>
      </c>
      <c r="G93" s="95" t="s">
        <v>128</v>
      </c>
      <c r="H93" s="37" t="s">
        <v>209</v>
      </c>
      <c r="I93" s="112" t="s">
        <v>202</v>
      </c>
      <c r="J93" s="97">
        <f t="shared" si="7"/>
        <v>337.5</v>
      </c>
      <c r="K93" s="58">
        <v>375</v>
      </c>
      <c r="L93" s="39">
        <f t="shared" si="8"/>
        <v>393.75</v>
      </c>
      <c r="M93" s="39">
        <f t="shared" si="9"/>
        <v>28.1320330082521</v>
      </c>
      <c r="N93" s="98" t="s">
        <v>82</v>
      </c>
      <c r="O93" s="39" t="s">
        <v>82</v>
      </c>
      <c r="P93" s="39" t="s">
        <v>231</v>
      </c>
    </row>
    <row r="94" s="1" customFormat="1" spans="1:16">
      <c r="A94" s="1">
        <v>86</v>
      </c>
      <c r="B94" s="37" t="s">
        <v>200</v>
      </c>
      <c r="C94" s="37" t="s">
        <v>179</v>
      </c>
      <c r="D94" s="92" t="s">
        <v>80</v>
      </c>
      <c r="E94" s="93">
        <f>D94*39.37</f>
        <v>4.99999</v>
      </c>
      <c r="F94" s="94" t="s">
        <v>74</v>
      </c>
      <c r="G94" s="95" t="s">
        <v>190</v>
      </c>
      <c r="H94" s="37" t="s">
        <v>210</v>
      </c>
      <c r="I94" s="112" t="s">
        <v>202</v>
      </c>
      <c r="J94" s="97">
        <f t="shared" si="7"/>
        <v>378</v>
      </c>
      <c r="K94" s="58">
        <v>420</v>
      </c>
      <c r="L94" s="39">
        <f t="shared" si="8"/>
        <v>441</v>
      </c>
      <c r="M94" s="39">
        <f t="shared" si="9"/>
        <v>31.5078769692423</v>
      </c>
      <c r="N94" s="98" t="s">
        <v>82</v>
      </c>
      <c r="O94" s="39" t="s">
        <v>82</v>
      </c>
      <c r="P94" s="39" t="s">
        <v>231</v>
      </c>
    </row>
    <row r="95" s="1" customFormat="1" spans="1:16">
      <c r="A95" s="1">
        <v>87</v>
      </c>
      <c r="B95" s="37" t="s">
        <v>200</v>
      </c>
      <c r="C95" s="37" t="s">
        <v>179</v>
      </c>
      <c r="D95" s="92" t="s">
        <v>205</v>
      </c>
      <c r="E95" s="113"/>
      <c r="F95" s="94" t="s">
        <v>74</v>
      </c>
      <c r="G95" s="95" t="s">
        <v>190</v>
      </c>
      <c r="H95" s="37" t="s">
        <v>191</v>
      </c>
      <c r="I95" s="112" t="s">
        <v>159</v>
      </c>
      <c r="J95" s="97">
        <f t="shared" si="7"/>
        <v>337.5</v>
      </c>
      <c r="K95" s="58">
        <v>375</v>
      </c>
      <c r="L95" s="39">
        <f t="shared" si="8"/>
        <v>393.75</v>
      </c>
      <c r="M95" s="39">
        <f t="shared" si="9"/>
        <v>28.1320330082521</v>
      </c>
      <c r="N95" s="98" t="s">
        <v>82</v>
      </c>
      <c r="O95" s="39" t="s">
        <v>82</v>
      </c>
      <c r="P95" s="39" t="s">
        <v>231</v>
      </c>
    </row>
    <row r="96" s="1" customFormat="1" spans="1:16">
      <c r="A96" s="1">
        <v>88</v>
      </c>
      <c r="B96" s="37" t="s">
        <v>178</v>
      </c>
      <c r="C96" s="37" t="s">
        <v>179</v>
      </c>
      <c r="D96" s="92" t="s">
        <v>152</v>
      </c>
      <c r="E96" s="113"/>
      <c r="F96" s="94" t="s">
        <v>74</v>
      </c>
      <c r="G96" s="95" t="s">
        <v>128</v>
      </c>
      <c r="H96" s="37" t="s">
        <v>154</v>
      </c>
      <c r="I96" s="112" t="s">
        <v>77</v>
      </c>
      <c r="J96" s="97">
        <f t="shared" si="7"/>
        <v>154.8</v>
      </c>
      <c r="K96" s="58">
        <v>172</v>
      </c>
      <c r="L96" s="39">
        <f t="shared" si="8"/>
        <v>180.6</v>
      </c>
      <c r="M96" s="39">
        <f t="shared" si="9"/>
        <v>12.9032258064516</v>
      </c>
      <c r="N96" s="98" t="s">
        <v>82</v>
      </c>
      <c r="O96" s="39" t="s">
        <v>82</v>
      </c>
      <c r="P96" s="39" t="s">
        <v>233</v>
      </c>
    </row>
    <row r="97" s="1" customFormat="1" spans="1:16">
      <c r="A97" s="1">
        <v>89</v>
      </c>
      <c r="B97" s="37" t="s">
        <v>178</v>
      </c>
      <c r="C97" s="37" t="s">
        <v>179</v>
      </c>
      <c r="D97" s="92" t="s">
        <v>137</v>
      </c>
      <c r="E97" s="113"/>
      <c r="F97" s="94" t="s">
        <v>74</v>
      </c>
      <c r="G97" s="95" t="s">
        <v>128</v>
      </c>
      <c r="H97" s="37" t="s">
        <v>154</v>
      </c>
      <c r="I97" s="112" t="s">
        <v>81</v>
      </c>
      <c r="J97" s="97">
        <f t="shared" si="7"/>
        <v>153</v>
      </c>
      <c r="K97" s="58">
        <v>170</v>
      </c>
      <c r="L97" s="39">
        <f t="shared" si="8"/>
        <v>178.5</v>
      </c>
      <c r="M97" s="39">
        <f t="shared" si="9"/>
        <v>12.7531882970743</v>
      </c>
      <c r="N97" s="98" t="s">
        <v>82</v>
      </c>
      <c r="O97" s="39" t="s">
        <v>82</v>
      </c>
      <c r="P97" s="39" t="s">
        <v>233</v>
      </c>
    </row>
    <row r="98" s="1" customFormat="1" spans="1:16">
      <c r="A98" s="1">
        <v>90</v>
      </c>
      <c r="B98" s="37" t="s">
        <v>187</v>
      </c>
      <c r="C98" s="37" t="s">
        <v>179</v>
      </c>
      <c r="D98" s="92" t="s">
        <v>234</v>
      </c>
      <c r="E98" s="113"/>
      <c r="F98" s="94" t="s">
        <v>74</v>
      </c>
      <c r="G98" s="95" t="s">
        <v>128</v>
      </c>
      <c r="H98" s="37" t="s">
        <v>154</v>
      </c>
      <c r="I98" s="112" t="s">
        <v>81</v>
      </c>
      <c r="J98" s="97">
        <f t="shared" si="7"/>
        <v>166.5</v>
      </c>
      <c r="K98" s="58">
        <v>185</v>
      </c>
      <c r="L98" s="39">
        <f t="shared" si="8"/>
        <v>194.25</v>
      </c>
      <c r="M98" s="39">
        <f t="shared" si="9"/>
        <v>13.8784696174044</v>
      </c>
      <c r="N98" s="98" t="s">
        <v>82</v>
      </c>
      <c r="O98" s="39" t="s">
        <v>82</v>
      </c>
      <c r="P98" s="39" t="s">
        <v>233</v>
      </c>
    </row>
    <row r="99" s="1" customFormat="1" spans="1:16">
      <c r="A99" s="1">
        <v>91</v>
      </c>
      <c r="B99" s="37" t="s">
        <v>187</v>
      </c>
      <c r="C99" s="37" t="s">
        <v>179</v>
      </c>
      <c r="D99" s="92" t="s">
        <v>235</v>
      </c>
      <c r="E99" s="113"/>
      <c r="F99" s="94" t="s">
        <v>74</v>
      </c>
      <c r="G99" s="95" t="s">
        <v>128</v>
      </c>
      <c r="H99" s="37" t="s">
        <v>154</v>
      </c>
      <c r="I99" s="112" t="s">
        <v>92</v>
      </c>
      <c r="J99" s="97">
        <f t="shared" si="7"/>
        <v>196.2</v>
      </c>
      <c r="K99" s="58">
        <v>218</v>
      </c>
      <c r="L99" s="39">
        <f t="shared" si="8"/>
        <v>228.9</v>
      </c>
      <c r="M99" s="39">
        <f t="shared" si="9"/>
        <v>16.3540885221305</v>
      </c>
      <c r="N99" s="98" t="s">
        <v>82</v>
      </c>
      <c r="O99" s="39" t="s">
        <v>82</v>
      </c>
      <c r="P99" s="39" t="s">
        <v>233</v>
      </c>
    </row>
    <row r="100" s="1" customFormat="1" spans="1:16">
      <c r="A100" s="1">
        <v>92</v>
      </c>
      <c r="B100" s="37" t="s">
        <v>178</v>
      </c>
      <c r="C100" s="37" t="s">
        <v>179</v>
      </c>
      <c r="D100" s="92" t="s">
        <v>236</v>
      </c>
      <c r="E100" s="113"/>
      <c r="F100" s="94" t="s">
        <v>74</v>
      </c>
      <c r="G100" s="95" t="s">
        <v>128</v>
      </c>
      <c r="H100" s="37" t="s">
        <v>154</v>
      </c>
      <c r="I100" s="112" t="s">
        <v>104</v>
      </c>
      <c r="J100" s="97">
        <f t="shared" si="7"/>
        <v>243</v>
      </c>
      <c r="K100" s="58">
        <v>270</v>
      </c>
      <c r="L100" s="39">
        <f t="shared" si="8"/>
        <v>283.5</v>
      </c>
      <c r="M100" s="39">
        <f t="shared" si="9"/>
        <v>20.2550637659415</v>
      </c>
      <c r="N100" s="98" t="s">
        <v>82</v>
      </c>
      <c r="O100" s="39" t="s">
        <v>82</v>
      </c>
      <c r="P100" s="39" t="s">
        <v>237</v>
      </c>
    </row>
    <row r="101" s="1" customFormat="1" spans="1:16">
      <c r="A101" s="1">
        <v>93</v>
      </c>
      <c r="B101" s="37" t="s">
        <v>178</v>
      </c>
      <c r="C101" s="37" t="s">
        <v>179</v>
      </c>
      <c r="D101" s="92" t="s">
        <v>219</v>
      </c>
      <c r="E101" s="113"/>
      <c r="F101" s="94" t="s">
        <v>74</v>
      </c>
      <c r="G101" s="95" t="s">
        <v>128</v>
      </c>
      <c r="H101" s="37" t="s">
        <v>154</v>
      </c>
      <c r="I101" s="112" t="s">
        <v>81</v>
      </c>
      <c r="J101" s="97">
        <f t="shared" si="7"/>
        <v>153</v>
      </c>
      <c r="K101" s="58">
        <v>170</v>
      </c>
      <c r="L101" s="39">
        <f t="shared" si="8"/>
        <v>178.5</v>
      </c>
      <c r="M101" s="39">
        <f t="shared" si="9"/>
        <v>12.7531882970743</v>
      </c>
      <c r="N101" s="98" t="s">
        <v>82</v>
      </c>
      <c r="O101" s="39" t="s">
        <v>82</v>
      </c>
      <c r="P101" s="39" t="s">
        <v>237</v>
      </c>
    </row>
    <row r="102" s="1" customFormat="1" spans="1:16">
      <c r="A102" s="1">
        <v>94</v>
      </c>
      <c r="B102" s="37" t="s">
        <v>178</v>
      </c>
      <c r="C102" s="37" t="s">
        <v>179</v>
      </c>
      <c r="D102" s="92" t="s">
        <v>238</v>
      </c>
      <c r="E102" s="113"/>
      <c r="F102" s="94" t="s">
        <v>74</v>
      </c>
      <c r="G102" s="95" t="s">
        <v>128</v>
      </c>
      <c r="H102" s="37" t="s">
        <v>154</v>
      </c>
      <c r="I102" s="112" t="s">
        <v>109</v>
      </c>
      <c r="J102" s="97">
        <f t="shared" si="7"/>
        <v>279</v>
      </c>
      <c r="K102" s="58">
        <v>310</v>
      </c>
      <c r="L102" s="39">
        <f t="shared" si="8"/>
        <v>325.5</v>
      </c>
      <c r="M102" s="39">
        <f t="shared" si="9"/>
        <v>23.2558139534884</v>
      </c>
      <c r="N102" s="98" t="s">
        <v>82</v>
      </c>
      <c r="O102" s="39" t="s">
        <v>82</v>
      </c>
      <c r="P102" s="39" t="s">
        <v>239</v>
      </c>
    </row>
    <row r="103" s="1" customFormat="1" spans="1:16">
      <c r="A103" s="1">
        <v>95</v>
      </c>
      <c r="B103" s="37" t="s">
        <v>200</v>
      </c>
      <c r="C103" s="37" t="s">
        <v>179</v>
      </c>
      <c r="D103" s="92" t="s">
        <v>203</v>
      </c>
      <c r="E103" s="113"/>
      <c r="F103" s="94" t="s">
        <v>74</v>
      </c>
      <c r="G103" s="95" t="s">
        <v>128</v>
      </c>
      <c r="H103" s="37" t="s">
        <v>240</v>
      </c>
      <c r="I103" s="112" t="s">
        <v>204</v>
      </c>
      <c r="J103" s="97">
        <f t="shared" si="7"/>
        <v>286.2</v>
      </c>
      <c r="K103" s="58">
        <v>318</v>
      </c>
      <c r="L103" s="39">
        <f t="shared" si="8"/>
        <v>333.9</v>
      </c>
      <c r="M103" s="39">
        <f t="shared" si="9"/>
        <v>23.8559639909978</v>
      </c>
      <c r="N103" s="98" t="s">
        <v>82</v>
      </c>
      <c r="O103" s="39" t="s">
        <v>82</v>
      </c>
      <c r="P103" s="39" t="s">
        <v>239</v>
      </c>
    </row>
    <row r="104" s="1" customFormat="1" spans="1:16">
      <c r="A104" s="1">
        <v>96</v>
      </c>
      <c r="B104" s="37" t="s">
        <v>178</v>
      </c>
      <c r="C104" s="37" t="s">
        <v>179</v>
      </c>
      <c r="D104" s="92" t="s">
        <v>205</v>
      </c>
      <c r="E104" s="93">
        <v>6</v>
      </c>
      <c r="F104" s="94" t="s">
        <v>74</v>
      </c>
      <c r="G104" s="95" t="s">
        <v>128</v>
      </c>
      <c r="H104" s="37" t="s">
        <v>154</v>
      </c>
      <c r="I104" s="112" t="s">
        <v>83</v>
      </c>
      <c r="J104" s="97">
        <f t="shared" si="7"/>
        <v>162</v>
      </c>
      <c r="K104" s="58">
        <v>180</v>
      </c>
      <c r="L104" s="39">
        <f t="shared" si="8"/>
        <v>189</v>
      </c>
      <c r="M104" s="39">
        <f t="shared" si="9"/>
        <v>13.503375843961</v>
      </c>
      <c r="N104" s="98" t="s">
        <v>82</v>
      </c>
      <c r="O104" s="39" t="s">
        <v>82</v>
      </c>
      <c r="P104" s="39" t="s">
        <v>241</v>
      </c>
    </row>
    <row r="105" s="1" customFormat="1" spans="1:16">
      <c r="A105" s="1">
        <v>97</v>
      </c>
      <c r="B105" s="37" t="s">
        <v>178</v>
      </c>
      <c r="C105" s="37" t="s">
        <v>179</v>
      </c>
      <c r="D105" s="92" t="s">
        <v>242</v>
      </c>
      <c r="E105" s="114">
        <v>61.8</v>
      </c>
      <c r="F105" s="94" t="s">
        <v>74</v>
      </c>
      <c r="G105" s="95" t="s">
        <v>75</v>
      </c>
      <c r="H105" s="37" t="s">
        <v>154</v>
      </c>
      <c r="I105" s="112" t="s">
        <v>113</v>
      </c>
      <c r="J105" s="97">
        <f t="shared" si="7"/>
        <v>315</v>
      </c>
      <c r="K105" s="58">
        <v>350</v>
      </c>
      <c r="L105" s="39">
        <f t="shared" si="8"/>
        <v>367.5</v>
      </c>
      <c r="M105" s="39">
        <f t="shared" si="9"/>
        <v>26.2565641410353</v>
      </c>
      <c r="N105" s="98" t="s">
        <v>82</v>
      </c>
      <c r="O105" s="39" t="s">
        <v>82</v>
      </c>
      <c r="P105" s="39" t="s">
        <v>241</v>
      </c>
    </row>
    <row r="106" s="1" customFormat="1" spans="1:16">
      <c r="A106" s="1">
        <v>98</v>
      </c>
      <c r="B106" s="37" t="s">
        <v>187</v>
      </c>
      <c r="C106" s="37" t="s">
        <v>179</v>
      </c>
      <c r="D106" s="92" t="s">
        <v>230</v>
      </c>
      <c r="E106" s="93"/>
      <c r="F106" s="94" t="s">
        <v>74</v>
      </c>
      <c r="G106" s="95" t="s">
        <v>128</v>
      </c>
      <c r="H106" s="37" t="s">
        <v>188</v>
      </c>
      <c r="I106" s="112" t="s">
        <v>87</v>
      </c>
      <c r="J106" s="97">
        <f t="shared" si="7"/>
        <v>198</v>
      </c>
      <c r="K106" s="58">
        <v>220</v>
      </c>
      <c r="L106" s="39">
        <f t="shared" si="8"/>
        <v>231</v>
      </c>
      <c r="M106" s="39">
        <f t="shared" si="9"/>
        <v>16.5041260315079</v>
      </c>
      <c r="N106" s="98" t="s">
        <v>82</v>
      </c>
      <c r="O106" s="39" t="s">
        <v>82</v>
      </c>
      <c r="P106" s="39" t="s">
        <v>241</v>
      </c>
    </row>
    <row r="107" s="1" customFormat="1" spans="1:16">
      <c r="A107" s="1">
        <v>99</v>
      </c>
      <c r="B107" s="37" t="s">
        <v>187</v>
      </c>
      <c r="C107" s="37" t="s">
        <v>179</v>
      </c>
      <c r="D107" s="92" t="s">
        <v>131</v>
      </c>
      <c r="E107" s="93"/>
      <c r="F107" s="94" t="s">
        <v>74</v>
      </c>
      <c r="G107" s="95" t="s">
        <v>128</v>
      </c>
      <c r="H107" s="37" t="s">
        <v>188</v>
      </c>
      <c r="I107" s="112" t="s">
        <v>92</v>
      </c>
      <c r="J107" s="97">
        <f t="shared" si="7"/>
        <v>211.5</v>
      </c>
      <c r="K107" s="58">
        <v>235</v>
      </c>
      <c r="L107" s="39">
        <f t="shared" si="8"/>
        <v>246.75</v>
      </c>
      <c r="M107" s="39">
        <f t="shared" si="9"/>
        <v>17.629407351838</v>
      </c>
      <c r="N107" s="98" t="s">
        <v>82</v>
      </c>
      <c r="O107" s="39" t="s">
        <v>82</v>
      </c>
      <c r="P107" s="39" t="s">
        <v>241</v>
      </c>
    </row>
    <row r="108" s="1" customFormat="1" spans="1:16">
      <c r="A108" s="1">
        <v>100</v>
      </c>
      <c r="B108" s="37" t="s">
        <v>187</v>
      </c>
      <c r="C108" s="37" t="s">
        <v>179</v>
      </c>
      <c r="D108" s="92" t="s">
        <v>243</v>
      </c>
      <c r="E108" s="93"/>
      <c r="F108" s="94" t="s">
        <v>74</v>
      </c>
      <c r="G108" s="95" t="s">
        <v>75</v>
      </c>
      <c r="H108" s="37" t="s">
        <v>188</v>
      </c>
      <c r="I108" s="112" t="s">
        <v>104</v>
      </c>
      <c r="J108" s="97">
        <f t="shared" si="7"/>
        <v>220.5</v>
      </c>
      <c r="K108" s="58">
        <v>245</v>
      </c>
      <c r="L108" s="39">
        <f t="shared" si="8"/>
        <v>257.25</v>
      </c>
      <c r="M108" s="39">
        <f t="shared" si="9"/>
        <v>18.3795948987247</v>
      </c>
      <c r="N108" s="98" t="s">
        <v>82</v>
      </c>
      <c r="O108" s="39" t="s">
        <v>82</v>
      </c>
      <c r="P108" s="39" t="s">
        <v>241</v>
      </c>
    </row>
    <row r="109" s="1" customFormat="1" spans="1:16">
      <c r="A109" s="1">
        <v>101</v>
      </c>
      <c r="B109" s="37" t="s">
        <v>187</v>
      </c>
      <c r="C109" s="37" t="s">
        <v>179</v>
      </c>
      <c r="D109" s="92" t="s">
        <v>183</v>
      </c>
      <c r="E109" s="93"/>
      <c r="F109" s="94" t="s">
        <v>74</v>
      </c>
      <c r="G109" s="95" t="s">
        <v>75</v>
      </c>
      <c r="H109" s="37" t="s">
        <v>188</v>
      </c>
      <c r="I109" s="112" t="s">
        <v>184</v>
      </c>
      <c r="J109" s="97">
        <f t="shared" si="7"/>
        <v>135</v>
      </c>
      <c r="K109" s="58">
        <v>150</v>
      </c>
      <c r="L109" s="39">
        <f t="shared" si="8"/>
        <v>157.5</v>
      </c>
      <c r="M109" s="39">
        <f t="shared" si="9"/>
        <v>11.2528132033008</v>
      </c>
      <c r="N109" s="98" t="s">
        <v>82</v>
      </c>
      <c r="O109" s="39" t="s">
        <v>82</v>
      </c>
      <c r="P109" s="39" t="s">
        <v>241</v>
      </c>
    </row>
    <row r="110" s="1" customFormat="1" spans="1:16">
      <c r="A110" s="1">
        <v>102</v>
      </c>
      <c r="B110" s="37" t="s">
        <v>187</v>
      </c>
      <c r="C110" s="37" t="s">
        <v>179</v>
      </c>
      <c r="D110" s="92" t="s">
        <v>244</v>
      </c>
      <c r="E110" s="113"/>
      <c r="F110" s="94" t="s">
        <v>74</v>
      </c>
      <c r="G110" s="95" t="s">
        <v>75</v>
      </c>
      <c r="H110" s="37" t="s">
        <v>188</v>
      </c>
      <c r="I110" s="112" t="s">
        <v>87</v>
      </c>
      <c r="J110" s="97">
        <f t="shared" si="7"/>
        <v>136.8</v>
      </c>
      <c r="K110" s="58">
        <v>152</v>
      </c>
      <c r="L110" s="39">
        <f t="shared" si="8"/>
        <v>159.6</v>
      </c>
      <c r="M110" s="39">
        <f t="shared" si="9"/>
        <v>11.4028507126782</v>
      </c>
      <c r="N110" s="98" t="s">
        <v>82</v>
      </c>
      <c r="O110" s="39" t="s">
        <v>82</v>
      </c>
      <c r="P110" s="39" t="s">
        <v>201</v>
      </c>
    </row>
    <row r="111" s="1" customFormat="1" spans="1:16">
      <c r="A111" s="1">
        <v>103</v>
      </c>
      <c r="B111" s="37" t="s">
        <v>187</v>
      </c>
      <c r="C111" s="37" t="s">
        <v>179</v>
      </c>
      <c r="D111" s="92" t="s">
        <v>228</v>
      </c>
      <c r="E111" s="93"/>
      <c r="F111" s="94" t="s">
        <v>74</v>
      </c>
      <c r="G111" s="95" t="s">
        <v>162</v>
      </c>
      <c r="H111" s="37" t="s">
        <v>188</v>
      </c>
      <c r="I111" s="112" t="s">
        <v>129</v>
      </c>
      <c r="J111" s="97">
        <f t="shared" ref="J111:J121" si="13">K111*0.9</f>
        <v>149.4</v>
      </c>
      <c r="K111" s="58">
        <v>166</v>
      </c>
      <c r="L111" s="39">
        <f t="shared" ref="L111:L121" si="14">K111*1.05</f>
        <v>174.3</v>
      </c>
      <c r="M111" s="39">
        <f t="shared" ref="M111:M121" si="15">K111/13.33</f>
        <v>12.4531132783196</v>
      </c>
      <c r="N111" s="98" t="s">
        <v>82</v>
      </c>
      <c r="O111" s="39" t="s">
        <v>82</v>
      </c>
      <c r="P111" s="39" t="s">
        <v>201</v>
      </c>
    </row>
    <row r="112" s="1" customFormat="1" spans="1:16">
      <c r="A112" s="1">
        <v>104</v>
      </c>
      <c r="B112" s="37" t="s">
        <v>220</v>
      </c>
      <c r="C112" s="37" t="s">
        <v>179</v>
      </c>
      <c r="D112" s="92" t="s">
        <v>152</v>
      </c>
      <c r="E112" s="93"/>
      <c r="F112" s="94" t="s">
        <v>74</v>
      </c>
      <c r="G112" s="95" t="s">
        <v>75</v>
      </c>
      <c r="H112" s="37" t="s">
        <v>188</v>
      </c>
      <c r="I112" s="112" t="s">
        <v>189</v>
      </c>
      <c r="J112" s="97">
        <f t="shared" si="13"/>
        <v>148.5</v>
      </c>
      <c r="K112" s="58">
        <v>165</v>
      </c>
      <c r="L112" s="39">
        <f t="shared" si="14"/>
        <v>173.25</v>
      </c>
      <c r="M112" s="39">
        <f t="shared" si="15"/>
        <v>12.3780945236309</v>
      </c>
      <c r="N112" s="98" t="s">
        <v>82</v>
      </c>
      <c r="O112" s="39" t="s">
        <v>82</v>
      </c>
      <c r="P112" s="39" t="s">
        <v>201</v>
      </c>
    </row>
    <row r="113" s="1" customFormat="1" spans="1:23">
      <c r="A113" s="1">
        <v>105</v>
      </c>
      <c r="B113" s="37" t="s">
        <v>178</v>
      </c>
      <c r="C113" s="37" t="s">
        <v>179</v>
      </c>
      <c r="D113" s="92" t="s">
        <v>108</v>
      </c>
      <c r="E113" s="93"/>
      <c r="F113" s="94" t="s">
        <v>105</v>
      </c>
      <c r="G113" s="95" t="s">
        <v>75</v>
      </c>
      <c r="H113" s="37" t="s">
        <v>76</v>
      </c>
      <c r="I113" s="112" t="s">
        <v>109</v>
      </c>
      <c r="J113" s="97">
        <f t="shared" si="13"/>
        <v>243</v>
      </c>
      <c r="K113" s="58">
        <v>270</v>
      </c>
      <c r="L113" s="39">
        <f t="shared" si="14"/>
        <v>283.5</v>
      </c>
      <c r="M113" s="39">
        <f t="shared" si="15"/>
        <v>20.2550637659415</v>
      </c>
      <c r="N113" s="98" t="s">
        <v>82</v>
      </c>
      <c r="O113" s="39" t="s">
        <v>82</v>
      </c>
      <c r="P113" s="39" t="s">
        <v>245</v>
      </c>
    </row>
    <row r="114" s="1" customFormat="1" spans="1:23">
      <c r="A114" s="1">
        <v>106</v>
      </c>
      <c r="B114" s="37" t="s">
        <v>207</v>
      </c>
      <c r="C114" s="37" t="s">
        <v>179</v>
      </c>
      <c r="D114" s="92" t="s">
        <v>152</v>
      </c>
      <c r="E114" s="93"/>
      <c r="F114" s="94" t="s">
        <v>74</v>
      </c>
      <c r="G114" s="95" t="s">
        <v>75</v>
      </c>
      <c r="H114" s="37" t="s">
        <v>208</v>
      </c>
      <c r="I114" s="112" t="s">
        <v>189</v>
      </c>
      <c r="J114" s="97">
        <f t="shared" si="13"/>
        <v>180</v>
      </c>
      <c r="K114" s="58">
        <v>200</v>
      </c>
      <c r="L114" s="39">
        <f t="shared" si="14"/>
        <v>210</v>
      </c>
      <c r="M114" s="39">
        <f t="shared" si="15"/>
        <v>15.0037509377344</v>
      </c>
      <c r="N114" s="98"/>
      <c r="O114" s="39"/>
      <c r="P114" s="39"/>
    </row>
    <row r="115" s="1" customFormat="1" spans="1:23">
      <c r="A115" s="1">
        <v>107</v>
      </c>
      <c r="B115" s="37" t="s">
        <v>246</v>
      </c>
      <c r="C115" s="37" t="s">
        <v>179</v>
      </c>
      <c r="D115" s="92" t="s">
        <v>155</v>
      </c>
      <c r="E115" s="93"/>
      <c r="F115" s="94" t="s">
        <v>74</v>
      </c>
      <c r="G115" s="95" t="s">
        <v>75</v>
      </c>
      <c r="H115" s="37" t="s">
        <v>209</v>
      </c>
      <c r="I115" s="112" t="s">
        <v>159</v>
      </c>
      <c r="J115" s="97">
        <f t="shared" si="13"/>
        <v>396</v>
      </c>
      <c r="K115" s="58">
        <v>440</v>
      </c>
      <c r="L115" s="39">
        <f t="shared" si="14"/>
        <v>462</v>
      </c>
      <c r="M115" s="39">
        <f t="shared" si="15"/>
        <v>33.0082520630158</v>
      </c>
      <c r="N115" s="98"/>
      <c r="O115" s="39"/>
      <c r="P115" s="39" t="s">
        <v>247</v>
      </c>
    </row>
    <row r="116" s="1" customFormat="1" spans="1:23">
      <c r="A116" s="1">
        <v>108</v>
      </c>
      <c r="B116" s="37" t="s">
        <v>248</v>
      </c>
      <c r="C116" s="37" t="s">
        <v>179</v>
      </c>
      <c r="D116" s="92" t="s">
        <v>219</v>
      </c>
      <c r="E116" s="93"/>
      <c r="F116" s="94" t="s">
        <v>74</v>
      </c>
      <c r="G116" s="95" t="s">
        <v>75</v>
      </c>
      <c r="H116" s="37" t="s">
        <v>240</v>
      </c>
      <c r="I116" s="112" t="s">
        <v>136</v>
      </c>
      <c r="J116" s="97">
        <f t="shared" si="13"/>
        <v>207</v>
      </c>
      <c r="K116" s="58">
        <v>230</v>
      </c>
      <c r="L116" s="39">
        <f t="shared" si="14"/>
        <v>241.5</v>
      </c>
      <c r="M116" s="39">
        <f t="shared" si="15"/>
        <v>17.2543135783946</v>
      </c>
      <c r="N116" s="98"/>
      <c r="O116" s="39"/>
      <c r="P116" s="39" t="s">
        <v>247</v>
      </c>
    </row>
    <row r="117" s="1" customFormat="1" spans="1:23">
      <c r="A117" s="1">
        <v>109</v>
      </c>
      <c r="B117" s="37" t="s">
        <v>178</v>
      </c>
      <c r="C117" s="37" t="s">
        <v>179</v>
      </c>
      <c r="D117" s="92" t="s">
        <v>80</v>
      </c>
      <c r="E117" s="93"/>
      <c r="F117" s="94" t="s">
        <v>74</v>
      </c>
      <c r="G117" s="95" t="s">
        <v>128</v>
      </c>
      <c r="H117" s="37" t="s">
        <v>154</v>
      </c>
      <c r="I117" s="112" t="s">
        <v>81</v>
      </c>
      <c r="J117" s="97">
        <f t="shared" si="13"/>
        <v>168.3</v>
      </c>
      <c r="K117" s="58">
        <v>187</v>
      </c>
      <c r="L117" s="39">
        <f t="shared" si="14"/>
        <v>196.35</v>
      </c>
      <c r="M117" s="39">
        <f t="shared" si="15"/>
        <v>14.0285071267817</v>
      </c>
      <c r="N117" s="98" t="s">
        <v>82</v>
      </c>
      <c r="O117" s="39" t="s">
        <v>82</v>
      </c>
      <c r="P117" s="39" t="s">
        <v>249</v>
      </c>
    </row>
    <row r="118" s="1" customFormat="1" spans="1:23">
      <c r="B118" s="37" t="s">
        <v>200</v>
      </c>
      <c r="C118" s="37" t="s">
        <v>179</v>
      </c>
      <c r="D118" s="92" t="s">
        <v>195</v>
      </c>
      <c r="E118" s="93"/>
      <c r="F118" s="94" t="s">
        <v>74</v>
      </c>
      <c r="G118" s="95" t="s">
        <v>75</v>
      </c>
      <c r="H118" s="37" t="s">
        <v>188</v>
      </c>
      <c r="I118" s="96" t="s">
        <v>185</v>
      </c>
      <c r="J118" s="97">
        <f t="shared" si="13"/>
        <v>379.8</v>
      </c>
      <c r="K118" s="58">
        <v>422</v>
      </c>
      <c r="L118" s="39">
        <f t="shared" si="14"/>
        <v>443.1</v>
      </c>
      <c r="M118" s="39">
        <f t="shared" si="15"/>
        <v>31.6579144786197</v>
      </c>
      <c r="N118" s="98"/>
      <c r="O118" s="39"/>
      <c r="P118" s="39">
        <v>6.23</v>
      </c>
    </row>
    <row r="119" s="1" customFormat="1" spans="1:23">
      <c r="B119" s="37" t="s">
        <v>200</v>
      </c>
      <c r="C119" s="37" t="s">
        <v>179</v>
      </c>
      <c r="D119" s="92" t="s">
        <v>250</v>
      </c>
      <c r="E119" s="93"/>
      <c r="F119" s="94" t="s">
        <v>74</v>
      </c>
      <c r="G119" s="95" t="s">
        <v>75</v>
      </c>
      <c r="H119" s="37" t="s">
        <v>188</v>
      </c>
      <c r="I119" s="96" t="s">
        <v>251</v>
      </c>
      <c r="J119" s="97">
        <f t="shared" si="13"/>
        <v>594</v>
      </c>
      <c r="K119" s="58">
        <v>660</v>
      </c>
      <c r="L119" s="39">
        <f t="shared" si="14"/>
        <v>693</v>
      </c>
      <c r="M119" s="39">
        <f t="shared" si="15"/>
        <v>49.5123780945236</v>
      </c>
      <c r="N119" s="98"/>
      <c r="O119" s="39"/>
      <c r="P119" s="39">
        <v>6.23</v>
      </c>
    </row>
    <row r="120" s="1" customFormat="1" spans="1:23">
      <c r="B120" s="37"/>
      <c r="C120" s="37"/>
      <c r="D120" s="92"/>
      <c r="E120" s="93"/>
      <c r="F120" s="94"/>
      <c r="G120" s="95"/>
      <c r="H120" s="37"/>
      <c r="I120" s="112"/>
      <c r="J120" s="97">
        <f t="shared" si="13"/>
        <v>0</v>
      </c>
      <c r="K120" s="58"/>
      <c r="L120" s="39">
        <f t="shared" si="14"/>
        <v>0</v>
      </c>
      <c r="M120" s="39">
        <f t="shared" si="15"/>
        <v>0</v>
      </c>
      <c r="N120" s="98"/>
      <c r="O120" s="39"/>
      <c r="P120" s="39"/>
    </row>
    <row r="121" s="1" customFormat="1" spans="1:23">
      <c r="B121" s="37"/>
      <c r="C121" s="37"/>
      <c r="D121" s="109"/>
      <c r="E121" s="93"/>
      <c r="F121" s="109"/>
      <c r="G121" s="95"/>
      <c r="H121" s="37"/>
      <c r="I121" s="37"/>
      <c r="J121" s="97">
        <f t="shared" si="13"/>
        <v>0</v>
      </c>
      <c r="K121" s="58"/>
      <c r="L121" s="39">
        <f t="shared" si="14"/>
        <v>0</v>
      </c>
      <c r="M121" s="39">
        <f t="shared" si="15"/>
        <v>0</v>
      </c>
      <c r="N121" s="101"/>
      <c r="O121" s="39"/>
      <c r="P121" s="39"/>
      <c r="Q121" s="53"/>
    </row>
    <row r="122" s="6" customFormat="1" spans="1:23">
      <c r="A122" s="21" t="s">
        <v>53</v>
      </c>
      <c r="B122" s="115"/>
      <c r="C122" s="115"/>
      <c r="D122" s="115"/>
      <c r="E122" s="115"/>
      <c r="F122" s="115"/>
      <c r="G122" s="115"/>
      <c r="H122" s="115"/>
      <c r="I122" s="115"/>
      <c r="J122" s="25"/>
      <c r="K122" s="116"/>
      <c r="L122" s="25"/>
      <c r="M122" s="25"/>
      <c r="N122" s="83"/>
      <c r="O122" s="25"/>
      <c r="P122" s="115"/>
      <c r="Q122" s="117"/>
      <c r="R122" s="115"/>
      <c r="S122" s="115"/>
      <c r="T122" s="115"/>
      <c r="U122" s="115"/>
      <c r="V122" s="115"/>
      <c r="W122" s="115"/>
    </row>
    <row r="123" s="7" customFormat="1" spans="1:23">
      <c r="A123" s="22" t="s">
        <v>167</v>
      </c>
      <c r="D123" s="118"/>
      <c r="E123" s="119"/>
      <c r="J123" s="120"/>
      <c r="K123" s="121"/>
      <c r="L123" s="120"/>
      <c r="M123" s="120"/>
      <c r="N123" s="122"/>
      <c r="O123" s="120"/>
      <c r="Q123" s="123"/>
    </row>
    <row r="124" s="7" customFormat="1" ht="52" customHeight="1" spans="1:23">
      <c r="A124" s="124" t="s">
        <v>252</v>
      </c>
      <c r="B124" s="124"/>
      <c r="C124" s="124"/>
      <c r="D124" s="125"/>
      <c r="E124" s="126"/>
      <c r="F124" s="124"/>
      <c r="G124" s="124"/>
      <c r="H124" s="124"/>
      <c r="I124" s="124"/>
      <c r="J124" s="127"/>
      <c r="K124" s="128"/>
      <c r="L124" s="127"/>
      <c r="M124" s="127"/>
      <c r="N124" s="129"/>
      <c r="O124" s="127"/>
      <c r="P124" s="124"/>
      <c r="Q124" s="123"/>
    </row>
    <row r="125" s="7" customFormat="1" spans="1:23">
      <c r="A125" s="22" t="s">
        <v>169</v>
      </c>
      <c r="D125" s="118"/>
      <c r="E125" s="119"/>
      <c r="J125" s="120"/>
      <c r="K125" s="121"/>
      <c r="L125" s="120"/>
      <c r="M125" s="120"/>
      <c r="N125" s="122"/>
      <c r="O125" s="120"/>
      <c r="Q125" s="123"/>
    </row>
    <row r="126" s="7" customFormat="1" spans="1:23">
      <c r="A126" s="22" t="s">
        <v>170</v>
      </c>
      <c r="D126" s="118"/>
      <c r="E126" s="119"/>
      <c r="J126" s="120"/>
      <c r="K126" s="121"/>
      <c r="L126" s="120"/>
      <c r="M126" s="120"/>
      <c r="N126" s="122"/>
      <c r="O126" s="120"/>
      <c r="Q126" s="123"/>
    </row>
    <row r="127" s="7" customFormat="1" spans="1:23">
      <c r="A127" s="22" t="s">
        <v>171</v>
      </c>
      <c r="D127" s="118"/>
      <c r="E127" s="119"/>
      <c r="J127" s="120"/>
      <c r="K127" s="121"/>
      <c r="L127" s="120"/>
      <c r="M127" s="120"/>
      <c r="N127" s="122"/>
      <c r="O127" s="120"/>
      <c r="Q127" s="123"/>
    </row>
    <row r="128" s="7" customFormat="1" spans="1:23">
      <c r="A128" s="22" t="s">
        <v>172</v>
      </c>
      <c r="D128" s="118"/>
      <c r="E128" s="119"/>
      <c r="J128" s="120"/>
      <c r="K128" s="121"/>
      <c r="L128" s="120"/>
      <c r="M128" s="120"/>
      <c r="N128" s="122"/>
      <c r="O128" s="120"/>
      <c r="Q128" s="123"/>
    </row>
    <row r="129" s="7" customFormat="1" spans="1:17">
      <c r="A129" s="22" t="s">
        <v>173</v>
      </c>
      <c r="D129" s="118"/>
      <c r="E129" s="119"/>
      <c r="J129" s="120"/>
      <c r="K129" s="121"/>
      <c r="L129" s="120"/>
      <c r="M129" s="120"/>
      <c r="N129" s="122"/>
      <c r="O129" s="120"/>
      <c r="Q129" s="123"/>
    </row>
  </sheetData>
  <autoFilter xmlns:etc="http://www.wps.cn/officeDocument/2017/etCustomData" ref="B8:P121" etc:filterBottomFollowUsedRange="0">
    <extLst/>
  </autoFilter>
  <sortState ref="A9:XEY79">
    <sortCondition ref="B9:B79"/>
    <sortCondition ref="D9:D79"/>
    <sortCondition ref="G9:G79"/>
  </sortState>
  <mergeCells count="10">
    <mergeCell ref="B1:I1"/>
    <mergeCell ref="B2:I2"/>
    <mergeCell ref="B3:I3"/>
    <mergeCell ref="A123:P123"/>
    <mergeCell ref="A124:P124"/>
    <mergeCell ref="A125:P125"/>
    <mergeCell ref="A126:P126"/>
    <mergeCell ref="A127:P127"/>
    <mergeCell ref="A128:P128"/>
    <mergeCell ref="A129:P129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EP80"/>
  <sheetViews>
    <sheetView workbookViewId="0">
      <pane xSplit="2" ySplit="8" topLeftCell="C54" activePane="bottomRight" state="frozen"/>
      <selection/>
      <selection pane="topRight"/>
      <selection pane="bottomLeft"/>
      <selection pane="bottomRight" activeCell="P70" sqref="P70"/>
    </sheetView>
  </sheetViews>
  <sheetFormatPr defaultColWidth="8.8" defaultRowHeight="15.6"/>
  <cols>
    <col min="1" max="1" width="4" style="1" customWidth="1"/>
    <col min="2" max="2" width="11.7" style="1" customWidth="1"/>
    <col min="3" max="3" width="8.8" style="7"/>
    <col min="4" max="4" width="8.8" style="8"/>
    <col min="5" max="6" width="8.8" style="1"/>
    <col min="7" max="7" width="8.8" style="9"/>
    <col min="8" max="8" width="9.6" style="10" customWidth="1"/>
    <col min="9" max="9" width="8.8" style="1"/>
    <col min="10" max="10" width="8.8" style="1" hidden="1" customWidth="1"/>
    <col min="11" max="11" width="9.5" style="11" hidden="1" customWidth="1"/>
    <col min="12" max="12" width="13.4" style="1" customWidth="1"/>
    <col min="13" max="16384" width="8.8" style="1"/>
  </cols>
  <sheetData>
    <row r="1" s="1" customFormat="1" ht="22.8" spans="1:14">
      <c r="B1" s="12" t="s">
        <v>0</v>
      </c>
      <c r="C1" s="13"/>
      <c r="D1" s="14"/>
      <c r="E1" s="15"/>
      <c r="F1" s="12"/>
      <c r="G1" s="9"/>
      <c r="H1" s="10"/>
      <c r="I1" s="10"/>
      <c r="J1" s="10"/>
      <c r="K1" s="11"/>
    </row>
    <row r="2" s="1" customFormat="1" spans="1:14">
      <c r="B2" s="16" t="s">
        <v>1</v>
      </c>
      <c r="C2" s="17"/>
      <c r="D2" s="18"/>
      <c r="E2" s="19"/>
      <c r="F2" s="20"/>
      <c r="G2" s="9"/>
      <c r="H2" s="10"/>
      <c r="I2" s="10"/>
      <c r="J2" s="10"/>
      <c r="K2" s="11"/>
    </row>
    <row r="3" s="1" customFormat="1" spans="1:14">
      <c r="B3" s="20" t="s">
        <v>2</v>
      </c>
      <c r="C3" s="17"/>
      <c r="D3" s="18"/>
      <c r="E3" s="19"/>
      <c r="F3" s="20"/>
      <c r="G3" s="9"/>
      <c r="H3" s="10"/>
      <c r="I3" s="10"/>
      <c r="J3" s="10"/>
      <c r="K3" s="11"/>
    </row>
    <row r="4" s="1" customFormat="1" spans="1:14">
      <c r="B4" s="21" t="s">
        <v>3</v>
      </c>
      <c r="C4" s="22"/>
      <c r="D4" s="23"/>
      <c r="E4" s="24"/>
      <c r="F4" s="22"/>
      <c r="G4" s="9"/>
      <c r="H4" s="10" t="s">
        <v>4</v>
      </c>
      <c r="I4" s="25"/>
      <c r="J4" s="25"/>
      <c r="K4" s="11"/>
    </row>
    <row r="5" s="1" customFormat="1" spans="1:14">
      <c r="B5" s="21" t="s">
        <v>5</v>
      </c>
      <c r="C5" s="22"/>
      <c r="D5" s="23"/>
      <c r="E5" s="24"/>
      <c r="F5" s="22"/>
      <c r="G5" s="9"/>
      <c r="H5" s="10" t="s">
        <v>6</v>
      </c>
      <c r="I5" s="25"/>
      <c r="J5" s="25"/>
      <c r="K5" s="11"/>
    </row>
    <row r="6" s="1" customFormat="1" spans="1:14">
      <c r="B6" s="21" t="s">
        <v>7</v>
      </c>
      <c r="C6" s="22"/>
      <c r="D6" s="23"/>
      <c r="E6" s="24"/>
      <c r="F6" s="22"/>
      <c r="G6" s="9"/>
      <c r="H6" s="25"/>
      <c r="I6" s="25"/>
      <c r="J6" s="25"/>
      <c r="K6" s="11"/>
    </row>
    <row r="7" s="1" customFormat="1" spans="1:14">
      <c r="C7" s="7"/>
      <c r="D7" s="8"/>
      <c r="E7" s="26"/>
      <c r="G7" s="9"/>
      <c r="H7" s="10"/>
      <c r="I7" s="10"/>
      <c r="J7" s="10"/>
      <c r="K7" s="11"/>
    </row>
    <row r="8" s="2" customFormat="1" ht="32" customHeight="1" spans="1:14">
      <c r="A8" s="2" t="s">
        <v>9</v>
      </c>
      <c r="B8" s="27" t="s">
        <v>253</v>
      </c>
      <c r="C8" s="27" t="s">
        <v>11</v>
      </c>
      <c r="D8" s="28" t="s">
        <v>12</v>
      </c>
      <c r="E8" s="29" t="s">
        <v>13</v>
      </c>
      <c r="F8" s="27" t="s">
        <v>14</v>
      </c>
      <c r="G8" s="30" t="s">
        <v>254</v>
      </c>
      <c r="H8" s="31" t="s">
        <v>16</v>
      </c>
      <c r="I8" s="32" t="s">
        <v>17</v>
      </c>
      <c r="J8" s="32" t="s">
        <v>176</v>
      </c>
      <c r="K8" s="33" t="s">
        <v>19</v>
      </c>
      <c r="L8" s="27" t="s">
        <v>20</v>
      </c>
      <c r="N8" s="2" t="s">
        <v>255</v>
      </c>
    </row>
    <row r="9" s="1" customFormat="1" spans="1:14">
      <c r="A9" s="1">
        <v>1</v>
      </c>
      <c r="B9" s="34" t="s">
        <v>256</v>
      </c>
      <c r="C9" s="35">
        <v>1067</v>
      </c>
      <c r="D9" s="36">
        <v>0.7</v>
      </c>
      <c r="E9" s="27">
        <v>300</v>
      </c>
      <c r="F9" s="37">
        <v>49.5</v>
      </c>
      <c r="G9" s="38">
        <v>37.3</v>
      </c>
      <c r="H9" s="39">
        <f t="shared" ref="H9:H72" si="0">G9/13.12</f>
        <v>2.84298780487805</v>
      </c>
      <c r="I9" s="37">
        <f t="shared" ref="I9:I72" si="1">G9*E9</f>
        <v>11190</v>
      </c>
      <c r="J9" s="37">
        <v>34.5</v>
      </c>
      <c r="K9" s="40">
        <f t="shared" ref="K9:K53" si="2">(G9-J9)/J9</f>
        <v>0.081159420289855</v>
      </c>
      <c r="L9" s="37"/>
      <c r="M9" s="1">
        <f t="shared" ref="M9:M43" si="3">J9*1.08</f>
        <v>37.26</v>
      </c>
      <c r="N9" s="1">
        <f t="shared" ref="N9:N43" si="4">ROUND(M9,1)</f>
        <v>37.3</v>
      </c>
    </row>
    <row r="10" s="1" customFormat="1" spans="1:14">
      <c r="A10" s="1">
        <v>2</v>
      </c>
      <c r="B10" s="34" t="s">
        <v>256</v>
      </c>
      <c r="C10" s="35">
        <v>1067</v>
      </c>
      <c r="D10" s="36">
        <v>0.73</v>
      </c>
      <c r="E10" s="27">
        <v>300</v>
      </c>
      <c r="F10" s="37">
        <v>49.5</v>
      </c>
      <c r="G10" s="38">
        <v>37.3</v>
      </c>
      <c r="H10" s="39">
        <f t="shared" si="0"/>
        <v>2.84298780487805</v>
      </c>
      <c r="I10" s="37">
        <f t="shared" si="1"/>
        <v>11190</v>
      </c>
      <c r="J10" s="37">
        <v>34.5</v>
      </c>
      <c r="K10" s="40">
        <f t="shared" si="2"/>
        <v>0.081159420289855</v>
      </c>
      <c r="L10" s="37"/>
      <c r="M10" s="1">
        <f t="shared" si="3"/>
        <v>37.26</v>
      </c>
      <c r="N10" s="1">
        <f t="shared" si="4"/>
        <v>37.3</v>
      </c>
    </row>
    <row r="11" s="1" customFormat="1" spans="1:14">
      <c r="A11" s="1">
        <v>3</v>
      </c>
      <c r="B11" s="34" t="s">
        <v>256</v>
      </c>
      <c r="C11" s="35">
        <v>1078</v>
      </c>
      <c r="D11" s="36">
        <v>0.62</v>
      </c>
      <c r="E11" s="27">
        <v>300</v>
      </c>
      <c r="F11" s="37">
        <v>49.5</v>
      </c>
      <c r="G11" s="38">
        <v>33</v>
      </c>
      <c r="H11" s="39">
        <f t="shared" si="0"/>
        <v>2.51524390243902</v>
      </c>
      <c r="I11" s="37">
        <f t="shared" si="1"/>
        <v>9900</v>
      </c>
      <c r="J11" s="37">
        <v>30.6</v>
      </c>
      <c r="K11" s="40">
        <f t="shared" si="2"/>
        <v>0.0784313725490196</v>
      </c>
      <c r="L11" s="37"/>
      <c r="M11" s="1">
        <f t="shared" si="3"/>
        <v>33.048</v>
      </c>
      <c r="N11" s="1">
        <f t="shared" si="4"/>
        <v>33</v>
      </c>
    </row>
    <row r="12" s="1" customFormat="1" spans="1:14">
      <c r="A12" s="1">
        <v>4</v>
      </c>
      <c r="B12" s="34" t="s">
        <v>256</v>
      </c>
      <c r="C12" s="35">
        <v>1078</v>
      </c>
      <c r="D12" s="36">
        <v>0.65</v>
      </c>
      <c r="E12" s="27">
        <v>300</v>
      </c>
      <c r="F12" s="37">
        <v>49.5</v>
      </c>
      <c r="G12" s="38">
        <v>33.6</v>
      </c>
      <c r="H12" s="39">
        <f t="shared" si="0"/>
        <v>2.5609756097561</v>
      </c>
      <c r="I12" s="37">
        <f t="shared" si="1"/>
        <v>10080</v>
      </c>
      <c r="J12" s="37">
        <v>31.1</v>
      </c>
      <c r="K12" s="40">
        <f t="shared" si="2"/>
        <v>0.0803858520900322</v>
      </c>
      <c r="L12" s="37"/>
      <c r="M12" s="1">
        <f t="shared" si="3"/>
        <v>33.588</v>
      </c>
      <c r="N12" s="1">
        <f t="shared" si="4"/>
        <v>33.6</v>
      </c>
    </row>
    <row r="13" s="1" customFormat="1" spans="1:14">
      <c r="A13" s="1">
        <v>5</v>
      </c>
      <c r="B13" s="34" t="s">
        <v>256</v>
      </c>
      <c r="C13" s="35">
        <v>1078</v>
      </c>
      <c r="D13" s="36">
        <v>0.69</v>
      </c>
      <c r="E13" s="27">
        <v>300</v>
      </c>
      <c r="F13" s="37">
        <v>49.5</v>
      </c>
      <c r="G13" s="38">
        <v>36.8</v>
      </c>
      <c r="H13" s="39">
        <f t="shared" si="0"/>
        <v>2.80487804878049</v>
      </c>
      <c r="I13" s="37">
        <f t="shared" si="1"/>
        <v>11040</v>
      </c>
      <c r="J13" s="37">
        <v>34.1</v>
      </c>
      <c r="K13" s="40">
        <f t="shared" si="2"/>
        <v>0.0791788856304984</v>
      </c>
      <c r="L13" s="37"/>
      <c r="M13" s="1">
        <f t="shared" si="3"/>
        <v>36.828</v>
      </c>
      <c r="N13" s="1">
        <f t="shared" si="4"/>
        <v>36.8</v>
      </c>
    </row>
    <row r="14" s="1" customFormat="1" spans="1:14">
      <c r="A14" s="1">
        <v>6</v>
      </c>
      <c r="B14" s="34" t="s">
        <v>256</v>
      </c>
      <c r="C14" s="35">
        <v>1080</v>
      </c>
      <c r="D14" s="36">
        <v>0.65</v>
      </c>
      <c r="E14" s="27">
        <v>300</v>
      </c>
      <c r="F14" s="37">
        <v>49.5</v>
      </c>
      <c r="G14" s="38">
        <v>34.3</v>
      </c>
      <c r="H14" s="39">
        <f t="shared" si="0"/>
        <v>2.61432926829268</v>
      </c>
      <c r="I14" s="37">
        <f t="shared" si="1"/>
        <v>10290</v>
      </c>
      <c r="J14" s="37">
        <v>31.8</v>
      </c>
      <c r="K14" s="40">
        <f t="shared" si="2"/>
        <v>0.0786163522012577</v>
      </c>
      <c r="L14" s="37"/>
      <c r="M14" s="1">
        <f t="shared" si="3"/>
        <v>34.344</v>
      </c>
      <c r="N14" s="1">
        <f t="shared" si="4"/>
        <v>34.3</v>
      </c>
    </row>
    <row r="15" s="1" customFormat="1" spans="1:14">
      <c r="A15" s="1">
        <v>7</v>
      </c>
      <c r="B15" s="34" t="s">
        <v>256</v>
      </c>
      <c r="C15" s="35">
        <v>1080</v>
      </c>
      <c r="D15" s="36">
        <v>0.69</v>
      </c>
      <c r="E15" s="27">
        <v>300</v>
      </c>
      <c r="F15" s="37">
        <v>49.5</v>
      </c>
      <c r="G15" s="38">
        <v>36.4</v>
      </c>
      <c r="H15" s="39">
        <f t="shared" si="0"/>
        <v>2.77439024390244</v>
      </c>
      <c r="I15" s="37">
        <f t="shared" si="1"/>
        <v>10920</v>
      </c>
      <c r="J15" s="37">
        <v>33.7</v>
      </c>
      <c r="K15" s="40">
        <f t="shared" si="2"/>
        <v>0.0801186943620177</v>
      </c>
      <c r="L15" s="37"/>
      <c r="M15" s="1">
        <f t="shared" si="3"/>
        <v>36.396</v>
      </c>
      <c r="N15" s="1">
        <f t="shared" si="4"/>
        <v>36.4</v>
      </c>
    </row>
    <row r="16" s="1" customFormat="1" spans="1:14">
      <c r="A16" s="1">
        <v>8</v>
      </c>
      <c r="B16" s="34" t="s">
        <v>256</v>
      </c>
      <c r="C16" s="35">
        <v>1080</v>
      </c>
      <c r="D16" s="36">
        <v>0.72</v>
      </c>
      <c r="E16" s="27">
        <v>300</v>
      </c>
      <c r="F16" s="37">
        <v>49.5</v>
      </c>
      <c r="G16" s="38">
        <v>39</v>
      </c>
      <c r="H16" s="39">
        <f t="shared" si="0"/>
        <v>2.97256097560976</v>
      </c>
      <c r="I16" s="37">
        <f t="shared" si="1"/>
        <v>11700</v>
      </c>
      <c r="J16" s="37">
        <v>36.1</v>
      </c>
      <c r="K16" s="40">
        <f t="shared" si="2"/>
        <v>0.0803324099722991</v>
      </c>
      <c r="L16" s="37"/>
      <c r="M16" s="1">
        <f t="shared" si="3"/>
        <v>38.988</v>
      </c>
      <c r="N16" s="1">
        <f t="shared" si="4"/>
        <v>39</v>
      </c>
    </row>
    <row r="17" s="1" customFormat="1" spans="1:14 16366:16370">
      <c r="A17" s="1">
        <v>9</v>
      </c>
      <c r="B17" s="34" t="s">
        <v>256</v>
      </c>
      <c r="C17" s="35">
        <v>2116</v>
      </c>
      <c r="D17" s="36">
        <v>0.57</v>
      </c>
      <c r="E17" s="27">
        <v>300</v>
      </c>
      <c r="F17" s="37">
        <v>49.5</v>
      </c>
      <c r="G17" s="38">
        <v>38.6</v>
      </c>
      <c r="H17" s="39">
        <f t="shared" si="0"/>
        <v>2.94207317073171</v>
      </c>
      <c r="I17" s="37">
        <f t="shared" si="1"/>
        <v>11580</v>
      </c>
      <c r="J17" s="37">
        <v>35.1</v>
      </c>
      <c r="K17" s="40">
        <f t="shared" si="2"/>
        <v>0.0997150997150997</v>
      </c>
      <c r="L17" s="37" t="s">
        <v>241</v>
      </c>
      <c r="M17" s="1">
        <f>J17*1.1</f>
        <v>38.61</v>
      </c>
      <c r="N17" s="1">
        <f t="shared" si="4"/>
        <v>38.6</v>
      </c>
    </row>
    <row r="18" s="1" customFormat="1" spans="1:14 16366:16370">
      <c r="A18" s="1">
        <v>10</v>
      </c>
      <c r="B18" s="34" t="s">
        <v>256</v>
      </c>
      <c r="C18" s="35">
        <v>2116</v>
      </c>
      <c r="D18" s="36">
        <v>0.59</v>
      </c>
      <c r="E18" s="27">
        <v>300</v>
      </c>
      <c r="F18" s="37">
        <v>49.5</v>
      </c>
      <c r="G18" s="38">
        <v>42.8</v>
      </c>
      <c r="H18" s="39">
        <f t="shared" si="0"/>
        <v>3.26219512195122</v>
      </c>
      <c r="I18" s="37">
        <f t="shared" si="1"/>
        <v>12840</v>
      </c>
      <c r="J18" s="37">
        <v>39.6</v>
      </c>
      <c r="K18" s="40">
        <f t="shared" si="2"/>
        <v>0.0808080808080807</v>
      </c>
      <c r="L18" s="37"/>
      <c r="M18" s="1">
        <f t="shared" si="3"/>
        <v>42.768</v>
      </c>
      <c r="N18" s="1">
        <f t="shared" si="4"/>
        <v>42.8</v>
      </c>
    </row>
    <row r="19" s="1" customFormat="1" spans="1:14 16366:16370">
      <c r="A19" s="1">
        <v>11</v>
      </c>
      <c r="B19" s="34" t="s">
        <v>256</v>
      </c>
      <c r="C19" s="35">
        <v>3313</v>
      </c>
      <c r="D19" s="36">
        <v>0.57</v>
      </c>
      <c r="E19" s="27">
        <v>300</v>
      </c>
      <c r="F19" s="37">
        <v>49.5</v>
      </c>
      <c r="G19" s="38">
        <v>34.8</v>
      </c>
      <c r="H19" s="39">
        <f t="shared" si="0"/>
        <v>2.65243902439024</v>
      </c>
      <c r="I19" s="37">
        <f t="shared" si="1"/>
        <v>10440</v>
      </c>
      <c r="J19" s="37">
        <v>32.2</v>
      </c>
      <c r="K19" s="40">
        <f t="shared" si="2"/>
        <v>0.0807453416149067</v>
      </c>
      <c r="L19" s="37"/>
      <c r="M19" s="1">
        <f t="shared" si="3"/>
        <v>34.776</v>
      </c>
      <c r="N19" s="1">
        <f t="shared" si="4"/>
        <v>34.8</v>
      </c>
    </row>
    <row r="20" s="1" customFormat="1" spans="1:14 16366:16370">
      <c r="A20" s="1">
        <v>12</v>
      </c>
      <c r="B20" s="34" t="s">
        <v>257</v>
      </c>
      <c r="C20" s="35">
        <v>1080</v>
      </c>
      <c r="D20" s="36">
        <v>0.72</v>
      </c>
      <c r="E20" s="27">
        <v>300</v>
      </c>
      <c r="F20" s="37">
        <v>49.5</v>
      </c>
      <c r="G20" s="38">
        <v>36.5</v>
      </c>
      <c r="H20" s="39">
        <f t="shared" si="0"/>
        <v>2.78201219512195</v>
      </c>
      <c r="I20" s="37">
        <f t="shared" si="1"/>
        <v>10950</v>
      </c>
      <c r="J20" s="37">
        <v>24.1</v>
      </c>
      <c r="K20" s="40" t="s">
        <v>82</v>
      </c>
      <c r="L20" s="37"/>
      <c r="M20" s="1">
        <f>J20*1.1</f>
        <v>26.51</v>
      </c>
      <c r="N20" s="1">
        <f t="shared" si="4"/>
        <v>26.5</v>
      </c>
    </row>
    <row r="21" s="1" customFormat="1" spans="1:14 16366:16370">
      <c r="A21" s="1">
        <v>13</v>
      </c>
      <c r="B21" s="34" t="s">
        <v>257</v>
      </c>
      <c r="C21" s="35">
        <v>2116</v>
      </c>
      <c r="D21" s="36">
        <v>0.56</v>
      </c>
      <c r="E21" s="27">
        <v>300</v>
      </c>
      <c r="F21" s="37">
        <v>49.5</v>
      </c>
      <c r="G21" s="38">
        <v>38</v>
      </c>
      <c r="H21" s="39">
        <f t="shared" si="0"/>
        <v>2.89634146341463</v>
      </c>
      <c r="I21" s="37">
        <f t="shared" si="1"/>
        <v>11400</v>
      </c>
      <c r="J21" s="37">
        <v>35.2</v>
      </c>
      <c r="K21" s="40">
        <f t="shared" si="2"/>
        <v>0.0795454545454545</v>
      </c>
      <c r="L21" s="37"/>
      <c r="M21" s="1">
        <f t="shared" si="3"/>
        <v>38.016</v>
      </c>
      <c r="N21" s="1">
        <f t="shared" si="4"/>
        <v>38</v>
      </c>
    </row>
    <row r="22" s="1" customFormat="1" spans="1:14 16366:16370">
      <c r="A22" s="1">
        <v>14</v>
      </c>
      <c r="B22" s="34" t="s">
        <v>257</v>
      </c>
      <c r="C22" s="35">
        <v>3313</v>
      </c>
      <c r="D22" s="36">
        <v>0.56</v>
      </c>
      <c r="E22" s="27">
        <v>300</v>
      </c>
      <c r="F22" s="37">
        <v>49.5</v>
      </c>
      <c r="G22" s="38">
        <v>34.8</v>
      </c>
      <c r="H22" s="39">
        <f t="shared" si="0"/>
        <v>2.65243902439024</v>
      </c>
      <c r="I22" s="37">
        <f t="shared" si="1"/>
        <v>10440</v>
      </c>
      <c r="J22" s="37">
        <v>32.2</v>
      </c>
      <c r="K22" s="40">
        <f t="shared" si="2"/>
        <v>0.0807453416149067</v>
      </c>
      <c r="L22" s="37"/>
      <c r="M22" s="1">
        <f t="shared" si="3"/>
        <v>34.776</v>
      </c>
      <c r="N22" s="1">
        <f t="shared" si="4"/>
        <v>34.8</v>
      </c>
    </row>
    <row r="23" s="1" customFormat="1" spans="1:14 16366:16370">
      <c r="A23" s="1">
        <v>15</v>
      </c>
      <c r="B23" s="34" t="s">
        <v>258</v>
      </c>
      <c r="C23" s="35">
        <v>1035</v>
      </c>
      <c r="D23" s="36">
        <v>0.72</v>
      </c>
      <c r="E23" s="27">
        <v>300</v>
      </c>
      <c r="F23" s="37">
        <v>49.5</v>
      </c>
      <c r="G23" s="38">
        <v>169.8</v>
      </c>
      <c r="H23" s="39">
        <f t="shared" si="0"/>
        <v>12.9420731707317</v>
      </c>
      <c r="I23" s="37">
        <f t="shared" si="1"/>
        <v>50940</v>
      </c>
      <c r="J23" s="37">
        <v>157.2</v>
      </c>
      <c r="K23" s="40">
        <f t="shared" si="2"/>
        <v>0.0801526717557253</v>
      </c>
      <c r="L23" s="41"/>
      <c r="M23" s="1">
        <f t="shared" si="3"/>
        <v>169.776</v>
      </c>
      <c r="N23" s="1">
        <f t="shared" si="4"/>
        <v>169.8</v>
      </c>
    </row>
    <row r="24" s="1" customFormat="1" spans="1:14 16366:16370">
      <c r="A24" s="1">
        <v>16</v>
      </c>
      <c r="B24" s="34" t="s">
        <v>258</v>
      </c>
      <c r="C24" s="35">
        <v>1035</v>
      </c>
      <c r="D24" s="36">
        <v>0.75</v>
      </c>
      <c r="E24" s="27">
        <v>300</v>
      </c>
      <c r="F24" s="37">
        <v>49.5</v>
      </c>
      <c r="G24" s="38">
        <v>171.9</v>
      </c>
      <c r="H24" s="39">
        <f t="shared" si="0"/>
        <v>13.1021341463415</v>
      </c>
      <c r="I24" s="37">
        <f t="shared" si="1"/>
        <v>51570</v>
      </c>
      <c r="J24" s="37">
        <v>159.2</v>
      </c>
      <c r="K24" s="40">
        <f t="shared" si="2"/>
        <v>0.0797738693467338</v>
      </c>
      <c r="L24" s="37"/>
      <c r="M24" s="1">
        <f t="shared" si="3"/>
        <v>171.936</v>
      </c>
      <c r="N24" s="1">
        <f t="shared" si="4"/>
        <v>171.9</v>
      </c>
    </row>
    <row r="25" s="1" customFormat="1" spans="1:14 16366:16370">
      <c r="A25" s="1">
        <v>17</v>
      </c>
      <c r="B25" s="34" t="s">
        <v>258</v>
      </c>
      <c r="C25" s="35">
        <v>1078</v>
      </c>
      <c r="D25" s="36">
        <v>0.65</v>
      </c>
      <c r="E25" s="27">
        <v>300</v>
      </c>
      <c r="F25" s="37">
        <v>49.5</v>
      </c>
      <c r="G25" s="38">
        <v>140.7</v>
      </c>
      <c r="H25" s="39">
        <f t="shared" si="0"/>
        <v>10.7240853658537</v>
      </c>
      <c r="I25" s="37">
        <f t="shared" si="1"/>
        <v>42210</v>
      </c>
      <c r="J25" s="37">
        <v>130.3</v>
      </c>
      <c r="K25" s="40">
        <f t="shared" si="2"/>
        <v>0.0798158096699921</v>
      </c>
      <c r="L25" s="37"/>
      <c r="M25" s="1">
        <f t="shared" si="3"/>
        <v>140.724</v>
      </c>
      <c r="N25" s="1">
        <f t="shared" si="4"/>
        <v>140.7</v>
      </c>
      <c r="XEL25" s="37"/>
      <c r="XEM25" s="37"/>
      <c r="XEN25" s="37"/>
      <c r="XEO25" s="37"/>
      <c r="XEP25" s="37"/>
    </row>
    <row r="26" s="3" customFormat="1" spans="1:14 16366:16370">
      <c r="A26" s="1">
        <v>18</v>
      </c>
      <c r="B26" s="42" t="s">
        <v>258</v>
      </c>
      <c r="C26" s="43">
        <v>1078</v>
      </c>
      <c r="D26" s="44">
        <v>0.68</v>
      </c>
      <c r="E26" s="45">
        <v>300</v>
      </c>
      <c r="F26" s="46">
        <v>49.5</v>
      </c>
      <c r="G26" s="47">
        <v>143</v>
      </c>
      <c r="H26" s="48">
        <f t="shared" si="0"/>
        <v>10.8993902439024</v>
      </c>
      <c r="I26" s="46">
        <f t="shared" si="1"/>
        <v>42900</v>
      </c>
      <c r="J26" s="46">
        <v>132.4</v>
      </c>
      <c r="K26" s="40">
        <f t="shared" si="2"/>
        <v>0.080060422960725</v>
      </c>
      <c r="L26" s="46"/>
      <c r="M26" s="1">
        <f t="shared" si="3"/>
        <v>142.992</v>
      </c>
      <c r="N26" s="1">
        <f t="shared" si="4"/>
        <v>143</v>
      </c>
    </row>
    <row r="27" s="1" customFormat="1" spans="1:14 16366:16370">
      <c r="A27" s="1">
        <v>19</v>
      </c>
      <c r="B27" s="34" t="s">
        <v>258</v>
      </c>
      <c r="C27" s="35">
        <v>1080</v>
      </c>
      <c r="D27" s="36">
        <v>0.68</v>
      </c>
      <c r="E27" s="27">
        <v>300</v>
      </c>
      <c r="F27" s="37">
        <v>49.5</v>
      </c>
      <c r="G27" s="38">
        <v>134</v>
      </c>
      <c r="H27" s="39">
        <f t="shared" si="0"/>
        <v>10.2134146341463</v>
      </c>
      <c r="I27" s="37">
        <f t="shared" si="1"/>
        <v>40200</v>
      </c>
      <c r="J27" s="37">
        <v>124.1</v>
      </c>
      <c r="K27" s="40">
        <f t="shared" si="2"/>
        <v>0.0797743755036262</v>
      </c>
      <c r="L27" s="37"/>
      <c r="M27" s="1">
        <f t="shared" si="3"/>
        <v>134.028</v>
      </c>
      <c r="N27" s="1">
        <f t="shared" si="4"/>
        <v>134</v>
      </c>
    </row>
    <row r="28" s="1" customFormat="1" spans="1:14 16366:16370">
      <c r="A28" s="1">
        <v>20</v>
      </c>
      <c r="B28" s="34" t="s">
        <v>258</v>
      </c>
      <c r="C28" s="35">
        <v>1080</v>
      </c>
      <c r="D28" s="36">
        <v>0.73</v>
      </c>
      <c r="E28" s="27">
        <v>300</v>
      </c>
      <c r="F28" s="37">
        <v>49.5</v>
      </c>
      <c r="G28" s="38">
        <v>162.5</v>
      </c>
      <c r="H28" s="39">
        <f t="shared" si="0"/>
        <v>12.3856707317073</v>
      </c>
      <c r="I28" s="37">
        <f t="shared" si="1"/>
        <v>48750</v>
      </c>
      <c r="J28" s="37">
        <v>150.5</v>
      </c>
      <c r="K28" s="40">
        <f t="shared" si="2"/>
        <v>0.079734219269103</v>
      </c>
      <c r="L28" s="37"/>
      <c r="M28" s="1">
        <f t="shared" si="3"/>
        <v>162.54</v>
      </c>
      <c r="N28" s="1">
        <f t="shared" si="4"/>
        <v>162.5</v>
      </c>
    </row>
    <row r="29" s="1" customFormat="1" spans="1:14 16366:16370">
      <c r="A29" s="1">
        <v>21</v>
      </c>
      <c r="B29" s="34" t="s">
        <v>258</v>
      </c>
      <c r="C29" s="35">
        <v>2116</v>
      </c>
      <c r="D29" s="36">
        <v>0.56</v>
      </c>
      <c r="E29" s="27">
        <v>300</v>
      </c>
      <c r="F29" s="37">
        <v>49.5</v>
      </c>
      <c r="G29" s="38">
        <v>148.4</v>
      </c>
      <c r="H29" s="39">
        <f t="shared" si="0"/>
        <v>11.3109756097561</v>
      </c>
      <c r="I29" s="37">
        <f t="shared" si="1"/>
        <v>44520</v>
      </c>
      <c r="J29" s="37">
        <v>137.4</v>
      </c>
      <c r="K29" s="40">
        <f t="shared" si="2"/>
        <v>0.0800582241630277</v>
      </c>
      <c r="L29" s="41"/>
      <c r="M29" s="1">
        <f t="shared" si="3"/>
        <v>148.392</v>
      </c>
      <c r="N29" s="1">
        <f t="shared" si="4"/>
        <v>148.4</v>
      </c>
    </row>
    <row r="30" s="1" customFormat="1" spans="1:14 16366:16370">
      <c r="A30" s="1">
        <v>22</v>
      </c>
      <c r="B30" s="34" t="s">
        <v>258</v>
      </c>
      <c r="C30" s="35">
        <v>2116</v>
      </c>
      <c r="D30" s="36">
        <v>0.58</v>
      </c>
      <c r="E30" s="27">
        <v>300</v>
      </c>
      <c r="F30" s="37">
        <v>49.5</v>
      </c>
      <c r="G30" s="38">
        <v>167.2</v>
      </c>
      <c r="H30" s="39">
        <f t="shared" si="0"/>
        <v>12.7439024390244</v>
      </c>
      <c r="I30" s="37">
        <f t="shared" si="1"/>
        <v>50160</v>
      </c>
      <c r="J30" s="37">
        <v>154.8</v>
      </c>
      <c r="K30" s="40">
        <f t="shared" si="2"/>
        <v>0.0801033591731265</v>
      </c>
      <c r="L30" s="37"/>
      <c r="M30" s="1">
        <f t="shared" si="3"/>
        <v>167.184</v>
      </c>
      <c r="N30" s="1">
        <f t="shared" si="4"/>
        <v>167.2</v>
      </c>
    </row>
    <row r="31" s="1" customFormat="1" spans="1:14 16366:16370">
      <c r="A31" s="1">
        <v>23</v>
      </c>
      <c r="B31" s="34" t="s">
        <v>259</v>
      </c>
      <c r="C31" s="35">
        <v>106</v>
      </c>
      <c r="D31" s="36">
        <v>0.78</v>
      </c>
      <c r="E31" s="27">
        <v>300</v>
      </c>
      <c r="F31" s="37">
        <v>49.5</v>
      </c>
      <c r="G31" s="38">
        <v>84.7</v>
      </c>
      <c r="H31" s="39">
        <f t="shared" si="0"/>
        <v>6.45579268292683</v>
      </c>
      <c r="I31" s="37">
        <f t="shared" si="1"/>
        <v>25410</v>
      </c>
      <c r="J31" s="37">
        <v>78.4</v>
      </c>
      <c r="K31" s="40">
        <f t="shared" si="2"/>
        <v>0.0803571428571428</v>
      </c>
      <c r="L31" s="37"/>
      <c r="M31" s="1">
        <f t="shared" si="3"/>
        <v>84.672</v>
      </c>
      <c r="N31" s="1">
        <f t="shared" si="4"/>
        <v>84.7</v>
      </c>
      <c r="XEL31" s="49"/>
      <c r="XEM31" s="50"/>
      <c r="XEN31" s="51"/>
      <c r="XEO31" s="52"/>
      <c r="XEP31" s="53"/>
    </row>
    <row r="32" s="1" customFormat="1" spans="1:14 16366:16370">
      <c r="A32" s="1">
        <v>24</v>
      </c>
      <c r="B32" s="34" t="s">
        <v>259</v>
      </c>
      <c r="C32" s="35">
        <v>1035</v>
      </c>
      <c r="D32" s="36">
        <v>0.7</v>
      </c>
      <c r="E32" s="27">
        <v>300</v>
      </c>
      <c r="F32" s="37">
        <v>49.5</v>
      </c>
      <c r="G32" s="38">
        <v>77.7</v>
      </c>
      <c r="H32" s="39">
        <f t="shared" si="0"/>
        <v>5.92225609756098</v>
      </c>
      <c r="I32" s="37">
        <f t="shared" si="1"/>
        <v>23310</v>
      </c>
      <c r="J32" s="37">
        <v>71.9</v>
      </c>
      <c r="K32" s="40">
        <f t="shared" si="2"/>
        <v>0.0806675938803894</v>
      </c>
      <c r="L32" s="37"/>
      <c r="M32" s="1">
        <f t="shared" si="3"/>
        <v>77.652</v>
      </c>
      <c r="N32" s="1">
        <f t="shared" si="4"/>
        <v>77.7</v>
      </c>
    </row>
    <row r="33" s="1" customFormat="1" spans="1:15">
      <c r="A33" s="1">
        <v>25</v>
      </c>
      <c r="B33" s="34" t="s">
        <v>259</v>
      </c>
      <c r="C33" s="35">
        <v>1035</v>
      </c>
      <c r="D33" s="36">
        <v>0.73</v>
      </c>
      <c r="E33" s="27">
        <v>300</v>
      </c>
      <c r="F33" s="37">
        <v>49.5</v>
      </c>
      <c r="G33" s="38">
        <v>82.6</v>
      </c>
      <c r="H33" s="39">
        <f t="shared" si="0"/>
        <v>6.29573170731707</v>
      </c>
      <c r="I33" s="37">
        <f t="shared" si="1"/>
        <v>24780</v>
      </c>
      <c r="J33" s="37">
        <v>76.5</v>
      </c>
      <c r="K33" s="40">
        <f t="shared" si="2"/>
        <v>0.0797385620915032</v>
      </c>
      <c r="L33" s="37"/>
      <c r="M33" s="1">
        <f t="shared" si="3"/>
        <v>82.62</v>
      </c>
      <c r="N33" s="1">
        <f t="shared" si="4"/>
        <v>82.6</v>
      </c>
    </row>
    <row r="34" s="1" customFormat="1" spans="1:15">
      <c r="A34" s="1">
        <v>26</v>
      </c>
      <c r="B34" s="34" t="s">
        <v>259</v>
      </c>
      <c r="C34" s="35">
        <v>1078</v>
      </c>
      <c r="D34" s="36">
        <v>0.64</v>
      </c>
      <c r="E34" s="27">
        <v>300</v>
      </c>
      <c r="F34" s="37">
        <v>49.5</v>
      </c>
      <c r="G34" s="38">
        <v>73.4</v>
      </c>
      <c r="H34" s="39">
        <f t="shared" si="0"/>
        <v>5.59451219512195</v>
      </c>
      <c r="I34" s="37">
        <f t="shared" si="1"/>
        <v>22020</v>
      </c>
      <c r="J34" s="37">
        <v>68</v>
      </c>
      <c r="K34" s="40">
        <f t="shared" si="2"/>
        <v>0.0794117647058824</v>
      </c>
      <c r="L34" s="37"/>
      <c r="M34" s="1">
        <f t="shared" si="3"/>
        <v>73.44</v>
      </c>
      <c r="N34" s="1">
        <f t="shared" si="4"/>
        <v>73.4</v>
      </c>
      <c r="O34" s="1">
        <f>J34*300</f>
        <v>20400</v>
      </c>
    </row>
    <row r="35" s="1" customFormat="1" spans="1:15">
      <c r="A35" s="1">
        <v>27</v>
      </c>
      <c r="B35" s="34" t="s">
        <v>259</v>
      </c>
      <c r="C35" s="35">
        <v>1078</v>
      </c>
      <c r="D35" s="36">
        <v>0.67</v>
      </c>
      <c r="E35" s="27">
        <v>300</v>
      </c>
      <c r="F35" s="37">
        <v>49.5</v>
      </c>
      <c r="G35" s="38">
        <v>83.3</v>
      </c>
      <c r="H35" s="39">
        <f t="shared" si="0"/>
        <v>6.34908536585366</v>
      </c>
      <c r="I35" s="37">
        <f t="shared" si="1"/>
        <v>24990</v>
      </c>
      <c r="J35" s="37">
        <v>77.1</v>
      </c>
      <c r="K35" s="40">
        <f t="shared" si="2"/>
        <v>0.0804150453955902</v>
      </c>
      <c r="L35" s="37"/>
      <c r="M35" s="1">
        <f t="shared" si="3"/>
        <v>83.268</v>
      </c>
      <c r="N35" s="1">
        <f t="shared" si="4"/>
        <v>83.3</v>
      </c>
    </row>
    <row r="36" s="1" customFormat="1" spans="1:15">
      <c r="A36" s="1">
        <v>28</v>
      </c>
      <c r="B36" s="34" t="s">
        <v>259</v>
      </c>
      <c r="C36" s="35">
        <v>1078</v>
      </c>
      <c r="D36" s="36">
        <v>0.69</v>
      </c>
      <c r="E36" s="27">
        <v>300</v>
      </c>
      <c r="F36" s="37">
        <v>49.5</v>
      </c>
      <c r="G36" s="38">
        <v>89</v>
      </c>
      <c r="H36" s="39">
        <f t="shared" si="0"/>
        <v>6.78353658536585</v>
      </c>
      <c r="I36" s="37">
        <f t="shared" si="1"/>
        <v>26700</v>
      </c>
      <c r="J36" s="37">
        <v>82.4</v>
      </c>
      <c r="K36" s="40">
        <f t="shared" si="2"/>
        <v>0.0800970873786407</v>
      </c>
      <c r="L36" s="37"/>
      <c r="M36" s="1">
        <f t="shared" si="3"/>
        <v>88.992</v>
      </c>
      <c r="N36" s="1">
        <f t="shared" si="4"/>
        <v>89</v>
      </c>
    </row>
    <row r="37" s="1" customFormat="1" spans="1:15">
      <c r="A37" s="1">
        <v>29</v>
      </c>
      <c r="B37" s="34" t="s">
        <v>259</v>
      </c>
      <c r="C37" s="35">
        <v>1078</v>
      </c>
      <c r="D37" s="36">
        <v>0.72</v>
      </c>
      <c r="E37" s="27">
        <v>300</v>
      </c>
      <c r="F37" s="37">
        <v>49.5</v>
      </c>
      <c r="G37" s="38">
        <v>98.4</v>
      </c>
      <c r="H37" s="39">
        <f t="shared" si="0"/>
        <v>7.5</v>
      </c>
      <c r="I37" s="37">
        <f t="shared" si="1"/>
        <v>29520</v>
      </c>
      <c r="J37" s="37">
        <v>91.1</v>
      </c>
      <c r="K37" s="40">
        <f t="shared" si="2"/>
        <v>0.0801317233809002</v>
      </c>
      <c r="L37" s="37"/>
      <c r="M37" s="1">
        <f t="shared" si="3"/>
        <v>98.388</v>
      </c>
      <c r="N37" s="1">
        <f t="shared" si="4"/>
        <v>98.4</v>
      </c>
    </row>
    <row r="38" s="1" customFormat="1" spans="1:15">
      <c r="A38" s="1">
        <v>30</v>
      </c>
      <c r="B38" s="34" t="s">
        <v>259</v>
      </c>
      <c r="C38" s="35">
        <v>1080</v>
      </c>
      <c r="D38" s="36">
        <v>0.64</v>
      </c>
      <c r="E38" s="27">
        <v>300</v>
      </c>
      <c r="F38" s="37">
        <v>49.5</v>
      </c>
      <c r="G38" s="38">
        <v>70.1</v>
      </c>
      <c r="H38" s="39">
        <f t="shared" si="0"/>
        <v>5.34298780487805</v>
      </c>
      <c r="I38" s="37">
        <f t="shared" si="1"/>
        <v>21030</v>
      </c>
      <c r="J38" s="37">
        <v>64.9</v>
      </c>
      <c r="K38" s="40">
        <f t="shared" si="2"/>
        <v>0.0801232665639443</v>
      </c>
      <c r="L38" s="37"/>
      <c r="M38" s="1">
        <f t="shared" si="3"/>
        <v>70.092</v>
      </c>
      <c r="N38" s="1">
        <f t="shared" si="4"/>
        <v>70.1</v>
      </c>
    </row>
    <row r="39" s="1" customFormat="1" spans="1:15">
      <c r="A39" s="1">
        <v>31</v>
      </c>
      <c r="B39" s="34" t="s">
        <v>259</v>
      </c>
      <c r="C39" s="35">
        <v>1080</v>
      </c>
      <c r="D39" s="36">
        <v>0.67</v>
      </c>
      <c r="E39" s="27">
        <v>300</v>
      </c>
      <c r="F39" s="37">
        <v>49.5</v>
      </c>
      <c r="G39" s="38">
        <v>78.5</v>
      </c>
      <c r="H39" s="39">
        <f t="shared" si="0"/>
        <v>5.98323170731707</v>
      </c>
      <c r="I39" s="37">
        <f t="shared" si="1"/>
        <v>23550</v>
      </c>
      <c r="J39" s="37">
        <v>72.7</v>
      </c>
      <c r="K39" s="40">
        <f t="shared" si="2"/>
        <v>0.0797799174690508</v>
      </c>
      <c r="L39" s="37" t="s">
        <v>201</v>
      </c>
      <c r="M39" s="1">
        <f t="shared" si="3"/>
        <v>78.516</v>
      </c>
      <c r="N39" s="1">
        <f t="shared" si="4"/>
        <v>78.5</v>
      </c>
    </row>
    <row r="40" s="1" customFormat="1" spans="1:15">
      <c r="A40" s="1">
        <v>32</v>
      </c>
      <c r="B40" s="34" t="s">
        <v>259</v>
      </c>
      <c r="C40" s="35">
        <v>1080</v>
      </c>
      <c r="D40" s="36">
        <v>0.69</v>
      </c>
      <c r="E40" s="27">
        <v>300</v>
      </c>
      <c r="F40" s="37">
        <v>49.5</v>
      </c>
      <c r="G40" s="38">
        <v>85.5</v>
      </c>
      <c r="H40" s="39">
        <f t="shared" si="0"/>
        <v>6.51676829268293</v>
      </c>
      <c r="I40" s="37">
        <f t="shared" si="1"/>
        <v>25650</v>
      </c>
      <c r="J40" s="37">
        <v>79.2</v>
      </c>
      <c r="K40" s="40">
        <f t="shared" si="2"/>
        <v>0.0795454545454545</v>
      </c>
      <c r="L40" s="37"/>
      <c r="M40" s="1">
        <f t="shared" si="3"/>
        <v>85.536</v>
      </c>
      <c r="N40" s="1">
        <f t="shared" si="4"/>
        <v>85.5</v>
      </c>
    </row>
    <row r="41" s="1" customFormat="1" spans="1:15">
      <c r="A41" s="1">
        <v>33</v>
      </c>
      <c r="B41" s="34" t="s">
        <v>259</v>
      </c>
      <c r="C41" s="35">
        <v>2116</v>
      </c>
      <c r="D41" s="36">
        <v>0.56</v>
      </c>
      <c r="E41" s="27">
        <v>300</v>
      </c>
      <c r="F41" s="37">
        <v>49.5</v>
      </c>
      <c r="G41" s="38">
        <v>94.1</v>
      </c>
      <c r="H41" s="39">
        <f t="shared" si="0"/>
        <v>7.17225609756098</v>
      </c>
      <c r="I41" s="37">
        <f t="shared" si="1"/>
        <v>28230</v>
      </c>
      <c r="J41" s="37">
        <v>87.1</v>
      </c>
      <c r="K41" s="40">
        <f t="shared" si="2"/>
        <v>0.0803673938002296</v>
      </c>
      <c r="L41" s="37"/>
      <c r="M41" s="1">
        <f t="shared" si="3"/>
        <v>94.068</v>
      </c>
      <c r="N41" s="1">
        <f t="shared" si="4"/>
        <v>94.1</v>
      </c>
    </row>
    <row r="42" s="1" customFormat="1" spans="1:15">
      <c r="A42" s="1">
        <v>34</v>
      </c>
      <c r="B42" s="34" t="s">
        <v>259</v>
      </c>
      <c r="C42" s="35">
        <v>2116</v>
      </c>
      <c r="D42" s="36">
        <v>0.58</v>
      </c>
      <c r="E42" s="27">
        <v>300</v>
      </c>
      <c r="F42" s="37">
        <v>49.5</v>
      </c>
      <c r="G42" s="38">
        <v>98.4</v>
      </c>
      <c r="H42" s="39">
        <f t="shared" si="0"/>
        <v>7.5</v>
      </c>
      <c r="I42" s="37">
        <f t="shared" si="1"/>
        <v>29520</v>
      </c>
      <c r="J42" s="37">
        <v>91.1</v>
      </c>
      <c r="K42" s="40">
        <f t="shared" si="2"/>
        <v>0.0801317233809002</v>
      </c>
      <c r="L42" s="37"/>
      <c r="M42" s="1">
        <f t="shared" si="3"/>
        <v>98.388</v>
      </c>
      <c r="N42" s="1">
        <f t="shared" si="4"/>
        <v>98.4</v>
      </c>
    </row>
    <row r="43" s="1" customFormat="1" spans="1:15">
      <c r="A43" s="1">
        <v>35</v>
      </c>
      <c r="B43" s="34" t="s">
        <v>259</v>
      </c>
      <c r="C43" s="35">
        <v>3313</v>
      </c>
      <c r="D43" s="36">
        <v>0.55</v>
      </c>
      <c r="E43" s="27">
        <v>300</v>
      </c>
      <c r="F43" s="37">
        <v>49.5</v>
      </c>
      <c r="G43" s="38">
        <v>72</v>
      </c>
      <c r="H43" s="39">
        <f t="shared" si="0"/>
        <v>5.48780487804878</v>
      </c>
      <c r="I43" s="37">
        <f t="shared" si="1"/>
        <v>21600</v>
      </c>
      <c r="J43" s="37">
        <v>66.7</v>
      </c>
      <c r="K43" s="40">
        <f t="shared" si="2"/>
        <v>0.0794602698650674</v>
      </c>
      <c r="L43" s="37"/>
      <c r="M43" s="1">
        <f t="shared" si="3"/>
        <v>72.036</v>
      </c>
      <c r="N43" s="1">
        <f t="shared" si="4"/>
        <v>72</v>
      </c>
    </row>
    <row r="44" s="1" customFormat="1" spans="1:15">
      <c r="A44" s="1">
        <v>36</v>
      </c>
      <c r="B44" s="34" t="s">
        <v>211</v>
      </c>
      <c r="C44" s="35">
        <v>1035</v>
      </c>
      <c r="D44" s="36">
        <v>0.73</v>
      </c>
      <c r="E44" s="27">
        <v>300</v>
      </c>
      <c r="F44" s="37">
        <v>49.5</v>
      </c>
      <c r="G44" s="38">
        <v>1382.1</v>
      </c>
      <c r="H44" s="39">
        <f t="shared" si="0"/>
        <v>105.342987804878</v>
      </c>
      <c r="I44" s="37">
        <f t="shared" si="1"/>
        <v>414630</v>
      </c>
      <c r="J44" s="37">
        <v>1382.1</v>
      </c>
      <c r="K44" s="40">
        <f t="shared" si="2"/>
        <v>0</v>
      </c>
      <c r="L44" s="37"/>
    </row>
    <row r="45" s="1" customFormat="1" spans="1:15">
      <c r="A45" s="1">
        <v>37</v>
      </c>
      <c r="B45" s="34" t="s">
        <v>211</v>
      </c>
      <c r="C45" s="35">
        <v>1035</v>
      </c>
      <c r="D45" s="36">
        <v>0.75</v>
      </c>
      <c r="E45" s="27">
        <v>300</v>
      </c>
      <c r="F45" s="37">
        <v>49.5</v>
      </c>
      <c r="G45" s="38">
        <v>1437.8</v>
      </c>
      <c r="H45" s="39">
        <f t="shared" si="0"/>
        <v>109.588414634146</v>
      </c>
      <c r="I45" s="37">
        <f t="shared" si="1"/>
        <v>431340</v>
      </c>
      <c r="J45" s="37">
        <v>1437.8</v>
      </c>
      <c r="K45" s="40">
        <f t="shared" si="2"/>
        <v>0</v>
      </c>
      <c r="L45" s="37"/>
    </row>
    <row r="46" s="1" customFormat="1" spans="1:15">
      <c r="A46" s="1">
        <v>38</v>
      </c>
      <c r="B46" s="34" t="s">
        <v>211</v>
      </c>
      <c r="C46" s="35">
        <v>1078</v>
      </c>
      <c r="D46" s="36">
        <v>0.65</v>
      </c>
      <c r="E46" s="27">
        <v>300</v>
      </c>
      <c r="F46" s="37">
        <v>49.5</v>
      </c>
      <c r="G46" s="38">
        <v>1226.7</v>
      </c>
      <c r="H46" s="39">
        <f t="shared" si="0"/>
        <v>93.4984756097561</v>
      </c>
      <c r="I46" s="37">
        <f t="shared" si="1"/>
        <v>368010</v>
      </c>
      <c r="J46" s="37">
        <v>1226.7</v>
      </c>
      <c r="K46" s="40">
        <f t="shared" si="2"/>
        <v>0</v>
      </c>
      <c r="L46" s="37"/>
    </row>
    <row r="47" s="1" customFormat="1" spans="1:15">
      <c r="A47" s="1">
        <v>39</v>
      </c>
      <c r="B47" s="34" t="s">
        <v>211</v>
      </c>
      <c r="C47" s="35">
        <v>1078</v>
      </c>
      <c r="D47" s="36">
        <v>0.67</v>
      </c>
      <c r="E47" s="27">
        <v>300</v>
      </c>
      <c r="F47" s="37">
        <v>49.5</v>
      </c>
      <c r="G47" s="38">
        <v>1226.7</v>
      </c>
      <c r="H47" s="39">
        <f t="shared" si="0"/>
        <v>93.4984756097561</v>
      </c>
      <c r="I47" s="37">
        <f t="shared" si="1"/>
        <v>368010</v>
      </c>
      <c r="J47" s="37">
        <v>1226.7</v>
      </c>
      <c r="K47" s="40">
        <f t="shared" si="2"/>
        <v>0</v>
      </c>
      <c r="L47" s="37"/>
    </row>
    <row r="48" s="1" customFormat="1" spans="1:15">
      <c r="A48" s="1">
        <v>40</v>
      </c>
      <c r="B48" s="34" t="s">
        <v>211</v>
      </c>
      <c r="C48" s="35">
        <v>1078</v>
      </c>
      <c r="D48" s="36">
        <v>0.73</v>
      </c>
      <c r="E48" s="27">
        <v>300</v>
      </c>
      <c r="F48" s="37">
        <v>49.5</v>
      </c>
      <c r="G48" s="38">
        <v>1343.3</v>
      </c>
      <c r="H48" s="39">
        <f t="shared" si="0"/>
        <v>102.385670731707</v>
      </c>
      <c r="I48" s="37">
        <f t="shared" si="1"/>
        <v>402990</v>
      </c>
      <c r="J48" s="37">
        <v>1343.3</v>
      </c>
      <c r="K48" s="40">
        <f t="shared" si="2"/>
        <v>0</v>
      </c>
      <c r="L48" s="37"/>
    </row>
    <row r="49" s="1" customFormat="1" spans="1:12">
      <c r="A49" s="1">
        <v>41</v>
      </c>
      <c r="B49" s="34" t="s">
        <v>260</v>
      </c>
      <c r="C49" s="35">
        <v>1035</v>
      </c>
      <c r="D49" s="36">
        <v>0.77</v>
      </c>
      <c r="E49" s="27">
        <v>300</v>
      </c>
      <c r="F49" s="37">
        <v>49.5</v>
      </c>
      <c r="G49" s="38">
        <v>234.1</v>
      </c>
      <c r="H49" s="39">
        <f t="shared" si="0"/>
        <v>17.842987804878</v>
      </c>
      <c r="I49" s="37">
        <f t="shared" si="1"/>
        <v>70230</v>
      </c>
      <c r="J49" s="37">
        <v>234.1</v>
      </c>
      <c r="K49" s="40">
        <f t="shared" si="2"/>
        <v>0</v>
      </c>
      <c r="L49" s="37"/>
    </row>
    <row r="50" s="1" customFormat="1" spans="1:12">
      <c r="A50" s="1">
        <v>42</v>
      </c>
      <c r="B50" s="34" t="s">
        <v>260</v>
      </c>
      <c r="C50" s="35">
        <v>1078</v>
      </c>
      <c r="D50" s="36">
        <v>0.68</v>
      </c>
      <c r="E50" s="27">
        <v>300</v>
      </c>
      <c r="F50" s="37">
        <v>49.5</v>
      </c>
      <c r="G50" s="38">
        <v>229.6</v>
      </c>
      <c r="H50" s="39">
        <f t="shared" si="0"/>
        <v>17.5</v>
      </c>
      <c r="I50" s="37">
        <f t="shared" si="1"/>
        <v>68880</v>
      </c>
      <c r="J50" s="37">
        <v>229.6</v>
      </c>
      <c r="K50" s="40">
        <f t="shared" si="2"/>
        <v>0</v>
      </c>
      <c r="L50" s="37"/>
    </row>
    <row r="51" s="1" customFormat="1" spans="1:12">
      <c r="A51" s="1">
        <v>43</v>
      </c>
      <c r="B51" s="34" t="s">
        <v>260</v>
      </c>
      <c r="C51" s="35">
        <v>1080</v>
      </c>
      <c r="D51" s="36">
        <v>0.72</v>
      </c>
      <c r="E51" s="27">
        <v>300</v>
      </c>
      <c r="F51" s="37">
        <v>49.5</v>
      </c>
      <c r="G51" s="38">
        <v>209.2</v>
      </c>
      <c r="H51" s="39">
        <f t="shared" si="0"/>
        <v>15.9451219512195</v>
      </c>
      <c r="I51" s="37">
        <f t="shared" si="1"/>
        <v>62760</v>
      </c>
      <c r="J51" s="37">
        <v>209.2</v>
      </c>
      <c r="K51" s="40">
        <f t="shared" si="2"/>
        <v>0</v>
      </c>
      <c r="L51" s="37"/>
    </row>
    <row r="52" s="1" customFormat="1" spans="1:12">
      <c r="A52" s="1">
        <v>44</v>
      </c>
      <c r="B52" s="34" t="s">
        <v>261</v>
      </c>
      <c r="C52" s="35">
        <v>1035</v>
      </c>
      <c r="D52" s="36">
        <v>0.755</v>
      </c>
      <c r="E52" s="27">
        <v>300</v>
      </c>
      <c r="F52" s="37">
        <v>49.5</v>
      </c>
      <c r="G52" s="38">
        <v>1520</v>
      </c>
      <c r="H52" s="39">
        <f t="shared" si="0"/>
        <v>115.853658536585</v>
      </c>
      <c r="I52" s="37">
        <f t="shared" si="1"/>
        <v>456000</v>
      </c>
      <c r="J52" s="37">
        <v>1520</v>
      </c>
      <c r="K52" s="40">
        <f t="shared" si="2"/>
        <v>0</v>
      </c>
      <c r="L52" s="37"/>
    </row>
    <row r="53" s="1" customFormat="1" spans="1:12">
      <c r="A53" s="1">
        <v>45</v>
      </c>
      <c r="B53" s="34" t="s">
        <v>261</v>
      </c>
      <c r="C53" s="35">
        <v>1078</v>
      </c>
      <c r="D53" s="36">
        <v>0.75</v>
      </c>
      <c r="E53" s="27">
        <v>300</v>
      </c>
      <c r="F53" s="37">
        <v>49.5</v>
      </c>
      <c r="G53" s="38">
        <v>1558</v>
      </c>
      <c r="H53" s="39">
        <f t="shared" si="0"/>
        <v>118.75</v>
      </c>
      <c r="I53" s="37">
        <f t="shared" si="1"/>
        <v>467400</v>
      </c>
      <c r="J53" s="37">
        <v>1558</v>
      </c>
      <c r="K53" s="40">
        <f t="shared" si="2"/>
        <v>0</v>
      </c>
      <c r="L53" s="37"/>
    </row>
    <row r="54" s="1" customFormat="1" spans="1:12">
      <c r="A54" s="1">
        <v>46</v>
      </c>
      <c r="B54" s="34" t="s">
        <v>217</v>
      </c>
      <c r="C54" s="35">
        <v>1035</v>
      </c>
      <c r="D54" s="36">
        <v>0.78</v>
      </c>
      <c r="E54" s="27">
        <v>300</v>
      </c>
      <c r="F54" s="37">
        <v>49.5</v>
      </c>
      <c r="G54" s="38">
        <v>123</v>
      </c>
      <c r="H54" s="39">
        <f t="shared" si="0"/>
        <v>9.375</v>
      </c>
      <c r="I54" s="37">
        <f t="shared" si="1"/>
        <v>36900</v>
      </c>
      <c r="J54" s="37" t="s">
        <v>82</v>
      </c>
      <c r="K54" s="37" t="s">
        <v>82</v>
      </c>
      <c r="L54" s="37" t="s">
        <v>218</v>
      </c>
    </row>
    <row r="55" s="1" customFormat="1" spans="1:12">
      <c r="A55" s="1">
        <v>47</v>
      </c>
      <c r="B55" s="34" t="s">
        <v>217</v>
      </c>
      <c r="C55" s="35">
        <v>1078</v>
      </c>
      <c r="D55" s="36">
        <v>0.71</v>
      </c>
      <c r="E55" s="27">
        <v>300</v>
      </c>
      <c r="F55" s="37">
        <v>49.5</v>
      </c>
      <c r="G55" s="38">
        <v>136</v>
      </c>
      <c r="H55" s="39">
        <f t="shared" si="0"/>
        <v>10.3658536585366</v>
      </c>
      <c r="I55" s="37">
        <f t="shared" si="1"/>
        <v>40800</v>
      </c>
      <c r="J55" s="37" t="s">
        <v>82</v>
      </c>
      <c r="K55" s="37" t="s">
        <v>82</v>
      </c>
      <c r="L55" s="37" t="s">
        <v>218</v>
      </c>
    </row>
    <row r="56" s="1" customFormat="1" spans="1:12">
      <c r="A56" s="1">
        <v>48</v>
      </c>
      <c r="B56" s="34" t="s">
        <v>226</v>
      </c>
      <c r="C56" s="35">
        <v>1078</v>
      </c>
      <c r="D56" s="36">
        <v>0.67</v>
      </c>
      <c r="E56" s="27">
        <v>300</v>
      </c>
      <c r="F56" s="37">
        <v>49.5</v>
      </c>
      <c r="G56" s="38">
        <v>380</v>
      </c>
      <c r="H56" s="39">
        <f t="shared" si="0"/>
        <v>28.9634146341463</v>
      </c>
      <c r="I56" s="37">
        <f t="shared" si="1"/>
        <v>114000</v>
      </c>
      <c r="J56" s="37" t="s">
        <v>82</v>
      </c>
      <c r="K56" s="37" t="s">
        <v>82</v>
      </c>
      <c r="L56" s="37" t="s">
        <v>225</v>
      </c>
    </row>
    <row r="57" s="1" customFormat="1" spans="1:12">
      <c r="A57" s="1">
        <v>49</v>
      </c>
      <c r="B57" s="34" t="s">
        <v>226</v>
      </c>
      <c r="C57" s="35">
        <v>1078</v>
      </c>
      <c r="D57" s="36">
        <v>0.75</v>
      </c>
      <c r="E57" s="27">
        <v>300</v>
      </c>
      <c r="F57" s="37">
        <v>49.5</v>
      </c>
      <c r="G57" s="38">
        <v>421.2</v>
      </c>
      <c r="H57" s="39">
        <f t="shared" si="0"/>
        <v>32.1036585365854</v>
      </c>
      <c r="I57" s="37">
        <f t="shared" si="1"/>
        <v>126360</v>
      </c>
      <c r="J57" s="37" t="s">
        <v>82</v>
      </c>
      <c r="K57" s="37" t="s">
        <v>82</v>
      </c>
      <c r="L57" s="37" t="s">
        <v>225</v>
      </c>
    </row>
    <row r="58" s="1" customFormat="1" spans="1:12">
      <c r="A58" s="1">
        <v>50</v>
      </c>
      <c r="B58" s="34" t="s">
        <v>256</v>
      </c>
      <c r="C58" s="35">
        <v>1078</v>
      </c>
      <c r="D58" s="36">
        <v>0.72</v>
      </c>
      <c r="E58" s="27">
        <v>300</v>
      </c>
      <c r="F58" s="37">
        <v>49.5</v>
      </c>
      <c r="G58" s="38">
        <v>39.5</v>
      </c>
      <c r="H58" s="39">
        <f t="shared" si="0"/>
        <v>3.01067073170732</v>
      </c>
      <c r="I58" s="37">
        <f t="shared" si="1"/>
        <v>11850</v>
      </c>
      <c r="J58" s="37" t="s">
        <v>82</v>
      </c>
      <c r="K58" s="37" t="s">
        <v>82</v>
      </c>
      <c r="L58" s="37" t="s">
        <v>262</v>
      </c>
    </row>
    <row r="59" s="4" customFormat="1" spans="1:12">
      <c r="A59" s="1">
        <v>51</v>
      </c>
      <c r="B59" s="54" t="s">
        <v>232</v>
      </c>
      <c r="C59" s="55">
        <v>1078</v>
      </c>
      <c r="D59" s="56">
        <v>0.67</v>
      </c>
      <c r="E59" s="57">
        <v>300</v>
      </c>
      <c r="F59" s="58">
        <v>49.5</v>
      </c>
      <c r="G59" s="38">
        <v>802.1</v>
      </c>
      <c r="H59" s="59">
        <f t="shared" si="0"/>
        <v>61.1356707317073</v>
      </c>
      <c r="I59" s="58">
        <f t="shared" si="1"/>
        <v>240630</v>
      </c>
      <c r="J59" s="37" t="s">
        <v>82</v>
      </c>
      <c r="K59" s="37" t="s">
        <v>82</v>
      </c>
      <c r="L59" s="58" t="s">
        <v>231</v>
      </c>
    </row>
    <row r="60" s="4" customFormat="1" spans="1:12">
      <c r="A60" s="1">
        <v>52</v>
      </c>
      <c r="B60" s="54" t="s">
        <v>232</v>
      </c>
      <c r="C60" s="55">
        <v>1078</v>
      </c>
      <c r="D60" s="56">
        <v>0.75</v>
      </c>
      <c r="E60" s="57">
        <v>300</v>
      </c>
      <c r="F60" s="58">
        <v>49.5</v>
      </c>
      <c r="G60" s="38">
        <v>962.2</v>
      </c>
      <c r="H60" s="59">
        <f t="shared" si="0"/>
        <v>73.3384146341463</v>
      </c>
      <c r="I60" s="58">
        <f t="shared" si="1"/>
        <v>288660</v>
      </c>
      <c r="J60" s="37" t="s">
        <v>82</v>
      </c>
      <c r="K60" s="37" t="s">
        <v>82</v>
      </c>
      <c r="L60" s="58" t="s">
        <v>231</v>
      </c>
    </row>
    <row r="61" s="1" customFormat="1" spans="1:12">
      <c r="A61" s="1">
        <v>53</v>
      </c>
      <c r="B61" s="34" t="s">
        <v>259</v>
      </c>
      <c r="C61" s="35">
        <v>2116</v>
      </c>
      <c r="D61" s="36">
        <v>0.56</v>
      </c>
      <c r="E61" s="27">
        <v>300</v>
      </c>
      <c r="F61" s="37">
        <v>49.5</v>
      </c>
      <c r="G61" s="38">
        <v>87.1</v>
      </c>
      <c r="H61" s="39">
        <f t="shared" si="0"/>
        <v>6.63871951219512</v>
      </c>
      <c r="I61" s="37">
        <f t="shared" si="1"/>
        <v>26130</v>
      </c>
      <c r="J61" s="37" t="s">
        <v>82</v>
      </c>
      <c r="K61" s="37" t="s">
        <v>82</v>
      </c>
      <c r="L61" s="37" t="s">
        <v>263</v>
      </c>
    </row>
    <row r="62" s="1" customFormat="1" spans="1:12">
      <c r="A62" s="1">
        <v>54</v>
      </c>
      <c r="B62" s="34" t="s">
        <v>259</v>
      </c>
      <c r="C62" s="35">
        <v>1078</v>
      </c>
      <c r="D62" s="36">
        <v>0.68</v>
      </c>
      <c r="E62" s="27">
        <v>300</v>
      </c>
      <c r="F62" s="37">
        <v>49.5</v>
      </c>
      <c r="G62" s="38">
        <v>81.9</v>
      </c>
      <c r="H62" s="39">
        <f t="shared" si="0"/>
        <v>6.24237804878049</v>
      </c>
      <c r="I62" s="37">
        <f t="shared" si="1"/>
        <v>24570</v>
      </c>
      <c r="J62" s="37" t="s">
        <v>82</v>
      </c>
      <c r="K62" s="37" t="s">
        <v>82</v>
      </c>
      <c r="L62" s="37" t="s">
        <v>231</v>
      </c>
    </row>
    <row r="63" s="1" customFormat="1" spans="1:12">
      <c r="A63" s="1">
        <v>55</v>
      </c>
      <c r="B63" s="34" t="s">
        <v>259</v>
      </c>
      <c r="C63" s="35">
        <v>1035</v>
      </c>
      <c r="D63" s="36">
        <v>0.72</v>
      </c>
      <c r="E63" s="27">
        <v>300</v>
      </c>
      <c r="F63" s="37">
        <v>49.5</v>
      </c>
      <c r="G63" s="38">
        <v>81.5</v>
      </c>
      <c r="H63" s="39">
        <f t="shared" si="0"/>
        <v>6.21189024390244</v>
      </c>
      <c r="I63" s="37">
        <f t="shared" si="1"/>
        <v>24450</v>
      </c>
      <c r="J63" s="37" t="s">
        <v>82</v>
      </c>
      <c r="K63" s="37" t="s">
        <v>82</v>
      </c>
      <c r="L63" s="37" t="s">
        <v>231</v>
      </c>
    </row>
    <row r="64" s="1" customFormat="1" spans="1:12">
      <c r="A64" s="1">
        <v>56</v>
      </c>
      <c r="B64" s="34" t="s">
        <v>259</v>
      </c>
      <c r="C64" s="35">
        <v>1035</v>
      </c>
      <c r="D64" s="36">
        <v>0.75</v>
      </c>
      <c r="E64" s="27">
        <v>300</v>
      </c>
      <c r="F64" s="37">
        <v>49.5</v>
      </c>
      <c r="G64" s="38">
        <v>84.7</v>
      </c>
      <c r="H64" s="39">
        <f t="shared" si="0"/>
        <v>6.45579268292683</v>
      </c>
      <c r="I64" s="37">
        <f t="shared" si="1"/>
        <v>25410</v>
      </c>
      <c r="J64" s="37" t="s">
        <v>82</v>
      </c>
      <c r="K64" s="37" t="s">
        <v>82</v>
      </c>
      <c r="L64" s="37" t="s">
        <v>263</v>
      </c>
    </row>
    <row r="65" s="1" customFormat="1" spans="1:12">
      <c r="A65" s="1">
        <v>57</v>
      </c>
      <c r="B65" s="34" t="s">
        <v>257</v>
      </c>
      <c r="C65" s="35">
        <v>3313</v>
      </c>
      <c r="D65" s="36">
        <v>0.58</v>
      </c>
      <c r="E65" s="27">
        <v>300</v>
      </c>
      <c r="F65" s="37">
        <v>49.5</v>
      </c>
      <c r="G65" s="38">
        <v>36.9</v>
      </c>
      <c r="H65" s="39">
        <f t="shared" si="0"/>
        <v>2.8125</v>
      </c>
      <c r="I65" s="37">
        <f t="shared" si="1"/>
        <v>11070</v>
      </c>
      <c r="J65" s="37" t="s">
        <v>82</v>
      </c>
      <c r="K65" s="37" t="s">
        <v>82</v>
      </c>
      <c r="L65" s="37" t="s">
        <v>233</v>
      </c>
    </row>
    <row r="66" s="1" customFormat="1" spans="1:12">
      <c r="A66" s="1">
        <v>58</v>
      </c>
      <c r="B66" s="34" t="s">
        <v>257</v>
      </c>
      <c r="C66" s="35">
        <v>1080</v>
      </c>
      <c r="D66" s="36">
        <v>0.68</v>
      </c>
      <c r="E66" s="27">
        <v>300</v>
      </c>
      <c r="F66" s="37">
        <v>49.5</v>
      </c>
      <c r="G66" s="38">
        <v>36.5</v>
      </c>
      <c r="H66" s="39">
        <f t="shared" si="0"/>
        <v>2.78201219512195</v>
      </c>
      <c r="I66" s="37">
        <f t="shared" si="1"/>
        <v>10950</v>
      </c>
      <c r="J66" s="37" t="s">
        <v>82</v>
      </c>
      <c r="K66" s="37" t="s">
        <v>82</v>
      </c>
      <c r="L66" s="37" t="s">
        <v>233</v>
      </c>
    </row>
    <row r="67" s="1" customFormat="1" spans="1:12">
      <c r="A67" s="1">
        <v>59</v>
      </c>
      <c r="B67" s="34" t="s">
        <v>257</v>
      </c>
      <c r="C67" s="35">
        <v>2116</v>
      </c>
      <c r="D67" s="36">
        <v>0.57</v>
      </c>
      <c r="E67" s="27">
        <v>300</v>
      </c>
      <c r="F67" s="37">
        <v>49.5</v>
      </c>
      <c r="G67" s="38">
        <v>38.1</v>
      </c>
      <c r="H67" s="39">
        <f t="shared" si="0"/>
        <v>2.90396341463415</v>
      </c>
      <c r="I67" s="37">
        <f t="shared" si="1"/>
        <v>11430</v>
      </c>
      <c r="J67" s="37" t="s">
        <v>82</v>
      </c>
      <c r="K67" s="37" t="s">
        <v>82</v>
      </c>
      <c r="L67" s="37" t="s">
        <v>233</v>
      </c>
    </row>
    <row r="68" s="1" customFormat="1" spans="1:12">
      <c r="A68" s="1">
        <v>60</v>
      </c>
      <c r="B68" s="34" t="s">
        <v>257</v>
      </c>
      <c r="C68" s="35">
        <v>1080</v>
      </c>
      <c r="D68" s="36">
        <v>0.65</v>
      </c>
      <c r="E68" s="27">
        <v>300</v>
      </c>
      <c r="F68" s="37">
        <v>49.5</v>
      </c>
      <c r="G68" s="38">
        <v>34.9</v>
      </c>
      <c r="H68" s="39">
        <f t="shared" si="0"/>
        <v>2.66006097560976</v>
      </c>
      <c r="I68" s="37">
        <f t="shared" si="1"/>
        <v>10470</v>
      </c>
      <c r="J68" s="37" t="s">
        <v>82</v>
      </c>
      <c r="K68" s="37" t="s">
        <v>82</v>
      </c>
      <c r="L68" s="37" t="s">
        <v>233</v>
      </c>
    </row>
    <row r="69" s="1" customFormat="1" spans="1:12">
      <c r="A69" s="1">
        <v>61</v>
      </c>
      <c r="B69" s="34" t="s">
        <v>257</v>
      </c>
      <c r="C69" s="35">
        <v>1080</v>
      </c>
      <c r="D69" s="36">
        <v>0.63</v>
      </c>
      <c r="E69" s="27">
        <v>300</v>
      </c>
      <c r="F69" s="37">
        <v>49.5</v>
      </c>
      <c r="G69" s="38">
        <v>32.9</v>
      </c>
      <c r="H69" s="39">
        <f t="shared" si="0"/>
        <v>2.50762195121951</v>
      </c>
      <c r="I69" s="37">
        <f t="shared" si="1"/>
        <v>9870</v>
      </c>
      <c r="J69" s="37" t="s">
        <v>82</v>
      </c>
      <c r="K69" s="37" t="s">
        <v>82</v>
      </c>
      <c r="L69" s="37" t="s">
        <v>241</v>
      </c>
    </row>
    <row r="70" s="1" customFormat="1" spans="1:12">
      <c r="A70" s="1">
        <v>62</v>
      </c>
      <c r="B70" s="34" t="s">
        <v>248</v>
      </c>
      <c r="C70" s="35">
        <v>1078</v>
      </c>
      <c r="D70" s="36">
        <v>0.68</v>
      </c>
      <c r="E70" s="27">
        <v>300</v>
      </c>
      <c r="F70" s="37">
        <v>49.5</v>
      </c>
      <c r="G70" s="38">
        <v>101.5</v>
      </c>
      <c r="H70" s="39">
        <f t="shared" si="0"/>
        <v>7.73628048780488</v>
      </c>
      <c r="I70" s="37">
        <f t="shared" si="1"/>
        <v>30450</v>
      </c>
      <c r="J70" s="37"/>
      <c r="K70" s="33"/>
      <c r="L70" s="37" t="s">
        <v>247</v>
      </c>
    </row>
    <row r="71" s="1" customFormat="1" spans="1:12">
      <c r="A71" s="1">
        <v>63</v>
      </c>
      <c r="B71" s="34" t="s">
        <v>264</v>
      </c>
      <c r="C71" s="35">
        <v>1035</v>
      </c>
      <c r="D71" s="36">
        <v>0.75</v>
      </c>
      <c r="E71" s="27">
        <v>300</v>
      </c>
      <c r="F71" s="37">
        <v>49.5</v>
      </c>
      <c r="G71" s="38">
        <v>216</v>
      </c>
      <c r="H71" s="39">
        <f t="shared" si="0"/>
        <v>16.4634146341463</v>
      </c>
      <c r="I71" s="37">
        <f t="shared" si="1"/>
        <v>64800</v>
      </c>
      <c r="J71" s="37"/>
      <c r="K71" s="33"/>
      <c r="L71" s="37" t="s">
        <v>247</v>
      </c>
    </row>
    <row r="72" s="1" customFormat="1" spans="1:12">
      <c r="A72" s="1">
        <v>64</v>
      </c>
      <c r="B72" s="34" t="s">
        <v>264</v>
      </c>
      <c r="C72" s="35">
        <v>1078</v>
      </c>
      <c r="D72" s="36">
        <v>0.68</v>
      </c>
      <c r="E72" s="27">
        <v>300</v>
      </c>
      <c r="F72" s="37">
        <v>49.5</v>
      </c>
      <c r="G72" s="38">
        <v>183.9</v>
      </c>
      <c r="H72" s="39">
        <f t="shared" si="0"/>
        <v>14.0167682926829</v>
      </c>
      <c r="I72" s="37">
        <f t="shared" si="1"/>
        <v>55170</v>
      </c>
      <c r="J72" s="37"/>
      <c r="K72" s="33"/>
      <c r="L72" s="37" t="s">
        <v>247</v>
      </c>
    </row>
    <row r="73" s="1" customFormat="1" spans="1:12">
      <c r="B73" s="34"/>
      <c r="C73" s="35"/>
      <c r="D73" s="36"/>
      <c r="E73" s="27"/>
      <c r="F73" s="37"/>
      <c r="G73" s="60"/>
      <c r="H73" s="39"/>
      <c r="I73" s="37"/>
      <c r="J73" s="37"/>
      <c r="K73" s="33"/>
      <c r="L73" s="37"/>
    </row>
    <row r="74" s="1" customFormat="1" spans="1:12">
      <c r="C74" s="7"/>
      <c r="D74" s="8"/>
      <c r="G74" s="9"/>
      <c r="H74" s="10"/>
      <c r="K74" s="2"/>
    </row>
    <row r="75" s="1" customFormat="1" spans="1:12">
      <c r="C75" s="7"/>
      <c r="D75" s="8"/>
      <c r="G75" s="9"/>
      <c r="H75" s="10"/>
      <c r="K75" s="2"/>
    </row>
    <row r="76" s="5" customFormat="1" ht="14.4" spans="1:12">
      <c r="A76" s="21" t="s">
        <v>53</v>
      </c>
      <c r="B76" s="21"/>
      <c r="C76" s="61"/>
      <c r="D76" s="61"/>
      <c r="E76" s="61"/>
      <c r="F76" s="61"/>
      <c r="G76" s="62"/>
      <c r="H76" s="63"/>
      <c r="I76" s="63"/>
      <c r="J76" s="63"/>
      <c r="K76" s="61"/>
    </row>
    <row r="77" s="5" customFormat="1" ht="14.4" spans="1:12">
      <c r="A77" s="21" t="s">
        <v>54</v>
      </c>
      <c r="B77" s="21"/>
      <c r="C77" s="21"/>
      <c r="D77" s="21"/>
      <c r="E77" s="21"/>
      <c r="F77" s="21"/>
      <c r="G77" s="64"/>
      <c r="H77" s="21"/>
      <c r="I77" s="21"/>
      <c r="J77" s="21"/>
      <c r="K77" s="21"/>
    </row>
    <row r="78" s="6" customFormat="1" spans="1:12">
      <c r="A78" s="65" t="s">
        <v>55</v>
      </c>
      <c r="B78" s="65"/>
      <c r="C78" s="65"/>
      <c r="D78" s="65"/>
      <c r="E78" s="65"/>
      <c r="F78" s="65"/>
      <c r="G78" s="66"/>
      <c r="H78" s="65"/>
      <c r="I78" s="65"/>
      <c r="J78" s="65"/>
      <c r="K78" s="65"/>
    </row>
    <row r="79" s="6" customFormat="1" spans="1:12">
      <c r="A79" s="21" t="s">
        <v>56</v>
      </c>
      <c r="B79" s="21"/>
      <c r="C79" s="21"/>
      <c r="D79" s="21"/>
      <c r="E79" s="21"/>
      <c r="F79" s="21"/>
      <c r="G79" s="64"/>
      <c r="H79" s="21"/>
      <c r="I79" s="21"/>
      <c r="J79" s="21"/>
      <c r="K79" s="21"/>
    </row>
    <row r="80" s="6" customFormat="1" spans="1:12">
      <c r="A80" s="21" t="s">
        <v>57</v>
      </c>
      <c r="B80" s="21"/>
      <c r="C80" s="21"/>
      <c r="D80" s="21"/>
      <c r="E80" s="21"/>
      <c r="F80" s="21"/>
      <c r="G80" s="64"/>
      <c r="H80" s="21"/>
      <c r="I80" s="21"/>
      <c r="J80" s="21"/>
      <c r="K80" s="21"/>
    </row>
  </sheetData>
  <autoFilter xmlns:etc="http://www.wps.cn/officeDocument/2017/etCustomData" ref="A8:L80" etc:filterBottomFollowUsedRange="0">
    <extLst/>
  </autoFilter>
  <sortState ref="A9:XER56">
    <sortCondition ref="B9:B56"/>
    <sortCondition ref="C9:C56"/>
    <sortCondition ref="D9:D56"/>
  </sortState>
  <mergeCells count="7">
    <mergeCell ref="B1:F1"/>
    <mergeCell ref="B2:F2"/>
    <mergeCell ref="B3:F3"/>
    <mergeCell ref="A77:K77"/>
    <mergeCell ref="A78:K78"/>
    <mergeCell ref="A79:K79"/>
    <mergeCell ref="A80:K8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通用PP</vt:lpstr>
      <vt:lpstr>通用CCL</vt:lpstr>
      <vt:lpstr>通用CCL 高速</vt:lpstr>
      <vt:lpstr>高速PP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22449</dc:creator>
  <cp:lastModifiedBy>。。ᥫ᭡</cp:lastModifiedBy>
  <dcterms:created xsi:type="dcterms:W3CDTF">2026-05-29T09:10:00Z</dcterms:created>
  <dcterms:modified xsi:type="dcterms:W3CDTF">2026-06-24T05:42:38Z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87F0AC4CEE6642DE96CE0C65E02802FC_11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