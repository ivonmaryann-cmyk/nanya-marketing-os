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报价单" sheetId="1" r:id="rId1"/>
  </sheets>
  <definedNames>
    <definedName name="_xlnm.Print_Area" localSheetId="0">报价单!$A$1:$K$399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<sst xmlns="http://schemas.openxmlformats.org/spreadsheetml/2006/main" count="1268" uniqueCount="121">
  <si>
    <t>南亚新材料科技有限公司</t>
  </si>
  <si>
    <t>中 国 上 海 市 嘉 定 区 南 翔 镇 昌 翔 路 158 号</t>
  </si>
  <si>
    <t>TEL：021-59175555(上海)， 0755-33231030(深圳)</t>
  </si>
  <si>
    <t>客户名称：苏州吴通</t>
  </si>
  <si>
    <r>
      <rPr>
        <sz val="11"/>
        <color rgb="FF000000"/>
        <rFont val="宋体"/>
        <charset val="134"/>
      </rPr>
      <t>发件人：南亚新材</t>
    </r>
    <r>
      <rPr>
        <sz val="11"/>
        <color rgb="FF000000"/>
        <rFont val="Arial"/>
        <charset val="134"/>
      </rPr>
      <t>/</t>
    </r>
    <r>
      <rPr>
        <sz val="11"/>
        <color rgb="FF000000"/>
        <rFont val="宋体"/>
        <charset val="134"/>
      </rPr>
      <t>吴成令</t>
    </r>
    <r>
      <rPr>
        <sz val="11"/>
        <color rgb="FF000000"/>
        <rFont val="Arial"/>
        <charset val="134"/>
      </rPr>
      <t xml:space="preserve">       </t>
    </r>
  </si>
  <si>
    <t>收件人：陆怡晨</t>
  </si>
  <si>
    <t>联系方式：13861867754</t>
  </si>
  <si>
    <t>抄送：骆春芳经理/唐总</t>
  </si>
  <si>
    <r>
      <rPr>
        <sz val="11"/>
        <color rgb="FF000000"/>
        <rFont val="宋体"/>
        <charset val="134"/>
      </rPr>
      <t>币种：</t>
    </r>
    <r>
      <rPr>
        <sz val="11"/>
        <color rgb="FF000000"/>
        <rFont val="Arial"/>
        <charset val="134"/>
      </rPr>
      <t>RMB(</t>
    </r>
    <r>
      <rPr>
        <sz val="11"/>
        <color rgb="FF000000"/>
        <rFont val="宋体"/>
        <charset val="134"/>
      </rPr>
      <t>含税</t>
    </r>
    <r>
      <rPr>
        <sz val="11"/>
        <color rgb="FF000000"/>
        <rFont val="Arial"/>
        <charset val="134"/>
      </rPr>
      <t>)</t>
    </r>
  </si>
  <si>
    <t xml:space="preserve">付款方式：月结90天 </t>
  </si>
  <si>
    <r>
      <rPr>
        <sz val="11"/>
        <color rgb="FF000000"/>
        <rFont val="宋体"/>
        <charset val="134"/>
      </rPr>
      <t>生效日期：</t>
    </r>
    <r>
      <rPr>
        <sz val="11"/>
        <color rgb="FF000000"/>
        <rFont val="Arial"/>
        <charset val="134"/>
      </rPr>
      <t>2026/6/10</t>
    </r>
    <r>
      <rPr>
        <sz val="11"/>
        <color rgb="FF000000"/>
        <rFont val="宋体"/>
        <charset val="134"/>
      </rPr>
      <t>到货开始生效</t>
    </r>
  </si>
  <si>
    <t>一、NY2150价格表</t>
  </si>
  <si>
    <t>产品型号</t>
  </si>
  <si>
    <t>厚度</t>
  </si>
  <si>
    <t>叠构</t>
  </si>
  <si>
    <t>铜箔</t>
  </si>
  <si>
    <t>SQ.FT</t>
  </si>
  <si>
    <t>37"x49"</t>
  </si>
  <si>
    <t>41"x49"</t>
  </si>
  <si>
    <t>43"x49"</t>
  </si>
  <si>
    <t>74"x49"</t>
  </si>
  <si>
    <t>82"x49"</t>
  </si>
  <si>
    <t>86"x49"</t>
  </si>
  <si>
    <t>NY2150</t>
  </si>
  <si>
    <t>1*1080</t>
  </si>
  <si>
    <t>H/H</t>
  </si>
  <si>
    <t>1/1</t>
  </si>
  <si>
    <t>1*2313</t>
  </si>
  <si>
    <t>1*2116</t>
  </si>
  <si>
    <t>2/2</t>
  </si>
  <si>
    <t>1.5/1.5</t>
  </si>
  <si>
    <t>1*1506</t>
  </si>
  <si>
    <t>1*7628</t>
  </si>
  <si>
    <t>3/3</t>
  </si>
  <si>
    <t>2*2116</t>
  </si>
  <si>
    <t>2*1506</t>
  </si>
  <si>
    <t>2*7628</t>
  </si>
  <si>
    <t>2*7628+1*1080</t>
  </si>
  <si>
    <t>2*7628+1*2116</t>
  </si>
  <si>
    <t>K/K</t>
  </si>
  <si>
    <t>4/4</t>
  </si>
  <si>
    <t>3*7628</t>
  </si>
  <si>
    <t>1/0</t>
  </si>
  <si>
    <t>4*7628</t>
  </si>
  <si>
    <t>T/T</t>
  </si>
  <si>
    <t>J/J</t>
  </si>
  <si>
    <t>4*7628+1*2116</t>
  </si>
  <si>
    <t>5*7628</t>
  </si>
  <si>
    <t>6*7628</t>
  </si>
  <si>
    <t>7*7628</t>
  </si>
  <si>
    <t>8*7628</t>
  </si>
  <si>
    <t>2.5/2.5</t>
  </si>
  <si>
    <t>9*7628</t>
  </si>
  <si>
    <t>10*7628</t>
  </si>
  <si>
    <t>11*7628</t>
  </si>
  <si>
    <t>12*7628</t>
  </si>
  <si>
    <t>13*7628</t>
  </si>
  <si>
    <t>16*7628</t>
  </si>
  <si>
    <t>17*7628</t>
  </si>
  <si>
    <t>二、NY2150P价格表</t>
  </si>
  <si>
    <t>布种</t>
  </si>
  <si>
    <t>规格</t>
  </si>
  <si>
    <t>米</t>
  </si>
  <si>
    <t>单位</t>
  </si>
  <si>
    <t>RC范围</t>
  </si>
  <si>
    <t>（含税）卷</t>
  </si>
  <si>
    <t>（含税）/米</t>
  </si>
  <si>
    <t>SF价格</t>
  </si>
  <si>
    <t>NY2150P</t>
  </si>
  <si>
    <t>每卷长度：150M</t>
  </si>
  <si>
    <t>RL</t>
  </si>
  <si>
    <t>43.00%</t>
  </si>
  <si>
    <t>45%&amp;46%</t>
  </si>
  <si>
    <t>47.00%</t>
  </si>
  <si>
    <t>48.00%</t>
  </si>
  <si>
    <t>50.00%</t>
  </si>
  <si>
    <t>52.00%</t>
  </si>
  <si>
    <t>每卷长度：300M</t>
  </si>
  <si>
    <t>57-58.00%</t>
  </si>
  <si>
    <t>53.00%</t>
  </si>
  <si>
    <t>54.00%</t>
  </si>
  <si>
    <t>56.00%</t>
  </si>
  <si>
    <t>58.00%</t>
  </si>
  <si>
    <t>60.00%</t>
  </si>
  <si>
    <t>63.00%</t>
  </si>
  <si>
    <t>65.00%</t>
  </si>
  <si>
    <t>66.00%</t>
  </si>
  <si>
    <t>68.00%</t>
  </si>
  <si>
    <t>70.00%</t>
  </si>
  <si>
    <t>三、NY-A2价格表</t>
  </si>
  <si>
    <t>NY-A2</t>
  </si>
  <si>
    <t>1*1086</t>
  </si>
  <si>
    <t>T/T--RTF</t>
  </si>
  <si>
    <t>1/1-RTF</t>
  </si>
  <si>
    <t>0.127</t>
  </si>
  <si>
    <t>0.15</t>
  </si>
  <si>
    <t>0.25</t>
  </si>
  <si>
    <t>0.35</t>
  </si>
  <si>
    <t>3*2116</t>
  </si>
  <si>
    <t>4/4-RTF</t>
  </si>
  <si>
    <t>5/5</t>
  </si>
  <si>
    <t>0.55</t>
  </si>
  <si>
    <t>T/T-RTF</t>
  </si>
  <si>
    <t>0.7</t>
  </si>
  <si>
    <t>1.0</t>
  </si>
  <si>
    <t>1.4</t>
  </si>
  <si>
    <t>2.2</t>
  </si>
  <si>
    <t>四、NY-A2P价格表</t>
  </si>
  <si>
    <t>NY-A2P</t>
  </si>
  <si>
    <t>45.00%</t>
  </si>
  <si>
    <t>46-47.00%</t>
  </si>
  <si>
    <t>61.00%</t>
  </si>
  <si>
    <t>71.00%</t>
  </si>
  <si>
    <t>五、NY3150HF价格表</t>
  </si>
  <si>
    <t>NY3150HF</t>
  </si>
  <si>
    <t>F/F</t>
  </si>
  <si>
    <t>1.9</t>
  </si>
  <si>
    <t>六、NY3150HFP价格表</t>
  </si>
  <si>
    <t>NY3150HFP</t>
  </si>
  <si>
    <t>53-54.00%</t>
  </si>
  <si>
    <r>
      <rPr>
        <sz val="10"/>
        <color rgb="FF000000"/>
        <rFont val="宋体"/>
        <charset val="134"/>
      </rPr>
      <t>注：</t>
    </r>
    <r>
      <rPr>
        <sz val="10"/>
        <color rgb="FF000000"/>
        <rFont val="Arial"/>
        <charset val="134"/>
      </rPr>
      <t>1</t>
    </r>
    <r>
      <rPr>
        <sz val="10"/>
        <color rgb="FF000000"/>
        <rFont val="宋体"/>
        <charset val="134"/>
      </rPr>
      <t>、有效期至新报价止。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</si>
</sst>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0_);[Red]\(0\)"/>
    <numFmt numFmtId="179" formatCode="0.00_);[Red]\(0.00\)"/>
    <numFmt numFmtId="180" formatCode="0.0_ "/>
  </numFmts>
  <fonts count="35">
    <font>
      <sz val="11"/>
      <color theme="1"/>
      <name val="宋体"/>
      <charset val="134"/>
      <scheme val="minor"/>
    </font>
    <font>
      <b/>
      <sz val="26"/>
      <color rgb="FF000000"/>
      <name val="宋体"/>
      <charset val="134"/>
    </font>
    <font>
      <b/>
      <sz val="26"/>
      <color rgb="FF000000"/>
      <name val="Arial"/>
      <charset val="134"/>
    </font>
    <font>
      <sz val="10"/>
      <color rgb="FF000000"/>
      <name val="宋体"/>
      <charset val="134"/>
    </font>
    <font>
      <sz val="10"/>
      <color rgb="FF000000"/>
      <name val="Arial"/>
      <charset val="134"/>
    </font>
    <font>
      <sz val="11"/>
      <color rgb="FF000000"/>
      <name val="宋体"/>
      <charset val="134"/>
    </font>
    <font>
      <sz val="11"/>
      <color rgb="FF000000"/>
      <name val="Arial"/>
      <charset val="134"/>
    </font>
    <font>
      <sz val="12"/>
      <color rgb="FF000000"/>
      <name val="Arial"/>
      <charset val="134"/>
    </font>
    <font>
      <b/>
      <sz val="11"/>
      <color rgb="FF000000"/>
      <name val="宋体"/>
      <charset val="134"/>
    </font>
    <font>
      <b/>
      <sz val="11"/>
      <color rgb="FF000000"/>
      <name val="Arial"/>
      <charset val="134"/>
    </font>
    <font>
      <b/>
      <sz val="20"/>
      <color rgb="FF000000"/>
      <name val="宋体"/>
      <charset val="134"/>
    </font>
    <font>
      <sz val="11"/>
      <color theme="1"/>
      <name val="宋体"/>
      <charset val="134"/>
    </font>
    <font>
      <b/>
      <sz val="20"/>
      <name val="宋体"/>
      <charset val="134"/>
    </font>
    <font>
      <b/>
      <sz val="11"/>
      <name val="Arial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6" fillId="7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</cellStyleXfs>
  <cellXfs count="7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3" applyNumberFormat="1">
      <alignment vertical="center"/>
    </xf>
    <xf numFmtId="0" fontId="1" fillId="3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vertical="center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0" fontId="4" fillId="3" borderId="0" xfId="0" applyFont="1" applyFill="1" applyAlignment="1" applyProtection="1">
      <alignment vertical="center"/>
      <protection locked="0"/>
    </xf>
    <xf numFmtId="0" fontId="5" fillId="3" borderId="0" xfId="0" applyFont="1" applyFill="1" applyBorder="1" applyAlignment="1" applyProtection="1">
      <alignment vertical="center"/>
      <protection locked="0"/>
    </xf>
    <xf numFmtId="0" fontId="6" fillId="3" borderId="0" xfId="0" applyFont="1" applyFill="1" applyBorder="1" applyAlignment="1" applyProtection="1">
      <alignment vertical="center"/>
      <protection locked="0"/>
    </xf>
    <xf numFmtId="176" fontId="6" fillId="3" borderId="0" xfId="0" applyNumberFormat="1" applyFont="1" applyFill="1" applyBorder="1" applyAlignment="1" applyProtection="1">
      <alignment vertical="center"/>
      <protection locked="0"/>
    </xf>
    <xf numFmtId="177" fontId="6" fillId="3" borderId="0" xfId="0" applyNumberFormat="1" applyFont="1" applyFill="1" applyBorder="1" applyAlignment="1" applyProtection="1">
      <alignment vertical="center"/>
      <protection locked="0"/>
    </xf>
    <xf numFmtId="177" fontId="5" fillId="3" borderId="0" xfId="0" applyNumberFormat="1" applyFont="1" applyFill="1" applyBorder="1" applyAlignment="1" applyProtection="1">
      <alignment horizontal="left" vertical="center"/>
      <protection locked="0"/>
    </xf>
    <xf numFmtId="0" fontId="7" fillId="3" borderId="0" xfId="50" applyFont="1" applyFill="1" applyAlignment="1">
      <alignment horizontal="center" vertical="center"/>
      <protection locked="0"/>
    </xf>
    <xf numFmtId="0" fontId="5" fillId="3" borderId="0" xfId="0" applyFont="1" applyFill="1" applyAlignment="1" applyProtection="1">
      <alignment vertical="center"/>
      <protection locked="0"/>
    </xf>
    <xf numFmtId="177" fontId="6" fillId="3" borderId="0" xfId="0" applyNumberFormat="1" applyFont="1" applyFill="1" applyBorder="1" applyAlignment="1" applyProtection="1">
      <protection locked="0"/>
    </xf>
    <xf numFmtId="0" fontId="8" fillId="3" borderId="0" xfId="49" applyFont="1" applyFill="1" applyBorder="1" applyAlignment="1">
      <alignment horizontal="left"/>
      <protection locked="0"/>
    </xf>
    <xf numFmtId="0" fontId="9" fillId="3" borderId="0" xfId="49" applyFont="1" applyFill="1" applyBorder="1" applyAlignment="1">
      <alignment horizontal="left" wrapText="1"/>
      <protection locked="0"/>
    </xf>
    <xf numFmtId="177" fontId="9" fillId="3" borderId="0" xfId="49" applyNumberFormat="1" applyFont="1" applyFill="1" applyBorder="1" applyAlignment="1">
      <alignment horizontal="left" wrapText="1"/>
      <protection locked="0"/>
    </xf>
    <xf numFmtId="0" fontId="10" fillId="3" borderId="0" xfId="0" applyFont="1" applyFill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177" fontId="5" fillId="2" borderId="1" xfId="0" applyNumberFormat="1" applyFont="1" applyFill="1" applyBorder="1" applyAlignment="1" applyProtection="1">
      <alignment horizontal="center" vertical="center"/>
      <protection locked="0"/>
    </xf>
    <xf numFmtId="177" fontId="5" fillId="2" borderId="1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 applyProtection="1">
      <alignment vertical="center"/>
      <protection locked="0"/>
    </xf>
    <xf numFmtId="177" fontId="0" fillId="0" borderId="0" xfId="3" applyNumberFormat="1" applyAlignment="1">
      <alignment horizontal="center" vertical="center"/>
    </xf>
    <xf numFmtId="9" fontId="0" fillId="0" borderId="0" xfId="3">
      <alignment vertical="center"/>
    </xf>
    <xf numFmtId="49" fontId="5" fillId="2" borderId="1" xfId="0" applyNumberFormat="1" applyFont="1" applyFill="1" applyBorder="1" applyAlignment="1" applyProtection="1">
      <alignment horizontal="center" vertical="center"/>
      <protection locked="0"/>
    </xf>
    <xf numFmtId="177" fontId="11" fillId="2" borderId="1" xfId="0" applyNumberFormat="1" applyFont="1" applyFill="1" applyBorder="1" applyAlignment="1" applyProtection="1">
      <alignment horizontal="center"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177" fontId="11" fillId="2" borderId="1" xfId="0" applyNumberFormat="1" applyFont="1" applyFill="1" applyBorder="1" applyAlignment="1">
      <alignment horizontal="center" vertical="center"/>
    </xf>
    <xf numFmtId="177" fontId="11" fillId="2" borderId="1" xfId="0" applyNumberFormat="1" applyFont="1" applyFill="1" applyBorder="1" applyAlignment="1" applyProtection="1">
      <alignment vertical="center"/>
      <protection locked="0"/>
    </xf>
    <xf numFmtId="49" fontId="11" fillId="2" borderId="1" xfId="0" applyNumberFormat="1" applyFont="1" applyFill="1" applyBorder="1" applyAlignment="1" applyProtection="1">
      <alignment horizontal="center" vertical="center"/>
      <protection locked="0"/>
    </xf>
    <xf numFmtId="0" fontId="0" fillId="2" borderId="0" xfId="3" applyNumberFormat="1" applyFill="1">
      <alignment vertical="center"/>
    </xf>
    <xf numFmtId="177" fontId="5" fillId="3" borderId="1" xfId="0" applyNumberFormat="1" applyFont="1" applyFill="1" applyBorder="1" applyAlignment="1" applyProtection="1">
      <alignment horizontal="center" vertical="center"/>
      <protection locked="0"/>
    </xf>
    <xf numFmtId="49" fontId="5" fillId="3" borderId="1" xfId="0" applyNumberFormat="1" applyFont="1" applyFill="1" applyBorder="1" applyAlignment="1" applyProtection="1">
      <alignment horizontal="center" vertical="center"/>
      <protection locked="0"/>
    </xf>
    <xf numFmtId="177" fontId="5" fillId="3" borderId="1" xfId="0" applyNumberFormat="1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 applyProtection="1">
      <alignment vertical="center"/>
      <protection locked="0"/>
    </xf>
    <xf numFmtId="0" fontId="5" fillId="3" borderId="0" xfId="0" applyFont="1" applyFill="1" applyAlignment="1" applyProtection="1">
      <alignment horizontal="center" vertical="center"/>
      <protection locked="0"/>
    </xf>
    <xf numFmtId="0" fontId="12" fillId="3" borderId="0" xfId="49" applyFont="1" applyFill="1" applyBorder="1" applyAlignment="1">
      <alignment horizontal="left"/>
      <protection locked="0"/>
    </xf>
    <xf numFmtId="0" fontId="13" fillId="3" borderId="0" xfId="49" applyFont="1" applyFill="1" applyBorder="1" applyAlignment="1">
      <alignment horizontal="left" wrapText="1"/>
      <protection locked="0"/>
    </xf>
    <xf numFmtId="177" fontId="13" fillId="3" borderId="0" xfId="49" applyNumberFormat="1" applyFont="1" applyFill="1" applyBorder="1" applyAlignment="1">
      <alignment horizontal="left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49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178" fontId="5" fillId="2" borderId="1" xfId="0" applyNumberFormat="1" applyFont="1" applyFill="1" applyBorder="1" applyAlignment="1">
      <alignment horizontal="center" vertical="center" wrapText="1"/>
    </xf>
    <xf numFmtId="177" fontId="0" fillId="0" borderId="0" xfId="3" applyNumberFormat="1">
      <alignment vertical="center"/>
    </xf>
    <xf numFmtId="177" fontId="0" fillId="0" borderId="0" xfId="0" applyNumberFormat="1">
      <alignment vertical="center"/>
    </xf>
    <xf numFmtId="179" fontId="5" fillId="2" borderId="1" xfId="0" applyNumberFormat="1" applyFont="1" applyFill="1" applyBorder="1" applyAlignment="1">
      <alignment horizontal="center" vertical="center" wrapText="1"/>
    </xf>
    <xf numFmtId="0" fontId="5" fillId="3" borderId="0" xfId="0" applyFont="1" applyFill="1" applyBorder="1" applyAlignment="1" applyProtection="1">
      <alignment horizontal="center" vertical="center" wrapText="1"/>
      <protection locked="0"/>
    </xf>
    <xf numFmtId="0" fontId="5" fillId="3" borderId="0" xfId="0" applyFont="1" applyFill="1" applyAlignment="1" applyProtection="1">
      <alignment horizontal="center" vertical="center" wrapText="1"/>
      <protection locked="0"/>
    </xf>
    <xf numFmtId="178" fontId="5" fillId="3" borderId="0" xfId="0" applyNumberFormat="1" applyFont="1" applyFill="1" applyAlignment="1" applyProtection="1">
      <alignment horizontal="center" vertical="center" wrapText="1"/>
      <protection locked="0"/>
    </xf>
    <xf numFmtId="177" fontId="5" fillId="3" borderId="0" xfId="0" applyNumberFormat="1" applyFont="1" applyFill="1" applyAlignment="1" applyProtection="1">
      <alignment horizontal="center" vertical="center" wrapText="1"/>
      <protection locked="0"/>
    </xf>
    <xf numFmtId="0" fontId="10" fillId="3" borderId="0" xfId="0" applyFont="1" applyFill="1" applyBorder="1" applyAlignment="1" applyProtection="1">
      <alignment horizontal="left" vertic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49" fontId="14" fillId="3" borderId="1" xfId="0" applyNumberFormat="1" applyFont="1" applyFill="1" applyBorder="1" applyAlignment="1" applyProtection="1">
      <alignment horizontal="center" vertical="center"/>
      <protection locked="0"/>
    </xf>
    <xf numFmtId="177" fontId="11" fillId="3" borderId="1" xfId="0" applyNumberFormat="1" applyFont="1" applyFill="1" applyBorder="1" applyAlignment="1" applyProtection="1">
      <alignment horizontal="center" vertical="center"/>
      <protection locked="0"/>
    </xf>
    <xf numFmtId="49" fontId="11" fillId="3" borderId="1" xfId="0" applyNumberFormat="1" applyFont="1" applyFill="1" applyBorder="1" applyAlignment="1" applyProtection="1">
      <alignment horizontal="center" vertical="center"/>
      <protection locked="0"/>
    </xf>
    <xf numFmtId="177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5" fillId="3" borderId="0" xfId="0" applyFont="1" applyFill="1" applyBorder="1" applyAlignment="1" applyProtection="1">
      <alignment horizontal="center" vertical="center"/>
      <protection locked="0"/>
    </xf>
    <xf numFmtId="177" fontId="5" fillId="3" borderId="0" xfId="0" applyNumberFormat="1" applyFont="1" applyFill="1" applyBorder="1" applyAlignment="1" applyProtection="1">
      <alignment horizontal="center" vertical="center"/>
      <protection locked="0"/>
    </xf>
    <xf numFmtId="178" fontId="5" fillId="3" borderId="1" xfId="0" applyNumberFormat="1" applyFont="1" applyFill="1" applyBorder="1" applyAlignment="1">
      <alignment horizontal="center" vertical="center" wrapText="1"/>
    </xf>
    <xf numFmtId="49" fontId="14" fillId="2" borderId="1" xfId="0" applyNumberFormat="1" applyFont="1" applyFill="1" applyBorder="1" applyAlignment="1" applyProtection="1">
      <alignment horizontal="center" vertical="center"/>
      <protection locked="0"/>
    </xf>
    <xf numFmtId="0" fontId="14" fillId="2" borderId="1" xfId="0" applyFont="1" applyFill="1" applyBorder="1" applyAlignment="1" applyProtection="1">
      <alignment horizontal="center" vertical="center"/>
      <protection locked="0"/>
    </xf>
    <xf numFmtId="177" fontId="5" fillId="2" borderId="0" xfId="0" applyNumberFormat="1" applyFont="1" applyFill="1" applyBorder="1" applyAlignment="1" applyProtection="1">
      <alignment horizontal="center" vertical="center"/>
      <protection locked="0"/>
    </xf>
    <xf numFmtId="49" fontId="5" fillId="2" borderId="0" xfId="0" applyNumberFormat="1" applyFont="1" applyFill="1" applyBorder="1" applyAlignment="1" applyProtection="1">
      <alignment horizontal="center" vertical="center"/>
      <protection locked="0"/>
    </xf>
    <xf numFmtId="177" fontId="5" fillId="2" borderId="0" xfId="0" applyNumberFormat="1" applyFont="1" applyFill="1" applyBorder="1" applyAlignment="1">
      <alignment horizontal="center" vertical="center"/>
    </xf>
    <xf numFmtId="180" fontId="5" fillId="2" borderId="0" xfId="0" applyNumberFormat="1" applyFont="1" applyFill="1" applyBorder="1" applyAlignment="1" applyProtection="1">
      <alignment horizontal="center" vertical="center"/>
      <protection locked="0"/>
    </xf>
    <xf numFmtId="177" fontId="5" fillId="2" borderId="0" xfId="0" applyNumberFormat="1" applyFont="1" applyFill="1" applyAlignment="1">
      <alignment horizontal="center" vertical="center"/>
    </xf>
    <xf numFmtId="177" fontId="5" fillId="2" borderId="0" xfId="0" applyNumberFormat="1" applyFont="1" applyFill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3" fillId="3" borderId="0" xfId="51" applyFont="1" applyFill="1" applyBorder="1" applyAlignment="1">
      <alignment vertical="center"/>
      <protection locked="0"/>
    </xf>
    <xf numFmtId="0" fontId="7" fillId="3" borderId="0" xfId="50" applyFont="1" applyFill="1" applyAlignment="1">
      <alignment vertical="center"/>
      <protection locked="0"/>
    </xf>
    <xf numFmtId="49" fontId="5" fillId="3" borderId="0" xfId="0" applyNumberFormat="1" applyFont="1" applyFill="1" applyAlignment="1" applyProtection="1">
      <alignment horizontal="center" vertical="center"/>
      <protection locked="0"/>
    </xf>
    <xf numFmtId="177" fontId="5" fillId="3" borderId="0" xfId="0" applyNumberFormat="1" applyFont="1" applyFill="1" applyAlignment="1" applyProtection="1">
      <alignment horizontal="center" vertical="center"/>
      <protection locked="0"/>
    </xf>
    <xf numFmtId="177" fontId="5" fillId="3" borderId="0" xfId="0" applyNumberFormat="1" applyFont="1" applyFill="1" applyAlignment="1">
      <alignment horizontal="center" vertical="center"/>
    </xf>
    <xf numFmtId="177" fontId="5" fillId="3" borderId="0" xfId="0" applyNumberFormat="1" applyFont="1" applyFill="1" applyAlignment="1" applyProtection="1">
      <alignment vertical="center"/>
      <protection locked="0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_x001E_" xfId="50"/>
    <cellStyle name="AutoFormat Options" xfId="51"/>
  </cellStyles>
  <tableStyles count="0" defaultTableStyle="TableStyleMedium2" defaultPivotStyle="PivotStyleLight16"/>
  <colors>
    <mruColors>
      <color rgb="00FFFF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2</xdr:row>
      <xdr:rowOff>12501</xdr:rowOff>
    </xdr:from>
    <xdr:to>
      <xdr:col>0</xdr:col>
      <xdr:colOff>8955</xdr:colOff>
      <xdr:row>2</xdr:row>
      <xdr:rowOff>265658</xdr:rowOff>
    </xdr:to>
    <xdr:pic>
      <xdr:nvPicPr>
        <xdr:cNvPr id="11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7745"/>
          <a:ext cx="8890" cy="17081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2</xdr:row>
      <xdr:rowOff>12501</xdr:rowOff>
    </xdr:from>
    <xdr:to>
      <xdr:col>0</xdr:col>
      <xdr:colOff>8955</xdr:colOff>
      <xdr:row>2</xdr:row>
      <xdr:rowOff>265658</xdr:rowOff>
    </xdr:to>
    <xdr:pic>
      <xdr:nvPicPr>
        <xdr:cNvPr id="12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7745"/>
          <a:ext cx="8890" cy="17081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0</xdr:row>
      <xdr:rowOff>10120</xdr:rowOff>
    </xdr:from>
    <xdr:to>
      <xdr:col>0</xdr:col>
      <xdr:colOff>8955</xdr:colOff>
      <xdr:row>1</xdr:row>
      <xdr:rowOff>265658</xdr:rowOff>
    </xdr:to>
    <xdr:pic>
      <xdr:nvPicPr>
        <xdr:cNvPr id="13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9525"/>
          <a:ext cx="8890" cy="98615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0</xdr:row>
      <xdr:rowOff>10120</xdr:rowOff>
    </xdr:from>
    <xdr:to>
      <xdr:col>0</xdr:col>
      <xdr:colOff>8955</xdr:colOff>
      <xdr:row>1</xdr:row>
      <xdr:rowOff>265658</xdr:rowOff>
    </xdr:to>
    <xdr:pic>
      <xdr:nvPicPr>
        <xdr:cNvPr id="14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9525"/>
          <a:ext cx="8890" cy="98615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0</xdr:row>
      <xdr:rowOff>10120</xdr:rowOff>
    </xdr:from>
    <xdr:to>
      <xdr:col>0</xdr:col>
      <xdr:colOff>8955</xdr:colOff>
      <xdr:row>1</xdr:row>
      <xdr:rowOff>265658</xdr:rowOff>
    </xdr:to>
    <xdr:pic>
      <xdr:nvPicPr>
        <xdr:cNvPr id="15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9525"/>
          <a:ext cx="8890" cy="98615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0</xdr:row>
      <xdr:rowOff>10120</xdr:rowOff>
    </xdr:from>
    <xdr:to>
      <xdr:col>0</xdr:col>
      <xdr:colOff>8955</xdr:colOff>
      <xdr:row>1</xdr:row>
      <xdr:rowOff>265658</xdr:rowOff>
    </xdr:to>
    <xdr:pic>
      <xdr:nvPicPr>
        <xdr:cNvPr id="16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9525"/>
          <a:ext cx="8890" cy="98615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2</xdr:row>
      <xdr:rowOff>12501</xdr:rowOff>
    </xdr:from>
    <xdr:to>
      <xdr:col>0</xdr:col>
      <xdr:colOff>8955</xdr:colOff>
      <xdr:row>2</xdr:row>
      <xdr:rowOff>265658</xdr:rowOff>
    </xdr:to>
    <xdr:pic>
      <xdr:nvPicPr>
        <xdr:cNvPr id="18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7745"/>
          <a:ext cx="8890" cy="17081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2</xdr:row>
      <xdr:rowOff>12501</xdr:rowOff>
    </xdr:from>
    <xdr:to>
      <xdr:col>0</xdr:col>
      <xdr:colOff>8955</xdr:colOff>
      <xdr:row>2</xdr:row>
      <xdr:rowOff>265658</xdr:rowOff>
    </xdr:to>
    <xdr:pic>
      <xdr:nvPicPr>
        <xdr:cNvPr id="19" name="Picture 1" descr="NOUYA+logo"/>
        <xdr:cNvPicPr/>
      </xdr:nvPicPr>
      <xdr:blipFill>
        <a:blip r:embed="rId1"/>
        <a:srcRect/>
        <a:stretch>
          <a:fillRect/>
        </a:stretch>
      </xdr:blipFill>
      <xdr:spPr>
        <a:xfrm>
          <a:off x="0" y="1007745"/>
          <a:ext cx="8890" cy="17081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05"/>
  <sheetViews>
    <sheetView tabSelected="1" view="pageBreakPreview" zoomScaleNormal="100" topLeftCell="A74" workbookViewId="0">
      <selection activeCell="A95" sqref="A95:J95"/>
    </sheetView>
  </sheetViews>
  <sheetFormatPr defaultColWidth="9" defaultRowHeight="14.4"/>
  <cols>
    <col min="1" max="1" width="11" customWidth="1"/>
    <col min="3" max="3" width="15.2222222222222" customWidth="1"/>
    <col min="7" max="8" width="9.88888888888889" customWidth="1"/>
    <col min="9" max="11" width="9.66666666666667"/>
    <col min="12" max="12" width="14.1111111111111" style="2"/>
    <col min="13" max="13" width="11.8888888888889"/>
    <col min="14" max="14" width="13"/>
    <col min="15" max="15" width="14.1111111111111"/>
    <col min="16" max="16" width="12.8888888888889" style="2"/>
  </cols>
  <sheetData>
    <row r="1" ht="64" customHeight="1" spans="1:1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ht="15" spans="1:15">
      <c r="A4" s="9" t="s">
        <v>3</v>
      </c>
      <c r="B4" s="10"/>
      <c r="C4" s="10"/>
      <c r="D4" s="11"/>
      <c r="E4" s="10"/>
      <c r="F4" s="12"/>
      <c r="G4" s="13"/>
      <c r="H4" s="13" t="s">
        <v>4</v>
      </c>
      <c r="I4" s="14"/>
      <c r="J4" s="13"/>
      <c r="K4" s="15"/>
    </row>
    <row r="5" ht="15" spans="1:15">
      <c r="A5" s="9" t="s">
        <v>5</v>
      </c>
      <c r="B5" s="10"/>
      <c r="C5" s="10"/>
      <c r="D5" s="11"/>
      <c r="E5" s="10"/>
      <c r="F5" s="12"/>
      <c r="G5" s="13"/>
      <c r="H5" s="13" t="s">
        <v>6</v>
      </c>
      <c r="I5" s="14"/>
      <c r="J5" s="13"/>
      <c r="K5" s="15"/>
    </row>
    <row r="6" ht="15" spans="1:15">
      <c r="A6" s="9" t="s">
        <v>7</v>
      </c>
      <c r="B6" s="10"/>
      <c r="C6" s="10"/>
      <c r="D6" s="11"/>
      <c r="E6" s="10"/>
      <c r="F6" s="12"/>
      <c r="G6" s="13"/>
      <c r="H6" s="13" t="s">
        <v>8</v>
      </c>
      <c r="I6" s="14"/>
      <c r="J6" s="13"/>
      <c r="K6" s="15"/>
    </row>
    <row r="7" ht="15" spans="1:15">
      <c r="A7" s="9" t="s">
        <v>9</v>
      </c>
      <c r="B7" s="10"/>
      <c r="C7" s="10"/>
      <c r="D7" s="10"/>
      <c r="E7" s="10"/>
      <c r="F7" s="16"/>
      <c r="G7" s="13"/>
      <c r="H7" s="13" t="s">
        <v>10</v>
      </c>
      <c r="I7" s="14"/>
      <c r="J7" s="13"/>
      <c r="K7" s="15"/>
    </row>
    <row r="8" ht="15" spans="1:15">
      <c r="A8" s="17"/>
      <c r="B8" s="18"/>
      <c r="C8" s="18"/>
      <c r="D8" s="18"/>
      <c r="E8" s="18"/>
      <c r="F8" s="19"/>
      <c r="G8" s="19"/>
      <c r="H8" s="19"/>
      <c r="I8" s="14"/>
      <c r="J8" s="14"/>
      <c r="K8" s="15"/>
    </row>
    <row r="9" ht="25.8" spans="1:15">
      <c r="A9" s="20" t="s">
        <v>11</v>
      </c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5">
      <c r="A10" s="21" t="s">
        <v>12</v>
      </c>
      <c r="B10" s="21" t="s">
        <v>13</v>
      </c>
      <c r="C10" s="21" t="s">
        <v>14</v>
      </c>
      <c r="D10" s="21" t="s">
        <v>15</v>
      </c>
      <c r="E10" s="21" t="s">
        <v>16</v>
      </c>
      <c r="F10" s="21" t="s">
        <v>17</v>
      </c>
      <c r="G10" s="21" t="s">
        <v>18</v>
      </c>
      <c r="H10" s="21" t="s">
        <v>19</v>
      </c>
      <c r="I10" s="21" t="s">
        <v>20</v>
      </c>
      <c r="J10" s="21" t="s">
        <v>21</v>
      </c>
      <c r="K10" s="21" t="s">
        <v>22</v>
      </c>
    </row>
    <row r="11" spans="1:15">
      <c r="A11" s="21" t="s">
        <v>23</v>
      </c>
      <c r="B11" s="21">
        <v>0.076</v>
      </c>
      <c r="C11" s="21" t="s">
        <v>24</v>
      </c>
      <c r="D11" s="21" t="s">
        <v>25</v>
      </c>
      <c r="E11" s="22">
        <v>7.6032</v>
      </c>
      <c r="F11" s="23">
        <f t="shared" ref="F11:F20" si="0">E11*12</f>
        <v>91.2384</v>
      </c>
      <c r="G11" s="24">
        <f t="shared" ref="G11:G20" si="1">E11*13.33</f>
        <v>101.350656</v>
      </c>
      <c r="H11" s="23">
        <f t="shared" ref="H11:H20" si="2">E11*14</f>
        <v>106.4448</v>
      </c>
      <c r="I11" s="23">
        <f t="shared" ref="I11:I20" si="3">F11*2</f>
        <v>182.4768</v>
      </c>
      <c r="J11" s="23">
        <f t="shared" ref="J11:J20" si="4">G11*2</f>
        <v>202.701312</v>
      </c>
      <c r="K11" s="22">
        <f t="shared" ref="K11:K20" si="5">H11*2</f>
        <v>212.8896</v>
      </c>
      <c r="L11" s="25"/>
      <c r="O11" s="26"/>
    </row>
    <row r="12" spans="1:15">
      <c r="A12" s="21" t="s">
        <v>23</v>
      </c>
      <c r="B12" s="21">
        <v>0.076</v>
      </c>
      <c r="C12" s="21" t="s">
        <v>24</v>
      </c>
      <c r="D12" s="27" t="s">
        <v>26</v>
      </c>
      <c r="E12" s="22">
        <v>11.8692</v>
      </c>
      <c r="F12" s="23">
        <f t="shared" si="0"/>
        <v>142.4304</v>
      </c>
      <c r="G12" s="24">
        <f t="shared" si="1"/>
        <v>158.216436</v>
      </c>
      <c r="H12" s="23">
        <f t="shared" si="2"/>
        <v>166.1688</v>
      </c>
      <c r="I12" s="23">
        <f t="shared" si="3"/>
        <v>284.8608</v>
      </c>
      <c r="J12" s="23">
        <f t="shared" si="4"/>
        <v>316.432872</v>
      </c>
      <c r="K12" s="22">
        <f t="shared" si="5"/>
        <v>332.3376</v>
      </c>
      <c r="L12" s="25"/>
      <c r="O12" s="26"/>
    </row>
    <row r="13" spans="1:15">
      <c r="A13" s="22" t="s">
        <v>23</v>
      </c>
      <c r="B13" s="22">
        <v>0.09</v>
      </c>
      <c r="C13" s="22" t="s">
        <v>27</v>
      </c>
      <c r="D13" s="21" t="s">
        <v>25</v>
      </c>
      <c r="E13" s="22">
        <v>7.5384</v>
      </c>
      <c r="F13" s="23">
        <f t="shared" si="0"/>
        <v>90.4608</v>
      </c>
      <c r="G13" s="24">
        <f t="shared" si="1"/>
        <v>100.486872</v>
      </c>
      <c r="H13" s="23">
        <f t="shared" si="2"/>
        <v>105.5376</v>
      </c>
      <c r="I13" s="23">
        <f t="shared" si="3"/>
        <v>180.9216</v>
      </c>
      <c r="J13" s="23">
        <f t="shared" si="4"/>
        <v>200.973744</v>
      </c>
      <c r="K13" s="22">
        <f t="shared" si="5"/>
        <v>211.0752</v>
      </c>
      <c r="L13" s="25"/>
      <c r="O13" s="26"/>
    </row>
    <row r="14" spans="1:15">
      <c r="A14" s="22" t="s">
        <v>23</v>
      </c>
      <c r="B14" s="22">
        <v>0.1</v>
      </c>
      <c r="C14" s="22" t="s">
        <v>28</v>
      </c>
      <c r="D14" s="21" t="s">
        <v>25</v>
      </c>
      <c r="E14" s="22">
        <v>7.5384</v>
      </c>
      <c r="F14" s="23">
        <f t="shared" si="0"/>
        <v>90.4608</v>
      </c>
      <c r="G14" s="24">
        <f t="shared" si="1"/>
        <v>100.486872</v>
      </c>
      <c r="H14" s="23">
        <f t="shared" si="2"/>
        <v>105.5376</v>
      </c>
      <c r="I14" s="23">
        <f t="shared" si="3"/>
        <v>180.9216</v>
      </c>
      <c r="J14" s="23">
        <f t="shared" si="4"/>
        <v>200.973744</v>
      </c>
      <c r="K14" s="22">
        <f t="shared" si="5"/>
        <v>211.0752</v>
      </c>
      <c r="L14" s="25"/>
      <c r="O14" s="26"/>
    </row>
    <row r="15" spans="1:15">
      <c r="A15" s="22" t="s">
        <v>23</v>
      </c>
      <c r="B15" s="22">
        <v>0.1</v>
      </c>
      <c r="C15" s="22" t="s">
        <v>28</v>
      </c>
      <c r="D15" s="27" t="s">
        <v>26</v>
      </c>
      <c r="E15" s="22">
        <v>11.6856</v>
      </c>
      <c r="F15" s="23">
        <f t="shared" si="0"/>
        <v>140.2272</v>
      </c>
      <c r="G15" s="24">
        <f t="shared" si="1"/>
        <v>155.769048</v>
      </c>
      <c r="H15" s="23">
        <f t="shared" si="2"/>
        <v>163.5984</v>
      </c>
      <c r="I15" s="23">
        <f t="shared" si="3"/>
        <v>280.4544</v>
      </c>
      <c r="J15" s="23">
        <f t="shared" si="4"/>
        <v>311.538096</v>
      </c>
      <c r="K15" s="22">
        <f t="shared" si="5"/>
        <v>327.1968</v>
      </c>
      <c r="L15" s="25"/>
      <c r="O15" s="26"/>
    </row>
    <row r="16" spans="1:15">
      <c r="A16" s="22" t="s">
        <v>23</v>
      </c>
      <c r="B16" s="22">
        <v>0.1</v>
      </c>
      <c r="C16" s="22" t="s">
        <v>28</v>
      </c>
      <c r="D16" s="27" t="s">
        <v>29</v>
      </c>
      <c r="E16" s="22">
        <v>22.032</v>
      </c>
      <c r="F16" s="23">
        <f t="shared" si="0"/>
        <v>264.384</v>
      </c>
      <c r="G16" s="24">
        <f t="shared" si="1"/>
        <v>293.68656</v>
      </c>
      <c r="H16" s="23">
        <f t="shared" si="2"/>
        <v>308.448</v>
      </c>
      <c r="I16" s="23">
        <f t="shared" si="3"/>
        <v>528.768</v>
      </c>
      <c r="J16" s="23">
        <f t="shared" si="4"/>
        <v>587.37312</v>
      </c>
      <c r="K16" s="22">
        <f t="shared" si="5"/>
        <v>616.896</v>
      </c>
      <c r="L16" s="25"/>
      <c r="O16" s="26"/>
    </row>
    <row r="17" spans="1:15">
      <c r="A17" s="28" t="s">
        <v>23</v>
      </c>
      <c r="B17" s="28">
        <v>0.13</v>
      </c>
      <c r="C17" s="28" t="s">
        <v>28</v>
      </c>
      <c r="D17" s="29" t="s">
        <v>25</v>
      </c>
      <c r="E17" s="28">
        <v>7.5384</v>
      </c>
      <c r="F17" s="30">
        <f t="shared" si="0"/>
        <v>90.4608</v>
      </c>
      <c r="G17" s="31">
        <f t="shared" si="1"/>
        <v>100.486872</v>
      </c>
      <c r="H17" s="30">
        <f t="shared" si="2"/>
        <v>105.5376</v>
      </c>
      <c r="I17" s="30">
        <f t="shared" si="3"/>
        <v>180.9216</v>
      </c>
      <c r="J17" s="30">
        <f t="shared" si="4"/>
        <v>200.973744</v>
      </c>
      <c r="K17" s="28">
        <f t="shared" si="5"/>
        <v>211.0752</v>
      </c>
      <c r="L17" s="25"/>
      <c r="O17" s="26"/>
    </row>
    <row r="18" spans="1:15">
      <c r="A18" s="28" t="s">
        <v>23</v>
      </c>
      <c r="B18" s="28">
        <v>0.13</v>
      </c>
      <c r="C18" s="28" t="s">
        <v>28</v>
      </c>
      <c r="D18" s="32" t="s">
        <v>26</v>
      </c>
      <c r="E18" s="28">
        <v>11.826</v>
      </c>
      <c r="F18" s="30">
        <f t="shared" si="0"/>
        <v>141.912</v>
      </c>
      <c r="G18" s="31">
        <f t="shared" si="1"/>
        <v>157.64058</v>
      </c>
      <c r="H18" s="30">
        <f t="shared" si="2"/>
        <v>165.564</v>
      </c>
      <c r="I18" s="30">
        <f t="shared" si="3"/>
        <v>283.824</v>
      </c>
      <c r="J18" s="30">
        <f t="shared" si="4"/>
        <v>315.28116</v>
      </c>
      <c r="K18" s="28">
        <f t="shared" si="5"/>
        <v>331.128</v>
      </c>
      <c r="L18" s="25"/>
      <c r="O18" s="26"/>
    </row>
    <row r="19" spans="1:15">
      <c r="A19" s="28" t="s">
        <v>23</v>
      </c>
      <c r="B19" s="28">
        <v>0.13</v>
      </c>
      <c r="C19" s="28" t="s">
        <v>28</v>
      </c>
      <c r="D19" s="32" t="s">
        <v>30</v>
      </c>
      <c r="E19" s="28">
        <v>17.5932</v>
      </c>
      <c r="F19" s="30">
        <f t="shared" si="0"/>
        <v>211.1184</v>
      </c>
      <c r="G19" s="31">
        <f t="shared" si="1"/>
        <v>234.517356</v>
      </c>
      <c r="H19" s="30">
        <f t="shared" si="2"/>
        <v>246.3048</v>
      </c>
      <c r="I19" s="30">
        <f t="shared" si="3"/>
        <v>422.2368</v>
      </c>
      <c r="J19" s="30">
        <f t="shared" si="4"/>
        <v>469.034712</v>
      </c>
      <c r="K19" s="28">
        <f t="shared" si="5"/>
        <v>492.6096</v>
      </c>
      <c r="L19" s="25"/>
      <c r="O19" s="26"/>
    </row>
    <row r="20" spans="1:15">
      <c r="A20" s="28" t="s">
        <v>23</v>
      </c>
      <c r="B20" s="28">
        <v>0.15</v>
      </c>
      <c r="C20" s="28" t="s">
        <v>31</v>
      </c>
      <c r="D20" s="29" t="s">
        <v>25</v>
      </c>
      <c r="E20" s="28">
        <v>7.6464</v>
      </c>
      <c r="F20" s="30">
        <f t="shared" si="0"/>
        <v>91.7568</v>
      </c>
      <c r="G20" s="31">
        <f t="shared" si="1"/>
        <v>101.926512</v>
      </c>
      <c r="H20" s="30">
        <f t="shared" si="2"/>
        <v>107.0496</v>
      </c>
      <c r="I20" s="30">
        <f t="shared" si="3"/>
        <v>183.5136</v>
      </c>
      <c r="J20" s="30">
        <f t="shared" si="4"/>
        <v>203.853024</v>
      </c>
      <c r="K20" s="28">
        <f t="shared" si="5"/>
        <v>214.0992</v>
      </c>
      <c r="L20" s="25"/>
      <c r="O20" s="26"/>
    </row>
    <row r="21" spans="1:15">
      <c r="A21" s="28" t="s">
        <v>23</v>
      </c>
      <c r="B21" s="28">
        <v>0.15</v>
      </c>
      <c r="C21" s="28" t="s">
        <v>31</v>
      </c>
      <c r="D21" s="32" t="s">
        <v>26</v>
      </c>
      <c r="E21" s="28">
        <v>11.7504</v>
      </c>
      <c r="F21" s="30">
        <f t="shared" ref="F21:F50" si="6">E21*12</f>
        <v>141.0048</v>
      </c>
      <c r="G21" s="31">
        <f t="shared" ref="G21:G50" si="7">E21*13.33</f>
        <v>156.632832</v>
      </c>
      <c r="H21" s="30">
        <f t="shared" ref="H21:H50" si="8">E21*14</f>
        <v>164.5056</v>
      </c>
      <c r="I21" s="30">
        <f t="shared" ref="I21:I50" si="9">F21*2</f>
        <v>282.0096</v>
      </c>
      <c r="J21" s="30">
        <f t="shared" ref="J21:J50" si="10">G21*2</f>
        <v>313.265664</v>
      </c>
      <c r="K21" s="28">
        <f t="shared" ref="K21:K50" si="11">H21*2</f>
        <v>329.0112</v>
      </c>
      <c r="L21" s="25"/>
      <c r="O21" s="26"/>
    </row>
    <row r="22" spans="1:15">
      <c r="A22" s="28" t="s">
        <v>23</v>
      </c>
      <c r="B22" s="28">
        <v>0.18</v>
      </c>
      <c r="C22" s="28" t="s">
        <v>32</v>
      </c>
      <c r="D22" s="29" t="s">
        <v>25</v>
      </c>
      <c r="E22" s="28">
        <v>7.776</v>
      </c>
      <c r="F22" s="30">
        <f t="shared" si="6"/>
        <v>93.312</v>
      </c>
      <c r="G22" s="31">
        <f t="shared" si="7"/>
        <v>103.65408</v>
      </c>
      <c r="H22" s="30">
        <f t="shared" si="8"/>
        <v>108.864</v>
      </c>
      <c r="I22" s="30">
        <f t="shared" si="9"/>
        <v>186.624</v>
      </c>
      <c r="J22" s="30">
        <f t="shared" si="10"/>
        <v>207.30816</v>
      </c>
      <c r="K22" s="28">
        <f t="shared" si="11"/>
        <v>217.728</v>
      </c>
      <c r="L22" s="25"/>
      <c r="O22" s="26"/>
    </row>
    <row r="23" spans="1:15">
      <c r="A23" s="28" t="s">
        <v>23</v>
      </c>
      <c r="B23" s="28">
        <v>0.2</v>
      </c>
      <c r="C23" s="28" t="s">
        <v>32</v>
      </c>
      <c r="D23" s="29" t="s">
        <v>25</v>
      </c>
      <c r="E23" s="28">
        <v>7.8192</v>
      </c>
      <c r="F23" s="30">
        <f t="shared" si="6"/>
        <v>93.8304</v>
      </c>
      <c r="G23" s="31">
        <f t="shared" si="7"/>
        <v>104.229936</v>
      </c>
      <c r="H23" s="30">
        <f t="shared" si="8"/>
        <v>109.4688</v>
      </c>
      <c r="I23" s="30">
        <f t="shared" si="9"/>
        <v>187.6608</v>
      </c>
      <c r="J23" s="30">
        <f t="shared" si="10"/>
        <v>208.459872</v>
      </c>
      <c r="K23" s="28">
        <f t="shared" si="11"/>
        <v>218.9376</v>
      </c>
      <c r="L23" s="25"/>
      <c r="O23" s="26"/>
    </row>
    <row r="24" spans="1:15">
      <c r="A24" s="28" t="s">
        <v>23</v>
      </c>
      <c r="B24" s="28">
        <v>0.2</v>
      </c>
      <c r="C24" s="28" t="s">
        <v>32</v>
      </c>
      <c r="D24" s="32" t="s">
        <v>29</v>
      </c>
      <c r="E24" s="28">
        <v>21.816</v>
      </c>
      <c r="F24" s="30">
        <f t="shared" si="6"/>
        <v>261.792</v>
      </c>
      <c r="G24" s="31">
        <f t="shared" si="7"/>
        <v>290.80728</v>
      </c>
      <c r="H24" s="30">
        <f t="shared" si="8"/>
        <v>305.424</v>
      </c>
      <c r="I24" s="30">
        <f t="shared" si="9"/>
        <v>523.584</v>
      </c>
      <c r="J24" s="30">
        <f t="shared" si="10"/>
        <v>581.61456</v>
      </c>
      <c r="K24" s="28">
        <f t="shared" si="11"/>
        <v>610.848</v>
      </c>
      <c r="L24" s="25"/>
      <c r="O24" s="26"/>
    </row>
    <row r="25" spans="1:15">
      <c r="A25" s="28" t="s">
        <v>23</v>
      </c>
      <c r="B25" s="28">
        <v>0.2</v>
      </c>
      <c r="C25" s="28" t="s">
        <v>32</v>
      </c>
      <c r="D25" s="32" t="s">
        <v>26</v>
      </c>
      <c r="E25" s="28">
        <v>11.6532</v>
      </c>
      <c r="F25" s="30">
        <f t="shared" si="6"/>
        <v>139.8384</v>
      </c>
      <c r="G25" s="31">
        <f t="shared" si="7"/>
        <v>155.337156</v>
      </c>
      <c r="H25" s="30">
        <f t="shared" si="8"/>
        <v>163.1448</v>
      </c>
      <c r="I25" s="30">
        <f t="shared" si="9"/>
        <v>279.6768</v>
      </c>
      <c r="J25" s="30">
        <f t="shared" si="10"/>
        <v>310.674312</v>
      </c>
      <c r="K25" s="28">
        <f t="shared" si="11"/>
        <v>326.2896</v>
      </c>
      <c r="L25" s="25"/>
      <c r="O25" s="26"/>
    </row>
    <row r="26" spans="1:15">
      <c r="A26" s="28" t="s">
        <v>23</v>
      </c>
      <c r="B26" s="28">
        <v>0.2</v>
      </c>
      <c r="C26" s="28" t="s">
        <v>32</v>
      </c>
      <c r="D26" s="32" t="s">
        <v>33</v>
      </c>
      <c r="E26" s="28">
        <v>33.642</v>
      </c>
      <c r="F26" s="30">
        <f t="shared" si="6"/>
        <v>403.704</v>
      </c>
      <c r="G26" s="31">
        <f t="shared" si="7"/>
        <v>448.44786</v>
      </c>
      <c r="H26" s="30">
        <f t="shared" si="8"/>
        <v>470.988</v>
      </c>
      <c r="I26" s="30">
        <f t="shared" si="9"/>
        <v>807.408</v>
      </c>
      <c r="J26" s="30">
        <f t="shared" si="10"/>
        <v>896.89572</v>
      </c>
      <c r="K26" s="28">
        <f t="shared" si="11"/>
        <v>941.976</v>
      </c>
      <c r="L26" s="25"/>
      <c r="O26" s="26"/>
    </row>
    <row r="27" spans="1:15">
      <c r="A27" s="28" t="s">
        <v>23</v>
      </c>
      <c r="B27" s="28">
        <v>0.25</v>
      </c>
      <c r="C27" s="28" t="s">
        <v>34</v>
      </c>
      <c r="D27" s="29" t="s">
        <v>25</v>
      </c>
      <c r="E27" s="28">
        <v>9.0612</v>
      </c>
      <c r="F27" s="30">
        <f t="shared" si="6"/>
        <v>108.7344</v>
      </c>
      <c r="G27" s="31">
        <f t="shared" si="7"/>
        <v>120.785796</v>
      </c>
      <c r="H27" s="30">
        <f t="shared" si="8"/>
        <v>126.8568</v>
      </c>
      <c r="I27" s="30">
        <f t="shared" si="9"/>
        <v>217.4688</v>
      </c>
      <c r="J27" s="30">
        <f t="shared" si="10"/>
        <v>241.571592</v>
      </c>
      <c r="K27" s="28">
        <f t="shared" si="11"/>
        <v>253.7136</v>
      </c>
      <c r="L27" s="25"/>
      <c r="O27" s="26"/>
    </row>
    <row r="28" spans="1:15">
      <c r="A28" s="28" t="s">
        <v>23</v>
      </c>
      <c r="B28" s="28">
        <v>0.25</v>
      </c>
      <c r="C28" s="28" t="s">
        <v>34</v>
      </c>
      <c r="D28" s="32" t="s">
        <v>26</v>
      </c>
      <c r="E28" s="28">
        <v>13.3812</v>
      </c>
      <c r="F28" s="30">
        <f t="shared" si="6"/>
        <v>160.5744</v>
      </c>
      <c r="G28" s="31">
        <f t="shared" si="7"/>
        <v>178.371396</v>
      </c>
      <c r="H28" s="30">
        <f t="shared" si="8"/>
        <v>187.3368</v>
      </c>
      <c r="I28" s="30">
        <f t="shared" si="9"/>
        <v>321.1488</v>
      </c>
      <c r="J28" s="30">
        <f t="shared" si="10"/>
        <v>356.742792</v>
      </c>
      <c r="K28" s="28">
        <f t="shared" si="11"/>
        <v>374.6736</v>
      </c>
      <c r="L28" s="25"/>
      <c r="O28" s="26"/>
    </row>
    <row r="29" spans="1:15">
      <c r="A29" s="28" t="s">
        <v>23</v>
      </c>
      <c r="B29" s="28">
        <v>0.25</v>
      </c>
      <c r="C29" s="28" t="s">
        <v>34</v>
      </c>
      <c r="D29" s="32" t="s">
        <v>29</v>
      </c>
      <c r="E29" s="28">
        <v>23.0796</v>
      </c>
      <c r="F29" s="30">
        <f t="shared" si="6"/>
        <v>276.9552</v>
      </c>
      <c r="G29" s="31">
        <f t="shared" si="7"/>
        <v>307.651068</v>
      </c>
      <c r="H29" s="30">
        <f t="shared" si="8"/>
        <v>323.1144</v>
      </c>
      <c r="I29" s="30">
        <f t="shared" si="9"/>
        <v>553.9104</v>
      </c>
      <c r="J29" s="30">
        <f t="shared" si="10"/>
        <v>615.302136</v>
      </c>
      <c r="K29" s="28">
        <f t="shared" si="11"/>
        <v>646.2288</v>
      </c>
      <c r="L29" s="25"/>
      <c r="O29" s="26"/>
    </row>
    <row r="30" spans="1:15">
      <c r="A30" s="28" t="s">
        <v>23</v>
      </c>
      <c r="B30" s="28">
        <v>0.27</v>
      </c>
      <c r="C30" s="28" t="s">
        <v>34</v>
      </c>
      <c r="D30" s="29" t="s">
        <v>25</v>
      </c>
      <c r="E30" s="28">
        <v>9.4068</v>
      </c>
      <c r="F30" s="30">
        <f t="shared" si="6"/>
        <v>112.8816</v>
      </c>
      <c r="G30" s="31">
        <f t="shared" si="7"/>
        <v>125.392644</v>
      </c>
      <c r="H30" s="30">
        <f t="shared" si="8"/>
        <v>131.6952</v>
      </c>
      <c r="I30" s="30">
        <f t="shared" si="9"/>
        <v>225.7632</v>
      </c>
      <c r="J30" s="30">
        <f t="shared" si="10"/>
        <v>250.785288</v>
      </c>
      <c r="K30" s="28">
        <f t="shared" si="11"/>
        <v>263.3904</v>
      </c>
      <c r="L30" s="25"/>
      <c r="O30" s="26"/>
    </row>
    <row r="31" spans="1:15">
      <c r="A31" s="28" t="s">
        <v>23</v>
      </c>
      <c r="B31" s="28">
        <v>0.3</v>
      </c>
      <c r="C31" s="28" t="s">
        <v>35</v>
      </c>
      <c r="D31" s="29" t="s">
        <v>25</v>
      </c>
      <c r="E31" s="28">
        <v>9.18</v>
      </c>
      <c r="F31" s="30">
        <f t="shared" si="6"/>
        <v>110.16</v>
      </c>
      <c r="G31" s="31">
        <f t="shared" si="7"/>
        <v>122.3694</v>
      </c>
      <c r="H31" s="30">
        <f t="shared" si="8"/>
        <v>128.52</v>
      </c>
      <c r="I31" s="30">
        <f t="shared" si="9"/>
        <v>220.32</v>
      </c>
      <c r="J31" s="30">
        <f t="shared" si="10"/>
        <v>244.7388</v>
      </c>
      <c r="K31" s="28">
        <f t="shared" si="11"/>
        <v>257.04</v>
      </c>
      <c r="L31" s="25"/>
      <c r="O31" s="26"/>
    </row>
    <row r="32" spans="1:15">
      <c r="A32" s="28" t="s">
        <v>23</v>
      </c>
      <c r="B32" s="28">
        <v>0.3</v>
      </c>
      <c r="C32" s="28" t="s">
        <v>35</v>
      </c>
      <c r="D32" s="32" t="s">
        <v>26</v>
      </c>
      <c r="E32" s="28">
        <v>13.2408</v>
      </c>
      <c r="F32" s="30">
        <f t="shared" si="6"/>
        <v>158.8896</v>
      </c>
      <c r="G32" s="31">
        <f t="shared" si="7"/>
        <v>176.499864</v>
      </c>
      <c r="H32" s="30">
        <f t="shared" si="8"/>
        <v>185.3712</v>
      </c>
      <c r="I32" s="30">
        <f t="shared" si="9"/>
        <v>317.7792</v>
      </c>
      <c r="J32" s="30">
        <f t="shared" si="10"/>
        <v>352.999728</v>
      </c>
      <c r="K32" s="28">
        <f t="shared" si="11"/>
        <v>370.7424</v>
      </c>
      <c r="L32" s="25"/>
      <c r="O32" s="26"/>
    </row>
    <row r="33" spans="1:15">
      <c r="A33" s="28" t="s">
        <v>23</v>
      </c>
      <c r="B33" s="28">
        <v>0.3</v>
      </c>
      <c r="C33" s="28" t="s">
        <v>35</v>
      </c>
      <c r="D33" s="32" t="s">
        <v>29</v>
      </c>
      <c r="E33" s="28">
        <v>23.7924</v>
      </c>
      <c r="F33" s="30">
        <f t="shared" si="6"/>
        <v>285.5088</v>
      </c>
      <c r="G33" s="31">
        <f t="shared" si="7"/>
        <v>317.152692</v>
      </c>
      <c r="H33" s="30">
        <f t="shared" si="8"/>
        <v>333.0936</v>
      </c>
      <c r="I33" s="30">
        <f t="shared" si="9"/>
        <v>571.0176</v>
      </c>
      <c r="J33" s="30">
        <f t="shared" si="10"/>
        <v>634.305384</v>
      </c>
      <c r="K33" s="28">
        <f t="shared" si="11"/>
        <v>666.1872</v>
      </c>
      <c r="L33" s="25"/>
      <c r="O33" s="26"/>
    </row>
    <row r="34" spans="1:15">
      <c r="A34" s="28" t="s">
        <v>23</v>
      </c>
      <c r="B34" s="28">
        <v>0.3</v>
      </c>
      <c r="C34" s="28" t="s">
        <v>35</v>
      </c>
      <c r="D34" s="32" t="s">
        <v>33</v>
      </c>
      <c r="E34" s="28">
        <v>34.8732</v>
      </c>
      <c r="F34" s="30">
        <f t="shared" si="6"/>
        <v>418.4784</v>
      </c>
      <c r="G34" s="31">
        <f t="shared" si="7"/>
        <v>464.859756</v>
      </c>
      <c r="H34" s="30">
        <f t="shared" si="8"/>
        <v>488.2248</v>
      </c>
      <c r="I34" s="30">
        <f t="shared" si="9"/>
        <v>836.9568</v>
      </c>
      <c r="J34" s="30">
        <f t="shared" si="10"/>
        <v>929.719512</v>
      </c>
      <c r="K34" s="28">
        <f t="shared" si="11"/>
        <v>976.4496</v>
      </c>
      <c r="L34" s="25"/>
      <c r="O34" s="26"/>
    </row>
    <row r="35" spans="1:15">
      <c r="A35" s="28" t="s">
        <v>23</v>
      </c>
      <c r="B35" s="28">
        <v>0.35</v>
      </c>
      <c r="C35" s="28" t="s">
        <v>36</v>
      </c>
      <c r="D35" s="29" t="s">
        <v>25</v>
      </c>
      <c r="E35" s="28">
        <v>9.018</v>
      </c>
      <c r="F35" s="30">
        <f t="shared" si="6"/>
        <v>108.216</v>
      </c>
      <c r="G35" s="31">
        <f t="shared" si="7"/>
        <v>120.20994</v>
      </c>
      <c r="H35" s="30">
        <f t="shared" si="8"/>
        <v>126.252</v>
      </c>
      <c r="I35" s="30">
        <f t="shared" si="9"/>
        <v>216.432</v>
      </c>
      <c r="J35" s="30">
        <f t="shared" si="10"/>
        <v>240.41988</v>
      </c>
      <c r="K35" s="28">
        <f t="shared" si="11"/>
        <v>252.504</v>
      </c>
      <c r="L35" s="25"/>
      <c r="O35" s="26"/>
    </row>
    <row r="36" spans="1:15">
      <c r="A36" s="28" t="s">
        <v>23</v>
      </c>
      <c r="B36" s="28">
        <v>0.35</v>
      </c>
      <c r="C36" s="28" t="s">
        <v>36</v>
      </c>
      <c r="D36" s="32" t="s">
        <v>29</v>
      </c>
      <c r="E36" s="28">
        <v>22.7016</v>
      </c>
      <c r="F36" s="30">
        <f t="shared" si="6"/>
        <v>272.4192</v>
      </c>
      <c r="G36" s="31">
        <f t="shared" si="7"/>
        <v>302.612328</v>
      </c>
      <c r="H36" s="30">
        <f t="shared" si="8"/>
        <v>317.8224</v>
      </c>
      <c r="I36" s="30">
        <f t="shared" si="9"/>
        <v>544.8384</v>
      </c>
      <c r="J36" s="30">
        <f t="shared" si="10"/>
        <v>605.224656</v>
      </c>
      <c r="K36" s="28">
        <f t="shared" si="11"/>
        <v>635.6448</v>
      </c>
      <c r="L36" s="25"/>
      <c r="O36" s="26"/>
    </row>
    <row r="37" spans="1:15">
      <c r="A37" s="28" t="s">
        <v>23</v>
      </c>
      <c r="B37" s="28">
        <v>0.35</v>
      </c>
      <c r="C37" s="28" t="s">
        <v>36</v>
      </c>
      <c r="D37" s="32" t="s">
        <v>26</v>
      </c>
      <c r="E37" s="28">
        <v>13.014</v>
      </c>
      <c r="F37" s="30">
        <f t="shared" si="6"/>
        <v>156.168</v>
      </c>
      <c r="G37" s="31">
        <f t="shared" si="7"/>
        <v>173.47662</v>
      </c>
      <c r="H37" s="30">
        <f t="shared" si="8"/>
        <v>182.196</v>
      </c>
      <c r="I37" s="30">
        <f t="shared" si="9"/>
        <v>312.336</v>
      </c>
      <c r="J37" s="30">
        <f t="shared" si="10"/>
        <v>346.95324</v>
      </c>
      <c r="K37" s="28">
        <f t="shared" si="11"/>
        <v>364.392</v>
      </c>
      <c r="L37" s="25"/>
      <c r="O37" s="26"/>
    </row>
    <row r="38" spans="1:15">
      <c r="A38" s="28" t="s">
        <v>23</v>
      </c>
      <c r="B38" s="28">
        <v>0.36</v>
      </c>
      <c r="C38" s="28" t="s">
        <v>36</v>
      </c>
      <c r="D38" s="29" t="s">
        <v>25</v>
      </c>
      <c r="E38" s="28">
        <v>9.018</v>
      </c>
      <c r="F38" s="30">
        <f t="shared" si="6"/>
        <v>108.216</v>
      </c>
      <c r="G38" s="31">
        <f t="shared" si="7"/>
        <v>120.20994</v>
      </c>
      <c r="H38" s="30">
        <f t="shared" si="8"/>
        <v>126.252</v>
      </c>
      <c r="I38" s="30">
        <f t="shared" si="9"/>
        <v>216.432</v>
      </c>
      <c r="J38" s="30">
        <f t="shared" si="10"/>
        <v>240.41988</v>
      </c>
      <c r="K38" s="28">
        <f t="shared" si="11"/>
        <v>252.504</v>
      </c>
      <c r="L38" s="25"/>
      <c r="O38" s="26"/>
    </row>
    <row r="39" spans="1:15">
      <c r="A39" s="28" t="s">
        <v>23</v>
      </c>
      <c r="B39" s="28">
        <v>0.36</v>
      </c>
      <c r="C39" s="28" t="s">
        <v>36</v>
      </c>
      <c r="D39" s="32" t="s">
        <v>26</v>
      </c>
      <c r="E39" s="28">
        <v>13.014</v>
      </c>
      <c r="F39" s="30">
        <f t="shared" si="6"/>
        <v>156.168</v>
      </c>
      <c r="G39" s="31">
        <f t="shared" si="7"/>
        <v>173.47662</v>
      </c>
      <c r="H39" s="30">
        <f t="shared" si="8"/>
        <v>182.196</v>
      </c>
      <c r="I39" s="30">
        <f t="shared" si="9"/>
        <v>312.336</v>
      </c>
      <c r="J39" s="30">
        <f t="shared" si="10"/>
        <v>346.95324</v>
      </c>
      <c r="K39" s="28">
        <f t="shared" si="11"/>
        <v>364.392</v>
      </c>
      <c r="L39" s="25"/>
      <c r="O39" s="26"/>
    </row>
    <row r="40" spans="1:15">
      <c r="A40" s="28" t="s">
        <v>23</v>
      </c>
      <c r="B40" s="28">
        <v>0.38</v>
      </c>
      <c r="C40" s="28" t="s">
        <v>36</v>
      </c>
      <c r="D40" s="29" t="s">
        <v>25</v>
      </c>
      <c r="E40" s="28">
        <v>8.9748</v>
      </c>
      <c r="F40" s="30">
        <f t="shared" si="6"/>
        <v>107.6976</v>
      </c>
      <c r="G40" s="31">
        <f t="shared" si="7"/>
        <v>119.634084</v>
      </c>
      <c r="H40" s="30">
        <f t="shared" si="8"/>
        <v>125.6472</v>
      </c>
      <c r="I40" s="30">
        <f t="shared" si="9"/>
        <v>215.3952</v>
      </c>
      <c r="J40" s="30">
        <f t="shared" si="10"/>
        <v>239.268168</v>
      </c>
      <c r="K40" s="28">
        <f t="shared" si="11"/>
        <v>251.2944</v>
      </c>
      <c r="L40" s="25"/>
      <c r="O40" s="26"/>
    </row>
    <row r="41" spans="1:15">
      <c r="A41" s="28" t="s">
        <v>23</v>
      </c>
      <c r="B41" s="28">
        <v>0.38</v>
      </c>
      <c r="C41" s="28" t="s">
        <v>36</v>
      </c>
      <c r="D41" s="32" t="s">
        <v>26</v>
      </c>
      <c r="E41" s="28">
        <v>12.9168</v>
      </c>
      <c r="F41" s="30">
        <f t="shared" si="6"/>
        <v>155.0016</v>
      </c>
      <c r="G41" s="31">
        <f t="shared" si="7"/>
        <v>172.180944</v>
      </c>
      <c r="H41" s="30">
        <f t="shared" si="8"/>
        <v>180.8352</v>
      </c>
      <c r="I41" s="30">
        <f t="shared" si="9"/>
        <v>310.0032</v>
      </c>
      <c r="J41" s="30">
        <f t="shared" si="10"/>
        <v>344.361888</v>
      </c>
      <c r="K41" s="28">
        <f t="shared" si="11"/>
        <v>361.6704</v>
      </c>
      <c r="L41" s="25"/>
      <c r="O41" s="26"/>
    </row>
    <row r="42" spans="1:15">
      <c r="A42" s="28" t="s">
        <v>23</v>
      </c>
      <c r="B42" s="28">
        <v>0.4</v>
      </c>
      <c r="C42" s="28" t="s">
        <v>36</v>
      </c>
      <c r="D42" s="29" t="s">
        <v>25</v>
      </c>
      <c r="E42" s="28">
        <v>8.9748</v>
      </c>
      <c r="F42" s="30">
        <f t="shared" si="6"/>
        <v>107.6976</v>
      </c>
      <c r="G42" s="31">
        <f t="shared" si="7"/>
        <v>119.634084</v>
      </c>
      <c r="H42" s="30">
        <f t="shared" si="8"/>
        <v>125.6472</v>
      </c>
      <c r="I42" s="30">
        <f t="shared" si="9"/>
        <v>215.3952</v>
      </c>
      <c r="J42" s="30">
        <f t="shared" si="10"/>
        <v>239.268168</v>
      </c>
      <c r="K42" s="28">
        <f t="shared" si="11"/>
        <v>251.2944</v>
      </c>
      <c r="L42" s="25"/>
      <c r="O42" s="26"/>
    </row>
    <row r="43" spans="1:15">
      <c r="A43" s="28" t="s">
        <v>23</v>
      </c>
      <c r="B43" s="28">
        <v>0.4</v>
      </c>
      <c r="C43" s="28" t="s">
        <v>36</v>
      </c>
      <c r="D43" s="32" t="s">
        <v>26</v>
      </c>
      <c r="E43" s="28">
        <v>12.9168</v>
      </c>
      <c r="F43" s="30">
        <f t="shared" si="6"/>
        <v>155.0016</v>
      </c>
      <c r="G43" s="31">
        <f t="shared" si="7"/>
        <v>172.180944</v>
      </c>
      <c r="H43" s="30">
        <f t="shared" si="8"/>
        <v>180.8352</v>
      </c>
      <c r="I43" s="30">
        <f t="shared" si="9"/>
        <v>310.0032</v>
      </c>
      <c r="J43" s="30">
        <f t="shared" si="10"/>
        <v>344.361888</v>
      </c>
      <c r="K43" s="28">
        <f t="shared" si="11"/>
        <v>361.6704</v>
      </c>
      <c r="L43" s="25"/>
      <c r="O43" s="26"/>
    </row>
    <row r="44" spans="1:15">
      <c r="A44" s="28" t="s">
        <v>23</v>
      </c>
      <c r="B44" s="28">
        <v>0.4</v>
      </c>
      <c r="C44" s="28" t="s">
        <v>36</v>
      </c>
      <c r="D44" s="32" t="s">
        <v>29</v>
      </c>
      <c r="E44" s="28">
        <v>22.8312</v>
      </c>
      <c r="F44" s="30">
        <f t="shared" si="6"/>
        <v>273.9744</v>
      </c>
      <c r="G44" s="31">
        <f t="shared" si="7"/>
        <v>304.339896</v>
      </c>
      <c r="H44" s="30">
        <f t="shared" si="8"/>
        <v>319.6368</v>
      </c>
      <c r="I44" s="30">
        <f t="shared" si="9"/>
        <v>547.9488</v>
      </c>
      <c r="J44" s="30">
        <f t="shared" si="10"/>
        <v>608.679792</v>
      </c>
      <c r="K44" s="28">
        <f t="shared" si="11"/>
        <v>639.2736</v>
      </c>
      <c r="L44" s="25"/>
      <c r="O44" s="26"/>
    </row>
    <row r="45" spans="1:15">
      <c r="A45" s="28" t="s">
        <v>23</v>
      </c>
      <c r="B45" s="28">
        <v>0.4</v>
      </c>
      <c r="C45" s="28" t="s">
        <v>36</v>
      </c>
      <c r="D45" s="32" t="s">
        <v>33</v>
      </c>
      <c r="E45" s="28">
        <v>35.5212</v>
      </c>
      <c r="F45" s="30">
        <f t="shared" si="6"/>
        <v>426.2544</v>
      </c>
      <c r="G45" s="31">
        <f t="shared" si="7"/>
        <v>473.497596</v>
      </c>
      <c r="H45" s="30">
        <f t="shared" si="8"/>
        <v>497.2968</v>
      </c>
      <c r="I45" s="30">
        <f t="shared" si="9"/>
        <v>852.5088</v>
      </c>
      <c r="J45" s="30">
        <f t="shared" si="10"/>
        <v>946.995192</v>
      </c>
      <c r="K45" s="28">
        <f t="shared" si="11"/>
        <v>994.5936</v>
      </c>
      <c r="L45" s="25"/>
      <c r="O45" s="26"/>
    </row>
    <row r="46" spans="1:15">
      <c r="A46" s="28" t="s">
        <v>23</v>
      </c>
      <c r="B46" s="28">
        <v>0.45</v>
      </c>
      <c r="C46" s="28" t="s">
        <v>37</v>
      </c>
      <c r="D46" s="29" t="s">
        <v>25</v>
      </c>
      <c r="E46" s="28">
        <v>10.5192</v>
      </c>
      <c r="F46" s="30">
        <f t="shared" si="6"/>
        <v>126.2304</v>
      </c>
      <c r="G46" s="31">
        <f t="shared" si="7"/>
        <v>140.220936</v>
      </c>
      <c r="H46" s="30">
        <f t="shared" si="8"/>
        <v>147.2688</v>
      </c>
      <c r="I46" s="30">
        <f t="shared" si="9"/>
        <v>252.4608</v>
      </c>
      <c r="J46" s="30">
        <f t="shared" si="10"/>
        <v>280.441872</v>
      </c>
      <c r="K46" s="28">
        <f t="shared" si="11"/>
        <v>294.5376</v>
      </c>
      <c r="L46" s="25"/>
      <c r="O46" s="26"/>
    </row>
    <row r="47" spans="1:15">
      <c r="A47" s="28" t="s">
        <v>23</v>
      </c>
      <c r="B47" s="28">
        <v>0.45</v>
      </c>
      <c r="C47" s="28" t="s">
        <v>37</v>
      </c>
      <c r="D47" s="32" t="s">
        <v>26</v>
      </c>
      <c r="E47" s="28">
        <v>14.5476</v>
      </c>
      <c r="F47" s="30">
        <f t="shared" si="6"/>
        <v>174.5712</v>
      </c>
      <c r="G47" s="31">
        <f t="shared" si="7"/>
        <v>193.919508</v>
      </c>
      <c r="H47" s="30">
        <f t="shared" si="8"/>
        <v>203.6664</v>
      </c>
      <c r="I47" s="30">
        <f t="shared" si="9"/>
        <v>349.1424</v>
      </c>
      <c r="J47" s="30">
        <f t="shared" si="10"/>
        <v>387.839016</v>
      </c>
      <c r="K47" s="28">
        <f t="shared" si="11"/>
        <v>407.3328</v>
      </c>
      <c r="L47" s="25"/>
      <c r="O47" s="26"/>
    </row>
    <row r="48" spans="1:15">
      <c r="A48" s="28" t="s">
        <v>23</v>
      </c>
      <c r="B48" s="28">
        <v>0.45</v>
      </c>
      <c r="C48" s="28" t="s">
        <v>37</v>
      </c>
      <c r="D48" s="32" t="s">
        <v>29</v>
      </c>
      <c r="E48" s="28">
        <v>24.9912</v>
      </c>
      <c r="F48" s="30">
        <f t="shared" si="6"/>
        <v>299.8944</v>
      </c>
      <c r="G48" s="31">
        <f t="shared" si="7"/>
        <v>333.132696</v>
      </c>
      <c r="H48" s="30">
        <f t="shared" si="8"/>
        <v>349.8768</v>
      </c>
      <c r="I48" s="30">
        <f t="shared" si="9"/>
        <v>599.7888</v>
      </c>
      <c r="J48" s="30">
        <f t="shared" si="10"/>
        <v>666.265392</v>
      </c>
      <c r="K48" s="28">
        <f t="shared" si="11"/>
        <v>699.7536</v>
      </c>
      <c r="L48" s="25"/>
      <c r="O48" s="26"/>
    </row>
    <row r="49" spans="1:15">
      <c r="A49" s="28" t="s">
        <v>23</v>
      </c>
      <c r="B49" s="28">
        <v>0.45</v>
      </c>
      <c r="C49" s="28" t="s">
        <v>37</v>
      </c>
      <c r="D49" s="32" t="s">
        <v>33</v>
      </c>
      <c r="E49" s="28">
        <v>35.262</v>
      </c>
      <c r="F49" s="30">
        <f t="shared" si="6"/>
        <v>423.144</v>
      </c>
      <c r="G49" s="31">
        <f t="shared" si="7"/>
        <v>470.04246</v>
      </c>
      <c r="H49" s="30">
        <f t="shared" si="8"/>
        <v>493.668</v>
      </c>
      <c r="I49" s="30">
        <f t="shared" si="9"/>
        <v>846.288</v>
      </c>
      <c r="J49" s="30">
        <f t="shared" si="10"/>
        <v>940.08492</v>
      </c>
      <c r="K49" s="28">
        <f t="shared" si="11"/>
        <v>987.336</v>
      </c>
      <c r="L49" s="25"/>
      <c r="O49" s="26"/>
    </row>
    <row r="50" spans="1:15">
      <c r="A50" s="28" t="s">
        <v>23</v>
      </c>
      <c r="B50" s="28">
        <v>0.46</v>
      </c>
      <c r="C50" s="28" t="s">
        <v>37</v>
      </c>
      <c r="D50" s="29" t="s">
        <v>25</v>
      </c>
      <c r="E50" s="28">
        <v>10.5192</v>
      </c>
      <c r="F50" s="30">
        <f t="shared" si="6"/>
        <v>126.2304</v>
      </c>
      <c r="G50" s="31">
        <f t="shared" si="7"/>
        <v>140.220936</v>
      </c>
      <c r="H50" s="30">
        <f t="shared" si="8"/>
        <v>147.2688</v>
      </c>
      <c r="I50" s="30">
        <f t="shared" si="9"/>
        <v>252.4608</v>
      </c>
      <c r="J50" s="30">
        <f t="shared" si="10"/>
        <v>280.441872</v>
      </c>
      <c r="K50" s="28">
        <f t="shared" si="11"/>
        <v>294.5376</v>
      </c>
      <c r="L50" s="25"/>
      <c r="O50" s="26"/>
    </row>
    <row r="51" spans="1:15">
      <c r="A51" s="28" t="s">
        <v>23</v>
      </c>
      <c r="B51" s="28">
        <v>0.46</v>
      </c>
      <c r="C51" s="28" t="s">
        <v>37</v>
      </c>
      <c r="D51" s="32" t="s">
        <v>26</v>
      </c>
      <c r="E51" s="28">
        <v>14.5476</v>
      </c>
      <c r="F51" s="30">
        <f t="shared" ref="F51:F65" si="12">E51*12</f>
        <v>174.5712</v>
      </c>
      <c r="G51" s="31">
        <f t="shared" ref="G51:G65" si="13">E51*13.33</f>
        <v>193.919508</v>
      </c>
      <c r="H51" s="30">
        <f t="shared" ref="H51:H65" si="14">E51*14</f>
        <v>203.6664</v>
      </c>
      <c r="I51" s="30">
        <f t="shared" ref="I51:I65" si="15">F51*2</f>
        <v>349.1424</v>
      </c>
      <c r="J51" s="30">
        <f t="shared" ref="J51:J65" si="16">G51*2</f>
        <v>387.839016</v>
      </c>
      <c r="K51" s="28">
        <f t="shared" ref="K51:K65" si="17">H51*2</f>
        <v>407.3328</v>
      </c>
      <c r="L51" s="25"/>
      <c r="O51" s="26"/>
    </row>
    <row r="52" spans="1:15">
      <c r="A52" s="28" t="s">
        <v>23</v>
      </c>
      <c r="B52" s="28">
        <v>0.46</v>
      </c>
      <c r="C52" s="28" t="s">
        <v>37</v>
      </c>
      <c r="D52" s="32" t="s">
        <v>29</v>
      </c>
      <c r="E52" s="28">
        <v>24.8076</v>
      </c>
      <c r="F52" s="30">
        <f t="shared" si="12"/>
        <v>297.6912</v>
      </c>
      <c r="G52" s="31">
        <f t="shared" si="13"/>
        <v>330.685308</v>
      </c>
      <c r="H52" s="30">
        <f t="shared" si="14"/>
        <v>347.3064</v>
      </c>
      <c r="I52" s="30">
        <f t="shared" si="15"/>
        <v>595.3824</v>
      </c>
      <c r="J52" s="30">
        <f t="shared" si="16"/>
        <v>661.370616</v>
      </c>
      <c r="K52" s="28">
        <f t="shared" si="17"/>
        <v>694.6128</v>
      </c>
      <c r="L52" s="25"/>
      <c r="O52" s="26"/>
    </row>
    <row r="53" spans="1:15">
      <c r="A53" s="28" t="s">
        <v>23</v>
      </c>
      <c r="B53" s="28">
        <v>0.5</v>
      </c>
      <c r="C53" s="28" t="s">
        <v>38</v>
      </c>
      <c r="D53" s="29" t="s">
        <v>25</v>
      </c>
      <c r="E53" s="28">
        <v>10.584</v>
      </c>
      <c r="F53" s="30">
        <f t="shared" si="12"/>
        <v>127.008</v>
      </c>
      <c r="G53" s="31">
        <f t="shared" si="13"/>
        <v>141.08472</v>
      </c>
      <c r="H53" s="30">
        <f t="shared" si="14"/>
        <v>148.176</v>
      </c>
      <c r="I53" s="30">
        <f t="shared" si="15"/>
        <v>254.016</v>
      </c>
      <c r="J53" s="30">
        <f t="shared" si="16"/>
        <v>282.16944</v>
      </c>
      <c r="K53" s="28">
        <f t="shared" si="17"/>
        <v>296.352</v>
      </c>
      <c r="L53" s="25"/>
      <c r="O53" s="26"/>
    </row>
    <row r="54" spans="1:15">
      <c r="A54" s="28" t="s">
        <v>23</v>
      </c>
      <c r="B54" s="28">
        <v>0.5</v>
      </c>
      <c r="C54" s="28" t="s">
        <v>38</v>
      </c>
      <c r="D54" s="32" t="s">
        <v>29</v>
      </c>
      <c r="E54" s="28">
        <v>25.0128</v>
      </c>
      <c r="F54" s="30">
        <f t="shared" si="12"/>
        <v>300.1536</v>
      </c>
      <c r="G54" s="31">
        <f t="shared" si="13"/>
        <v>333.420624</v>
      </c>
      <c r="H54" s="30">
        <f t="shared" si="14"/>
        <v>350.1792</v>
      </c>
      <c r="I54" s="30">
        <f t="shared" si="15"/>
        <v>600.3072</v>
      </c>
      <c r="J54" s="30">
        <f t="shared" si="16"/>
        <v>666.841248</v>
      </c>
      <c r="K54" s="28">
        <f t="shared" si="17"/>
        <v>700.3584</v>
      </c>
      <c r="L54" s="25"/>
      <c r="O54" s="26"/>
    </row>
    <row r="55" spans="1:15">
      <c r="A55" s="28" t="s">
        <v>23</v>
      </c>
      <c r="B55" s="28">
        <v>0.5</v>
      </c>
      <c r="C55" s="28" t="s">
        <v>38</v>
      </c>
      <c r="D55" s="32" t="s">
        <v>26</v>
      </c>
      <c r="E55" s="28">
        <v>14.6772</v>
      </c>
      <c r="F55" s="30">
        <f t="shared" si="12"/>
        <v>176.1264</v>
      </c>
      <c r="G55" s="31">
        <f t="shared" si="13"/>
        <v>195.647076</v>
      </c>
      <c r="H55" s="30">
        <f t="shared" si="14"/>
        <v>205.4808</v>
      </c>
      <c r="I55" s="30">
        <f t="shared" si="15"/>
        <v>352.2528</v>
      </c>
      <c r="J55" s="30">
        <f t="shared" si="16"/>
        <v>391.294152</v>
      </c>
      <c r="K55" s="28">
        <f t="shared" si="17"/>
        <v>410.9616</v>
      </c>
      <c r="L55" s="25"/>
      <c r="O55" s="26"/>
    </row>
    <row r="56" spans="1:15">
      <c r="A56" s="28" t="s">
        <v>23</v>
      </c>
      <c r="B56" s="28">
        <v>0.5</v>
      </c>
      <c r="C56" s="28" t="s">
        <v>38</v>
      </c>
      <c r="D56" s="32" t="s">
        <v>39</v>
      </c>
      <c r="E56" s="28">
        <v>12.6576</v>
      </c>
      <c r="F56" s="30">
        <f t="shared" si="12"/>
        <v>151.8912</v>
      </c>
      <c r="G56" s="31">
        <f t="shared" si="13"/>
        <v>168.725808</v>
      </c>
      <c r="H56" s="30">
        <f t="shared" si="14"/>
        <v>177.2064</v>
      </c>
      <c r="I56" s="30">
        <f t="shared" si="15"/>
        <v>303.7824</v>
      </c>
      <c r="J56" s="30">
        <f t="shared" si="16"/>
        <v>337.451616</v>
      </c>
      <c r="K56" s="28">
        <f t="shared" si="17"/>
        <v>354.4128</v>
      </c>
      <c r="L56" s="25"/>
      <c r="O56" s="26"/>
    </row>
    <row r="57" spans="1:15">
      <c r="A57" s="28" t="s">
        <v>23</v>
      </c>
      <c r="B57" s="28">
        <v>0.5</v>
      </c>
      <c r="C57" s="28" t="s">
        <v>38</v>
      </c>
      <c r="D57" s="32" t="s">
        <v>33</v>
      </c>
      <c r="E57" s="28">
        <v>35.9208</v>
      </c>
      <c r="F57" s="30">
        <f t="shared" si="12"/>
        <v>431.0496</v>
      </c>
      <c r="G57" s="31">
        <f t="shared" si="13"/>
        <v>478.824264</v>
      </c>
      <c r="H57" s="30">
        <f t="shared" si="14"/>
        <v>502.8912</v>
      </c>
      <c r="I57" s="30">
        <f t="shared" si="15"/>
        <v>862.0992</v>
      </c>
      <c r="J57" s="30">
        <f t="shared" si="16"/>
        <v>957.648528</v>
      </c>
      <c r="K57" s="28">
        <f t="shared" si="17"/>
        <v>1005.7824</v>
      </c>
      <c r="L57" s="25"/>
      <c r="O57" s="26"/>
    </row>
    <row r="58" spans="1:15">
      <c r="A58" s="28" t="s">
        <v>23</v>
      </c>
      <c r="B58" s="28">
        <v>0.5</v>
      </c>
      <c r="C58" s="28" t="s">
        <v>38</v>
      </c>
      <c r="D58" s="32" t="s">
        <v>40</v>
      </c>
      <c r="E58" s="28">
        <v>46.9692</v>
      </c>
      <c r="F58" s="30">
        <f t="shared" si="12"/>
        <v>563.6304</v>
      </c>
      <c r="G58" s="31">
        <f t="shared" si="13"/>
        <v>626.099436</v>
      </c>
      <c r="H58" s="30">
        <f t="shared" si="14"/>
        <v>657.5688</v>
      </c>
      <c r="I58" s="30">
        <f t="shared" si="15"/>
        <v>1127.2608</v>
      </c>
      <c r="J58" s="30">
        <f t="shared" si="16"/>
        <v>1252.198872</v>
      </c>
      <c r="K58" s="28">
        <f t="shared" si="17"/>
        <v>1315.1376</v>
      </c>
      <c r="L58" s="25"/>
      <c r="O58" s="26"/>
    </row>
    <row r="59" spans="1:15">
      <c r="A59" s="28" t="s">
        <v>23</v>
      </c>
      <c r="B59" s="28">
        <v>0.53</v>
      </c>
      <c r="C59" s="28" t="s">
        <v>41</v>
      </c>
      <c r="D59" s="29" t="s">
        <v>25</v>
      </c>
      <c r="E59" s="28">
        <v>10.4652</v>
      </c>
      <c r="F59" s="30">
        <f t="shared" si="12"/>
        <v>125.5824</v>
      </c>
      <c r="G59" s="31">
        <f t="shared" si="13"/>
        <v>139.501116</v>
      </c>
      <c r="H59" s="30">
        <f t="shared" si="14"/>
        <v>146.5128</v>
      </c>
      <c r="I59" s="30">
        <f t="shared" si="15"/>
        <v>251.1648</v>
      </c>
      <c r="J59" s="30">
        <f t="shared" si="16"/>
        <v>279.002232</v>
      </c>
      <c r="K59" s="28">
        <f t="shared" si="17"/>
        <v>293.0256</v>
      </c>
      <c r="L59" s="25"/>
      <c r="O59" s="26"/>
    </row>
    <row r="60" spans="1:15">
      <c r="A60" s="28" t="s">
        <v>23</v>
      </c>
      <c r="B60" s="28">
        <v>0.53</v>
      </c>
      <c r="C60" s="28" t="s">
        <v>41</v>
      </c>
      <c r="D60" s="32" t="s">
        <v>26</v>
      </c>
      <c r="E60" s="28">
        <v>14.4072</v>
      </c>
      <c r="F60" s="30">
        <f t="shared" si="12"/>
        <v>172.8864</v>
      </c>
      <c r="G60" s="31">
        <f t="shared" si="13"/>
        <v>192.047976</v>
      </c>
      <c r="H60" s="30">
        <f t="shared" si="14"/>
        <v>201.7008</v>
      </c>
      <c r="I60" s="30">
        <f t="shared" si="15"/>
        <v>345.7728</v>
      </c>
      <c r="J60" s="30">
        <f t="shared" si="16"/>
        <v>384.095952</v>
      </c>
      <c r="K60" s="28">
        <f t="shared" si="17"/>
        <v>403.4016</v>
      </c>
      <c r="L60" s="25"/>
      <c r="O60" s="26"/>
    </row>
    <row r="61" spans="1:15">
      <c r="A61" s="28" t="s">
        <v>23</v>
      </c>
      <c r="B61" s="28">
        <v>0.55</v>
      </c>
      <c r="C61" s="28" t="s">
        <v>41</v>
      </c>
      <c r="D61" s="29" t="s">
        <v>25</v>
      </c>
      <c r="E61" s="28">
        <v>10.5192</v>
      </c>
      <c r="F61" s="30">
        <f t="shared" si="12"/>
        <v>126.2304</v>
      </c>
      <c r="G61" s="31">
        <f t="shared" si="13"/>
        <v>140.220936</v>
      </c>
      <c r="H61" s="30">
        <f t="shared" si="14"/>
        <v>147.2688</v>
      </c>
      <c r="I61" s="30">
        <f t="shared" si="15"/>
        <v>252.4608</v>
      </c>
      <c r="J61" s="30">
        <f t="shared" si="16"/>
        <v>280.441872</v>
      </c>
      <c r="K61" s="28">
        <f t="shared" si="17"/>
        <v>294.5376</v>
      </c>
      <c r="L61" s="25"/>
      <c r="O61" s="26"/>
    </row>
    <row r="62" spans="1:15">
      <c r="A62" s="28" t="s">
        <v>23</v>
      </c>
      <c r="B62" s="28">
        <v>0.55</v>
      </c>
      <c r="C62" s="28" t="s">
        <v>41</v>
      </c>
      <c r="D62" s="32" t="s">
        <v>26</v>
      </c>
      <c r="E62" s="28">
        <v>14.5368</v>
      </c>
      <c r="F62" s="30">
        <f t="shared" si="12"/>
        <v>174.4416</v>
      </c>
      <c r="G62" s="31">
        <f t="shared" si="13"/>
        <v>193.775544</v>
      </c>
      <c r="H62" s="30">
        <f t="shared" si="14"/>
        <v>203.5152</v>
      </c>
      <c r="I62" s="30">
        <f t="shared" si="15"/>
        <v>348.8832</v>
      </c>
      <c r="J62" s="30">
        <f t="shared" si="16"/>
        <v>387.551088</v>
      </c>
      <c r="K62" s="28">
        <f t="shared" si="17"/>
        <v>407.0304</v>
      </c>
      <c r="L62" s="25"/>
      <c r="O62" s="26"/>
    </row>
    <row r="63" spans="1:15">
      <c r="A63" s="28" t="s">
        <v>23</v>
      </c>
      <c r="B63" s="28">
        <v>0.55</v>
      </c>
      <c r="C63" s="28" t="s">
        <v>41</v>
      </c>
      <c r="D63" s="32" t="s">
        <v>29</v>
      </c>
      <c r="E63" s="28">
        <v>24.4728</v>
      </c>
      <c r="F63" s="30">
        <f t="shared" si="12"/>
        <v>293.6736</v>
      </c>
      <c r="G63" s="31">
        <f t="shared" si="13"/>
        <v>326.222424</v>
      </c>
      <c r="H63" s="30">
        <f t="shared" si="14"/>
        <v>342.6192</v>
      </c>
      <c r="I63" s="30">
        <f t="shared" si="15"/>
        <v>587.3472</v>
      </c>
      <c r="J63" s="30">
        <f t="shared" si="16"/>
        <v>652.444848</v>
      </c>
      <c r="K63" s="28">
        <f t="shared" si="17"/>
        <v>685.2384</v>
      </c>
      <c r="L63" s="25"/>
      <c r="O63" s="26"/>
    </row>
    <row r="64" spans="1:15">
      <c r="A64" s="28" t="s">
        <v>23</v>
      </c>
      <c r="B64" s="28">
        <v>0.6</v>
      </c>
      <c r="C64" s="28" t="s">
        <v>41</v>
      </c>
      <c r="D64" s="29" t="s">
        <v>25</v>
      </c>
      <c r="E64" s="28">
        <v>10.3356</v>
      </c>
      <c r="F64" s="30">
        <f t="shared" si="12"/>
        <v>124.0272</v>
      </c>
      <c r="G64" s="31">
        <f t="shared" si="13"/>
        <v>137.773548</v>
      </c>
      <c r="H64" s="30">
        <f t="shared" si="14"/>
        <v>144.6984</v>
      </c>
      <c r="I64" s="30">
        <f t="shared" si="15"/>
        <v>248.0544</v>
      </c>
      <c r="J64" s="30">
        <f t="shared" si="16"/>
        <v>275.547096</v>
      </c>
      <c r="K64" s="28">
        <f t="shared" si="17"/>
        <v>289.3968</v>
      </c>
      <c r="L64" s="25"/>
      <c r="O64" s="26"/>
    </row>
    <row r="65" spans="1:15">
      <c r="A65" s="28" t="s">
        <v>23</v>
      </c>
      <c r="B65" s="28">
        <v>0.6</v>
      </c>
      <c r="C65" s="28" t="s">
        <v>41</v>
      </c>
      <c r="D65" s="32" t="s">
        <v>26</v>
      </c>
      <c r="E65" s="28">
        <v>14.5368</v>
      </c>
      <c r="F65" s="30">
        <f t="shared" si="12"/>
        <v>174.4416</v>
      </c>
      <c r="G65" s="31">
        <f t="shared" si="13"/>
        <v>193.775544</v>
      </c>
      <c r="H65" s="30">
        <f t="shared" si="14"/>
        <v>203.5152</v>
      </c>
      <c r="I65" s="30">
        <f t="shared" si="15"/>
        <v>348.8832</v>
      </c>
      <c r="J65" s="30">
        <f t="shared" si="16"/>
        <v>387.551088</v>
      </c>
      <c r="K65" s="28">
        <f t="shared" si="17"/>
        <v>407.0304</v>
      </c>
      <c r="L65" s="25"/>
      <c r="O65" s="26"/>
    </row>
    <row r="66" spans="1:15">
      <c r="A66" s="28" t="s">
        <v>23</v>
      </c>
      <c r="B66" s="28">
        <v>0.6</v>
      </c>
      <c r="C66" s="28" t="s">
        <v>41</v>
      </c>
      <c r="D66" s="32" t="s">
        <v>42</v>
      </c>
      <c r="E66" s="28">
        <v>11.3184</v>
      </c>
      <c r="F66" s="30">
        <f t="shared" ref="F66:F71" si="18">E66*12</f>
        <v>135.8208</v>
      </c>
      <c r="G66" s="31">
        <f t="shared" ref="G66:G71" si="19">E66*13.33</f>
        <v>150.874272</v>
      </c>
      <c r="H66" s="30">
        <f t="shared" ref="H66:H71" si="20">E66*14</f>
        <v>158.4576</v>
      </c>
      <c r="I66" s="30">
        <f t="shared" ref="I66:I71" si="21">F66*2</f>
        <v>271.6416</v>
      </c>
      <c r="J66" s="30">
        <f t="shared" ref="J66:J71" si="22">G66*2</f>
        <v>301.748544</v>
      </c>
      <c r="K66" s="28">
        <f t="shared" ref="K66:K71" si="23">H66*2</f>
        <v>316.9152</v>
      </c>
      <c r="L66" s="25"/>
      <c r="O66" s="26"/>
    </row>
    <row r="67" spans="1:15">
      <c r="A67" s="28" t="s">
        <v>23</v>
      </c>
      <c r="B67" s="28">
        <v>0.6</v>
      </c>
      <c r="C67" s="28" t="s">
        <v>41</v>
      </c>
      <c r="D67" s="32" t="s">
        <v>29</v>
      </c>
      <c r="E67" s="28">
        <v>24.0084</v>
      </c>
      <c r="F67" s="30">
        <f t="shared" si="18"/>
        <v>288.1008</v>
      </c>
      <c r="G67" s="31">
        <f t="shared" si="19"/>
        <v>320.031972</v>
      </c>
      <c r="H67" s="30">
        <f t="shared" si="20"/>
        <v>336.1176</v>
      </c>
      <c r="I67" s="30">
        <f t="shared" si="21"/>
        <v>576.2016</v>
      </c>
      <c r="J67" s="30">
        <f t="shared" si="22"/>
        <v>640.063944</v>
      </c>
      <c r="K67" s="28">
        <f t="shared" si="23"/>
        <v>672.2352</v>
      </c>
      <c r="L67" s="25"/>
      <c r="O67" s="26"/>
    </row>
    <row r="68" spans="1:15">
      <c r="A68" s="28" t="s">
        <v>23</v>
      </c>
      <c r="B68" s="28">
        <v>0.6</v>
      </c>
      <c r="C68" s="28" t="s">
        <v>41</v>
      </c>
      <c r="D68" s="32" t="s">
        <v>33</v>
      </c>
      <c r="E68" s="28">
        <v>34.83</v>
      </c>
      <c r="F68" s="30">
        <f t="shared" si="18"/>
        <v>417.96</v>
      </c>
      <c r="G68" s="31">
        <f t="shared" si="19"/>
        <v>464.2839</v>
      </c>
      <c r="H68" s="30">
        <f t="shared" si="20"/>
        <v>487.62</v>
      </c>
      <c r="I68" s="30">
        <f t="shared" si="21"/>
        <v>835.92</v>
      </c>
      <c r="J68" s="30">
        <f t="shared" si="22"/>
        <v>928.5678</v>
      </c>
      <c r="K68" s="28">
        <f t="shared" si="23"/>
        <v>975.24</v>
      </c>
      <c r="L68" s="25"/>
      <c r="O68" s="26"/>
    </row>
    <row r="69" spans="1:15">
      <c r="A69" s="28" t="s">
        <v>23</v>
      </c>
      <c r="B69" s="28">
        <v>0.6</v>
      </c>
      <c r="C69" s="28" t="s">
        <v>41</v>
      </c>
      <c r="D69" s="32" t="s">
        <v>40</v>
      </c>
      <c r="E69" s="28">
        <v>46.9368</v>
      </c>
      <c r="F69" s="30">
        <f t="shared" si="18"/>
        <v>563.2416</v>
      </c>
      <c r="G69" s="31">
        <f t="shared" si="19"/>
        <v>625.667544</v>
      </c>
      <c r="H69" s="30">
        <f t="shared" si="20"/>
        <v>657.1152</v>
      </c>
      <c r="I69" s="30">
        <f t="shared" si="21"/>
        <v>1126.4832</v>
      </c>
      <c r="J69" s="30">
        <f t="shared" si="22"/>
        <v>1251.335088</v>
      </c>
      <c r="K69" s="28">
        <f t="shared" si="23"/>
        <v>1314.2304</v>
      </c>
      <c r="L69" s="25"/>
      <c r="O69" s="26"/>
    </row>
    <row r="70" spans="1:15">
      <c r="A70" s="28" t="s">
        <v>23</v>
      </c>
      <c r="B70" s="28">
        <v>0.65</v>
      </c>
      <c r="C70" s="28" t="s">
        <v>43</v>
      </c>
      <c r="D70" s="29" t="s">
        <v>44</v>
      </c>
      <c r="E70" s="28">
        <v>10.9188</v>
      </c>
      <c r="F70" s="30">
        <f t="shared" si="18"/>
        <v>131.0256</v>
      </c>
      <c r="G70" s="31">
        <f t="shared" si="19"/>
        <v>145.547604</v>
      </c>
      <c r="H70" s="30">
        <f t="shared" si="20"/>
        <v>152.8632</v>
      </c>
      <c r="I70" s="30">
        <f t="shared" si="21"/>
        <v>262.0512</v>
      </c>
      <c r="J70" s="30">
        <f t="shared" si="22"/>
        <v>291.095208</v>
      </c>
      <c r="K70" s="28">
        <f t="shared" si="23"/>
        <v>305.7264</v>
      </c>
      <c r="L70" s="25"/>
      <c r="O70" s="26"/>
    </row>
    <row r="71" spans="1:15">
      <c r="A71" s="28" t="s">
        <v>23</v>
      </c>
      <c r="B71" s="28">
        <v>0.66</v>
      </c>
      <c r="C71" s="28" t="s">
        <v>43</v>
      </c>
      <c r="D71" s="29" t="s">
        <v>45</v>
      </c>
      <c r="E71" s="28">
        <v>11.66616</v>
      </c>
      <c r="F71" s="30">
        <f t="shared" si="18"/>
        <v>139.99392</v>
      </c>
      <c r="G71" s="31">
        <f t="shared" si="19"/>
        <v>155.5099128</v>
      </c>
      <c r="H71" s="30">
        <f t="shared" si="20"/>
        <v>163.32624</v>
      </c>
      <c r="I71" s="30">
        <f t="shared" si="21"/>
        <v>279.98784</v>
      </c>
      <c r="J71" s="30">
        <f t="shared" si="22"/>
        <v>311.0198256</v>
      </c>
      <c r="K71" s="28">
        <f t="shared" si="23"/>
        <v>326.65248</v>
      </c>
      <c r="L71" s="25"/>
      <c r="O71" s="26"/>
    </row>
    <row r="72" spans="1:15">
      <c r="A72" s="28" t="s">
        <v>23</v>
      </c>
      <c r="B72" s="28">
        <v>0.66</v>
      </c>
      <c r="C72" s="28" t="s">
        <v>43</v>
      </c>
      <c r="D72" s="29" t="s">
        <v>25</v>
      </c>
      <c r="E72" s="28">
        <v>11.9988</v>
      </c>
      <c r="F72" s="30">
        <f t="shared" ref="F72:F90" si="24">E72*12</f>
        <v>143.9856</v>
      </c>
      <c r="G72" s="31">
        <f t="shared" ref="G72:G90" si="25">E72*13.33</f>
        <v>159.944004</v>
      </c>
      <c r="H72" s="30">
        <f t="shared" ref="H72:H90" si="26">E72*14</f>
        <v>167.9832</v>
      </c>
      <c r="I72" s="30">
        <f t="shared" ref="I72:I90" si="27">F72*2</f>
        <v>287.9712</v>
      </c>
      <c r="J72" s="30">
        <f t="shared" ref="J72:J90" si="28">G72*2</f>
        <v>319.888008</v>
      </c>
      <c r="K72" s="28">
        <f t="shared" ref="K72:K90" si="29">H72*2</f>
        <v>335.9664</v>
      </c>
      <c r="L72" s="25"/>
      <c r="O72" s="26"/>
    </row>
    <row r="73" spans="1:15">
      <c r="A73" s="28" t="s">
        <v>23</v>
      </c>
      <c r="B73" s="28">
        <v>0.71</v>
      </c>
      <c r="C73" s="28" t="s">
        <v>43</v>
      </c>
      <c r="D73" s="29" t="s">
        <v>25</v>
      </c>
      <c r="E73" s="28">
        <v>11.4048</v>
      </c>
      <c r="F73" s="30">
        <f t="shared" si="24"/>
        <v>136.8576</v>
      </c>
      <c r="G73" s="31">
        <f t="shared" si="25"/>
        <v>152.025984</v>
      </c>
      <c r="H73" s="30">
        <f t="shared" si="26"/>
        <v>159.6672</v>
      </c>
      <c r="I73" s="30">
        <f t="shared" si="27"/>
        <v>273.7152</v>
      </c>
      <c r="J73" s="30">
        <f t="shared" si="28"/>
        <v>304.051968</v>
      </c>
      <c r="K73" s="28">
        <f t="shared" si="29"/>
        <v>319.3344</v>
      </c>
      <c r="L73" s="25"/>
      <c r="O73" s="26"/>
    </row>
    <row r="74" spans="1:15">
      <c r="A74" s="28" t="s">
        <v>23</v>
      </c>
      <c r="B74" s="28">
        <v>0.71</v>
      </c>
      <c r="C74" s="28" t="s">
        <v>43</v>
      </c>
      <c r="D74" s="32" t="s">
        <v>26</v>
      </c>
      <c r="E74" s="28">
        <v>15.6492</v>
      </c>
      <c r="F74" s="30">
        <f t="shared" si="24"/>
        <v>187.7904</v>
      </c>
      <c r="G74" s="31">
        <f t="shared" si="25"/>
        <v>208.603836</v>
      </c>
      <c r="H74" s="30">
        <f t="shared" si="26"/>
        <v>219.0888</v>
      </c>
      <c r="I74" s="30">
        <f t="shared" si="27"/>
        <v>375.5808</v>
      </c>
      <c r="J74" s="30">
        <f t="shared" si="28"/>
        <v>417.207672</v>
      </c>
      <c r="K74" s="28">
        <f t="shared" si="29"/>
        <v>438.1776</v>
      </c>
      <c r="L74" s="25"/>
      <c r="O74" s="26"/>
    </row>
    <row r="75" spans="1:15">
      <c r="A75" s="28" t="s">
        <v>23</v>
      </c>
      <c r="B75" s="28">
        <v>0.71</v>
      </c>
      <c r="C75" s="28" t="s">
        <v>43</v>
      </c>
      <c r="D75" s="32" t="s">
        <v>29</v>
      </c>
      <c r="E75" s="28">
        <v>25.2288</v>
      </c>
      <c r="F75" s="30">
        <f t="shared" si="24"/>
        <v>302.7456</v>
      </c>
      <c r="G75" s="31">
        <f t="shared" si="25"/>
        <v>336.299904</v>
      </c>
      <c r="H75" s="30">
        <f t="shared" si="26"/>
        <v>353.2032</v>
      </c>
      <c r="I75" s="30">
        <f t="shared" si="27"/>
        <v>605.4912</v>
      </c>
      <c r="J75" s="30">
        <f t="shared" si="28"/>
        <v>672.599808</v>
      </c>
      <c r="K75" s="28">
        <f t="shared" si="29"/>
        <v>706.4064</v>
      </c>
      <c r="L75" s="25"/>
      <c r="O75" s="26"/>
    </row>
    <row r="76" spans="1:15">
      <c r="A76" s="28" t="s">
        <v>23</v>
      </c>
      <c r="B76" s="28">
        <v>0.71</v>
      </c>
      <c r="C76" s="28" t="s">
        <v>43</v>
      </c>
      <c r="D76" s="32" t="s">
        <v>33</v>
      </c>
      <c r="E76" s="28">
        <v>37.0764</v>
      </c>
      <c r="F76" s="30">
        <f t="shared" si="24"/>
        <v>444.9168</v>
      </c>
      <c r="G76" s="31">
        <f t="shared" si="25"/>
        <v>494.228412</v>
      </c>
      <c r="H76" s="30">
        <f t="shared" si="26"/>
        <v>519.0696</v>
      </c>
      <c r="I76" s="30">
        <f t="shared" si="27"/>
        <v>889.8336</v>
      </c>
      <c r="J76" s="30">
        <f t="shared" si="28"/>
        <v>988.456824</v>
      </c>
      <c r="K76" s="28">
        <f t="shared" si="29"/>
        <v>1038.1392</v>
      </c>
      <c r="L76" s="25"/>
      <c r="O76" s="26"/>
    </row>
    <row r="77" spans="1:15">
      <c r="A77" s="28" t="s">
        <v>23</v>
      </c>
      <c r="B77" s="28">
        <v>0.7</v>
      </c>
      <c r="C77" s="28" t="s">
        <v>43</v>
      </c>
      <c r="D77" s="32" t="s">
        <v>40</v>
      </c>
      <c r="E77" s="28">
        <v>49.0428</v>
      </c>
      <c r="F77" s="30">
        <f t="shared" si="24"/>
        <v>588.5136</v>
      </c>
      <c r="G77" s="31">
        <f t="shared" si="25"/>
        <v>653.740524</v>
      </c>
      <c r="H77" s="30">
        <f t="shared" si="26"/>
        <v>686.5992</v>
      </c>
      <c r="I77" s="30">
        <f t="shared" si="27"/>
        <v>1177.0272</v>
      </c>
      <c r="J77" s="30">
        <f t="shared" si="28"/>
        <v>1307.481048</v>
      </c>
      <c r="K77" s="28">
        <f t="shared" si="29"/>
        <v>1373.1984</v>
      </c>
      <c r="L77" s="25"/>
      <c r="O77" s="26"/>
    </row>
    <row r="78" spans="1:15">
      <c r="A78" s="28" t="s">
        <v>23</v>
      </c>
      <c r="B78" s="28">
        <v>0.71</v>
      </c>
      <c r="C78" s="28" t="s">
        <v>43</v>
      </c>
      <c r="D78" s="32" t="s">
        <v>40</v>
      </c>
      <c r="E78" s="28">
        <v>49.0536</v>
      </c>
      <c r="F78" s="30">
        <f t="shared" si="24"/>
        <v>588.6432</v>
      </c>
      <c r="G78" s="31">
        <f t="shared" si="25"/>
        <v>653.884488</v>
      </c>
      <c r="H78" s="30">
        <f t="shared" si="26"/>
        <v>686.7504</v>
      </c>
      <c r="I78" s="30">
        <f t="shared" si="27"/>
        <v>1177.2864</v>
      </c>
      <c r="J78" s="30">
        <f t="shared" si="28"/>
        <v>1307.768976</v>
      </c>
      <c r="K78" s="28">
        <f t="shared" si="29"/>
        <v>1373.5008</v>
      </c>
      <c r="L78" s="25"/>
      <c r="O78" s="26"/>
    </row>
    <row r="79" spans="1:15">
      <c r="A79" s="28" t="s">
        <v>23</v>
      </c>
      <c r="B79" s="28">
        <v>0.8</v>
      </c>
      <c r="C79" s="28" t="s">
        <v>43</v>
      </c>
      <c r="D79" s="29" t="s">
        <v>25</v>
      </c>
      <c r="E79" s="28">
        <v>11.5236</v>
      </c>
      <c r="F79" s="30">
        <f t="shared" si="24"/>
        <v>138.2832</v>
      </c>
      <c r="G79" s="31">
        <f t="shared" si="25"/>
        <v>153.609588</v>
      </c>
      <c r="H79" s="30">
        <f t="shared" si="26"/>
        <v>161.3304</v>
      </c>
      <c r="I79" s="30">
        <f t="shared" si="27"/>
        <v>276.5664</v>
      </c>
      <c r="J79" s="30">
        <f t="shared" si="28"/>
        <v>307.219176</v>
      </c>
      <c r="K79" s="28">
        <f t="shared" si="29"/>
        <v>322.6608</v>
      </c>
      <c r="L79" s="25"/>
      <c r="O79" s="26"/>
    </row>
    <row r="80" spans="1:15">
      <c r="A80" s="28" t="s">
        <v>23</v>
      </c>
      <c r="B80" s="28">
        <v>0.8</v>
      </c>
      <c r="C80" s="28" t="s">
        <v>43</v>
      </c>
      <c r="D80" s="32" t="s">
        <v>26</v>
      </c>
      <c r="E80" s="28">
        <v>15.3252</v>
      </c>
      <c r="F80" s="30">
        <f t="shared" si="24"/>
        <v>183.9024</v>
      </c>
      <c r="G80" s="31">
        <f t="shared" si="25"/>
        <v>204.284916</v>
      </c>
      <c r="H80" s="30">
        <f t="shared" si="26"/>
        <v>214.5528</v>
      </c>
      <c r="I80" s="30">
        <f t="shared" si="27"/>
        <v>367.8048</v>
      </c>
      <c r="J80" s="30">
        <f t="shared" si="28"/>
        <v>408.569832</v>
      </c>
      <c r="K80" s="28">
        <f t="shared" si="29"/>
        <v>429.1056</v>
      </c>
      <c r="L80" s="25"/>
      <c r="O80" s="26"/>
    </row>
    <row r="81" spans="1:15">
      <c r="A81" s="28" t="s">
        <v>23</v>
      </c>
      <c r="B81" s="28">
        <v>0.8</v>
      </c>
      <c r="C81" s="28" t="s">
        <v>43</v>
      </c>
      <c r="D81" s="32" t="s">
        <v>29</v>
      </c>
      <c r="E81" s="28">
        <v>25.3044</v>
      </c>
      <c r="F81" s="30">
        <f t="shared" si="24"/>
        <v>303.6528</v>
      </c>
      <c r="G81" s="31">
        <f t="shared" si="25"/>
        <v>337.307652</v>
      </c>
      <c r="H81" s="30">
        <f t="shared" si="26"/>
        <v>354.2616</v>
      </c>
      <c r="I81" s="30">
        <f t="shared" si="27"/>
        <v>607.3056</v>
      </c>
      <c r="J81" s="30">
        <f t="shared" si="28"/>
        <v>674.615304</v>
      </c>
      <c r="K81" s="28">
        <f t="shared" si="29"/>
        <v>708.5232</v>
      </c>
      <c r="L81" s="25"/>
      <c r="O81" s="26"/>
    </row>
    <row r="82" spans="1:15">
      <c r="A82" s="28" t="s">
        <v>23</v>
      </c>
      <c r="B82" s="28">
        <v>0.8</v>
      </c>
      <c r="C82" s="28" t="s">
        <v>41</v>
      </c>
      <c r="D82" s="32" t="s">
        <v>33</v>
      </c>
      <c r="E82" s="28">
        <v>38.7828</v>
      </c>
      <c r="F82" s="30">
        <f t="shared" si="24"/>
        <v>465.3936</v>
      </c>
      <c r="G82" s="31">
        <f t="shared" si="25"/>
        <v>516.974724</v>
      </c>
      <c r="H82" s="30">
        <f t="shared" si="26"/>
        <v>542.9592</v>
      </c>
      <c r="I82" s="30">
        <f t="shared" si="27"/>
        <v>930.7872</v>
      </c>
      <c r="J82" s="30">
        <f t="shared" si="28"/>
        <v>1033.949448</v>
      </c>
      <c r="K82" s="28">
        <f t="shared" si="29"/>
        <v>1085.9184</v>
      </c>
      <c r="L82" s="25"/>
      <c r="O82" s="26"/>
    </row>
    <row r="83" spans="1:15">
      <c r="A83" s="28" t="s">
        <v>23</v>
      </c>
      <c r="B83" s="28">
        <v>0.9</v>
      </c>
      <c r="C83" s="28" t="s">
        <v>46</v>
      </c>
      <c r="D83" s="29" t="s">
        <v>25</v>
      </c>
      <c r="E83" s="28">
        <v>12.2472</v>
      </c>
      <c r="F83" s="30">
        <f t="shared" si="24"/>
        <v>146.9664</v>
      </c>
      <c r="G83" s="31">
        <f t="shared" si="25"/>
        <v>163.255176</v>
      </c>
      <c r="H83" s="30">
        <f t="shared" si="26"/>
        <v>171.4608</v>
      </c>
      <c r="I83" s="30">
        <f t="shared" si="27"/>
        <v>293.9328</v>
      </c>
      <c r="J83" s="30">
        <f t="shared" si="28"/>
        <v>326.510352</v>
      </c>
      <c r="K83" s="28">
        <f t="shared" si="29"/>
        <v>342.9216</v>
      </c>
      <c r="L83" s="25"/>
      <c r="O83" s="26"/>
    </row>
    <row r="84" spans="1:15">
      <c r="A84" s="28" t="s">
        <v>23</v>
      </c>
      <c r="B84" s="28">
        <v>0.9</v>
      </c>
      <c r="C84" s="28" t="s">
        <v>46</v>
      </c>
      <c r="D84" s="29" t="s">
        <v>45</v>
      </c>
      <c r="E84" s="28">
        <v>11.70612</v>
      </c>
      <c r="F84" s="30">
        <f t="shared" si="24"/>
        <v>140.47344</v>
      </c>
      <c r="G84" s="31">
        <f t="shared" si="25"/>
        <v>156.0425796</v>
      </c>
      <c r="H84" s="30">
        <f t="shared" si="26"/>
        <v>163.88568</v>
      </c>
      <c r="I84" s="30">
        <f t="shared" si="27"/>
        <v>280.94688</v>
      </c>
      <c r="J84" s="30">
        <f t="shared" si="28"/>
        <v>312.0851592</v>
      </c>
      <c r="K84" s="28">
        <f t="shared" si="29"/>
        <v>327.77136</v>
      </c>
      <c r="L84" s="25"/>
      <c r="O84" s="26"/>
    </row>
    <row r="85" spans="1:15">
      <c r="A85" s="28" t="s">
        <v>23</v>
      </c>
      <c r="B85" s="28">
        <v>0.9</v>
      </c>
      <c r="C85" s="28" t="s">
        <v>43</v>
      </c>
      <c r="D85" s="32" t="s">
        <v>29</v>
      </c>
      <c r="E85" s="28">
        <v>26.4168</v>
      </c>
      <c r="F85" s="30">
        <f t="shared" si="24"/>
        <v>317.0016</v>
      </c>
      <c r="G85" s="31">
        <f t="shared" si="25"/>
        <v>352.135944</v>
      </c>
      <c r="H85" s="30">
        <f t="shared" si="26"/>
        <v>369.8352</v>
      </c>
      <c r="I85" s="30">
        <f t="shared" si="27"/>
        <v>634.0032</v>
      </c>
      <c r="J85" s="30">
        <f t="shared" si="28"/>
        <v>704.271888</v>
      </c>
      <c r="K85" s="28">
        <f t="shared" si="29"/>
        <v>739.6704</v>
      </c>
      <c r="L85" s="25"/>
      <c r="O85" s="26"/>
    </row>
    <row r="86" spans="1:15">
      <c r="A86" s="28" t="s">
        <v>23</v>
      </c>
      <c r="B86" s="28">
        <v>0.9</v>
      </c>
      <c r="C86" s="28" t="s">
        <v>43</v>
      </c>
      <c r="D86" s="32" t="s">
        <v>33</v>
      </c>
      <c r="E86" s="28">
        <v>37.4328</v>
      </c>
      <c r="F86" s="30">
        <f t="shared" si="24"/>
        <v>449.1936</v>
      </c>
      <c r="G86" s="31">
        <f t="shared" si="25"/>
        <v>498.979224</v>
      </c>
      <c r="H86" s="30">
        <f t="shared" si="26"/>
        <v>524.0592</v>
      </c>
      <c r="I86" s="30">
        <f t="shared" si="27"/>
        <v>898.3872</v>
      </c>
      <c r="J86" s="30">
        <f t="shared" si="28"/>
        <v>997.958448</v>
      </c>
      <c r="K86" s="28">
        <f t="shared" si="29"/>
        <v>1048.1184</v>
      </c>
      <c r="L86" s="25"/>
      <c r="O86" s="26"/>
    </row>
    <row r="87" spans="1:15">
      <c r="A87" s="28" t="s">
        <v>23</v>
      </c>
      <c r="B87" s="28">
        <v>0.9</v>
      </c>
      <c r="C87" s="28" t="s">
        <v>46</v>
      </c>
      <c r="D87" s="32" t="s">
        <v>26</v>
      </c>
      <c r="E87" s="28">
        <v>16.6752</v>
      </c>
      <c r="F87" s="30">
        <f t="shared" si="24"/>
        <v>200.1024</v>
      </c>
      <c r="G87" s="31">
        <f t="shared" si="25"/>
        <v>222.280416</v>
      </c>
      <c r="H87" s="30">
        <f t="shared" si="26"/>
        <v>233.4528</v>
      </c>
      <c r="I87" s="30">
        <f t="shared" si="27"/>
        <v>400.2048</v>
      </c>
      <c r="J87" s="30">
        <f t="shared" si="28"/>
        <v>444.560832</v>
      </c>
      <c r="K87" s="28">
        <f t="shared" si="29"/>
        <v>466.9056</v>
      </c>
      <c r="L87" s="25"/>
      <c r="O87" s="26"/>
    </row>
    <row r="88" spans="1:15">
      <c r="A88" s="28" t="s">
        <v>23</v>
      </c>
      <c r="B88" s="28">
        <v>0.95</v>
      </c>
      <c r="C88" s="28" t="s">
        <v>47</v>
      </c>
      <c r="D88" s="29" t="s">
        <v>25</v>
      </c>
      <c r="E88" s="28">
        <v>12.744</v>
      </c>
      <c r="F88" s="30">
        <f t="shared" si="24"/>
        <v>152.928</v>
      </c>
      <c r="G88" s="31">
        <f t="shared" si="25"/>
        <v>169.87752</v>
      </c>
      <c r="H88" s="30">
        <f t="shared" si="26"/>
        <v>178.416</v>
      </c>
      <c r="I88" s="30">
        <f t="shared" si="27"/>
        <v>305.856</v>
      </c>
      <c r="J88" s="30">
        <f t="shared" si="28"/>
        <v>339.75504</v>
      </c>
      <c r="K88" s="28">
        <f t="shared" si="29"/>
        <v>356.832</v>
      </c>
      <c r="L88" s="25"/>
      <c r="O88" s="26"/>
    </row>
    <row r="89" spans="1:15">
      <c r="A89" s="28" t="s">
        <v>23</v>
      </c>
      <c r="B89" s="28">
        <v>1</v>
      </c>
      <c r="C89" s="28" t="s">
        <v>47</v>
      </c>
      <c r="D89" s="29" t="s">
        <v>25</v>
      </c>
      <c r="E89" s="28">
        <v>12.636</v>
      </c>
      <c r="F89" s="30">
        <f t="shared" si="24"/>
        <v>151.632</v>
      </c>
      <c r="G89" s="31">
        <f t="shared" si="25"/>
        <v>168.43788</v>
      </c>
      <c r="H89" s="30">
        <f t="shared" si="26"/>
        <v>176.904</v>
      </c>
      <c r="I89" s="30">
        <f t="shared" si="27"/>
        <v>303.264</v>
      </c>
      <c r="J89" s="30">
        <f t="shared" si="28"/>
        <v>336.87576</v>
      </c>
      <c r="K89" s="28">
        <f t="shared" si="29"/>
        <v>353.808</v>
      </c>
      <c r="L89" s="25"/>
      <c r="O89" s="26"/>
    </row>
    <row r="90" spans="1:15">
      <c r="A90" s="28" t="s">
        <v>23</v>
      </c>
      <c r="B90" s="28">
        <v>1</v>
      </c>
      <c r="C90" s="28" t="s">
        <v>47</v>
      </c>
      <c r="D90" s="32" t="s">
        <v>26</v>
      </c>
      <c r="E90" s="28">
        <v>16.6644</v>
      </c>
      <c r="F90" s="30">
        <f t="shared" si="24"/>
        <v>199.9728</v>
      </c>
      <c r="G90" s="31">
        <f t="shared" si="25"/>
        <v>222.136452</v>
      </c>
      <c r="H90" s="30">
        <f t="shared" si="26"/>
        <v>233.3016</v>
      </c>
      <c r="I90" s="30">
        <f t="shared" si="27"/>
        <v>399.9456</v>
      </c>
      <c r="J90" s="30">
        <f t="shared" si="28"/>
        <v>444.272904</v>
      </c>
      <c r="K90" s="28">
        <f t="shared" si="29"/>
        <v>466.6032</v>
      </c>
      <c r="L90" s="25"/>
      <c r="O90" s="26"/>
    </row>
    <row r="91" spans="1:15">
      <c r="A91" s="28" t="s">
        <v>23</v>
      </c>
      <c r="B91" s="28">
        <v>1</v>
      </c>
      <c r="C91" s="28" t="s">
        <v>47</v>
      </c>
      <c r="D91" s="32" t="s">
        <v>29</v>
      </c>
      <c r="E91" s="28">
        <v>27.2916</v>
      </c>
      <c r="F91" s="30">
        <f>E91*12</f>
        <v>327.4992</v>
      </c>
      <c r="G91" s="31">
        <f>E91*13.33</f>
        <v>363.797028</v>
      </c>
      <c r="H91" s="30">
        <f>E91*14</f>
        <v>382.0824</v>
      </c>
      <c r="I91" s="30">
        <f>F91*2</f>
        <v>654.9984</v>
      </c>
      <c r="J91" s="30">
        <f>G91*2</f>
        <v>727.594056</v>
      </c>
      <c r="K91" s="28">
        <f>H91*2</f>
        <v>764.1648</v>
      </c>
      <c r="L91" s="25"/>
      <c r="O91" s="26"/>
    </row>
    <row r="92" spans="1:15">
      <c r="A92" s="28" t="s">
        <v>23</v>
      </c>
      <c r="B92" s="28">
        <v>1</v>
      </c>
      <c r="C92" s="28" t="s">
        <v>43</v>
      </c>
      <c r="D92" s="32" t="s">
        <v>33</v>
      </c>
      <c r="E92" s="28">
        <v>38.2968</v>
      </c>
      <c r="F92" s="30">
        <f>E92*12</f>
        <v>459.5616</v>
      </c>
      <c r="G92" s="31">
        <f>E92*13.33</f>
        <v>510.496344</v>
      </c>
      <c r="H92" s="30">
        <f>E92*14</f>
        <v>536.1552</v>
      </c>
      <c r="I92" s="30">
        <f>F92*2</f>
        <v>919.1232</v>
      </c>
      <c r="J92" s="30">
        <f>G92*2</f>
        <v>1020.992688</v>
      </c>
      <c r="K92" s="28">
        <f>H92*2</f>
        <v>1072.3104</v>
      </c>
      <c r="L92" s="25"/>
      <c r="O92" s="26"/>
    </row>
    <row r="93" spans="1:15">
      <c r="A93" s="28" t="s">
        <v>23</v>
      </c>
      <c r="B93" s="28">
        <v>1</v>
      </c>
      <c r="C93" s="28" t="s">
        <v>43</v>
      </c>
      <c r="D93" s="32" t="s">
        <v>40</v>
      </c>
      <c r="E93" s="28">
        <v>47.466</v>
      </c>
      <c r="F93" s="30">
        <f>E93*12</f>
        <v>569.592</v>
      </c>
      <c r="G93" s="31">
        <f>E93*13.33</f>
        <v>632.72178</v>
      </c>
      <c r="H93" s="30">
        <f>E93*14</f>
        <v>664.524</v>
      </c>
      <c r="I93" s="30">
        <f>F93*2</f>
        <v>1139.184</v>
      </c>
      <c r="J93" s="30">
        <f>G93*2</f>
        <v>1265.44356</v>
      </c>
      <c r="K93" s="28">
        <f>H93*2</f>
        <v>1329.048</v>
      </c>
      <c r="L93" s="25"/>
      <c r="O93" s="26"/>
    </row>
    <row r="94" spans="1:15">
      <c r="A94" s="28" t="s">
        <v>23</v>
      </c>
      <c r="B94" s="28">
        <v>1.05</v>
      </c>
      <c r="C94" s="28" t="s">
        <v>47</v>
      </c>
      <c r="D94" s="32" t="s">
        <v>26</v>
      </c>
      <c r="E94" s="28">
        <v>17.2152</v>
      </c>
      <c r="F94" s="30">
        <f>E94*12</f>
        <v>206.5824</v>
      </c>
      <c r="G94" s="31">
        <f>E94*13.33</f>
        <v>229.478616</v>
      </c>
      <c r="H94" s="30">
        <f>E94*14</f>
        <v>241.0128</v>
      </c>
      <c r="I94" s="30">
        <f>F94*2</f>
        <v>413.1648</v>
      </c>
      <c r="J94" s="30">
        <f>G94*2</f>
        <v>458.957232</v>
      </c>
      <c r="K94" s="28">
        <f>H94*2</f>
        <v>482.0256</v>
      </c>
      <c r="L94" s="25"/>
      <c r="O94" s="26"/>
    </row>
    <row r="95" spans="1:15">
      <c r="A95" s="28" t="s">
        <v>23</v>
      </c>
      <c r="B95" s="28">
        <v>1.1</v>
      </c>
      <c r="C95" s="28" t="s">
        <v>48</v>
      </c>
      <c r="D95" s="32" t="s">
        <v>25</v>
      </c>
      <c r="E95" s="28">
        <v>14.75388</v>
      </c>
      <c r="F95" s="30">
        <f>E95*12</f>
        <v>177.04656</v>
      </c>
      <c r="G95" s="31">
        <f>E95*13.33</f>
        <v>196.6692204</v>
      </c>
      <c r="H95" s="30">
        <f>E95*14</f>
        <v>206.55432</v>
      </c>
      <c r="I95" s="30">
        <f>F95*2</f>
        <v>354.09312</v>
      </c>
      <c r="J95" s="30">
        <f>G95*2</f>
        <v>393.3384408</v>
      </c>
      <c r="K95" s="28">
        <f>H95*2</f>
        <v>413.10864</v>
      </c>
      <c r="L95" s="25"/>
      <c r="O95" s="26"/>
    </row>
    <row r="96" spans="1:15">
      <c r="A96" s="28" t="s">
        <v>23</v>
      </c>
      <c r="B96" s="28">
        <v>1.1</v>
      </c>
      <c r="C96" s="28" t="s">
        <v>48</v>
      </c>
      <c r="D96" s="32" t="s">
        <v>45</v>
      </c>
      <c r="E96" s="28">
        <v>13.89744</v>
      </c>
      <c r="F96" s="30">
        <f>E96*12</f>
        <v>166.76928</v>
      </c>
      <c r="G96" s="31">
        <f>E96*13.33</f>
        <v>185.2528752</v>
      </c>
      <c r="H96" s="30">
        <f>E96*14</f>
        <v>194.56416</v>
      </c>
      <c r="I96" s="30">
        <f>F96*2</f>
        <v>333.53856</v>
      </c>
      <c r="J96" s="30">
        <f>G96*2</f>
        <v>370.5057504</v>
      </c>
      <c r="K96" s="28">
        <f>H96*2</f>
        <v>389.12832</v>
      </c>
      <c r="L96" s="25"/>
      <c r="O96" s="26"/>
    </row>
    <row r="97" spans="1:15">
      <c r="A97" s="28" t="s">
        <v>23</v>
      </c>
      <c r="B97" s="28">
        <v>1.1</v>
      </c>
      <c r="C97" s="28" t="s">
        <v>48</v>
      </c>
      <c r="D97" s="32" t="s">
        <v>26</v>
      </c>
      <c r="E97" s="28">
        <v>18.0576</v>
      </c>
      <c r="F97" s="30">
        <f>E97*12</f>
        <v>216.6912</v>
      </c>
      <c r="G97" s="31">
        <f>E97*13.33</f>
        <v>240.707808</v>
      </c>
      <c r="H97" s="30">
        <f>E97*14</f>
        <v>252.8064</v>
      </c>
      <c r="I97" s="30">
        <f>F97*2</f>
        <v>433.3824</v>
      </c>
      <c r="J97" s="30">
        <f>G97*2</f>
        <v>481.415616</v>
      </c>
      <c r="K97" s="28">
        <f>H97*2</f>
        <v>505.6128</v>
      </c>
      <c r="L97" s="25"/>
      <c r="O97" s="26"/>
    </row>
    <row r="98" spans="1:15">
      <c r="A98" s="28" t="s">
        <v>23</v>
      </c>
      <c r="B98" s="28">
        <v>1.1</v>
      </c>
      <c r="C98" s="28" t="s">
        <v>48</v>
      </c>
      <c r="D98" s="32" t="s">
        <v>39</v>
      </c>
      <c r="E98" s="28">
        <v>16.83612</v>
      </c>
      <c r="F98" s="30">
        <f>E98*12</f>
        <v>202.03344</v>
      </c>
      <c r="G98" s="31">
        <f>E98*13.33</f>
        <v>224.4254796</v>
      </c>
      <c r="H98" s="30">
        <f>E98*14</f>
        <v>235.70568</v>
      </c>
      <c r="I98" s="30">
        <f>F98*2</f>
        <v>404.06688</v>
      </c>
      <c r="J98" s="30">
        <f>G98*2</f>
        <v>448.8509592</v>
      </c>
      <c r="K98" s="28">
        <f>H98*2</f>
        <v>471.41136</v>
      </c>
      <c r="L98" s="25"/>
      <c r="O98" s="26"/>
    </row>
    <row r="99" spans="1:15">
      <c r="A99" s="28" t="s">
        <v>23</v>
      </c>
      <c r="B99" s="28">
        <v>1.1</v>
      </c>
      <c r="C99" s="28" t="s">
        <v>47</v>
      </c>
      <c r="D99" s="32" t="s">
        <v>33</v>
      </c>
      <c r="E99" s="28">
        <v>40.2084</v>
      </c>
      <c r="F99" s="30">
        <f t="shared" ref="F99:F102" si="30">E99*12</f>
        <v>482.5008</v>
      </c>
      <c r="G99" s="31">
        <f t="shared" ref="G99:G102" si="31">E99*13.33</f>
        <v>535.977972</v>
      </c>
      <c r="H99" s="30">
        <f t="shared" ref="H99:H102" si="32">E99*14</f>
        <v>562.9176</v>
      </c>
      <c r="I99" s="30">
        <f t="shared" ref="I99:I102" si="33">F99*2</f>
        <v>965.0016</v>
      </c>
      <c r="J99" s="30">
        <f t="shared" ref="J99:J102" si="34">G99*2</f>
        <v>1071.955944</v>
      </c>
      <c r="K99" s="28">
        <f t="shared" ref="K99:K102" si="35">H99*2</f>
        <v>1125.8352</v>
      </c>
      <c r="L99" s="25"/>
      <c r="O99" s="26"/>
    </row>
    <row r="100" spans="1:15">
      <c r="A100" s="28" t="s">
        <v>23</v>
      </c>
      <c r="B100" s="28">
        <v>1.1</v>
      </c>
      <c r="C100" s="28" t="s">
        <v>47</v>
      </c>
      <c r="D100" s="32" t="s">
        <v>29</v>
      </c>
      <c r="E100" s="28">
        <v>27.162</v>
      </c>
      <c r="F100" s="30">
        <f t="shared" si="30"/>
        <v>325.944</v>
      </c>
      <c r="G100" s="31">
        <f t="shared" si="31"/>
        <v>362.06946</v>
      </c>
      <c r="H100" s="30">
        <f t="shared" si="32"/>
        <v>380.268</v>
      </c>
      <c r="I100" s="30">
        <f t="shared" si="33"/>
        <v>651.888</v>
      </c>
      <c r="J100" s="30">
        <f t="shared" si="34"/>
        <v>724.13892</v>
      </c>
      <c r="K100" s="28">
        <f t="shared" si="35"/>
        <v>760.536</v>
      </c>
      <c r="L100" s="25"/>
      <c r="O100" s="26"/>
    </row>
    <row r="101" spans="1:15">
      <c r="A101" s="28" t="s">
        <v>23</v>
      </c>
      <c r="B101" s="28">
        <v>1.12</v>
      </c>
      <c r="C101" s="28" t="s">
        <v>47</v>
      </c>
      <c r="D101" s="32" t="s">
        <v>29</v>
      </c>
      <c r="E101" s="28">
        <v>25.3584</v>
      </c>
      <c r="F101" s="30">
        <f t="shared" si="30"/>
        <v>304.3008</v>
      </c>
      <c r="G101" s="31">
        <f t="shared" si="31"/>
        <v>338.027472</v>
      </c>
      <c r="H101" s="30">
        <f t="shared" si="32"/>
        <v>355.0176</v>
      </c>
      <c r="I101" s="30">
        <f t="shared" si="33"/>
        <v>608.6016</v>
      </c>
      <c r="J101" s="30">
        <f t="shared" si="34"/>
        <v>676.054944</v>
      </c>
      <c r="K101" s="28">
        <f t="shared" si="35"/>
        <v>710.0352</v>
      </c>
      <c r="L101" s="25"/>
      <c r="O101" s="26"/>
    </row>
    <row r="102" spans="1:15">
      <c r="A102" s="28" t="s">
        <v>23</v>
      </c>
      <c r="B102" s="28">
        <v>1.2</v>
      </c>
      <c r="C102" s="28" t="s">
        <v>48</v>
      </c>
      <c r="D102" s="29" t="s">
        <v>39</v>
      </c>
      <c r="E102" s="28">
        <v>16.38792</v>
      </c>
      <c r="F102" s="30">
        <f t="shared" si="30"/>
        <v>196.65504</v>
      </c>
      <c r="G102" s="31">
        <f t="shared" si="31"/>
        <v>218.4509736</v>
      </c>
      <c r="H102" s="30">
        <f t="shared" si="32"/>
        <v>229.43088</v>
      </c>
      <c r="I102" s="30">
        <f t="shared" si="33"/>
        <v>393.31008</v>
      </c>
      <c r="J102" s="30">
        <f t="shared" si="34"/>
        <v>436.9019472</v>
      </c>
      <c r="K102" s="28">
        <f t="shared" si="35"/>
        <v>458.86176</v>
      </c>
      <c r="L102" s="25"/>
      <c r="O102" s="26"/>
    </row>
    <row r="103" spans="1:15">
      <c r="A103" s="28" t="s">
        <v>23</v>
      </c>
      <c r="B103" s="28">
        <v>1.2</v>
      </c>
      <c r="C103" s="28" t="s">
        <v>48</v>
      </c>
      <c r="D103" s="29" t="s">
        <v>25</v>
      </c>
      <c r="E103" s="28">
        <v>14.04</v>
      </c>
      <c r="F103" s="30">
        <f t="shared" ref="F103:F118" si="36">E103*12</f>
        <v>168.48</v>
      </c>
      <c r="G103" s="31">
        <f t="shared" ref="G103:G118" si="37">E103*13.33</f>
        <v>187.1532</v>
      </c>
      <c r="H103" s="30">
        <f t="shared" ref="H103:H118" si="38">E103*14</f>
        <v>196.56</v>
      </c>
      <c r="I103" s="30">
        <f t="shared" ref="I103:I118" si="39">F103*2</f>
        <v>336.96</v>
      </c>
      <c r="J103" s="30">
        <f t="shared" ref="J103:J118" si="40">G103*2</f>
        <v>374.3064</v>
      </c>
      <c r="K103" s="28">
        <f t="shared" ref="K103:K118" si="41">H103*2</f>
        <v>393.12</v>
      </c>
      <c r="L103" s="25"/>
      <c r="O103" s="26"/>
    </row>
    <row r="104" spans="1:15">
      <c r="A104" s="28" t="s">
        <v>23</v>
      </c>
      <c r="B104" s="28">
        <v>1.2</v>
      </c>
      <c r="C104" s="28" t="s">
        <v>48</v>
      </c>
      <c r="D104" s="32" t="s">
        <v>26</v>
      </c>
      <c r="E104" s="28">
        <v>17.6688</v>
      </c>
      <c r="F104" s="30">
        <f t="shared" si="36"/>
        <v>212.0256</v>
      </c>
      <c r="G104" s="31">
        <f t="shared" si="37"/>
        <v>235.525104</v>
      </c>
      <c r="H104" s="30">
        <f t="shared" si="38"/>
        <v>247.3632</v>
      </c>
      <c r="I104" s="30">
        <f t="shared" si="39"/>
        <v>424.0512</v>
      </c>
      <c r="J104" s="30">
        <f t="shared" si="40"/>
        <v>471.050208</v>
      </c>
      <c r="K104" s="28">
        <f t="shared" si="41"/>
        <v>494.7264</v>
      </c>
      <c r="L104" s="25"/>
      <c r="O104" s="26"/>
    </row>
    <row r="105" spans="1:15">
      <c r="A105" s="28" t="s">
        <v>23</v>
      </c>
      <c r="B105" s="28">
        <v>1.2</v>
      </c>
      <c r="C105" s="28" t="s">
        <v>47</v>
      </c>
      <c r="D105" s="32" t="s">
        <v>33</v>
      </c>
      <c r="E105" s="28">
        <v>40.9428</v>
      </c>
      <c r="F105" s="30">
        <f t="shared" si="36"/>
        <v>491.3136</v>
      </c>
      <c r="G105" s="31">
        <f t="shared" si="37"/>
        <v>545.767524</v>
      </c>
      <c r="H105" s="30">
        <f t="shared" si="38"/>
        <v>573.1992</v>
      </c>
      <c r="I105" s="30">
        <f t="shared" si="39"/>
        <v>982.6272</v>
      </c>
      <c r="J105" s="30">
        <f t="shared" si="40"/>
        <v>1091.535048</v>
      </c>
      <c r="K105" s="28">
        <f t="shared" si="41"/>
        <v>1146.3984</v>
      </c>
      <c r="L105" s="25"/>
      <c r="O105" s="26"/>
    </row>
    <row r="106" spans="1:15">
      <c r="A106" s="28" t="s">
        <v>23</v>
      </c>
      <c r="B106" s="28">
        <v>1.2</v>
      </c>
      <c r="C106" s="28" t="s">
        <v>47</v>
      </c>
      <c r="D106" s="32" t="s">
        <v>40</v>
      </c>
      <c r="E106" s="28">
        <v>51.2784</v>
      </c>
      <c r="F106" s="30">
        <f t="shared" si="36"/>
        <v>615.3408</v>
      </c>
      <c r="G106" s="31">
        <f t="shared" si="37"/>
        <v>683.541072</v>
      </c>
      <c r="H106" s="30">
        <f t="shared" si="38"/>
        <v>717.8976</v>
      </c>
      <c r="I106" s="30">
        <f t="shared" si="39"/>
        <v>1230.6816</v>
      </c>
      <c r="J106" s="30">
        <f t="shared" si="40"/>
        <v>1367.082144</v>
      </c>
      <c r="K106" s="28">
        <f t="shared" si="41"/>
        <v>1435.7952</v>
      </c>
      <c r="L106" s="25"/>
      <c r="O106" s="26"/>
    </row>
    <row r="107" spans="1:15">
      <c r="A107" s="28" t="s">
        <v>23</v>
      </c>
      <c r="B107" s="28">
        <v>1.2</v>
      </c>
      <c r="C107" s="28" t="s">
        <v>48</v>
      </c>
      <c r="D107" s="32" t="s">
        <v>29</v>
      </c>
      <c r="E107" s="28">
        <v>29.0952</v>
      </c>
      <c r="F107" s="30">
        <f t="shared" si="36"/>
        <v>349.1424</v>
      </c>
      <c r="G107" s="31">
        <f t="shared" si="37"/>
        <v>387.839016</v>
      </c>
      <c r="H107" s="30">
        <f t="shared" si="38"/>
        <v>407.3328</v>
      </c>
      <c r="I107" s="30">
        <f t="shared" si="39"/>
        <v>698.2848</v>
      </c>
      <c r="J107" s="30">
        <f t="shared" si="40"/>
        <v>775.678032</v>
      </c>
      <c r="K107" s="28">
        <f t="shared" si="41"/>
        <v>814.6656</v>
      </c>
      <c r="L107" s="25"/>
      <c r="O107" s="26"/>
    </row>
    <row r="108" spans="1:15">
      <c r="A108" s="28" t="s">
        <v>23</v>
      </c>
      <c r="B108" s="28">
        <v>1.25</v>
      </c>
      <c r="C108" s="28" t="s">
        <v>49</v>
      </c>
      <c r="D108" s="29" t="s">
        <v>25</v>
      </c>
      <c r="E108" s="28">
        <v>15.2064</v>
      </c>
      <c r="F108" s="30">
        <f t="shared" si="36"/>
        <v>182.4768</v>
      </c>
      <c r="G108" s="31">
        <f t="shared" si="37"/>
        <v>202.701312</v>
      </c>
      <c r="H108" s="30">
        <f t="shared" si="38"/>
        <v>212.8896</v>
      </c>
      <c r="I108" s="30">
        <f t="shared" si="39"/>
        <v>364.9536</v>
      </c>
      <c r="J108" s="30">
        <f t="shared" si="40"/>
        <v>405.402624</v>
      </c>
      <c r="K108" s="28">
        <f t="shared" si="41"/>
        <v>425.7792</v>
      </c>
      <c r="L108" s="25"/>
      <c r="O108" s="26"/>
    </row>
    <row r="109" spans="1:15">
      <c r="A109" s="28" t="s">
        <v>23</v>
      </c>
      <c r="B109" s="28">
        <v>1.25</v>
      </c>
      <c r="C109" s="28" t="s">
        <v>49</v>
      </c>
      <c r="D109" s="32" t="s">
        <v>26</v>
      </c>
      <c r="E109" s="28">
        <v>18.5328</v>
      </c>
      <c r="F109" s="30">
        <f t="shared" si="36"/>
        <v>222.3936</v>
      </c>
      <c r="G109" s="31">
        <f t="shared" si="37"/>
        <v>247.042224</v>
      </c>
      <c r="H109" s="30">
        <f t="shared" si="38"/>
        <v>259.4592</v>
      </c>
      <c r="I109" s="30">
        <f t="shared" si="39"/>
        <v>444.7872</v>
      </c>
      <c r="J109" s="30">
        <f t="shared" si="40"/>
        <v>494.084448</v>
      </c>
      <c r="K109" s="28">
        <f t="shared" si="41"/>
        <v>518.9184</v>
      </c>
      <c r="L109" s="25"/>
      <c r="O109" s="26"/>
    </row>
    <row r="110" spans="1:15">
      <c r="A110" s="28" t="s">
        <v>23</v>
      </c>
      <c r="B110" s="28">
        <v>1.3</v>
      </c>
      <c r="C110" s="28" t="s">
        <v>49</v>
      </c>
      <c r="D110" s="29" t="s">
        <v>25</v>
      </c>
      <c r="E110" s="28">
        <v>15.3252</v>
      </c>
      <c r="F110" s="30">
        <f t="shared" si="36"/>
        <v>183.9024</v>
      </c>
      <c r="G110" s="31">
        <f t="shared" si="37"/>
        <v>204.284916</v>
      </c>
      <c r="H110" s="30">
        <f t="shared" si="38"/>
        <v>214.5528</v>
      </c>
      <c r="I110" s="30">
        <f t="shared" si="39"/>
        <v>367.8048</v>
      </c>
      <c r="J110" s="30">
        <f t="shared" si="40"/>
        <v>408.569832</v>
      </c>
      <c r="K110" s="28">
        <f t="shared" si="41"/>
        <v>429.1056</v>
      </c>
      <c r="L110" s="25"/>
      <c r="O110" s="26"/>
    </row>
    <row r="111" spans="1:15">
      <c r="A111" s="28" t="s">
        <v>23</v>
      </c>
      <c r="B111" s="28">
        <v>1.3</v>
      </c>
      <c r="C111" s="28" t="s">
        <v>49</v>
      </c>
      <c r="D111" s="32" t="s">
        <v>26</v>
      </c>
      <c r="E111" s="28">
        <v>19.3536</v>
      </c>
      <c r="F111" s="30">
        <f t="shared" si="36"/>
        <v>232.2432</v>
      </c>
      <c r="G111" s="31">
        <f t="shared" si="37"/>
        <v>257.983488</v>
      </c>
      <c r="H111" s="30">
        <f t="shared" si="38"/>
        <v>270.9504</v>
      </c>
      <c r="I111" s="30">
        <f t="shared" si="39"/>
        <v>464.4864</v>
      </c>
      <c r="J111" s="30">
        <f t="shared" si="40"/>
        <v>515.966976</v>
      </c>
      <c r="K111" s="28">
        <f t="shared" si="41"/>
        <v>541.9008</v>
      </c>
      <c r="L111" s="25"/>
      <c r="O111" s="26"/>
    </row>
    <row r="112" spans="1:15">
      <c r="A112" s="28" t="s">
        <v>23</v>
      </c>
      <c r="B112" s="28">
        <v>1.3</v>
      </c>
      <c r="C112" s="28" t="s">
        <v>49</v>
      </c>
      <c r="D112" s="32" t="s">
        <v>29</v>
      </c>
      <c r="E112" s="28">
        <v>28.5552</v>
      </c>
      <c r="F112" s="30">
        <f t="shared" si="36"/>
        <v>342.6624</v>
      </c>
      <c r="G112" s="31">
        <f t="shared" si="37"/>
        <v>380.640816</v>
      </c>
      <c r="H112" s="30">
        <f t="shared" si="38"/>
        <v>399.7728</v>
      </c>
      <c r="I112" s="30">
        <f t="shared" si="39"/>
        <v>685.3248</v>
      </c>
      <c r="J112" s="30">
        <f t="shared" si="40"/>
        <v>761.281632</v>
      </c>
      <c r="K112" s="28">
        <f t="shared" si="41"/>
        <v>799.5456</v>
      </c>
      <c r="L112" s="25"/>
      <c r="O112" s="26"/>
    </row>
    <row r="113" spans="1:17">
      <c r="A113" s="28" t="s">
        <v>23</v>
      </c>
      <c r="B113" s="28">
        <v>1.4</v>
      </c>
      <c r="C113" s="28" t="s">
        <v>49</v>
      </c>
      <c r="D113" s="29" t="s">
        <v>25</v>
      </c>
      <c r="E113" s="28">
        <v>15.3036</v>
      </c>
      <c r="F113" s="30">
        <f t="shared" si="36"/>
        <v>183.6432</v>
      </c>
      <c r="G113" s="31">
        <f t="shared" si="37"/>
        <v>203.996988</v>
      </c>
      <c r="H113" s="30">
        <f t="shared" si="38"/>
        <v>214.2504</v>
      </c>
      <c r="I113" s="30">
        <f t="shared" si="39"/>
        <v>367.2864</v>
      </c>
      <c r="J113" s="30">
        <f t="shared" si="40"/>
        <v>407.993976</v>
      </c>
      <c r="K113" s="28">
        <f t="shared" si="41"/>
        <v>428.5008</v>
      </c>
      <c r="L113" s="25"/>
      <c r="O113" s="26"/>
    </row>
    <row r="114" spans="1:17">
      <c r="A114" s="28" t="s">
        <v>23</v>
      </c>
      <c r="B114" s="28">
        <v>1.4</v>
      </c>
      <c r="C114" s="28" t="s">
        <v>49</v>
      </c>
      <c r="D114" s="32" t="s">
        <v>26</v>
      </c>
      <c r="E114" s="28">
        <v>19.2564</v>
      </c>
      <c r="F114" s="30">
        <f t="shared" si="36"/>
        <v>231.0768</v>
      </c>
      <c r="G114" s="31">
        <f t="shared" si="37"/>
        <v>256.687812</v>
      </c>
      <c r="H114" s="30">
        <f t="shared" si="38"/>
        <v>269.5896</v>
      </c>
      <c r="I114" s="30">
        <f t="shared" si="39"/>
        <v>462.1536</v>
      </c>
      <c r="J114" s="30">
        <f t="shared" si="40"/>
        <v>513.375624</v>
      </c>
      <c r="K114" s="28">
        <f t="shared" si="41"/>
        <v>539.1792</v>
      </c>
      <c r="L114" s="25"/>
      <c r="O114" s="26"/>
    </row>
    <row r="115" s="1" customFormat="1" spans="1:17">
      <c r="A115" s="28" t="s">
        <v>23</v>
      </c>
      <c r="B115" s="28">
        <v>1.4</v>
      </c>
      <c r="C115" s="28" t="s">
        <v>49</v>
      </c>
      <c r="D115" s="32" t="s">
        <v>29</v>
      </c>
      <c r="E115" s="28">
        <v>29.9916</v>
      </c>
      <c r="F115" s="30">
        <f t="shared" si="36"/>
        <v>359.8992</v>
      </c>
      <c r="G115" s="31">
        <f t="shared" si="37"/>
        <v>399.788028</v>
      </c>
      <c r="H115" s="30">
        <f t="shared" si="38"/>
        <v>419.8824</v>
      </c>
      <c r="I115" s="30">
        <f t="shared" si="39"/>
        <v>719.7984</v>
      </c>
      <c r="J115" s="30">
        <f t="shared" si="40"/>
        <v>799.576056</v>
      </c>
      <c r="K115" s="28">
        <f t="shared" si="41"/>
        <v>839.7648</v>
      </c>
      <c r="L115" s="25"/>
      <c r="M115"/>
      <c r="N115"/>
      <c r="O115" s="26"/>
      <c r="P115" s="33"/>
      <c r="Q115"/>
    </row>
    <row r="116" s="1" customFormat="1" spans="1:17">
      <c r="A116" s="28" t="s">
        <v>23</v>
      </c>
      <c r="B116" s="28">
        <v>1.45</v>
      </c>
      <c r="C116" s="28" t="s">
        <v>50</v>
      </c>
      <c r="D116" s="29" t="s">
        <v>25</v>
      </c>
      <c r="E116" s="28">
        <v>16.2756</v>
      </c>
      <c r="F116" s="30">
        <f t="shared" si="36"/>
        <v>195.3072</v>
      </c>
      <c r="G116" s="31">
        <f t="shared" si="37"/>
        <v>216.953748</v>
      </c>
      <c r="H116" s="30">
        <f t="shared" si="38"/>
        <v>227.8584</v>
      </c>
      <c r="I116" s="30">
        <f t="shared" si="39"/>
        <v>390.6144</v>
      </c>
      <c r="J116" s="30">
        <f t="shared" si="40"/>
        <v>433.907496</v>
      </c>
      <c r="K116" s="28">
        <f t="shared" si="41"/>
        <v>455.7168</v>
      </c>
      <c r="L116" s="25"/>
      <c r="M116"/>
      <c r="N116"/>
      <c r="O116" s="26"/>
      <c r="P116" s="33"/>
      <c r="Q116"/>
    </row>
    <row r="117" s="1" customFormat="1" spans="1:17">
      <c r="A117" s="28" t="s">
        <v>23</v>
      </c>
      <c r="B117" s="28">
        <v>1.5</v>
      </c>
      <c r="C117" s="28" t="s">
        <v>50</v>
      </c>
      <c r="D117" s="29" t="s">
        <v>39</v>
      </c>
      <c r="E117" s="28">
        <v>19.5696</v>
      </c>
      <c r="F117" s="30">
        <f t="shared" si="36"/>
        <v>234.8352</v>
      </c>
      <c r="G117" s="31">
        <f t="shared" si="37"/>
        <v>260.862768</v>
      </c>
      <c r="H117" s="30">
        <f t="shared" si="38"/>
        <v>273.9744</v>
      </c>
      <c r="I117" s="30">
        <f t="shared" si="39"/>
        <v>469.6704</v>
      </c>
      <c r="J117" s="30">
        <f t="shared" si="40"/>
        <v>521.725536</v>
      </c>
      <c r="K117" s="28">
        <f t="shared" si="41"/>
        <v>547.9488</v>
      </c>
      <c r="L117" s="25"/>
      <c r="M117"/>
      <c r="N117"/>
      <c r="O117" s="26"/>
      <c r="P117" s="33"/>
      <c r="Q117"/>
    </row>
    <row r="118" s="1" customFormat="1" spans="1:17">
      <c r="A118" s="28" t="s">
        <v>23</v>
      </c>
      <c r="B118" s="28">
        <v>1.5</v>
      </c>
      <c r="C118" s="28" t="s">
        <v>50</v>
      </c>
      <c r="D118" s="29" t="s">
        <v>25</v>
      </c>
      <c r="E118" s="28">
        <v>16.6104</v>
      </c>
      <c r="F118" s="30">
        <f t="shared" si="36"/>
        <v>199.3248</v>
      </c>
      <c r="G118" s="31">
        <f t="shared" si="37"/>
        <v>221.416632</v>
      </c>
      <c r="H118" s="30">
        <f t="shared" si="38"/>
        <v>232.5456</v>
      </c>
      <c r="I118" s="30">
        <f t="shared" si="39"/>
        <v>398.6496</v>
      </c>
      <c r="J118" s="30">
        <f t="shared" si="40"/>
        <v>442.833264</v>
      </c>
      <c r="K118" s="28">
        <f t="shared" si="41"/>
        <v>465.0912</v>
      </c>
      <c r="L118" s="25"/>
      <c r="M118"/>
      <c r="N118"/>
      <c r="O118" s="26"/>
      <c r="P118" s="33"/>
      <c r="Q118"/>
    </row>
    <row r="119" s="1" customFormat="1" spans="1:17">
      <c r="A119" s="28" t="s">
        <v>23</v>
      </c>
      <c r="B119" s="28">
        <v>1.5</v>
      </c>
      <c r="C119" s="28" t="s">
        <v>50</v>
      </c>
      <c r="D119" s="32" t="s">
        <v>26</v>
      </c>
      <c r="E119" s="28">
        <v>20.4984</v>
      </c>
      <c r="F119" s="30">
        <f t="shared" ref="F119:F124" si="42">E119*12</f>
        <v>245.9808</v>
      </c>
      <c r="G119" s="31">
        <f t="shared" ref="G119:G124" si="43">E119*13.33</f>
        <v>273.243672</v>
      </c>
      <c r="H119" s="30">
        <f t="shared" ref="H119:H124" si="44">E119*14</f>
        <v>286.9776</v>
      </c>
      <c r="I119" s="30">
        <f t="shared" ref="I119:I124" si="45">F119*2</f>
        <v>491.9616</v>
      </c>
      <c r="J119" s="30">
        <f t="shared" ref="J119:J124" si="46">G119*2</f>
        <v>546.487344</v>
      </c>
      <c r="K119" s="28">
        <f t="shared" ref="K119:K124" si="47">H119*2</f>
        <v>573.9552</v>
      </c>
      <c r="L119" s="25"/>
      <c r="M119"/>
      <c r="N119"/>
      <c r="O119" s="26"/>
      <c r="P119" s="33"/>
      <c r="Q119"/>
    </row>
    <row r="120" s="1" customFormat="1" spans="1:17">
      <c r="A120" s="28" t="s">
        <v>23</v>
      </c>
      <c r="B120" s="28">
        <v>1.5</v>
      </c>
      <c r="C120" s="28" t="s">
        <v>49</v>
      </c>
      <c r="D120" s="32" t="s">
        <v>40</v>
      </c>
      <c r="E120" s="28">
        <v>53.0928</v>
      </c>
      <c r="F120" s="30">
        <f t="shared" si="42"/>
        <v>637.1136</v>
      </c>
      <c r="G120" s="31">
        <f t="shared" si="43"/>
        <v>707.727024</v>
      </c>
      <c r="H120" s="30">
        <f t="shared" si="44"/>
        <v>743.2992</v>
      </c>
      <c r="I120" s="30">
        <f t="shared" si="45"/>
        <v>1274.2272</v>
      </c>
      <c r="J120" s="30">
        <f t="shared" si="46"/>
        <v>1415.454048</v>
      </c>
      <c r="K120" s="28">
        <f t="shared" si="47"/>
        <v>1486.5984</v>
      </c>
      <c r="L120" s="25"/>
      <c r="M120"/>
      <c r="N120"/>
      <c r="O120" s="26"/>
      <c r="P120" s="33"/>
      <c r="Q120"/>
    </row>
    <row r="121" s="1" customFormat="1" spans="1:17">
      <c r="A121" s="28" t="s">
        <v>23</v>
      </c>
      <c r="B121" s="28">
        <v>1.5</v>
      </c>
      <c r="C121" s="28" t="s">
        <v>49</v>
      </c>
      <c r="D121" s="32" t="s">
        <v>33</v>
      </c>
      <c r="E121" s="28">
        <v>42.4764</v>
      </c>
      <c r="F121" s="30">
        <f t="shared" si="42"/>
        <v>509.7168</v>
      </c>
      <c r="G121" s="31">
        <f t="shared" si="43"/>
        <v>566.210412</v>
      </c>
      <c r="H121" s="30">
        <f t="shared" si="44"/>
        <v>594.6696</v>
      </c>
      <c r="I121" s="30">
        <f t="shared" si="45"/>
        <v>1019.4336</v>
      </c>
      <c r="J121" s="30">
        <f t="shared" si="46"/>
        <v>1132.420824</v>
      </c>
      <c r="K121" s="28">
        <f t="shared" si="47"/>
        <v>1189.3392</v>
      </c>
      <c r="L121" s="25"/>
      <c r="M121"/>
      <c r="N121"/>
      <c r="O121" s="26"/>
      <c r="P121" s="33"/>
      <c r="Q121"/>
    </row>
    <row r="122" s="1" customFormat="1" spans="1:17">
      <c r="A122" s="28" t="s">
        <v>23</v>
      </c>
      <c r="B122" s="28">
        <v>1.5</v>
      </c>
      <c r="C122" s="28" t="s">
        <v>49</v>
      </c>
      <c r="D122" s="32" t="s">
        <v>29</v>
      </c>
      <c r="E122" s="28">
        <v>29.3328</v>
      </c>
      <c r="F122" s="30">
        <f t="shared" si="42"/>
        <v>351.9936</v>
      </c>
      <c r="G122" s="31">
        <f t="shared" si="43"/>
        <v>391.006224</v>
      </c>
      <c r="H122" s="30">
        <f t="shared" si="44"/>
        <v>410.6592</v>
      </c>
      <c r="I122" s="30">
        <f t="shared" si="45"/>
        <v>703.9872</v>
      </c>
      <c r="J122" s="30">
        <f t="shared" si="46"/>
        <v>782.012448</v>
      </c>
      <c r="K122" s="28">
        <f t="shared" si="47"/>
        <v>821.3184</v>
      </c>
      <c r="L122" s="25"/>
      <c r="M122"/>
      <c r="N122"/>
      <c r="O122" s="26"/>
      <c r="P122" s="33"/>
      <c r="Q122"/>
    </row>
    <row r="123" s="1" customFormat="1" spans="1:17">
      <c r="A123" s="28" t="s">
        <v>23</v>
      </c>
      <c r="B123" s="28">
        <v>1.5</v>
      </c>
      <c r="C123" s="28" t="s">
        <v>50</v>
      </c>
      <c r="D123" s="32" t="s">
        <v>30</v>
      </c>
      <c r="E123" s="28">
        <v>24.9048</v>
      </c>
      <c r="F123" s="30">
        <f t="shared" si="42"/>
        <v>298.8576</v>
      </c>
      <c r="G123" s="31">
        <f t="shared" si="43"/>
        <v>331.980984</v>
      </c>
      <c r="H123" s="30">
        <f t="shared" si="44"/>
        <v>348.6672</v>
      </c>
      <c r="I123" s="30">
        <f t="shared" si="45"/>
        <v>597.7152</v>
      </c>
      <c r="J123" s="30">
        <f t="shared" si="46"/>
        <v>663.961968</v>
      </c>
      <c r="K123" s="28">
        <f t="shared" si="47"/>
        <v>697.3344</v>
      </c>
      <c r="L123" s="25"/>
      <c r="M123"/>
      <c r="N123"/>
      <c r="O123" s="26"/>
      <c r="P123" s="33"/>
      <c r="Q123"/>
    </row>
    <row r="124" s="1" customFormat="1" spans="1:17">
      <c r="A124" s="28" t="s">
        <v>23</v>
      </c>
      <c r="B124" s="28">
        <v>1.5</v>
      </c>
      <c r="C124" s="28" t="s">
        <v>50</v>
      </c>
      <c r="D124" s="32" t="s">
        <v>51</v>
      </c>
      <c r="E124" s="28">
        <v>38.34</v>
      </c>
      <c r="F124" s="30">
        <f t="shared" si="42"/>
        <v>460.08</v>
      </c>
      <c r="G124" s="31">
        <f t="shared" si="43"/>
        <v>511.0722</v>
      </c>
      <c r="H124" s="30">
        <f t="shared" si="44"/>
        <v>536.76</v>
      </c>
      <c r="I124" s="30">
        <f t="shared" si="45"/>
        <v>920.16</v>
      </c>
      <c r="J124" s="30">
        <f t="shared" si="46"/>
        <v>1022.1444</v>
      </c>
      <c r="K124" s="28">
        <f t="shared" si="47"/>
        <v>1073.52</v>
      </c>
      <c r="L124" s="25"/>
      <c r="M124"/>
      <c r="N124"/>
      <c r="O124" s="26"/>
      <c r="P124" s="33"/>
      <c r="Q124"/>
    </row>
    <row r="125" s="1" customFormat="1" spans="1:17">
      <c r="A125" s="28" t="s">
        <v>23</v>
      </c>
      <c r="B125" s="28">
        <v>1.53</v>
      </c>
      <c r="C125" s="28" t="s">
        <v>50</v>
      </c>
      <c r="D125" s="29" t="s">
        <v>25</v>
      </c>
      <c r="E125" s="28">
        <v>17.1396</v>
      </c>
      <c r="F125" s="30">
        <f t="shared" ref="F125:F154" si="48">E125*12</f>
        <v>205.6752</v>
      </c>
      <c r="G125" s="31">
        <f t="shared" ref="G125:G154" si="49">E125*13.33</f>
        <v>228.470868</v>
      </c>
      <c r="H125" s="30">
        <f t="shared" ref="H125:H154" si="50">E125*14</f>
        <v>239.9544</v>
      </c>
      <c r="I125" s="30">
        <f t="shared" ref="I125:I154" si="51">F125*2</f>
        <v>411.3504</v>
      </c>
      <c r="J125" s="30">
        <f t="shared" ref="J125:J154" si="52">G125*2</f>
        <v>456.941736</v>
      </c>
      <c r="K125" s="28">
        <f t="shared" ref="K125:K154" si="53">H125*2</f>
        <v>479.9088</v>
      </c>
      <c r="L125" s="25"/>
      <c r="M125"/>
      <c r="N125"/>
      <c r="O125" s="26"/>
      <c r="P125" s="33"/>
      <c r="Q125"/>
    </row>
    <row r="126" s="1" customFormat="1" spans="1:17">
      <c r="A126" s="28" t="s">
        <v>23</v>
      </c>
      <c r="B126" s="28">
        <v>1.55</v>
      </c>
      <c r="C126" s="28" t="s">
        <v>50</v>
      </c>
      <c r="D126" s="32" t="s">
        <v>26</v>
      </c>
      <c r="E126" s="28">
        <v>20.952</v>
      </c>
      <c r="F126" s="30">
        <f t="shared" si="48"/>
        <v>251.424</v>
      </c>
      <c r="G126" s="31">
        <f t="shared" si="49"/>
        <v>279.29016</v>
      </c>
      <c r="H126" s="30">
        <f t="shared" si="50"/>
        <v>293.328</v>
      </c>
      <c r="I126" s="30">
        <f t="shared" si="51"/>
        <v>502.848</v>
      </c>
      <c r="J126" s="30">
        <f t="shared" si="52"/>
        <v>558.58032</v>
      </c>
      <c r="K126" s="28">
        <f t="shared" si="53"/>
        <v>586.656</v>
      </c>
      <c r="L126" s="25"/>
      <c r="M126"/>
      <c r="N126"/>
      <c r="O126" s="26"/>
      <c r="P126" s="33"/>
      <c r="Q126"/>
    </row>
    <row r="127" s="1" customFormat="1" spans="1:17">
      <c r="A127" s="28" t="s">
        <v>23</v>
      </c>
      <c r="B127" s="28">
        <v>1.55</v>
      </c>
      <c r="C127" s="28" t="s">
        <v>49</v>
      </c>
      <c r="D127" s="32" t="s">
        <v>33</v>
      </c>
      <c r="E127" s="28">
        <v>39.7548</v>
      </c>
      <c r="F127" s="30">
        <f t="shared" si="48"/>
        <v>477.0576</v>
      </c>
      <c r="G127" s="31">
        <f t="shared" si="49"/>
        <v>529.931484</v>
      </c>
      <c r="H127" s="30">
        <f t="shared" si="50"/>
        <v>556.5672</v>
      </c>
      <c r="I127" s="30">
        <f t="shared" si="51"/>
        <v>954.1152</v>
      </c>
      <c r="J127" s="30">
        <f t="shared" si="52"/>
        <v>1059.862968</v>
      </c>
      <c r="K127" s="28">
        <f t="shared" si="53"/>
        <v>1113.1344</v>
      </c>
      <c r="L127" s="25"/>
      <c r="M127"/>
      <c r="N127"/>
      <c r="O127" s="26"/>
      <c r="P127" s="33"/>
      <c r="Q127"/>
    </row>
    <row r="128" s="1" customFormat="1" spans="1:17">
      <c r="A128" s="28" t="s">
        <v>23</v>
      </c>
      <c r="B128" s="28">
        <v>1.6</v>
      </c>
      <c r="C128" s="28" t="s">
        <v>50</v>
      </c>
      <c r="D128" s="29" t="s">
        <v>25</v>
      </c>
      <c r="E128" s="28">
        <v>16.578</v>
      </c>
      <c r="F128" s="30">
        <f t="shared" si="48"/>
        <v>198.936</v>
      </c>
      <c r="G128" s="31">
        <f t="shared" si="49"/>
        <v>220.98474</v>
      </c>
      <c r="H128" s="30">
        <f t="shared" si="50"/>
        <v>232.092</v>
      </c>
      <c r="I128" s="30">
        <f t="shared" si="51"/>
        <v>397.872</v>
      </c>
      <c r="J128" s="30">
        <f t="shared" si="52"/>
        <v>441.96948</v>
      </c>
      <c r="K128" s="28">
        <f t="shared" si="53"/>
        <v>464.184</v>
      </c>
      <c r="L128" s="25"/>
      <c r="M128"/>
      <c r="N128"/>
      <c r="O128" s="26"/>
      <c r="P128" s="33"/>
      <c r="Q128"/>
    </row>
    <row r="129" s="1" customFormat="1" spans="1:17">
      <c r="A129" s="22" t="s">
        <v>23</v>
      </c>
      <c r="B129" s="22">
        <v>1.6</v>
      </c>
      <c r="C129" s="22" t="s">
        <v>50</v>
      </c>
      <c r="D129" s="27" t="s">
        <v>26</v>
      </c>
      <c r="E129" s="22">
        <v>20.5308</v>
      </c>
      <c r="F129" s="23">
        <f t="shared" si="48"/>
        <v>246.3696</v>
      </c>
      <c r="G129" s="24">
        <f t="shared" si="49"/>
        <v>273.675564</v>
      </c>
      <c r="H129" s="23">
        <f t="shared" si="50"/>
        <v>287.4312</v>
      </c>
      <c r="I129" s="23">
        <f t="shared" si="51"/>
        <v>492.7392</v>
      </c>
      <c r="J129" s="23">
        <f t="shared" si="52"/>
        <v>547.351128</v>
      </c>
      <c r="K129" s="22">
        <f t="shared" si="53"/>
        <v>574.8624</v>
      </c>
      <c r="L129" s="25"/>
      <c r="M129"/>
      <c r="N129"/>
      <c r="O129" s="26"/>
      <c r="P129" s="33"/>
      <c r="Q129"/>
    </row>
    <row r="130" s="1" customFormat="1" spans="1:17">
      <c r="A130" s="22" t="s">
        <v>23</v>
      </c>
      <c r="B130" s="22">
        <v>1.6</v>
      </c>
      <c r="C130" s="22" t="s">
        <v>50</v>
      </c>
      <c r="D130" s="27" t="s">
        <v>29</v>
      </c>
      <c r="E130" s="22">
        <v>31.3632</v>
      </c>
      <c r="F130" s="23">
        <f t="shared" si="48"/>
        <v>376.3584</v>
      </c>
      <c r="G130" s="24">
        <f t="shared" si="49"/>
        <v>418.071456</v>
      </c>
      <c r="H130" s="23">
        <f t="shared" si="50"/>
        <v>439.0848</v>
      </c>
      <c r="I130" s="23">
        <f t="shared" si="51"/>
        <v>752.7168</v>
      </c>
      <c r="J130" s="23">
        <f t="shared" si="52"/>
        <v>836.142912</v>
      </c>
      <c r="K130" s="22">
        <f t="shared" si="53"/>
        <v>878.1696</v>
      </c>
      <c r="L130" s="25"/>
      <c r="M130"/>
      <c r="N130"/>
      <c r="O130" s="26"/>
      <c r="P130" s="33"/>
      <c r="Q130"/>
    </row>
    <row r="131" s="1" customFormat="1" spans="1:17">
      <c r="A131" s="22" t="s">
        <v>23</v>
      </c>
      <c r="B131" s="22">
        <v>1.7</v>
      </c>
      <c r="C131" s="22" t="s">
        <v>52</v>
      </c>
      <c r="D131" s="21" t="s">
        <v>25</v>
      </c>
      <c r="E131" s="22">
        <v>18.1008</v>
      </c>
      <c r="F131" s="23">
        <f t="shared" si="48"/>
        <v>217.2096</v>
      </c>
      <c r="G131" s="24">
        <f t="shared" si="49"/>
        <v>241.283664</v>
      </c>
      <c r="H131" s="23">
        <f t="shared" si="50"/>
        <v>253.4112</v>
      </c>
      <c r="I131" s="23">
        <f t="shared" si="51"/>
        <v>434.4192</v>
      </c>
      <c r="J131" s="23">
        <f t="shared" si="52"/>
        <v>482.567328</v>
      </c>
      <c r="K131" s="22">
        <f t="shared" si="53"/>
        <v>506.8224</v>
      </c>
      <c r="L131" s="25"/>
      <c r="M131"/>
      <c r="N131"/>
      <c r="O131" s="26"/>
      <c r="P131" s="33"/>
      <c r="Q131"/>
    </row>
    <row r="132" s="1" customFormat="1" spans="1:17">
      <c r="A132" s="22" t="s">
        <v>23</v>
      </c>
      <c r="B132" s="22">
        <v>1.7</v>
      </c>
      <c r="C132" s="22" t="s">
        <v>52</v>
      </c>
      <c r="D132" s="27" t="s">
        <v>26</v>
      </c>
      <c r="E132" s="22">
        <v>22.0212</v>
      </c>
      <c r="F132" s="23">
        <f t="shared" si="48"/>
        <v>264.2544</v>
      </c>
      <c r="G132" s="24">
        <f t="shared" si="49"/>
        <v>293.542596</v>
      </c>
      <c r="H132" s="23">
        <f t="shared" si="50"/>
        <v>308.2968</v>
      </c>
      <c r="I132" s="23">
        <f t="shared" si="51"/>
        <v>528.5088</v>
      </c>
      <c r="J132" s="23">
        <f t="shared" si="52"/>
        <v>587.085192</v>
      </c>
      <c r="K132" s="22">
        <f t="shared" si="53"/>
        <v>616.5936</v>
      </c>
      <c r="L132" s="25"/>
      <c r="M132"/>
      <c r="N132"/>
      <c r="O132" s="26"/>
      <c r="P132" s="33"/>
      <c r="Q132"/>
    </row>
    <row r="133" s="1" customFormat="1" spans="1:17">
      <c r="A133" s="22" t="s">
        <v>23</v>
      </c>
      <c r="B133" s="22">
        <v>1.8</v>
      </c>
      <c r="C133" s="22" t="s">
        <v>52</v>
      </c>
      <c r="D133" s="27" t="s">
        <v>26</v>
      </c>
      <c r="E133" s="22">
        <v>22.1832</v>
      </c>
      <c r="F133" s="23">
        <f t="shared" si="48"/>
        <v>266.1984</v>
      </c>
      <c r="G133" s="24">
        <f t="shared" si="49"/>
        <v>295.702056</v>
      </c>
      <c r="H133" s="23">
        <f t="shared" si="50"/>
        <v>310.5648</v>
      </c>
      <c r="I133" s="23">
        <f t="shared" si="51"/>
        <v>532.3968</v>
      </c>
      <c r="J133" s="23">
        <f t="shared" si="52"/>
        <v>591.404112</v>
      </c>
      <c r="K133" s="22">
        <f t="shared" si="53"/>
        <v>621.1296</v>
      </c>
      <c r="L133" s="25"/>
      <c r="M133"/>
      <c r="N133"/>
      <c r="O133" s="26"/>
      <c r="P133" s="33"/>
      <c r="Q133"/>
    </row>
    <row r="134" spans="1:17">
      <c r="A134" s="22" t="s">
        <v>23</v>
      </c>
      <c r="B134" s="22">
        <v>1.8</v>
      </c>
      <c r="C134" s="22" t="s">
        <v>52</v>
      </c>
      <c r="D134" s="27" t="s">
        <v>29</v>
      </c>
      <c r="E134" s="22">
        <v>34.4412</v>
      </c>
      <c r="F134" s="23">
        <f t="shared" si="48"/>
        <v>413.2944</v>
      </c>
      <c r="G134" s="24">
        <f t="shared" si="49"/>
        <v>459.101196</v>
      </c>
      <c r="H134" s="23">
        <f t="shared" si="50"/>
        <v>482.1768</v>
      </c>
      <c r="I134" s="23">
        <f t="shared" si="51"/>
        <v>826.5888</v>
      </c>
      <c r="J134" s="23">
        <f t="shared" si="52"/>
        <v>918.202392</v>
      </c>
      <c r="K134" s="22">
        <f t="shared" si="53"/>
        <v>964.3536</v>
      </c>
      <c r="L134" s="25"/>
      <c r="O134" s="26"/>
    </row>
    <row r="135" spans="1:17">
      <c r="A135" s="22" t="s">
        <v>23</v>
      </c>
      <c r="B135" s="22">
        <v>1.8</v>
      </c>
      <c r="C135" s="22" t="s">
        <v>52</v>
      </c>
      <c r="D135" s="27" t="s">
        <v>33</v>
      </c>
      <c r="E135" s="22">
        <v>42.9624</v>
      </c>
      <c r="F135" s="23">
        <f t="shared" si="48"/>
        <v>515.5488</v>
      </c>
      <c r="G135" s="24">
        <f t="shared" si="49"/>
        <v>572.688792</v>
      </c>
      <c r="H135" s="23">
        <f t="shared" si="50"/>
        <v>601.4736</v>
      </c>
      <c r="I135" s="23">
        <f t="shared" si="51"/>
        <v>1031.0976</v>
      </c>
      <c r="J135" s="23">
        <f t="shared" si="52"/>
        <v>1145.377584</v>
      </c>
      <c r="K135" s="22">
        <f t="shared" si="53"/>
        <v>1202.9472</v>
      </c>
      <c r="L135" s="25"/>
      <c r="O135" s="26"/>
    </row>
    <row r="136" spans="1:17">
      <c r="A136" s="22" t="s">
        <v>23</v>
      </c>
      <c r="B136" s="22">
        <v>1.9</v>
      </c>
      <c r="C136" s="22" t="s">
        <v>53</v>
      </c>
      <c r="D136" s="21" t="s">
        <v>25</v>
      </c>
      <c r="E136" s="22">
        <v>20.6604</v>
      </c>
      <c r="F136" s="23">
        <f t="shared" si="48"/>
        <v>247.9248</v>
      </c>
      <c r="G136" s="24">
        <f t="shared" si="49"/>
        <v>275.403132</v>
      </c>
      <c r="H136" s="23">
        <f t="shared" si="50"/>
        <v>289.2456</v>
      </c>
      <c r="I136" s="23">
        <f t="shared" si="51"/>
        <v>495.8496</v>
      </c>
      <c r="J136" s="23">
        <f t="shared" si="52"/>
        <v>550.806264</v>
      </c>
      <c r="K136" s="22">
        <f t="shared" si="53"/>
        <v>578.4912</v>
      </c>
      <c r="L136" s="25"/>
      <c r="O136" s="26"/>
    </row>
    <row r="137" spans="1:17">
      <c r="A137" s="22" t="s">
        <v>23</v>
      </c>
      <c r="B137" s="22">
        <v>1.9</v>
      </c>
      <c r="C137" s="22" t="s">
        <v>53</v>
      </c>
      <c r="D137" s="27" t="s">
        <v>29</v>
      </c>
      <c r="E137" s="22">
        <v>34.8192</v>
      </c>
      <c r="F137" s="23">
        <f t="shared" si="48"/>
        <v>417.8304</v>
      </c>
      <c r="G137" s="24">
        <f t="shared" si="49"/>
        <v>464.139936</v>
      </c>
      <c r="H137" s="23">
        <f t="shared" si="50"/>
        <v>487.4688</v>
      </c>
      <c r="I137" s="23">
        <f t="shared" si="51"/>
        <v>835.6608</v>
      </c>
      <c r="J137" s="23">
        <f t="shared" si="52"/>
        <v>928.279872</v>
      </c>
      <c r="K137" s="22">
        <f t="shared" si="53"/>
        <v>974.9376</v>
      </c>
      <c r="L137" s="25"/>
      <c r="O137" s="26"/>
    </row>
    <row r="138" spans="1:17">
      <c r="A138" s="22" t="s">
        <v>23</v>
      </c>
      <c r="B138" s="22">
        <v>1.9</v>
      </c>
      <c r="C138" s="22" t="s">
        <v>53</v>
      </c>
      <c r="D138" s="27" t="s">
        <v>26</v>
      </c>
      <c r="E138" s="22">
        <v>24.03</v>
      </c>
      <c r="F138" s="23">
        <f t="shared" si="48"/>
        <v>288.36</v>
      </c>
      <c r="G138" s="24">
        <f t="shared" si="49"/>
        <v>320.3199</v>
      </c>
      <c r="H138" s="23">
        <f t="shared" si="50"/>
        <v>336.42</v>
      </c>
      <c r="I138" s="23">
        <f t="shared" si="51"/>
        <v>576.72</v>
      </c>
      <c r="J138" s="23">
        <f t="shared" si="52"/>
        <v>640.6398</v>
      </c>
      <c r="K138" s="22">
        <f t="shared" si="53"/>
        <v>672.84</v>
      </c>
      <c r="L138" s="25"/>
      <c r="O138" s="26"/>
    </row>
    <row r="139" spans="1:17">
      <c r="A139" s="22" t="s">
        <v>23</v>
      </c>
      <c r="B139" s="22">
        <v>1.9</v>
      </c>
      <c r="C139" s="22" t="s">
        <v>53</v>
      </c>
      <c r="D139" s="27" t="s">
        <v>30</v>
      </c>
      <c r="E139" s="22">
        <v>28.4688</v>
      </c>
      <c r="F139" s="23">
        <f t="shared" si="48"/>
        <v>341.6256</v>
      </c>
      <c r="G139" s="24">
        <f t="shared" si="49"/>
        <v>379.489104</v>
      </c>
      <c r="H139" s="23">
        <f t="shared" si="50"/>
        <v>398.5632</v>
      </c>
      <c r="I139" s="23">
        <f t="shared" si="51"/>
        <v>683.2512</v>
      </c>
      <c r="J139" s="23">
        <f t="shared" si="52"/>
        <v>758.978208</v>
      </c>
      <c r="K139" s="22">
        <f t="shared" si="53"/>
        <v>797.1264</v>
      </c>
      <c r="L139" s="25"/>
      <c r="O139" s="26"/>
    </row>
    <row r="140" spans="1:17">
      <c r="A140" s="22" t="s">
        <v>23</v>
      </c>
      <c r="B140" s="22">
        <v>1.9</v>
      </c>
      <c r="C140" s="22" t="s">
        <v>52</v>
      </c>
      <c r="D140" s="27" t="s">
        <v>33</v>
      </c>
      <c r="E140" s="22">
        <v>45.8676</v>
      </c>
      <c r="F140" s="23">
        <f t="shared" si="48"/>
        <v>550.4112</v>
      </c>
      <c r="G140" s="24">
        <f t="shared" si="49"/>
        <v>611.415108</v>
      </c>
      <c r="H140" s="23">
        <f t="shared" si="50"/>
        <v>642.1464</v>
      </c>
      <c r="I140" s="23">
        <f t="shared" si="51"/>
        <v>1100.8224</v>
      </c>
      <c r="J140" s="23">
        <f t="shared" si="52"/>
        <v>1222.830216</v>
      </c>
      <c r="K140" s="22">
        <f t="shared" si="53"/>
        <v>1284.2928</v>
      </c>
      <c r="L140" s="25"/>
      <c r="O140" s="26"/>
    </row>
    <row r="141" spans="1:17">
      <c r="A141" s="22" t="s">
        <v>23</v>
      </c>
      <c r="B141" s="22">
        <v>1.9</v>
      </c>
      <c r="C141" s="22" t="s">
        <v>52</v>
      </c>
      <c r="D141" s="27" t="s">
        <v>40</v>
      </c>
      <c r="E141" s="22">
        <v>55.0368</v>
      </c>
      <c r="F141" s="23">
        <f t="shared" si="48"/>
        <v>660.4416</v>
      </c>
      <c r="G141" s="24">
        <f t="shared" si="49"/>
        <v>733.640544</v>
      </c>
      <c r="H141" s="23">
        <f t="shared" si="50"/>
        <v>770.5152</v>
      </c>
      <c r="I141" s="23">
        <f t="shared" si="51"/>
        <v>1320.8832</v>
      </c>
      <c r="J141" s="23">
        <f t="shared" si="52"/>
        <v>1467.281088</v>
      </c>
      <c r="K141" s="22">
        <f t="shared" si="53"/>
        <v>1541.0304</v>
      </c>
      <c r="L141" s="25"/>
      <c r="O141" s="26"/>
    </row>
    <row r="142" spans="1:17">
      <c r="A142" s="22" t="s">
        <v>23</v>
      </c>
      <c r="B142" s="22">
        <v>1.95</v>
      </c>
      <c r="C142" s="22" t="s">
        <v>52</v>
      </c>
      <c r="D142" s="27" t="s">
        <v>33</v>
      </c>
      <c r="E142" s="22">
        <v>46.7424</v>
      </c>
      <c r="F142" s="23">
        <f t="shared" si="48"/>
        <v>560.9088</v>
      </c>
      <c r="G142" s="24">
        <f t="shared" si="49"/>
        <v>623.076192</v>
      </c>
      <c r="H142" s="23">
        <f t="shared" si="50"/>
        <v>654.3936</v>
      </c>
      <c r="I142" s="23">
        <f t="shared" si="51"/>
        <v>1121.8176</v>
      </c>
      <c r="J142" s="23">
        <f t="shared" si="52"/>
        <v>1246.152384</v>
      </c>
      <c r="K142" s="22">
        <f t="shared" si="53"/>
        <v>1308.7872</v>
      </c>
      <c r="L142" s="25"/>
      <c r="O142" s="26"/>
    </row>
    <row r="143" spans="1:17">
      <c r="A143" s="22" t="s">
        <v>23</v>
      </c>
      <c r="B143" s="22">
        <v>2</v>
      </c>
      <c r="C143" s="22" t="s">
        <v>54</v>
      </c>
      <c r="D143" s="21" t="s">
        <v>25</v>
      </c>
      <c r="E143" s="22">
        <v>21.6864</v>
      </c>
      <c r="F143" s="23">
        <f t="shared" si="48"/>
        <v>260.2368</v>
      </c>
      <c r="G143" s="24">
        <f t="shared" si="49"/>
        <v>289.079712</v>
      </c>
      <c r="H143" s="23">
        <f t="shared" si="50"/>
        <v>303.6096</v>
      </c>
      <c r="I143" s="23">
        <f t="shared" si="51"/>
        <v>520.4736</v>
      </c>
      <c r="J143" s="23">
        <f t="shared" si="52"/>
        <v>578.159424</v>
      </c>
      <c r="K143" s="22">
        <f t="shared" si="53"/>
        <v>607.2192</v>
      </c>
      <c r="L143" s="25"/>
      <c r="O143" s="26"/>
    </row>
    <row r="144" spans="1:17">
      <c r="A144" s="22" t="s">
        <v>23</v>
      </c>
      <c r="B144" s="22">
        <v>2</v>
      </c>
      <c r="C144" s="22" t="s">
        <v>54</v>
      </c>
      <c r="D144" s="27" t="s">
        <v>26</v>
      </c>
      <c r="E144" s="22">
        <v>25.6392</v>
      </c>
      <c r="F144" s="23">
        <f t="shared" si="48"/>
        <v>307.6704</v>
      </c>
      <c r="G144" s="24">
        <f t="shared" si="49"/>
        <v>341.770536</v>
      </c>
      <c r="H144" s="23">
        <f t="shared" si="50"/>
        <v>358.9488</v>
      </c>
      <c r="I144" s="23">
        <f t="shared" si="51"/>
        <v>615.3408</v>
      </c>
      <c r="J144" s="23">
        <f t="shared" si="52"/>
        <v>683.541072</v>
      </c>
      <c r="K144" s="22">
        <f t="shared" si="53"/>
        <v>717.8976</v>
      </c>
      <c r="L144" s="25"/>
      <c r="O144" s="26"/>
    </row>
    <row r="145" spans="1:15">
      <c r="A145" s="22" t="s">
        <v>23</v>
      </c>
      <c r="B145" s="22">
        <v>2</v>
      </c>
      <c r="C145" s="22" t="s">
        <v>53</v>
      </c>
      <c r="D145" s="27" t="s">
        <v>29</v>
      </c>
      <c r="E145" s="22">
        <v>33.9444</v>
      </c>
      <c r="F145" s="23">
        <f t="shared" si="48"/>
        <v>407.3328</v>
      </c>
      <c r="G145" s="24">
        <f t="shared" si="49"/>
        <v>452.478852</v>
      </c>
      <c r="H145" s="23">
        <f t="shared" si="50"/>
        <v>475.2216</v>
      </c>
      <c r="I145" s="23">
        <f t="shared" si="51"/>
        <v>814.6656</v>
      </c>
      <c r="J145" s="23">
        <f t="shared" si="52"/>
        <v>904.957704</v>
      </c>
      <c r="K145" s="22">
        <f t="shared" si="53"/>
        <v>950.4432</v>
      </c>
      <c r="L145" s="25"/>
      <c r="O145" s="26"/>
    </row>
    <row r="146" spans="1:15">
      <c r="A146" s="22" t="s">
        <v>23</v>
      </c>
      <c r="B146" s="22">
        <v>2.1</v>
      </c>
      <c r="C146" s="22" t="s">
        <v>54</v>
      </c>
      <c r="D146" s="27" t="s">
        <v>29</v>
      </c>
      <c r="E146" s="22">
        <v>36.4392</v>
      </c>
      <c r="F146" s="23">
        <f t="shared" si="48"/>
        <v>437.2704</v>
      </c>
      <c r="G146" s="24">
        <f t="shared" si="49"/>
        <v>485.734536</v>
      </c>
      <c r="H146" s="23">
        <f t="shared" si="50"/>
        <v>510.1488</v>
      </c>
      <c r="I146" s="23">
        <f t="shared" si="51"/>
        <v>874.5408</v>
      </c>
      <c r="J146" s="23">
        <f t="shared" si="52"/>
        <v>971.469072</v>
      </c>
      <c r="K146" s="22">
        <f t="shared" si="53"/>
        <v>1020.2976</v>
      </c>
      <c r="L146" s="25"/>
      <c r="O146" s="26"/>
    </row>
    <row r="147" spans="1:15">
      <c r="A147" s="22" t="s">
        <v>23</v>
      </c>
      <c r="B147" s="22">
        <v>2.3</v>
      </c>
      <c r="C147" s="22" t="s">
        <v>55</v>
      </c>
      <c r="D147" s="21" t="s">
        <v>25</v>
      </c>
      <c r="E147" s="22">
        <v>23.1552</v>
      </c>
      <c r="F147" s="23">
        <f t="shared" si="48"/>
        <v>277.8624</v>
      </c>
      <c r="G147" s="24">
        <f t="shared" si="49"/>
        <v>308.658816</v>
      </c>
      <c r="H147" s="23">
        <f t="shared" si="50"/>
        <v>324.1728</v>
      </c>
      <c r="I147" s="23">
        <f t="shared" si="51"/>
        <v>555.7248</v>
      </c>
      <c r="J147" s="23">
        <f t="shared" si="52"/>
        <v>617.317632</v>
      </c>
      <c r="K147" s="22">
        <f t="shared" si="53"/>
        <v>648.3456</v>
      </c>
      <c r="L147" s="25"/>
      <c r="O147" s="26"/>
    </row>
    <row r="148" spans="1:15">
      <c r="A148" s="22" t="s">
        <v>23</v>
      </c>
      <c r="B148" s="22">
        <v>2.4</v>
      </c>
      <c r="C148" s="22" t="s">
        <v>56</v>
      </c>
      <c r="D148" s="21" t="s">
        <v>25</v>
      </c>
      <c r="E148" s="22">
        <v>24.354</v>
      </c>
      <c r="F148" s="23">
        <f t="shared" si="48"/>
        <v>292.248</v>
      </c>
      <c r="G148" s="24">
        <f t="shared" si="49"/>
        <v>324.63882</v>
      </c>
      <c r="H148" s="23">
        <f t="shared" si="50"/>
        <v>340.956</v>
      </c>
      <c r="I148" s="23">
        <f t="shared" si="51"/>
        <v>584.496</v>
      </c>
      <c r="J148" s="23">
        <f t="shared" si="52"/>
        <v>649.27764</v>
      </c>
      <c r="K148" s="22">
        <f t="shared" si="53"/>
        <v>681.912</v>
      </c>
      <c r="L148" s="25"/>
      <c r="O148" s="26"/>
    </row>
    <row r="149" spans="1:15">
      <c r="A149" s="22" t="s">
        <v>23</v>
      </c>
      <c r="B149" s="22">
        <v>2.4</v>
      </c>
      <c r="C149" s="22" t="s">
        <v>56</v>
      </c>
      <c r="D149" s="27" t="s">
        <v>26</v>
      </c>
      <c r="E149" s="22">
        <v>28.458</v>
      </c>
      <c r="F149" s="23">
        <f t="shared" si="48"/>
        <v>341.496</v>
      </c>
      <c r="G149" s="24">
        <f t="shared" si="49"/>
        <v>379.34514</v>
      </c>
      <c r="H149" s="23">
        <f t="shared" si="50"/>
        <v>398.412</v>
      </c>
      <c r="I149" s="23">
        <f t="shared" si="51"/>
        <v>682.992</v>
      </c>
      <c r="J149" s="23">
        <f t="shared" si="52"/>
        <v>758.69028</v>
      </c>
      <c r="K149" s="22">
        <f t="shared" si="53"/>
        <v>796.824</v>
      </c>
      <c r="L149" s="25"/>
      <c r="O149" s="26"/>
    </row>
    <row r="150" spans="1:15">
      <c r="A150" s="22" t="s">
        <v>23</v>
      </c>
      <c r="B150" s="22">
        <v>2.9</v>
      </c>
      <c r="C150" s="22" t="s">
        <v>57</v>
      </c>
      <c r="D150" s="27" t="s">
        <v>26</v>
      </c>
      <c r="E150" s="22">
        <v>33.1236</v>
      </c>
      <c r="F150" s="23">
        <f t="shared" si="48"/>
        <v>397.4832</v>
      </c>
      <c r="G150" s="24">
        <f t="shared" si="49"/>
        <v>441.537588</v>
      </c>
      <c r="H150" s="23">
        <f t="shared" si="50"/>
        <v>463.7304</v>
      </c>
      <c r="I150" s="23">
        <f t="shared" si="51"/>
        <v>794.9664</v>
      </c>
      <c r="J150" s="23">
        <f t="shared" si="52"/>
        <v>883.075176</v>
      </c>
      <c r="K150" s="22">
        <f t="shared" si="53"/>
        <v>927.4608</v>
      </c>
      <c r="L150" s="25"/>
      <c r="O150" s="26"/>
    </row>
    <row r="151" spans="1:15">
      <c r="A151" s="22" t="s">
        <v>23</v>
      </c>
      <c r="B151" s="22">
        <v>2.9</v>
      </c>
      <c r="C151" s="22" t="s">
        <v>57</v>
      </c>
      <c r="D151" s="27" t="s">
        <v>25</v>
      </c>
      <c r="E151" s="22">
        <v>28.4148</v>
      </c>
      <c r="F151" s="23">
        <f t="shared" si="48"/>
        <v>340.9776</v>
      </c>
      <c r="G151" s="24">
        <f t="shared" si="49"/>
        <v>378.769284</v>
      </c>
      <c r="H151" s="23">
        <f t="shared" si="50"/>
        <v>397.8072</v>
      </c>
      <c r="I151" s="23">
        <f t="shared" si="51"/>
        <v>681.9552</v>
      </c>
      <c r="J151" s="23">
        <f t="shared" si="52"/>
        <v>757.538568</v>
      </c>
      <c r="K151" s="22">
        <f t="shared" si="53"/>
        <v>795.6144</v>
      </c>
      <c r="L151" s="25"/>
      <c r="O151" s="26"/>
    </row>
    <row r="152" spans="1:15">
      <c r="A152" s="22" t="s">
        <v>23</v>
      </c>
      <c r="B152" s="22">
        <v>2.9</v>
      </c>
      <c r="C152" s="22" t="s">
        <v>57</v>
      </c>
      <c r="D152" s="27" t="s">
        <v>29</v>
      </c>
      <c r="E152" s="22">
        <v>40.7052</v>
      </c>
      <c r="F152" s="23">
        <f t="shared" si="48"/>
        <v>488.4624</v>
      </c>
      <c r="G152" s="24">
        <f t="shared" si="49"/>
        <v>542.600316</v>
      </c>
      <c r="H152" s="23">
        <f t="shared" si="50"/>
        <v>569.8728</v>
      </c>
      <c r="I152" s="23">
        <f t="shared" si="51"/>
        <v>976.9248</v>
      </c>
      <c r="J152" s="23">
        <f t="shared" si="52"/>
        <v>1085.200632</v>
      </c>
      <c r="K152" s="22">
        <f t="shared" si="53"/>
        <v>1139.7456</v>
      </c>
      <c r="L152" s="25"/>
      <c r="O152" s="26"/>
    </row>
    <row r="153" spans="1:15">
      <c r="A153" s="34" t="s">
        <v>23</v>
      </c>
      <c r="B153" s="34">
        <v>3.1</v>
      </c>
      <c r="C153" s="34" t="s">
        <v>58</v>
      </c>
      <c r="D153" s="35" t="s">
        <v>25</v>
      </c>
      <c r="E153" s="34">
        <v>28.9872</v>
      </c>
      <c r="F153" s="36">
        <f t="shared" si="48"/>
        <v>347.8464</v>
      </c>
      <c r="G153" s="37">
        <f t="shared" si="49"/>
        <v>386.399376</v>
      </c>
      <c r="H153" s="36">
        <f t="shared" si="50"/>
        <v>405.8208</v>
      </c>
      <c r="I153" s="36">
        <f t="shared" si="51"/>
        <v>695.6928</v>
      </c>
      <c r="J153" s="36">
        <f t="shared" si="52"/>
        <v>772.798752</v>
      </c>
      <c r="K153" s="34">
        <f t="shared" si="53"/>
        <v>811.6416</v>
      </c>
      <c r="L153" s="25"/>
      <c r="O153" s="26"/>
    </row>
    <row r="154" spans="1:15">
      <c r="A154" s="34" t="s">
        <v>23</v>
      </c>
      <c r="B154" s="34">
        <v>3.1</v>
      </c>
      <c r="C154" s="34" t="s">
        <v>58</v>
      </c>
      <c r="D154" s="35" t="s">
        <v>26</v>
      </c>
      <c r="E154" s="34">
        <v>35.0028</v>
      </c>
      <c r="F154" s="36">
        <f t="shared" si="48"/>
        <v>420.0336</v>
      </c>
      <c r="G154" s="37">
        <f t="shared" si="49"/>
        <v>466.587324</v>
      </c>
      <c r="H154" s="36">
        <f t="shared" si="50"/>
        <v>490.0392</v>
      </c>
      <c r="I154" s="36">
        <f t="shared" si="51"/>
        <v>840.0672</v>
      </c>
      <c r="J154" s="36">
        <f t="shared" si="52"/>
        <v>933.174648</v>
      </c>
      <c r="K154" s="34">
        <f t="shared" si="53"/>
        <v>980.0784</v>
      </c>
      <c r="L154" s="25"/>
      <c r="O154" s="26"/>
    </row>
    <row r="155" spans="1:1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</row>
    <row r="156" ht="25.8" spans="1:15">
      <c r="A156" s="39" t="s">
        <v>59</v>
      </c>
      <c r="B156" s="40"/>
      <c r="C156" s="40"/>
      <c r="D156" s="40"/>
      <c r="E156" s="40"/>
      <c r="F156" s="41"/>
      <c r="G156" s="41"/>
      <c r="H156" s="41"/>
      <c r="I156" s="14"/>
      <c r="J156" s="14"/>
      <c r="K156" s="38"/>
    </row>
    <row r="157" ht="28.8" spans="1:15">
      <c r="A157" s="42" t="s">
        <v>12</v>
      </c>
      <c r="B157" s="42" t="s">
        <v>60</v>
      </c>
      <c r="C157" s="42" t="s">
        <v>61</v>
      </c>
      <c r="D157" s="42"/>
      <c r="E157" s="42"/>
      <c r="F157" s="42" t="s">
        <v>62</v>
      </c>
      <c r="G157" s="42" t="s">
        <v>63</v>
      </c>
      <c r="H157" s="42" t="s">
        <v>64</v>
      </c>
      <c r="I157" s="42" t="s">
        <v>65</v>
      </c>
      <c r="J157" s="42" t="s">
        <v>66</v>
      </c>
      <c r="K157" s="34" t="s">
        <v>67</v>
      </c>
    </row>
    <row r="158" ht="15" customHeight="1" spans="1:15">
      <c r="A158" s="43" t="s">
        <v>68</v>
      </c>
      <c r="B158" s="43">
        <v>7628</v>
      </c>
      <c r="C158" s="43" t="s">
        <v>69</v>
      </c>
      <c r="D158" s="43"/>
      <c r="E158" s="43"/>
      <c r="F158" s="43">
        <v>150</v>
      </c>
      <c r="G158" s="43" t="s">
        <v>70</v>
      </c>
      <c r="H158" s="44" t="s">
        <v>71</v>
      </c>
      <c r="I158" s="45">
        <f t="shared" ref="I158:I161" si="54">J158*F158</f>
        <v>3461.7</v>
      </c>
      <c r="J158" s="22">
        <v>23.078</v>
      </c>
      <c r="K158" s="22">
        <f>J158/13.12</f>
        <v>1.75899390243902</v>
      </c>
      <c r="L158" s="46"/>
      <c r="M158" s="47"/>
      <c r="N158" s="26"/>
    </row>
    <row r="159" spans="1:15">
      <c r="A159" s="43" t="s">
        <v>68</v>
      </c>
      <c r="B159" s="43">
        <v>7628</v>
      </c>
      <c r="C159" s="43" t="s">
        <v>69</v>
      </c>
      <c r="D159" s="43"/>
      <c r="E159" s="43"/>
      <c r="F159" s="43">
        <v>150</v>
      </c>
      <c r="G159" s="43" t="s">
        <v>70</v>
      </c>
      <c r="H159" s="44" t="s">
        <v>72</v>
      </c>
      <c r="I159" s="45">
        <f t="shared" si="54"/>
        <v>3552.45</v>
      </c>
      <c r="J159" s="22">
        <v>23.683</v>
      </c>
      <c r="K159" s="22">
        <f t="shared" ref="K158:K161" si="55">J159/13.12</f>
        <v>1.80510670731707</v>
      </c>
      <c r="L159" s="46"/>
      <c r="M159" s="47"/>
      <c r="N159" s="26"/>
    </row>
    <row r="160" spans="1:15">
      <c r="A160" s="43" t="s">
        <v>68</v>
      </c>
      <c r="B160" s="43">
        <v>7628</v>
      </c>
      <c r="C160" s="43" t="s">
        <v>69</v>
      </c>
      <c r="D160" s="43"/>
      <c r="E160" s="43"/>
      <c r="F160" s="43">
        <v>150</v>
      </c>
      <c r="G160" s="43" t="s">
        <v>70</v>
      </c>
      <c r="H160" s="44" t="s">
        <v>73</v>
      </c>
      <c r="I160" s="45">
        <f t="shared" si="54"/>
        <v>4055.7</v>
      </c>
      <c r="J160" s="22">
        <v>27.038</v>
      </c>
      <c r="K160" s="22">
        <f t="shared" si="55"/>
        <v>2.06082317073171</v>
      </c>
      <c r="L160" s="46"/>
      <c r="M160" s="47"/>
      <c r="N160" s="26"/>
    </row>
    <row r="161" spans="1:14">
      <c r="A161" s="43" t="s">
        <v>68</v>
      </c>
      <c r="B161" s="43">
        <v>7628</v>
      </c>
      <c r="C161" s="43" t="s">
        <v>69</v>
      </c>
      <c r="D161" s="43"/>
      <c r="E161" s="43"/>
      <c r="F161" s="43">
        <v>150</v>
      </c>
      <c r="G161" s="43" t="s">
        <v>70</v>
      </c>
      <c r="H161" s="44" t="s">
        <v>74</v>
      </c>
      <c r="I161" s="45">
        <f t="shared" si="54"/>
        <v>4093.65</v>
      </c>
      <c r="J161" s="22">
        <v>27.291</v>
      </c>
      <c r="K161" s="22">
        <f t="shared" si="55"/>
        <v>2.08010670731707</v>
      </c>
      <c r="L161" s="46"/>
      <c r="M161" s="47"/>
      <c r="N161" s="26"/>
    </row>
    <row r="162" spans="1:14">
      <c r="A162" s="43" t="s">
        <v>68</v>
      </c>
      <c r="B162" s="43">
        <v>7628</v>
      </c>
      <c r="C162" s="43" t="s">
        <v>69</v>
      </c>
      <c r="D162" s="43"/>
      <c r="E162" s="43"/>
      <c r="F162" s="43">
        <v>150</v>
      </c>
      <c r="G162" s="43" t="s">
        <v>70</v>
      </c>
      <c r="H162" s="44" t="s">
        <v>75</v>
      </c>
      <c r="I162" s="45">
        <f t="shared" ref="I162:I177" si="56">J162*F162</f>
        <v>3613.5</v>
      </c>
      <c r="J162" s="22">
        <v>24.09</v>
      </c>
      <c r="K162" s="22">
        <f t="shared" ref="K162:K177" si="57">J162/13.12</f>
        <v>1.83612804878049</v>
      </c>
      <c r="L162" s="46"/>
      <c r="M162" s="47"/>
      <c r="N162" s="26"/>
    </row>
    <row r="163" spans="1:14">
      <c r="A163" s="43" t="s">
        <v>68</v>
      </c>
      <c r="B163" s="43">
        <v>7628</v>
      </c>
      <c r="C163" s="43" t="s">
        <v>69</v>
      </c>
      <c r="D163" s="43"/>
      <c r="E163" s="43"/>
      <c r="F163" s="43">
        <v>150</v>
      </c>
      <c r="G163" s="43" t="s">
        <v>70</v>
      </c>
      <c r="H163" s="44" t="s">
        <v>76</v>
      </c>
      <c r="I163" s="45">
        <f t="shared" si="56"/>
        <v>4187.7</v>
      </c>
      <c r="J163" s="22">
        <v>27.918</v>
      </c>
      <c r="K163" s="22">
        <f t="shared" si="57"/>
        <v>2.12789634146341</v>
      </c>
      <c r="L163" s="46"/>
      <c r="M163" s="47"/>
      <c r="N163" s="26"/>
    </row>
    <row r="164" spans="1:14">
      <c r="A164" s="43" t="s">
        <v>68</v>
      </c>
      <c r="B164" s="43">
        <v>2113</v>
      </c>
      <c r="C164" s="43" t="s">
        <v>77</v>
      </c>
      <c r="D164" s="43"/>
      <c r="E164" s="43"/>
      <c r="F164" s="43">
        <v>300</v>
      </c>
      <c r="G164" s="43" t="s">
        <v>70</v>
      </c>
      <c r="H164" s="44" t="s">
        <v>78</v>
      </c>
      <c r="I164" s="45">
        <f t="shared" si="56"/>
        <v>7108.2</v>
      </c>
      <c r="J164" s="22">
        <v>23.694</v>
      </c>
      <c r="K164" s="22">
        <f t="shared" si="57"/>
        <v>1.80594512195122</v>
      </c>
      <c r="L164" s="46"/>
      <c r="M164" s="47"/>
      <c r="N164" s="26"/>
    </row>
    <row r="165" spans="1:14">
      <c r="A165" s="43" t="s">
        <v>68</v>
      </c>
      <c r="B165" s="43">
        <v>2116</v>
      </c>
      <c r="C165" s="43" t="s">
        <v>77</v>
      </c>
      <c r="D165" s="43"/>
      <c r="E165" s="43"/>
      <c r="F165" s="43">
        <v>300</v>
      </c>
      <c r="G165" s="43" t="s">
        <v>70</v>
      </c>
      <c r="H165" s="44" t="s">
        <v>76</v>
      </c>
      <c r="I165" s="45">
        <f t="shared" si="56"/>
        <v>6877.2</v>
      </c>
      <c r="J165" s="22">
        <v>22.924</v>
      </c>
      <c r="K165" s="22">
        <f t="shared" si="57"/>
        <v>1.74725609756098</v>
      </c>
      <c r="L165" s="46"/>
      <c r="M165" s="47"/>
      <c r="N165" s="26"/>
    </row>
    <row r="166" spans="1:14">
      <c r="A166" s="43" t="s">
        <v>68</v>
      </c>
      <c r="B166" s="43">
        <v>2116</v>
      </c>
      <c r="C166" s="43" t="s">
        <v>77</v>
      </c>
      <c r="D166" s="43"/>
      <c r="E166" s="43"/>
      <c r="F166" s="43">
        <v>300</v>
      </c>
      <c r="G166" s="43" t="s">
        <v>70</v>
      </c>
      <c r="H166" s="44" t="s">
        <v>79</v>
      </c>
      <c r="I166" s="45">
        <f t="shared" si="56"/>
        <v>7200.6</v>
      </c>
      <c r="J166" s="22">
        <v>24.002</v>
      </c>
      <c r="K166" s="22">
        <f t="shared" si="57"/>
        <v>1.82942073170732</v>
      </c>
      <c r="L166" s="46"/>
      <c r="M166" s="47"/>
      <c r="N166" s="26"/>
    </row>
    <row r="167" spans="1:14">
      <c r="A167" s="43" t="s">
        <v>68</v>
      </c>
      <c r="B167" s="43">
        <v>2116</v>
      </c>
      <c r="C167" s="43" t="s">
        <v>77</v>
      </c>
      <c r="D167" s="43"/>
      <c r="E167" s="43"/>
      <c r="F167" s="43">
        <v>300</v>
      </c>
      <c r="G167" s="43" t="s">
        <v>70</v>
      </c>
      <c r="H167" s="44" t="s">
        <v>80</v>
      </c>
      <c r="I167" s="45">
        <f t="shared" si="56"/>
        <v>7200.6</v>
      </c>
      <c r="J167" s="22">
        <v>24.002</v>
      </c>
      <c r="K167" s="22">
        <f t="shared" si="57"/>
        <v>1.82942073170732</v>
      </c>
      <c r="L167" s="46"/>
      <c r="M167" s="47"/>
      <c r="N167" s="26"/>
    </row>
    <row r="168" spans="1:14">
      <c r="A168" s="43" t="s">
        <v>68</v>
      </c>
      <c r="B168" s="43">
        <v>2116</v>
      </c>
      <c r="C168" s="43" t="s">
        <v>77</v>
      </c>
      <c r="D168" s="43"/>
      <c r="E168" s="43"/>
      <c r="F168" s="43">
        <v>300</v>
      </c>
      <c r="G168" s="43" t="s">
        <v>70</v>
      </c>
      <c r="H168" s="44" t="s">
        <v>81</v>
      </c>
      <c r="I168" s="45">
        <f t="shared" si="56"/>
        <v>7309.5</v>
      </c>
      <c r="J168" s="48">
        <v>24.365</v>
      </c>
      <c r="K168" s="22">
        <f t="shared" si="57"/>
        <v>1.85708841463415</v>
      </c>
      <c r="L168" s="46"/>
      <c r="M168" s="47"/>
      <c r="N168" s="26"/>
    </row>
    <row r="169" spans="1:14">
      <c r="A169" s="43" t="s">
        <v>68</v>
      </c>
      <c r="B169" s="43">
        <v>2116</v>
      </c>
      <c r="C169" s="43" t="s">
        <v>77</v>
      </c>
      <c r="D169" s="43"/>
      <c r="E169" s="43"/>
      <c r="F169" s="43">
        <v>300</v>
      </c>
      <c r="G169" s="43" t="s">
        <v>70</v>
      </c>
      <c r="H169" s="44" t="s">
        <v>82</v>
      </c>
      <c r="I169" s="45">
        <f t="shared" si="56"/>
        <v>7451.4</v>
      </c>
      <c r="J169" s="48">
        <v>24.838</v>
      </c>
      <c r="K169" s="22">
        <f t="shared" si="57"/>
        <v>1.89314024390244</v>
      </c>
      <c r="L169" s="46"/>
      <c r="M169" s="47"/>
      <c r="N169" s="26"/>
    </row>
    <row r="170" spans="1:14">
      <c r="A170" s="43" t="s">
        <v>68</v>
      </c>
      <c r="B170" s="43">
        <v>2116</v>
      </c>
      <c r="C170" s="43" t="s">
        <v>77</v>
      </c>
      <c r="D170" s="43"/>
      <c r="E170" s="43"/>
      <c r="F170" s="43">
        <v>300</v>
      </c>
      <c r="G170" s="43" t="s">
        <v>70</v>
      </c>
      <c r="H170" s="44" t="s">
        <v>83</v>
      </c>
      <c r="I170" s="45">
        <f t="shared" si="56"/>
        <v>7395.3</v>
      </c>
      <c r="J170" s="48">
        <v>24.651</v>
      </c>
      <c r="K170" s="22">
        <f t="shared" si="57"/>
        <v>1.87888719512195</v>
      </c>
      <c r="L170" s="46"/>
      <c r="M170" s="47"/>
      <c r="N170" s="26"/>
    </row>
    <row r="171" spans="1:14">
      <c r="A171" s="43" t="s">
        <v>68</v>
      </c>
      <c r="B171" s="43">
        <v>1080</v>
      </c>
      <c r="C171" s="43" t="s">
        <v>77</v>
      </c>
      <c r="D171" s="43"/>
      <c r="E171" s="43"/>
      <c r="F171" s="43">
        <v>300</v>
      </c>
      <c r="G171" s="43" t="s">
        <v>70</v>
      </c>
      <c r="H171" s="44" t="s">
        <v>84</v>
      </c>
      <c r="I171" s="45">
        <f t="shared" si="56"/>
        <v>7187.4</v>
      </c>
      <c r="J171" s="48">
        <v>23.958</v>
      </c>
      <c r="K171" s="22">
        <f t="shared" si="57"/>
        <v>1.82606707317073</v>
      </c>
      <c r="L171" s="46"/>
      <c r="M171" s="47"/>
      <c r="N171" s="26"/>
    </row>
    <row r="172" spans="1:14">
      <c r="A172" s="43" t="s">
        <v>68</v>
      </c>
      <c r="B172" s="43">
        <v>1080</v>
      </c>
      <c r="C172" s="43" t="s">
        <v>77</v>
      </c>
      <c r="D172" s="43"/>
      <c r="E172" s="43"/>
      <c r="F172" s="43">
        <v>300</v>
      </c>
      <c r="G172" s="43" t="s">
        <v>70</v>
      </c>
      <c r="H172" s="44" t="s">
        <v>85</v>
      </c>
      <c r="I172" s="45">
        <f t="shared" si="56"/>
        <v>7362.3</v>
      </c>
      <c r="J172" s="48">
        <v>24.541</v>
      </c>
      <c r="K172" s="22">
        <f t="shared" si="57"/>
        <v>1.87050304878049</v>
      </c>
      <c r="L172" s="46"/>
      <c r="M172" s="47"/>
      <c r="N172" s="26"/>
    </row>
    <row r="173" spans="1:14">
      <c r="A173" s="43" t="s">
        <v>68</v>
      </c>
      <c r="B173" s="43">
        <v>1080</v>
      </c>
      <c r="C173" s="43" t="s">
        <v>77</v>
      </c>
      <c r="D173" s="43"/>
      <c r="E173" s="43"/>
      <c r="F173" s="43">
        <v>300</v>
      </c>
      <c r="G173" s="43" t="s">
        <v>70</v>
      </c>
      <c r="H173" s="44" t="s">
        <v>86</v>
      </c>
      <c r="I173" s="45">
        <f t="shared" si="56"/>
        <v>7477.8</v>
      </c>
      <c r="J173" s="48">
        <v>24.926</v>
      </c>
      <c r="K173" s="22">
        <f t="shared" si="57"/>
        <v>1.89984756097561</v>
      </c>
      <c r="L173" s="46"/>
      <c r="M173" s="47"/>
      <c r="N173" s="26"/>
    </row>
    <row r="174" spans="1:14">
      <c r="A174" s="43" t="s">
        <v>68</v>
      </c>
      <c r="B174" s="43">
        <v>1080</v>
      </c>
      <c r="C174" s="43" t="s">
        <v>77</v>
      </c>
      <c r="D174" s="43"/>
      <c r="E174" s="43"/>
      <c r="F174" s="43">
        <v>300</v>
      </c>
      <c r="G174" s="43" t="s">
        <v>70</v>
      </c>
      <c r="H174" s="44" t="s">
        <v>87</v>
      </c>
      <c r="I174" s="45">
        <f t="shared" si="56"/>
        <v>7477.8</v>
      </c>
      <c r="J174" s="48">
        <v>24.926</v>
      </c>
      <c r="K174" s="22">
        <f t="shared" si="57"/>
        <v>1.89984756097561</v>
      </c>
      <c r="L174" s="46"/>
      <c r="M174" s="47"/>
      <c r="N174" s="26"/>
    </row>
    <row r="175" spans="1:14">
      <c r="A175" s="43" t="s">
        <v>68</v>
      </c>
      <c r="B175" s="43">
        <v>1080</v>
      </c>
      <c r="C175" s="43" t="s">
        <v>77</v>
      </c>
      <c r="D175" s="43"/>
      <c r="E175" s="43"/>
      <c r="F175" s="43">
        <v>300</v>
      </c>
      <c r="G175" s="43" t="s">
        <v>70</v>
      </c>
      <c r="H175" s="44" t="s">
        <v>88</v>
      </c>
      <c r="I175" s="45">
        <f t="shared" si="56"/>
        <v>7953</v>
      </c>
      <c r="J175" s="22">
        <v>26.51</v>
      </c>
      <c r="K175" s="22">
        <f t="shared" si="57"/>
        <v>2.02057926829268</v>
      </c>
      <c r="L175" s="46"/>
      <c r="M175" s="47"/>
      <c r="N175" s="26"/>
    </row>
    <row r="176" spans="1:14">
      <c r="A176" s="43" t="s">
        <v>68</v>
      </c>
      <c r="B176" s="43">
        <v>1506</v>
      </c>
      <c r="C176" s="43" t="s">
        <v>69</v>
      </c>
      <c r="D176" s="43"/>
      <c r="E176" s="43"/>
      <c r="F176" s="43">
        <v>150</v>
      </c>
      <c r="G176" s="43" t="s">
        <v>70</v>
      </c>
      <c r="H176" s="44" t="s">
        <v>75</v>
      </c>
      <c r="I176" s="45">
        <f t="shared" si="56"/>
        <v>4415.4</v>
      </c>
      <c r="J176" s="22">
        <v>29.436</v>
      </c>
      <c r="K176" s="22">
        <f t="shared" si="57"/>
        <v>2.24359756097561</v>
      </c>
      <c r="L176" s="46"/>
      <c r="M176" s="47"/>
      <c r="N176" s="26"/>
    </row>
    <row r="177" spans="1:14">
      <c r="A177" s="43" t="s">
        <v>68</v>
      </c>
      <c r="B177" s="43">
        <v>1506</v>
      </c>
      <c r="C177" s="43" t="s">
        <v>69</v>
      </c>
      <c r="D177" s="43"/>
      <c r="E177" s="43"/>
      <c r="F177" s="43">
        <v>150</v>
      </c>
      <c r="G177" s="43" t="s">
        <v>70</v>
      </c>
      <c r="H177" s="44" t="s">
        <v>76</v>
      </c>
      <c r="I177" s="45">
        <f t="shared" si="56"/>
        <v>4506.15</v>
      </c>
      <c r="J177" s="22">
        <v>30.041</v>
      </c>
      <c r="K177" s="22">
        <f t="shared" si="57"/>
        <v>2.28971036585366</v>
      </c>
      <c r="L177" s="46"/>
      <c r="M177" s="47"/>
      <c r="N177" s="26"/>
    </row>
    <row r="178" spans="1:14">
      <c r="A178" s="49"/>
      <c r="B178" s="50"/>
      <c r="C178" s="50"/>
      <c r="D178" s="50"/>
      <c r="E178" s="50"/>
      <c r="F178" s="50"/>
      <c r="G178" s="50"/>
      <c r="H178" s="50"/>
      <c r="I178" s="51"/>
      <c r="J178" s="51"/>
      <c r="K178" s="52"/>
    </row>
    <row r="179" ht="25.8" spans="1:14">
      <c r="A179" s="53" t="s">
        <v>89</v>
      </c>
      <c r="B179" s="50"/>
      <c r="C179" s="50"/>
      <c r="D179" s="50"/>
      <c r="E179" s="50"/>
      <c r="F179" s="50"/>
      <c r="G179" s="50"/>
      <c r="H179" s="50"/>
      <c r="I179" s="51"/>
      <c r="J179" s="51"/>
      <c r="K179" s="52"/>
    </row>
    <row r="180" spans="1:14">
      <c r="A180" s="54" t="s">
        <v>12</v>
      </c>
      <c r="B180" s="54" t="s">
        <v>13</v>
      </c>
      <c r="C180" s="54" t="s">
        <v>14</v>
      </c>
      <c r="D180" s="54" t="s">
        <v>15</v>
      </c>
      <c r="E180" s="54" t="s">
        <v>16</v>
      </c>
      <c r="F180" s="54" t="s">
        <v>17</v>
      </c>
      <c r="G180" s="54" t="s">
        <v>18</v>
      </c>
      <c r="H180" s="54" t="s">
        <v>19</v>
      </c>
      <c r="I180" s="54" t="s">
        <v>20</v>
      </c>
      <c r="J180" s="54" t="s">
        <v>21</v>
      </c>
      <c r="K180" s="54" t="s">
        <v>22</v>
      </c>
    </row>
    <row r="181" spans="1:14">
      <c r="A181" s="54" t="s">
        <v>90</v>
      </c>
      <c r="B181" s="35">
        <v>0.076</v>
      </c>
      <c r="C181" s="54" t="s">
        <v>91</v>
      </c>
      <c r="D181" s="54" t="s">
        <v>25</v>
      </c>
      <c r="E181" s="34">
        <v>7.4088</v>
      </c>
      <c r="F181" s="36">
        <f>E181*12</f>
        <v>88.9056</v>
      </c>
      <c r="G181" s="36">
        <f>E181*13.33</f>
        <v>98.759304</v>
      </c>
      <c r="H181" s="36">
        <f>E181*14</f>
        <v>103.7232</v>
      </c>
      <c r="I181" s="36">
        <f>F181*2</f>
        <v>177.8112</v>
      </c>
      <c r="J181" s="36">
        <f>G181*2</f>
        <v>197.518608</v>
      </c>
      <c r="K181" s="34">
        <f>H181*2</f>
        <v>207.4464</v>
      </c>
      <c r="M181" s="47"/>
    </row>
    <row r="182" spans="1:14">
      <c r="A182" s="54" t="s">
        <v>90</v>
      </c>
      <c r="B182" s="35">
        <v>0.076</v>
      </c>
      <c r="C182" s="54" t="s">
        <v>24</v>
      </c>
      <c r="D182" s="54" t="s">
        <v>92</v>
      </c>
      <c r="E182" s="34">
        <v>8.3592</v>
      </c>
      <c r="F182" s="36">
        <f>E182*12</f>
        <v>100.3104</v>
      </c>
      <c r="G182" s="36">
        <f>E182*13.33</f>
        <v>111.428136</v>
      </c>
      <c r="H182" s="36">
        <f>E182*14</f>
        <v>117.0288</v>
      </c>
      <c r="I182" s="36">
        <f>F182*2</f>
        <v>200.6208</v>
      </c>
      <c r="J182" s="36">
        <f>G182*2</f>
        <v>222.856272</v>
      </c>
      <c r="K182" s="34">
        <f>H182*2</f>
        <v>234.0576</v>
      </c>
      <c r="M182" s="47"/>
    </row>
    <row r="183" spans="1:14">
      <c r="A183" s="54" t="s">
        <v>90</v>
      </c>
      <c r="B183" s="35">
        <v>0.076</v>
      </c>
      <c r="C183" s="54" t="s">
        <v>24</v>
      </c>
      <c r="D183" s="54" t="s">
        <v>44</v>
      </c>
      <c r="E183" s="34">
        <v>7.6248</v>
      </c>
      <c r="F183" s="36">
        <f t="shared" ref="F183:F189" si="58">E183*12</f>
        <v>91.4976</v>
      </c>
      <c r="G183" s="36">
        <f t="shared" ref="G183:G189" si="59">E183*13.33</f>
        <v>101.638584</v>
      </c>
      <c r="H183" s="36">
        <f t="shared" ref="H183:H189" si="60">E183*14</f>
        <v>106.7472</v>
      </c>
      <c r="I183" s="36">
        <f t="shared" ref="I183:I189" si="61">F183*2</f>
        <v>182.9952</v>
      </c>
      <c r="J183" s="36">
        <f t="shared" ref="J183:J189" si="62">G183*2</f>
        <v>203.277168</v>
      </c>
      <c r="K183" s="34">
        <f t="shared" ref="K183:K189" si="63">H183*2</f>
        <v>213.4944</v>
      </c>
      <c r="M183" s="47"/>
    </row>
    <row r="184" spans="1:14">
      <c r="A184" s="54" t="s">
        <v>90</v>
      </c>
      <c r="B184" s="35">
        <v>0.076</v>
      </c>
      <c r="C184" s="54" t="s">
        <v>24</v>
      </c>
      <c r="D184" s="35" t="s">
        <v>26</v>
      </c>
      <c r="E184" s="34">
        <v>11.2212</v>
      </c>
      <c r="F184" s="36">
        <f t="shared" si="58"/>
        <v>134.6544</v>
      </c>
      <c r="G184" s="36">
        <f t="shared" si="59"/>
        <v>149.578596</v>
      </c>
      <c r="H184" s="36">
        <f t="shared" si="60"/>
        <v>157.0968</v>
      </c>
      <c r="I184" s="36">
        <f t="shared" si="61"/>
        <v>269.3088</v>
      </c>
      <c r="J184" s="36">
        <f t="shared" si="62"/>
        <v>299.157192</v>
      </c>
      <c r="K184" s="34">
        <f t="shared" si="63"/>
        <v>314.1936</v>
      </c>
      <c r="M184" s="47"/>
    </row>
    <row r="185" spans="1:14">
      <c r="A185" s="54" t="s">
        <v>90</v>
      </c>
      <c r="B185" s="35">
        <v>0.076</v>
      </c>
      <c r="C185" s="54" t="s">
        <v>24</v>
      </c>
      <c r="D185" s="35" t="s">
        <v>93</v>
      </c>
      <c r="E185" s="34">
        <v>11.9448</v>
      </c>
      <c r="F185" s="36">
        <f t="shared" si="58"/>
        <v>143.3376</v>
      </c>
      <c r="G185" s="36">
        <f t="shared" si="59"/>
        <v>159.224184</v>
      </c>
      <c r="H185" s="36">
        <f t="shared" si="60"/>
        <v>167.2272</v>
      </c>
      <c r="I185" s="36">
        <f t="shared" si="61"/>
        <v>286.6752</v>
      </c>
      <c r="J185" s="36">
        <f t="shared" si="62"/>
        <v>318.448368</v>
      </c>
      <c r="K185" s="34">
        <f t="shared" si="63"/>
        <v>334.4544</v>
      </c>
      <c r="M185" s="47"/>
    </row>
    <row r="186" spans="1:14">
      <c r="A186" s="34" t="s">
        <v>90</v>
      </c>
      <c r="B186" s="35">
        <v>0.1</v>
      </c>
      <c r="C186" s="34" t="s">
        <v>28</v>
      </c>
      <c r="D186" s="54" t="s">
        <v>25</v>
      </c>
      <c r="E186" s="34">
        <v>7.5276</v>
      </c>
      <c r="F186" s="36">
        <f t="shared" si="58"/>
        <v>90.3312</v>
      </c>
      <c r="G186" s="36">
        <f t="shared" si="59"/>
        <v>100.342908</v>
      </c>
      <c r="H186" s="36">
        <f t="shared" si="60"/>
        <v>105.3864</v>
      </c>
      <c r="I186" s="36">
        <f t="shared" si="61"/>
        <v>180.6624</v>
      </c>
      <c r="J186" s="36">
        <f t="shared" si="62"/>
        <v>200.685816</v>
      </c>
      <c r="K186" s="34">
        <f t="shared" si="63"/>
        <v>210.7728</v>
      </c>
      <c r="M186" s="47"/>
    </row>
    <row r="187" spans="1:14">
      <c r="A187" s="22" t="s">
        <v>90</v>
      </c>
      <c r="B187" s="27">
        <v>0.1</v>
      </c>
      <c r="C187" s="22" t="s">
        <v>28</v>
      </c>
      <c r="D187" s="27" t="s">
        <v>26</v>
      </c>
      <c r="E187" s="22">
        <v>11.5452</v>
      </c>
      <c r="F187" s="23">
        <f t="shared" si="58"/>
        <v>138.5424</v>
      </c>
      <c r="G187" s="23">
        <f t="shared" si="59"/>
        <v>153.897516</v>
      </c>
      <c r="H187" s="23">
        <f t="shared" si="60"/>
        <v>161.6328</v>
      </c>
      <c r="I187" s="23">
        <f t="shared" si="61"/>
        <v>277.0848</v>
      </c>
      <c r="J187" s="23">
        <f t="shared" si="62"/>
        <v>307.795032</v>
      </c>
      <c r="K187" s="22">
        <f t="shared" si="63"/>
        <v>323.2656</v>
      </c>
      <c r="M187" s="47"/>
    </row>
    <row r="188" spans="1:14">
      <c r="A188" s="22" t="s">
        <v>90</v>
      </c>
      <c r="B188" s="27">
        <v>0.1</v>
      </c>
      <c r="C188" s="22" t="s">
        <v>28</v>
      </c>
      <c r="D188" s="27" t="s">
        <v>29</v>
      </c>
      <c r="E188" s="22">
        <v>22.1832</v>
      </c>
      <c r="F188" s="23">
        <f t="shared" si="58"/>
        <v>266.1984</v>
      </c>
      <c r="G188" s="23">
        <f t="shared" si="59"/>
        <v>295.702056</v>
      </c>
      <c r="H188" s="23">
        <f t="shared" si="60"/>
        <v>310.5648</v>
      </c>
      <c r="I188" s="23">
        <f t="shared" si="61"/>
        <v>532.3968</v>
      </c>
      <c r="J188" s="23">
        <f t="shared" si="62"/>
        <v>591.404112</v>
      </c>
      <c r="K188" s="22">
        <f t="shared" si="63"/>
        <v>621.1296</v>
      </c>
      <c r="M188" s="47"/>
    </row>
    <row r="189" spans="1:14">
      <c r="A189" s="22" t="s">
        <v>90</v>
      </c>
      <c r="B189" s="27" t="s">
        <v>94</v>
      </c>
      <c r="C189" s="22" t="s">
        <v>28</v>
      </c>
      <c r="D189" s="27" t="s">
        <v>26</v>
      </c>
      <c r="E189" s="22">
        <v>11.9124</v>
      </c>
      <c r="F189" s="23">
        <f t="shared" si="58"/>
        <v>142.9488</v>
      </c>
      <c r="G189" s="23">
        <f t="shared" si="59"/>
        <v>158.792292</v>
      </c>
      <c r="H189" s="23">
        <f t="shared" si="60"/>
        <v>166.7736</v>
      </c>
      <c r="I189" s="23">
        <f t="shared" si="61"/>
        <v>285.8976</v>
      </c>
      <c r="J189" s="23">
        <f t="shared" si="62"/>
        <v>317.584584</v>
      </c>
      <c r="K189" s="22">
        <f t="shared" si="63"/>
        <v>333.5472</v>
      </c>
      <c r="M189" s="47"/>
    </row>
    <row r="190" spans="1:14">
      <c r="A190" s="22" t="s">
        <v>90</v>
      </c>
      <c r="B190" s="27">
        <v>0.13</v>
      </c>
      <c r="C190" s="22" t="s">
        <v>28</v>
      </c>
      <c r="D190" s="21" t="s">
        <v>25</v>
      </c>
      <c r="E190" s="22">
        <v>7.6464</v>
      </c>
      <c r="F190" s="23">
        <f t="shared" ref="F190:F193" si="64">E190*12</f>
        <v>91.7568</v>
      </c>
      <c r="G190" s="23">
        <f t="shared" ref="G190:G193" si="65">E190*13.33</f>
        <v>101.926512</v>
      </c>
      <c r="H190" s="23">
        <f t="shared" ref="H190:H193" si="66">E190*14</f>
        <v>107.0496</v>
      </c>
      <c r="I190" s="23">
        <f t="shared" ref="I190:I193" si="67">F190*2</f>
        <v>183.5136</v>
      </c>
      <c r="J190" s="23">
        <f t="shared" ref="J190:J193" si="68">G190*2</f>
        <v>203.853024</v>
      </c>
      <c r="K190" s="22">
        <f t="shared" ref="K190:K193" si="69">H190*2</f>
        <v>214.0992</v>
      </c>
      <c r="M190" s="47"/>
    </row>
    <row r="191" spans="1:14">
      <c r="A191" s="34" t="s">
        <v>90</v>
      </c>
      <c r="B191" s="35">
        <v>0.13</v>
      </c>
      <c r="C191" s="34" t="s">
        <v>28</v>
      </c>
      <c r="D191" s="35" t="s">
        <v>26</v>
      </c>
      <c r="E191" s="34">
        <v>11.4696</v>
      </c>
      <c r="F191" s="36">
        <f t="shared" si="64"/>
        <v>137.6352</v>
      </c>
      <c r="G191" s="36">
        <f t="shared" si="65"/>
        <v>152.889768</v>
      </c>
      <c r="H191" s="36">
        <f t="shared" si="66"/>
        <v>160.5744</v>
      </c>
      <c r="I191" s="36">
        <f t="shared" si="67"/>
        <v>275.2704</v>
      </c>
      <c r="J191" s="36">
        <f t="shared" si="68"/>
        <v>305.779536</v>
      </c>
      <c r="K191" s="34">
        <f t="shared" si="69"/>
        <v>321.1488</v>
      </c>
      <c r="M191" s="47"/>
    </row>
    <row r="192" spans="1:14">
      <c r="A192" s="34" t="s">
        <v>90</v>
      </c>
      <c r="B192" s="35">
        <v>0.13</v>
      </c>
      <c r="C192" s="34" t="s">
        <v>28</v>
      </c>
      <c r="D192" s="27" t="s">
        <v>29</v>
      </c>
      <c r="E192" s="34">
        <v>23.1444</v>
      </c>
      <c r="F192" s="36">
        <f t="shared" si="64"/>
        <v>277.7328</v>
      </c>
      <c r="G192" s="36">
        <f t="shared" si="65"/>
        <v>308.514852</v>
      </c>
      <c r="H192" s="36">
        <f t="shared" si="66"/>
        <v>324.0216</v>
      </c>
      <c r="I192" s="36">
        <f t="shared" si="67"/>
        <v>555.4656</v>
      </c>
      <c r="J192" s="36">
        <f t="shared" si="68"/>
        <v>617.029704</v>
      </c>
      <c r="K192" s="34">
        <f t="shared" si="69"/>
        <v>648.0432</v>
      </c>
      <c r="M192" s="47"/>
    </row>
    <row r="193" spans="1:13">
      <c r="A193" s="34" t="s">
        <v>90</v>
      </c>
      <c r="B193" s="35" t="s">
        <v>95</v>
      </c>
      <c r="C193" s="34" t="s">
        <v>31</v>
      </c>
      <c r="D193" s="21" t="s">
        <v>25</v>
      </c>
      <c r="E193" s="34">
        <v>8.3592</v>
      </c>
      <c r="F193" s="36">
        <f t="shared" si="64"/>
        <v>100.3104</v>
      </c>
      <c r="G193" s="36">
        <f t="shared" si="65"/>
        <v>111.428136</v>
      </c>
      <c r="H193" s="36">
        <f t="shared" si="66"/>
        <v>117.0288</v>
      </c>
      <c r="I193" s="36">
        <f t="shared" si="67"/>
        <v>200.6208</v>
      </c>
      <c r="J193" s="36">
        <f t="shared" si="68"/>
        <v>222.856272</v>
      </c>
      <c r="K193" s="34">
        <f t="shared" si="69"/>
        <v>234.0576</v>
      </c>
      <c r="M193" s="47"/>
    </row>
    <row r="194" spans="1:13">
      <c r="A194" s="34" t="s">
        <v>90</v>
      </c>
      <c r="B194" s="35" t="s">
        <v>95</v>
      </c>
      <c r="C194" s="34" t="s">
        <v>31</v>
      </c>
      <c r="D194" s="35" t="s">
        <v>26</v>
      </c>
      <c r="E194" s="34">
        <v>12.42</v>
      </c>
      <c r="F194" s="36">
        <f t="shared" ref="F194:F197" si="70">E194*12</f>
        <v>149.04</v>
      </c>
      <c r="G194" s="36">
        <f t="shared" ref="G194:G197" si="71">E194*13.33</f>
        <v>165.5586</v>
      </c>
      <c r="H194" s="36">
        <f t="shared" ref="H194:H197" si="72">E194*14</f>
        <v>173.88</v>
      </c>
      <c r="I194" s="36">
        <f t="shared" ref="I194:I197" si="73">F194*2</f>
        <v>298.08</v>
      </c>
      <c r="J194" s="36">
        <f t="shared" ref="J194:J197" si="74">G194*2</f>
        <v>331.1172</v>
      </c>
      <c r="K194" s="34">
        <f t="shared" ref="K194:K197" si="75">H194*2</f>
        <v>347.76</v>
      </c>
      <c r="M194" s="47"/>
    </row>
    <row r="195" spans="1:13">
      <c r="A195" s="34" t="s">
        <v>90</v>
      </c>
      <c r="B195" s="35">
        <v>0.2</v>
      </c>
      <c r="C195" s="34" t="s">
        <v>32</v>
      </c>
      <c r="D195" s="54" t="s">
        <v>25</v>
      </c>
      <c r="E195" s="34">
        <v>7.884</v>
      </c>
      <c r="F195" s="36">
        <f t="shared" si="70"/>
        <v>94.608</v>
      </c>
      <c r="G195" s="36">
        <f t="shared" si="71"/>
        <v>105.09372</v>
      </c>
      <c r="H195" s="36">
        <f t="shared" si="72"/>
        <v>110.376</v>
      </c>
      <c r="I195" s="36">
        <f t="shared" si="73"/>
        <v>189.216</v>
      </c>
      <c r="J195" s="36">
        <f t="shared" si="74"/>
        <v>210.18744</v>
      </c>
      <c r="K195" s="34">
        <f t="shared" si="75"/>
        <v>220.752</v>
      </c>
      <c r="M195" s="47"/>
    </row>
    <row r="196" spans="1:13">
      <c r="A196" s="34" t="s">
        <v>90</v>
      </c>
      <c r="B196" s="35">
        <v>0.2</v>
      </c>
      <c r="C196" s="34" t="s">
        <v>32</v>
      </c>
      <c r="D196" s="35" t="s">
        <v>26</v>
      </c>
      <c r="E196" s="34">
        <v>11.6964</v>
      </c>
      <c r="F196" s="36">
        <f t="shared" si="70"/>
        <v>140.3568</v>
      </c>
      <c r="G196" s="36">
        <f t="shared" si="71"/>
        <v>155.913012</v>
      </c>
      <c r="H196" s="36">
        <f t="shared" si="72"/>
        <v>163.7496</v>
      </c>
      <c r="I196" s="36">
        <f t="shared" si="73"/>
        <v>280.7136</v>
      </c>
      <c r="J196" s="36">
        <f t="shared" si="74"/>
        <v>311.826024</v>
      </c>
      <c r="K196" s="34">
        <f t="shared" si="75"/>
        <v>327.4992</v>
      </c>
      <c r="M196" s="47"/>
    </row>
    <row r="197" spans="1:13">
      <c r="A197" s="34" t="s">
        <v>90</v>
      </c>
      <c r="B197" s="35">
        <v>0.2</v>
      </c>
      <c r="C197" s="34" t="s">
        <v>32</v>
      </c>
      <c r="D197" s="27" t="s">
        <v>29</v>
      </c>
      <c r="E197" s="34">
        <v>21.36456</v>
      </c>
      <c r="F197" s="36">
        <f t="shared" si="70"/>
        <v>256.37472</v>
      </c>
      <c r="G197" s="36">
        <f t="shared" si="71"/>
        <v>284.7895848</v>
      </c>
      <c r="H197" s="36">
        <f t="shared" si="72"/>
        <v>299.10384</v>
      </c>
      <c r="I197" s="36">
        <f t="shared" si="73"/>
        <v>512.74944</v>
      </c>
      <c r="J197" s="36">
        <f t="shared" si="74"/>
        <v>569.5791696</v>
      </c>
      <c r="K197" s="34">
        <f t="shared" si="75"/>
        <v>598.20768</v>
      </c>
      <c r="M197" s="47"/>
    </row>
    <row r="198" spans="1:13">
      <c r="A198" s="34" t="s">
        <v>90</v>
      </c>
      <c r="B198" s="35">
        <v>0.2</v>
      </c>
      <c r="C198" s="34" t="s">
        <v>32</v>
      </c>
      <c r="D198" s="35" t="s">
        <v>33</v>
      </c>
      <c r="E198" s="34">
        <v>31.9464</v>
      </c>
      <c r="F198" s="36">
        <f t="shared" ref="F198:F215" si="76">E198*12</f>
        <v>383.3568</v>
      </c>
      <c r="G198" s="36">
        <f t="shared" ref="G198:G215" si="77">E198*13.33</f>
        <v>425.845512</v>
      </c>
      <c r="H198" s="36">
        <f t="shared" ref="H198:H215" si="78">E198*14</f>
        <v>447.2496</v>
      </c>
      <c r="I198" s="36">
        <f t="shared" ref="I198:I215" si="79">F198*2</f>
        <v>766.7136</v>
      </c>
      <c r="J198" s="36">
        <f t="shared" ref="J198:J215" si="80">G198*2</f>
        <v>851.691024</v>
      </c>
      <c r="K198" s="34">
        <f t="shared" ref="K198:K215" si="81">H198*2</f>
        <v>894.4992</v>
      </c>
      <c r="M198" s="47"/>
    </row>
    <row r="199" spans="1:13">
      <c r="A199" s="34" t="s">
        <v>90</v>
      </c>
      <c r="B199" s="35" t="s">
        <v>96</v>
      </c>
      <c r="C199" s="34" t="s">
        <v>34</v>
      </c>
      <c r="D199" s="35" t="s">
        <v>26</v>
      </c>
      <c r="E199" s="34">
        <v>13.8888</v>
      </c>
      <c r="F199" s="36">
        <f t="shared" si="76"/>
        <v>166.6656</v>
      </c>
      <c r="G199" s="36">
        <f t="shared" si="77"/>
        <v>185.137704</v>
      </c>
      <c r="H199" s="36">
        <f t="shared" si="78"/>
        <v>194.4432</v>
      </c>
      <c r="I199" s="36">
        <f t="shared" si="79"/>
        <v>333.3312</v>
      </c>
      <c r="J199" s="36">
        <f t="shared" si="80"/>
        <v>370.275408</v>
      </c>
      <c r="K199" s="34">
        <f t="shared" si="81"/>
        <v>388.8864</v>
      </c>
      <c r="M199" s="47"/>
    </row>
    <row r="200" spans="1:13">
      <c r="A200" s="34" t="s">
        <v>90</v>
      </c>
      <c r="B200" s="35">
        <v>0.25</v>
      </c>
      <c r="C200" s="34" t="s">
        <v>34</v>
      </c>
      <c r="D200" s="54" t="s">
        <v>25</v>
      </c>
      <c r="E200" s="34">
        <v>9.558</v>
      </c>
      <c r="F200" s="36">
        <f t="shared" si="76"/>
        <v>114.696</v>
      </c>
      <c r="G200" s="36">
        <f t="shared" si="77"/>
        <v>127.40814</v>
      </c>
      <c r="H200" s="36">
        <f t="shared" si="78"/>
        <v>133.812</v>
      </c>
      <c r="I200" s="36">
        <f t="shared" si="79"/>
        <v>229.392</v>
      </c>
      <c r="J200" s="36">
        <f t="shared" si="80"/>
        <v>254.81628</v>
      </c>
      <c r="K200" s="34">
        <f t="shared" si="81"/>
        <v>267.624</v>
      </c>
      <c r="M200" s="47"/>
    </row>
    <row r="201" spans="1:13">
      <c r="A201" s="34" t="s">
        <v>90</v>
      </c>
      <c r="B201" s="35">
        <v>0.25</v>
      </c>
      <c r="C201" s="34" t="s">
        <v>34</v>
      </c>
      <c r="D201" s="35" t="s">
        <v>29</v>
      </c>
      <c r="E201" s="34">
        <v>23.922</v>
      </c>
      <c r="F201" s="36">
        <f t="shared" si="76"/>
        <v>287.064</v>
      </c>
      <c r="G201" s="36">
        <f t="shared" si="77"/>
        <v>318.88026</v>
      </c>
      <c r="H201" s="36">
        <f t="shared" si="78"/>
        <v>334.908</v>
      </c>
      <c r="I201" s="36">
        <f t="shared" si="79"/>
        <v>574.128</v>
      </c>
      <c r="J201" s="36">
        <f t="shared" si="80"/>
        <v>637.76052</v>
      </c>
      <c r="K201" s="34">
        <f t="shared" si="81"/>
        <v>669.816</v>
      </c>
      <c r="M201" s="47"/>
    </row>
    <row r="202" spans="1:13">
      <c r="A202" s="34" t="s">
        <v>90</v>
      </c>
      <c r="B202" s="35">
        <v>0.3</v>
      </c>
      <c r="C202" s="34" t="s">
        <v>35</v>
      </c>
      <c r="D202" s="54" t="s">
        <v>25</v>
      </c>
      <c r="E202" s="34">
        <v>9.666</v>
      </c>
      <c r="F202" s="36">
        <f t="shared" si="76"/>
        <v>115.992</v>
      </c>
      <c r="G202" s="36">
        <f t="shared" si="77"/>
        <v>128.84778</v>
      </c>
      <c r="H202" s="36">
        <f t="shared" si="78"/>
        <v>135.324</v>
      </c>
      <c r="I202" s="36">
        <f t="shared" si="79"/>
        <v>231.984</v>
      </c>
      <c r="J202" s="36">
        <f t="shared" si="80"/>
        <v>257.69556</v>
      </c>
      <c r="K202" s="34">
        <f t="shared" si="81"/>
        <v>270.648</v>
      </c>
      <c r="M202" s="47"/>
    </row>
    <row r="203" spans="1:13">
      <c r="A203" s="34" t="s">
        <v>90</v>
      </c>
      <c r="B203" s="35">
        <v>0.3</v>
      </c>
      <c r="C203" s="34" t="s">
        <v>35</v>
      </c>
      <c r="D203" s="35" t="s">
        <v>26</v>
      </c>
      <c r="E203" s="34">
        <v>14.0076</v>
      </c>
      <c r="F203" s="36">
        <f t="shared" si="76"/>
        <v>168.0912</v>
      </c>
      <c r="G203" s="36">
        <f t="shared" si="77"/>
        <v>186.721308</v>
      </c>
      <c r="H203" s="36">
        <f t="shared" si="78"/>
        <v>196.1064</v>
      </c>
      <c r="I203" s="36">
        <f t="shared" si="79"/>
        <v>336.1824</v>
      </c>
      <c r="J203" s="36">
        <f t="shared" si="80"/>
        <v>373.442616</v>
      </c>
      <c r="K203" s="34">
        <f t="shared" si="81"/>
        <v>392.2128</v>
      </c>
      <c r="M203" s="47"/>
    </row>
    <row r="204" spans="1:13">
      <c r="A204" s="34" t="s">
        <v>90</v>
      </c>
      <c r="B204" s="35">
        <v>0.3</v>
      </c>
      <c r="C204" s="34" t="s">
        <v>35</v>
      </c>
      <c r="D204" s="35" t="s">
        <v>29</v>
      </c>
      <c r="E204" s="34">
        <v>23.76</v>
      </c>
      <c r="F204" s="36">
        <f t="shared" si="76"/>
        <v>285.12</v>
      </c>
      <c r="G204" s="36">
        <f t="shared" si="77"/>
        <v>316.7208</v>
      </c>
      <c r="H204" s="36">
        <f t="shared" si="78"/>
        <v>332.64</v>
      </c>
      <c r="I204" s="36">
        <f t="shared" si="79"/>
        <v>570.24</v>
      </c>
      <c r="J204" s="36">
        <f t="shared" si="80"/>
        <v>633.4416</v>
      </c>
      <c r="K204" s="34">
        <f t="shared" si="81"/>
        <v>665.28</v>
      </c>
      <c r="M204" s="47"/>
    </row>
    <row r="205" spans="1:13">
      <c r="A205" s="34" t="s">
        <v>90</v>
      </c>
      <c r="B205" s="35">
        <v>0.3</v>
      </c>
      <c r="C205" s="34" t="s">
        <v>35</v>
      </c>
      <c r="D205" s="35" t="s">
        <v>33</v>
      </c>
      <c r="E205" s="34">
        <v>36.0288</v>
      </c>
      <c r="F205" s="36">
        <f t="shared" si="76"/>
        <v>432.3456</v>
      </c>
      <c r="G205" s="36">
        <f t="shared" si="77"/>
        <v>480.263904</v>
      </c>
      <c r="H205" s="36">
        <f t="shared" si="78"/>
        <v>504.4032</v>
      </c>
      <c r="I205" s="36">
        <f t="shared" si="79"/>
        <v>864.6912</v>
      </c>
      <c r="J205" s="36">
        <f t="shared" si="80"/>
        <v>960.527808</v>
      </c>
      <c r="K205" s="34">
        <f t="shared" si="81"/>
        <v>1008.8064</v>
      </c>
      <c r="M205" s="47"/>
    </row>
    <row r="206" spans="1:13">
      <c r="A206" s="34" t="s">
        <v>90</v>
      </c>
      <c r="B206" s="35">
        <v>0.35</v>
      </c>
      <c r="C206" s="34" t="s">
        <v>36</v>
      </c>
      <c r="D206" s="54" t="s">
        <v>25</v>
      </c>
      <c r="E206" s="34">
        <v>9.396</v>
      </c>
      <c r="F206" s="36">
        <f t="shared" si="76"/>
        <v>112.752</v>
      </c>
      <c r="G206" s="36">
        <f t="shared" si="77"/>
        <v>125.24868</v>
      </c>
      <c r="H206" s="36">
        <f t="shared" si="78"/>
        <v>131.544</v>
      </c>
      <c r="I206" s="36">
        <f t="shared" si="79"/>
        <v>225.504</v>
      </c>
      <c r="J206" s="36">
        <f t="shared" si="80"/>
        <v>250.49736</v>
      </c>
      <c r="K206" s="34">
        <f t="shared" si="81"/>
        <v>263.088</v>
      </c>
      <c r="M206" s="47"/>
    </row>
    <row r="207" spans="1:13">
      <c r="A207" s="34" t="s">
        <v>90</v>
      </c>
      <c r="B207" s="35">
        <v>0.35</v>
      </c>
      <c r="C207" s="34" t="s">
        <v>36</v>
      </c>
      <c r="D207" s="35" t="s">
        <v>26</v>
      </c>
      <c r="E207" s="34">
        <v>13.5</v>
      </c>
      <c r="F207" s="36">
        <f t="shared" si="76"/>
        <v>162</v>
      </c>
      <c r="G207" s="36">
        <f t="shared" si="77"/>
        <v>179.955</v>
      </c>
      <c r="H207" s="36">
        <f t="shared" si="78"/>
        <v>189</v>
      </c>
      <c r="I207" s="36">
        <f t="shared" si="79"/>
        <v>324</v>
      </c>
      <c r="J207" s="36">
        <f t="shared" si="80"/>
        <v>359.91</v>
      </c>
      <c r="K207" s="34">
        <f t="shared" si="81"/>
        <v>378</v>
      </c>
      <c r="M207" s="47"/>
    </row>
    <row r="208" spans="1:13">
      <c r="A208" s="34" t="s">
        <v>90</v>
      </c>
      <c r="B208" s="35" t="s">
        <v>97</v>
      </c>
      <c r="C208" s="34" t="s">
        <v>36</v>
      </c>
      <c r="D208" s="35" t="s">
        <v>29</v>
      </c>
      <c r="E208" s="34">
        <v>24.2244</v>
      </c>
      <c r="F208" s="36">
        <f t="shared" si="76"/>
        <v>290.6928</v>
      </c>
      <c r="G208" s="36">
        <f t="shared" si="77"/>
        <v>322.911252</v>
      </c>
      <c r="H208" s="36">
        <f t="shared" si="78"/>
        <v>339.1416</v>
      </c>
      <c r="I208" s="36">
        <f t="shared" si="79"/>
        <v>581.3856</v>
      </c>
      <c r="J208" s="36">
        <f t="shared" si="80"/>
        <v>645.822504</v>
      </c>
      <c r="K208" s="34">
        <f t="shared" si="81"/>
        <v>678.2832</v>
      </c>
      <c r="M208" s="47"/>
    </row>
    <row r="209" spans="1:13">
      <c r="A209" s="34" t="s">
        <v>90</v>
      </c>
      <c r="B209" s="35">
        <v>0.36</v>
      </c>
      <c r="C209" s="34" t="s">
        <v>98</v>
      </c>
      <c r="D209" s="35" t="s">
        <v>25</v>
      </c>
      <c r="E209" s="34">
        <v>9.666</v>
      </c>
      <c r="F209" s="36">
        <f t="shared" si="76"/>
        <v>115.992</v>
      </c>
      <c r="G209" s="36">
        <f t="shared" si="77"/>
        <v>128.84778</v>
      </c>
      <c r="H209" s="36">
        <f t="shared" si="78"/>
        <v>135.324</v>
      </c>
      <c r="I209" s="36">
        <f t="shared" si="79"/>
        <v>231.984</v>
      </c>
      <c r="J209" s="36">
        <f t="shared" si="80"/>
        <v>257.69556</v>
      </c>
      <c r="K209" s="34">
        <f t="shared" si="81"/>
        <v>270.648</v>
      </c>
      <c r="M209" s="47"/>
    </row>
    <row r="210" spans="1:13">
      <c r="A210" s="34" t="s">
        <v>90</v>
      </c>
      <c r="B210" s="35">
        <v>0.36</v>
      </c>
      <c r="C210" s="34" t="s">
        <v>98</v>
      </c>
      <c r="D210" s="35" t="s">
        <v>26</v>
      </c>
      <c r="E210" s="34">
        <v>13.5</v>
      </c>
      <c r="F210" s="36">
        <f t="shared" si="76"/>
        <v>162</v>
      </c>
      <c r="G210" s="36">
        <f t="shared" si="77"/>
        <v>179.955</v>
      </c>
      <c r="H210" s="36">
        <f t="shared" si="78"/>
        <v>189</v>
      </c>
      <c r="I210" s="36">
        <f t="shared" si="79"/>
        <v>324</v>
      </c>
      <c r="J210" s="36">
        <f t="shared" si="80"/>
        <v>359.91</v>
      </c>
      <c r="K210" s="34">
        <f t="shared" si="81"/>
        <v>378</v>
      </c>
      <c r="M210" s="47"/>
    </row>
    <row r="211" spans="1:13">
      <c r="A211" s="34" t="s">
        <v>90</v>
      </c>
      <c r="B211" s="35">
        <v>0.38</v>
      </c>
      <c r="C211" s="34" t="s">
        <v>36</v>
      </c>
      <c r="D211" s="35" t="s">
        <v>26</v>
      </c>
      <c r="E211" s="34">
        <v>13.608</v>
      </c>
      <c r="F211" s="36">
        <f t="shared" si="76"/>
        <v>163.296</v>
      </c>
      <c r="G211" s="36">
        <f t="shared" si="77"/>
        <v>181.39464</v>
      </c>
      <c r="H211" s="36">
        <f t="shared" si="78"/>
        <v>190.512</v>
      </c>
      <c r="I211" s="36">
        <f t="shared" si="79"/>
        <v>326.592</v>
      </c>
      <c r="J211" s="36">
        <f t="shared" si="80"/>
        <v>362.78928</v>
      </c>
      <c r="K211" s="34">
        <f t="shared" si="81"/>
        <v>381.024</v>
      </c>
      <c r="M211" s="47"/>
    </row>
    <row r="212" spans="1:13">
      <c r="A212" s="34" t="s">
        <v>90</v>
      </c>
      <c r="B212" s="35">
        <v>0.38</v>
      </c>
      <c r="C212" s="34" t="s">
        <v>36</v>
      </c>
      <c r="D212" s="35" t="s">
        <v>25</v>
      </c>
      <c r="E212" s="34">
        <v>9.7848</v>
      </c>
      <c r="F212" s="36">
        <f t="shared" si="76"/>
        <v>117.4176</v>
      </c>
      <c r="G212" s="36">
        <f t="shared" si="77"/>
        <v>130.431384</v>
      </c>
      <c r="H212" s="36">
        <f t="shared" si="78"/>
        <v>136.9872</v>
      </c>
      <c r="I212" s="36">
        <f t="shared" si="79"/>
        <v>234.8352</v>
      </c>
      <c r="J212" s="36">
        <f t="shared" si="80"/>
        <v>260.862768</v>
      </c>
      <c r="K212" s="34">
        <f t="shared" si="81"/>
        <v>273.9744</v>
      </c>
      <c r="M212" s="47"/>
    </row>
    <row r="213" spans="1:13">
      <c r="A213" s="34" t="s">
        <v>90</v>
      </c>
      <c r="B213" s="35">
        <v>0.4</v>
      </c>
      <c r="C213" s="34" t="s">
        <v>36</v>
      </c>
      <c r="D213" s="54" t="s">
        <v>25</v>
      </c>
      <c r="E213" s="34">
        <v>9.5148</v>
      </c>
      <c r="F213" s="36">
        <f t="shared" si="76"/>
        <v>114.1776</v>
      </c>
      <c r="G213" s="36">
        <f t="shared" si="77"/>
        <v>126.832284</v>
      </c>
      <c r="H213" s="36">
        <f t="shared" si="78"/>
        <v>133.2072</v>
      </c>
      <c r="I213" s="36">
        <f t="shared" si="79"/>
        <v>228.3552</v>
      </c>
      <c r="J213" s="36">
        <f t="shared" si="80"/>
        <v>253.664568</v>
      </c>
      <c r="K213" s="34">
        <f t="shared" si="81"/>
        <v>266.4144</v>
      </c>
      <c r="M213" s="47"/>
    </row>
    <row r="214" spans="1:13">
      <c r="A214" s="34" t="s">
        <v>90</v>
      </c>
      <c r="B214" s="35">
        <v>0.4</v>
      </c>
      <c r="C214" s="34" t="s">
        <v>36</v>
      </c>
      <c r="D214" s="35" t="s">
        <v>26</v>
      </c>
      <c r="E214" s="34">
        <v>13.2408</v>
      </c>
      <c r="F214" s="36">
        <f t="shared" si="76"/>
        <v>158.8896</v>
      </c>
      <c r="G214" s="36">
        <f t="shared" si="77"/>
        <v>176.499864</v>
      </c>
      <c r="H214" s="36">
        <f t="shared" si="78"/>
        <v>185.3712</v>
      </c>
      <c r="I214" s="36">
        <f t="shared" si="79"/>
        <v>317.7792</v>
      </c>
      <c r="J214" s="36">
        <f t="shared" si="80"/>
        <v>352.999728</v>
      </c>
      <c r="K214" s="34">
        <f t="shared" si="81"/>
        <v>370.7424</v>
      </c>
      <c r="M214" s="47"/>
    </row>
    <row r="215" spans="1:13">
      <c r="A215" s="34" t="s">
        <v>90</v>
      </c>
      <c r="B215" s="35">
        <v>0.4</v>
      </c>
      <c r="C215" s="34" t="s">
        <v>36</v>
      </c>
      <c r="D215" s="55" t="s">
        <v>29</v>
      </c>
      <c r="E215" s="34">
        <v>23.8896</v>
      </c>
      <c r="F215" s="36">
        <f t="shared" si="76"/>
        <v>286.6752</v>
      </c>
      <c r="G215" s="36">
        <f t="shared" si="77"/>
        <v>318.448368</v>
      </c>
      <c r="H215" s="36">
        <f t="shared" si="78"/>
        <v>334.4544</v>
      </c>
      <c r="I215" s="36">
        <f t="shared" si="79"/>
        <v>573.3504</v>
      </c>
      <c r="J215" s="36">
        <f t="shared" si="80"/>
        <v>636.896736</v>
      </c>
      <c r="K215" s="34">
        <f t="shared" si="81"/>
        <v>668.9088</v>
      </c>
      <c r="M215" s="47"/>
    </row>
    <row r="216" spans="1:13">
      <c r="A216" s="34" t="s">
        <v>90</v>
      </c>
      <c r="B216" s="35">
        <v>0.4</v>
      </c>
      <c r="C216" s="34" t="s">
        <v>36</v>
      </c>
      <c r="D216" s="55" t="s">
        <v>33</v>
      </c>
      <c r="E216" s="34">
        <v>32.1084</v>
      </c>
      <c r="F216" s="36">
        <f t="shared" ref="F216:F221" si="82">E216*12</f>
        <v>385.3008</v>
      </c>
      <c r="G216" s="36">
        <f t="shared" ref="G216:G221" si="83">E216*13.33</f>
        <v>428.004972</v>
      </c>
      <c r="H216" s="36">
        <f t="shared" ref="H216:H221" si="84">E216*14</f>
        <v>449.5176</v>
      </c>
      <c r="I216" s="36">
        <f t="shared" ref="I216:I221" si="85">F216*2</f>
        <v>770.6016</v>
      </c>
      <c r="J216" s="36">
        <f t="shared" ref="J216:J221" si="86">G216*2</f>
        <v>856.009944</v>
      </c>
      <c r="K216" s="34">
        <f t="shared" ref="K216:K221" si="87">H216*2</f>
        <v>899.0352</v>
      </c>
      <c r="M216" s="47"/>
    </row>
    <row r="217" spans="1:13">
      <c r="A217" s="34" t="s">
        <v>90</v>
      </c>
      <c r="B217" s="35">
        <v>0.4</v>
      </c>
      <c r="C217" s="34" t="s">
        <v>36</v>
      </c>
      <c r="D217" s="55" t="s">
        <v>99</v>
      </c>
      <c r="E217" s="34">
        <v>49.8528</v>
      </c>
      <c r="F217" s="36">
        <f t="shared" si="82"/>
        <v>598.2336</v>
      </c>
      <c r="G217" s="36">
        <f t="shared" si="83"/>
        <v>664.537824</v>
      </c>
      <c r="H217" s="36">
        <f t="shared" si="84"/>
        <v>697.9392</v>
      </c>
      <c r="I217" s="36">
        <f t="shared" si="85"/>
        <v>1196.4672</v>
      </c>
      <c r="J217" s="36">
        <f t="shared" si="86"/>
        <v>1329.075648</v>
      </c>
      <c r="K217" s="34">
        <f t="shared" si="87"/>
        <v>1395.8784</v>
      </c>
      <c r="M217" s="47"/>
    </row>
    <row r="218" spans="1:13">
      <c r="A218" s="34" t="s">
        <v>90</v>
      </c>
      <c r="B218" s="35">
        <v>0.45</v>
      </c>
      <c r="C218" s="34" t="s">
        <v>37</v>
      </c>
      <c r="D218" s="54" t="s">
        <v>25</v>
      </c>
      <c r="E218" s="34">
        <v>10.9188</v>
      </c>
      <c r="F218" s="36">
        <f t="shared" si="82"/>
        <v>131.0256</v>
      </c>
      <c r="G218" s="36">
        <f t="shared" si="83"/>
        <v>145.547604</v>
      </c>
      <c r="H218" s="36">
        <f t="shared" si="84"/>
        <v>152.8632</v>
      </c>
      <c r="I218" s="36">
        <f t="shared" si="85"/>
        <v>262.0512</v>
      </c>
      <c r="J218" s="36">
        <f t="shared" si="86"/>
        <v>291.095208</v>
      </c>
      <c r="K218" s="34">
        <f t="shared" si="87"/>
        <v>305.7264</v>
      </c>
      <c r="M218" s="47"/>
    </row>
    <row r="219" spans="1:13">
      <c r="A219" s="34" t="s">
        <v>90</v>
      </c>
      <c r="B219" s="35">
        <v>0.45</v>
      </c>
      <c r="C219" s="34" t="s">
        <v>37</v>
      </c>
      <c r="D219" s="35" t="s">
        <v>26</v>
      </c>
      <c r="E219" s="34">
        <v>14.9256</v>
      </c>
      <c r="F219" s="36">
        <f t="shared" si="82"/>
        <v>179.1072</v>
      </c>
      <c r="G219" s="36">
        <f t="shared" si="83"/>
        <v>198.958248</v>
      </c>
      <c r="H219" s="36">
        <f t="shared" si="84"/>
        <v>208.9584</v>
      </c>
      <c r="I219" s="36">
        <f t="shared" si="85"/>
        <v>358.2144</v>
      </c>
      <c r="J219" s="36">
        <f t="shared" si="86"/>
        <v>397.916496</v>
      </c>
      <c r="K219" s="34">
        <f t="shared" si="87"/>
        <v>417.9168</v>
      </c>
      <c r="M219" s="47"/>
    </row>
    <row r="220" spans="1:13">
      <c r="A220" s="34" t="s">
        <v>90</v>
      </c>
      <c r="B220" s="35">
        <v>0.45</v>
      </c>
      <c r="C220" s="34" t="s">
        <v>37</v>
      </c>
      <c r="D220" s="35" t="s">
        <v>33</v>
      </c>
      <c r="E220" s="34">
        <v>32.7132</v>
      </c>
      <c r="F220" s="36">
        <f t="shared" si="82"/>
        <v>392.5584</v>
      </c>
      <c r="G220" s="36">
        <f t="shared" si="83"/>
        <v>436.066956</v>
      </c>
      <c r="H220" s="36">
        <f t="shared" si="84"/>
        <v>457.9848</v>
      </c>
      <c r="I220" s="36">
        <f t="shared" si="85"/>
        <v>785.1168</v>
      </c>
      <c r="J220" s="36">
        <f t="shared" si="86"/>
        <v>872.133912</v>
      </c>
      <c r="K220" s="34">
        <f t="shared" si="87"/>
        <v>915.9696</v>
      </c>
      <c r="M220" s="47"/>
    </row>
    <row r="221" spans="1:13">
      <c r="A221" s="34" t="s">
        <v>90</v>
      </c>
      <c r="B221" s="35">
        <v>0.45</v>
      </c>
      <c r="C221" s="34" t="s">
        <v>37</v>
      </c>
      <c r="D221" s="35" t="s">
        <v>40</v>
      </c>
      <c r="E221" s="34">
        <v>49.8636</v>
      </c>
      <c r="F221" s="36">
        <f t="shared" si="82"/>
        <v>598.3632</v>
      </c>
      <c r="G221" s="36">
        <f t="shared" si="83"/>
        <v>664.681788</v>
      </c>
      <c r="H221" s="36">
        <f t="shared" si="84"/>
        <v>698.0904</v>
      </c>
      <c r="I221" s="36">
        <f t="shared" si="85"/>
        <v>1196.7264</v>
      </c>
      <c r="J221" s="36">
        <f t="shared" si="86"/>
        <v>1329.363576</v>
      </c>
      <c r="K221" s="34">
        <f t="shared" si="87"/>
        <v>1396.1808</v>
      </c>
      <c r="M221" s="47"/>
    </row>
    <row r="222" spans="1:13">
      <c r="A222" s="34" t="s">
        <v>90</v>
      </c>
      <c r="B222" s="35">
        <v>0.46</v>
      </c>
      <c r="C222" s="34" t="s">
        <v>37</v>
      </c>
      <c r="D222" s="54" t="s">
        <v>25</v>
      </c>
      <c r="E222" s="34">
        <v>11.2212</v>
      </c>
      <c r="F222" s="36">
        <f t="shared" ref="F222:F235" si="88">E222*12</f>
        <v>134.6544</v>
      </c>
      <c r="G222" s="36">
        <f t="shared" ref="G222:G235" si="89">E222*13.33</f>
        <v>149.578596</v>
      </c>
      <c r="H222" s="36">
        <f t="shared" ref="H222:H235" si="90">E222*14</f>
        <v>157.0968</v>
      </c>
      <c r="I222" s="36">
        <f t="shared" ref="I222:I235" si="91">F222*2</f>
        <v>269.3088</v>
      </c>
      <c r="J222" s="36">
        <f t="shared" ref="J222:J235" si="92">G222*2</f>
        <v>299.157192</v>
      </c>
      <c r="K222" s="34">
        <f t="shared" ref="K222:K235" si="93">H222*2</f>
        <v>314.1936</v>
      </c>
      <c r="M222" s="47"/>
    </row>
    <row r="223" spans="1:13">
      <c r="A223" s="34" t="s">
        <v>90</v>
      </c>
      <c r="B223" s="35">
        <v>0.46</v>
      </c>
      <c r="C223" s="34" t="s">
        <v>37</v>
      </c>
      <c r="D223" s="35" t="s">
        <v>26</v>
      </c>
      <c r="E223" s="34">
        <v>14.9256</v>
      </c>
      <c r="F223" s="36">
        <f t="shared" si="88"/>
        <v>179.1072</v>
      </c>
      <c r="G223" s="36">
        <f t="shared" si="89"/>
        <v>198.958248</v>
      </c>
      <c r="H223" s="36">
        <f t="shared" si="90"/>
        <v>208.9584</v>
      </c>
      <c r="I223" s="36">
        <f t="shared" si="91"/>
        <v>358.2144</v>
      </c>
      <c r="J223" s="36">
        <f t="shared" si="92"/>
        <v>397.916496</v>
      </c>
      <c r="K223" s="34">
        <f t="shared" si="93"/>
        <v>417.9168</v>
      </c>
      <c r="M223" s="47"/>
    </row>
    <row r="224" spans="1:13">
      <c r="A224" s="34" t="s">
        <v>90</v>
      </c>
      <c r="B224" s="35">
        <v>0.5</v>
      </c>
      <c r="C224" s="34" t="s">
        <v>38</v>
      </c>
      <c r="D224" s="54" t="s">
        <v>25</v>
      </c>
      <c r="E224" s="34">
        <v>11.0376</v>
      </c>
      <c r="F224" s="36">
        <f t="shared" si="88"/>
        <v>132.4512</v>
      </c>
      <c r="G224" s="36">
        <f t="shared" si="89"/>
        <v>147.131208</v>
      </c>
      <c r="H224" s="36">
        <f t="shared" si="90"/>
        <v>154.5264</v>
      </c>
      <c r="I224" s="36">
        <f t="shared" si="91"/>
        <v>264.9024</v>
      </c>
      <c r="J224" s="36">
        <f t="shared" si="92"/>
        <v>294.262416</v>
      </c>
      <c r="K224" s="34">
        <f t="shared" si="93"/>
        <v>309.0528</v>
      </c>
      <c r="M224" s="47"/>
    </row>
    <row r="225" spans="1:13">
      <c r="A225" s="34" t="s">
        <v>90</v>
      </c>
      <c r="B225" s="35">
        <v>0.5</v>
      </c>
      <c r="C225" s="34" t="s">
        <v>38</v>
      </c>
      <c r="D225" s="55" t="s">
        <v>29</v>
      </c>
      <c r="E225" s="34">
        <v>25.92</v>
      </c>
      <c r="F225" s="36">
        <f t="shared" si="88"/>
        <v>311.04</v>
      </c>
      <c r="G225" s="36">
        <f t="shared" si="89"/>
        <v>345.5136</v>
      </c>
      <c r="H225" s="36">
        <f t="shared" si="90"/>
        <v>362.88</v>
      </c>
      <c r="I225" s="36">
        <f t="shared" si="91"/>
        <v>622.08</v>
      </c>
      <c r="J225" s="36">
        <f t="shared" si="92"/>
        <v>691.0272</v>
      </c>
      <c r="K225" s="34">
        <f t="shared" si="93"/>
        <v>725.76</v>
      </c>
      <c r="M225" s="47"/>
    </row>
    <row r="226" spans="1:13">
      <c r="A226" s="34" t="s">
        <v>90</v>
      </c>
      <c r="B226" s="35">
        <v>0.5</v>
      </c>
      <c r="C226" s="34" t="s">
        <v>38</v>
      </c>
      <c r="D226" s="55" t="s">
        <v>33</v>
      </c>
      <c r="E226" s="34">
        <v>35.9208</v>
      </c>
      <c r="F226" s="36">
        <f t="shared" si="88"/>
        <v>431.0496</v>
      </c>
      <c r="G226" s="36">
        <f t="shared" si="89"/>
        <v>478.824264</v>
      </c>
      <c r="H226" s="36">
        <f t="shared" si="90"/>
        <v>502.8912</v>
      </c>
      <c r="I226" s="36">
        <f t="shared" si="91"/>
        <v>862.0992</v>
      </c>
      <c r="J226" s="36">
        <f t="shared" si="92"/>
        <v>957.648528</v>
      </c>
      <c r="K226" s="34">
        <f t="shared" si="93"/>
        <v>1005.7824</v>
      </c>
      <c r="M226" s="47"/>
    </row>
    <row r="227" spans="1:13">
      <c r="A227" s="56" t="s">
        <v>90</v>
      </c>
      <c r="B227" s="57">
        <v>0.5</v>
      </c>
      <c r="C227" s="56" t="s">
        <v>38</v>
      </c>
      <c r="D227" s="57" t="s">
        <v>40</v>
      </c>
      <c r="E227" s="56">
        <v>46.0728</v>
      </c>
      <c r="F227" s="58">
        <f t="shared" si="88"/>
        <v>552.8736</v>
      </c>
      <c r="G227" s="58">
        <f t="shared" si="89"/>
        <v>614.150424</v>
      </c>
      <c r="H227" s="58">
        <f t="shared" si="90"/>
        <v>645.0192</v>
      </c>
      <c r="I227" s="58">
        <f t="shared" si="91"/>
        <v>1105.7472</v>
      </c>
      <c r="J227" s="58">
        <f t="shared" si="92"/>
        <v>1228.300848</v>
      </c>
      <c r="K227" s="56">
        <f t="shared" si="93"/>
        <v>1290.0384</v>
      </c>
      <c r="M227" s="47"/>
    </row>
    <row r="228" spans="1:13">
      <c r="A228" s="28" t="s">
        <v>90</v>
      </c>
      <c r="B228" s="32">
        <v>0.5</v>
      </c>
      <c r="C228" s="28" t="s">
        <v>38</v>
      </c>
      <c r="D228" s="32" t="s">
        <v>100</v>
      </c>
      <c r="E228" s="28">
        <v>58.914</v>
      </c>
      <c r="F228" s="30">
        <f t="shared" si="88"/>
        <v>706.968</v>
      </c>
      <c r="G228" s="30">
        <f t="shared" si="89"/>
        <v>785.32362</v>
      </c>
      <c r="H228" s="30">
        <f t="shared" si="90"/>
        <v>824.796</v>
      </c>
      <c r="I228" s="30">
        <f t="shared" si="91"/>
        <v>1413.936</v>
      </c>
      <c r="J228" s="30">
        <f t="shared" si="92"/>
        <v>1570.64724</v>
      </c>
      <c r="K228" s="28">
        <f t="shared" si="93"/>
        <v>1649.592</v>
      </c>
      <c r="M228" s="47"/>
    </row>
    <row r="229" spans="1:13">
      <c r="A229" s="56" t="s">
        <v>90</v>
      </c>
      <c r="B229" s="57">
        <v>0.5</v>
      </c>
      <c r="C229" s="56" t="s">
        <v>38</v>
      </c>
      <c r="D229" s="57" t="s">
        <v>26</v>
      </c>
      <c r="E229" s="56">
        <v>14.3964</v>
      </c>
      <c r="F229" s="58">
        <f t="shared" si="88"/>
        <v>172.7568</v>
      </c>
      <c r="G229" s="58">
        <f t="shared" si="89"/>
        <v>191.904012</v>
      </c>
      <c r="H229" s="58">
        <f t="shared" si="90"/>
        <v>201.5496</v>
      </c>
      <c r="I229" s="58">
        <f t="shared" si="91"/>
        <v>345.5136</v>
      </c>
      <c r="J229" s="58">
        <f t="shared" si="92"/>
        <v>383.808024</v>
      </c>
      <c r="K229" s="56">
        <f t="shared" si="93"/>
        <v>403.0992</v>
      </c>
      <c r="M229" s="47"/>
    </row>
    <row r="230" spans="1:13">
      <c r="A230" s="56" t="s">
        <v>90</v>
      </c>
      <c r="B230" s="57">
        <v>0.53</v>
      </c>
      <c r="C230" s="56" t="s">
        <v>41</v>
      </c>
      <c r="D230" s="59" t="s">
        <v>25</v>
      </c>
      <c r="E230" s="56">
        <v>11.3508</v>
      </c>
      <c r="F230" s="58">
        <f t="shared" si="88"/>
        <v>136.2096</v>
      </c>
      <c r="G230" s="58">
        <f t="shared" si="89"/>
        <v>151.306164</v>
      </c>
      <c r="H230" s="58">
        <f t="shared" si="90"/>
        <v>158.9112</v>
      </c>
      <c r="I230" s="58">
        <f t="shared" si="91"/>
        <v>272.4192</v>
      </c>
      <c r="J230" s="58">
        <f t="shared" si="92"/>
        <v>302.612328</v>
      </c>
      <c r="K230" s="56">
        <f t="shared" si="93"/>
        <v>317.8224</v>
      </c>
      <c r="M230" s="47"/>
    </row>
    <row r="231" spans="1:13">
      <c r="A231" s="56" t="s">
        <v>90</v>
      </c>
      <c r="B231" s="57">
        <v>0.53</v>
      </c>
      <c r="C231" s="56" t="s">
        <v>41</v>
      </c>
      <c r="D231" s="57" t="s">
        <v>26</v>
      </c>
      <c r="E231" s="56">
        <v>15.0444</v>
      </c>
      <c r="F231" s="58">
        <f t="shared" si="88"/>
        <v>180.5328</v>
      </c>
      <c r="G231" s="58">
        <f t="shared" si="89"/>
        <v>200.541852</v>
      </c>
      <c r="H231" s="58">
        <f t="shared" si="90"/>
        <v>210.6216</v>
      </c>
      <c r="I231" s="58">
        <f t="shared" si="91"/>
        <v>361.0656</v>
      </c>
      <c r="J231" s="58">
        <f t="shared" si="92"/>
        <v>401.083704</v>
      </c>
      <c r="K231" s="56">
        <f t="shared" si="93"/>
        <v>421.2432</v>
      </c>
      <c r="M231" s="47"/>
    </row>
    <row r="232" spans="1:13">
      <c r="A232" s="28" t="s">
        <v>90</v>
      </c>
      <c r="B232" s="32">
        <v>0.53</v>
      </c>
      <c r="C232" s="28" t="s">
        <v>41</v>
      </c>
      <c r="D232" s="32" t="s">
        <v>29</v>
      </c>
      <c r="E232" s="28">
        <v>25.5096</v>
      </c>
      <c r="F232" s="30">
        <f t="shared" si="88"/>
        <v>306.1152</v>
      </c>
      <c r="G232" s="30">
        <f t="shared" si="89"/>
        <v>340.042968</v>
      </c>
      <c r="H232" s="30">
        <f t="shared" si="90"/>
        <v>357.1344</v>
      </c>
      <c r="I232" s="30">
        <f t="shared" si="91"/>
        <v>612.2304</v>
      </c>
      <c r="J232" s="30">
        <f t="shared" si="92"/>
        <v>680.085936</v>
      </c>
      <c r="K232" s="28">
        <f t="shared" si="93"/>
        <v>714.2688</v>
      </c>
      <c r="M232" s="47"/>
    </row>
    <row r="233" spans="1:13">
      <c r="A233" s="28" t="s">
        <v>90</v>
      </c>
      <c r="B233" s="32">
        <v>0.53</v>
      </c>
      <c r="C233" s="28" t="s">
        <v>41</v>
      </c>
      <c r="D233" s="32" t="s">
        <v>99</v>
      </c>
      <c r="E233" s="28">
        <v>53.1576</v>
      </c>
      <c r="F233" s="30">
        <f t="shared" si="88"/>
        <v>637.8912</v>
      </c>
      <c r="G233" s="30">
        <f t="shared" si="89"/>
        <v>708.590808</v>
      </c>
      <c r="H233" s="30">
        <f t="shared" si="90"/>
        <v>744.2064</v>
      </c>
      <c r="I233" s="30">
        <f t="shared" si="91"/>
        <v>1275.7824</v>
      </c>
      <c r="J233" s="30">
        <f t="shared" si="92"/>
        <v>1417.181616</v>
      </c>
      <c r="K233" s="28">
        <f t="shared" si="93"/>
        <v>1488.4128</v>
      </c>
      <c r="M233" s="47"/>
    </row>
    <row r="234" spans="1:13">
      <c r="A234" s="28" t="s">
        <v>90</v>
      </c>
      <c r="B234" s="32" t="s">
        <v>101</v>
      </c>
      <c r="C234" s="28" t="s">
        <v>41</v>
      </c>
      <c r="D234" s="32" t="s">
        <v>26</v>
      </c>
      <c r="E234" s="28">
        <v>15.1524</v>
      </c>
      <c r="F234" s="30">
        <f t="shared" si="88"/>
        <v>181.8288</v>
      </c>
      <c r="G234" s="30">
        <f t="shared" si="89"/>
        <v>201.981492</v>
      </c>
      <c r="H234" s="30">
        <f t="shared" si="90"/>
        <v>212.1336</v>
      </c>
      <c r="I234" s="30">
        <f t="shared" si="91"/>
        <v>363.6576</v>
      </c>
      <c r="J234" s="30">
        <f t="shared" si="92"/>
        <v>403.962984</v>
      </c>
      <c r="K234" s="28">
        <f t="shared" si="93"/>
        <v>424.2672</v>
      </c>
      <c r="M234" s="47"/>
    </row>
    <row r="235" spans="1:13">
      <c r="A235" s="28" t="s">
        <v>90</v>
      </c>
      <c r="B235" s="32">
        <v>0.6</v>
      </c>
      <c r="C235" s="28" t="s">
        <v>41</v>
      </c>
      <c r="D235" s="29" t="s">
        <v>25</v>
      </c>
      <c r="E235" s="28">
        <v>11.1456</v>
      </c>
      <c r="F235" s="30">
        <f t="shared" si="88"/>
        <v>133.7472</v>
      </c>
      <c r="G235" s="30">
        <f t="shared" si="89"/>
        <v>148.570848</v>
      </c>
      <c r="H235" s="30">
        <f t="shared" si="90"/>
        <v>156.0384</v>
      </c>
      <c r="I235" s="30">
        <f t="shared" si="91"/>
        <v>267.4944</v>
      </c>
      <c r="J235" s="30">
        <f t="shared" si="92"/>
        <v>297.141696</v>
      </c>
      <c r="K235" s="28">
        <f t="shared" si="93"/>
        <v>312.0768</v>
      </c>
      <c r="M235" s="47"/>
    </row>
    <row r="236" spans="1:13">
      <c r="A236" s="28" t="s">
        <v>90</v>
      </c>
      <c r="B236" s="32">
        <v>0.6</v>
      </c>
      <c r="C236" s="28" t="s">
        <v>41</v>
      </c>
      <c r="D236" s="29" t="s">
        <v>102</v>
      </c>
      <c r="E236" s="28">
        <v>12.5388</v>
      </c>
      <c r="F236" s="30">
        <f t="shared" ref="F236:F241" si="94">E236*12</f>
        <v>150.4656</v>
      </c>
      <c r="G236" s="30">
        <f t="shared" ref="G236:G241" si="95">E236*13.33</f>
        <v>167.142204</v>
      </c>
      <c r="H236" s="30">
        <f t="shared" ref="H236:H241" si="96">E236*14</f>
        <v>175.5432</v>
      </c>
      <c r="I236" s="30">
        <f t="shared" ref="I236:I241" si="97">F236*2</f>
        <v>300.9312</v>
      </c>
      <c r="J236" s="30">
        <f t="shared" ref="J236:J241" si="98">G236*2</f>
        <v>334.284408</v>
      </c>
      <c r="K236" s="28">
        <f t="shared" ref="K236:K241" si="99">H236*2</f>
        <v>351.0864</v>
      </c>
      <c r="M236" s="47"/>
    </row>
    <row r="237" spans="1:13">
      <c r="A237" s="28" t="s">
        <v>90</v>
      </c>
      <c r="B237" s="32">
        <v>0.6</v>
      </c>
      <c r="C237" s="28" t="s">
        <v>41</v>
      </c>
      <c r="D237" s="32" t="s">
        <v>26</v>
      </c>
      <c r="E237" s="28">
        <v>15.0228</v>
      </c>
      <c r="F237" s="30">
        <f t="shared" si="94"/>
        <v>180.2736</v>
      </c>
      <c r="G237" s="30">
        <f t="shared" si="95"/>
        <v>200.253924</v>
      </c>
      <c r="H237" s="30">
        <f t="shared" si="96"/>
        <v>210.3192</v>
      </c>
      <c r="I237" s="30">
        <f t="shared" si="97"/>
        <v>360.5472</v>
      </c>
      <c r="J237" s="30">
        <f t="shared" si="98"/>
        <v>400.507848</v>
      </c>
      <c r="K237" s="28">
        <f t="shared" si="99"/>
        <v>420.6384</v>
      </c>
      <c r="M237" s="47"/>
    </row>
    <row r="238" spans="1:13">
      <c r="A238" s="28" t="s">
        <v>90</v>
      </c>
      <c r="B238" s="32">
        <v>0.6</v>
      </c>
      <c r="C238" s="28" t="s">
        <v>41</v>
      </c>
      <c r="D238" s="32" t="s">
        <v>29</v>
      </c>
      <c r="E238" s="28">
        <v>24.8292</v>
      </c>
      <c r="F238" s="30">
        <f t="shared" si="94"/>
        <v>297.9504</v>
      </c>
      <c r="G238" s="30">
        <f t="shared" si="95"/>
        <v>330.973236</v>
      </c>
      <c r="H238" s="30">
        <f t="shared" si="96"/>
        <v>347.6088</v>
      </c>
      <c r="I238" s="30">
        <f t="shared" si="97"/>
        <v>595.9008</v>
      </c>
      <c r="J238" s="30">
        <f t="shared" si="98"/>
        <v>661.946472</v>
      </c>
      <c r="K238" s="28">
        <f t="shared" si="99"/>
        <v>695.2176</v>
      </c>
      <c r="M238" s="47"/>
    </row>
    <row r="239" spans="1:13">
      <c r="A239" s="56" t="s">
        <v>90</v>
      </c>
      <c r="B239" s="57">
        <v>0.6</v>
      </c>
      <c r="C239" s="56" t="s">
        <v>41</v>
      </c>
      <c r="D239" s="57" t="s">
        <v>33</v>
      </c>
      <c r="E239" s="56">
        <v>37.0872</v>
      </c>
      <c r="F239" s="58">
        <f t="shared" si="94"/>
        <v>445.0464</v>
      </c>
      <c r="G239" s="58">
        <f t="shared" si="95"/>
        <v>494.372376</v>
      </c>
      <c r="H239" s="58">
        <f t="shared" si="96"/>
        <v>519.2208</v>
      </c>
      <c r="I239" s="58">
        <f t="shared" si="97"/>
        <v>890.0928</v>
      </c>
      <c r="J239" s="58">
        <f t="shared" si="98"/>
        <v>988.744752</v>
      </c>
      <c r="K239" s="56">
        <f t="shared" si="99"/>
        <v>1038.4416</v>
      </c>
      <c r="M239" s="47"/>
    </row>
    <row r="240" spans="1:13">
      <c r="A240" s="28" t="s">
        <v>90</v>
      </c>
      <c r="B240" s="32" t="s">
        <v>103</v>
      </c>
      <c r="C240" s="28" t="s">
        <v>43</v>
      </c>
      <c r="D240" s="32" t="s">
        <v>33</v>
      </c>
      <c r="E240" s="28">
        <v>37.206</v>
      </c>
      <c r="F240" s="30">
        <f t="shared" si="94"/>
        <v>446.472</v>
      </c>
      <c r="G240" s="30">
        <f t="shared" si="95"/>
        <v>495.95598</v>
      </c>
      <c r="H240" s="30">
        <f t="shared" si="96"/>
        <v>520.884</v>
      </c>
      <c r="I240" s="30">
        <f t="shared" si="97"/>
        <v>892.944</v>
      </c>
      <c r="J240" s="30">
        <f t="shared" si="98"/>
        <v>991.91196</v>
      </c>
      <c r="K240" s="28">
        <f t="shared" si="99"/>
        <v>1041.768</v>
      </c>
      <c r="M240" s="47"/>
    </row>
    <row r="241" spans="1:13">
      <c r="A241" s="28" t="s">
        <v>90</v>
      </c>
      <c r="B241" s="32" t="s">
        <v>103</v>
      </c>
      <c r="C241" s="28" t="s">
        <v>43</v>
      </c>
      <c r="D241" s="57" t="s">
        <v>40</v>
      </c>
      <c r="E241" s="28">
        <v>49.4424</v>
      </c>
      <c r="F241" s="30">
        <f t="shared" si="94"/>
        <v>593.3088</v>
      </c>
      <c r="G241" s="30">
        <f t="shared" si="95"/>
        <v>659.067192</v>
      </c>
      <c r="H241" s="30">
        <f t="shared" si="96"/>
        <v>692.1936</v>
      </c>
      <c r="I241" s="30">
        <f t="shared" si="97"/>
        <v>1186.6176</v>
      </c>
      <c r="J241" s="30">
        <f t="shared" si="98"/>
        <v>1318.134384</v>
      </c>
      <c r="K241" s="28">
        <f t="shared" si="99"/>
        <v>1384.3872</v>
      </c>
      <c r="M241" s="47"/>
    </row>
    <row r="242" spans="1:13">
      <c r="A242" s="56" t="s">
        <v>90</v>
      </c>
      <c r="B242" s="57">
        <v>0.71</v>
      </c>
      <c r="C242" s="56" t="s">
        <v>43</v>
      </c>
      <c r="D242" s="59" t="s">
        <v>25</v>
      </c>
      <c r="E242" s="56">
        <v>12.3012</v>
      </c>
      <c r="F242" s="58">
        <f t="shared" ref="F242:F257" si="100">E242*12</f>
        <v>147.6144</v>
      </c>
      <c r="G242" s="58">
        <f t="shared" ref="G242:G257" si="101">E242*13.33</f>
        <v>163.974996</v>
      </c>
      <c r="H242" s="58">
        <f t="shared" ref="H242:H257" si="102">E242*14</f>
        <v>172.2168</v>
      </c>
      <c r="I242" s="58">
        <f t="shared" ref="I242:I257" si="103">F242*2</f>
        <v>295.2288</v>
      </c>
      <c r="J242" s="58">
        <f t="shared" ref="J242:J257" si="104">G242*2</f>
        <v>327.949992</v>
      </c>
      <c r="K242" s="56">
        <f t="shared" ref="K242:K257" si="105">H242*2</f>
        <v>344.4336</v>
      </c>
      <c r="M242" s="47"/>
    </row>
    <row r="243" spans="1:13">
      <c r="A243" s="56" t="s">
        <v>90</v>
      </c>
      <c r="B243" s="57">
        <v>0.71</v>
      </c>
      <c r="C243" s="56" t="s">
        <v>43</v>
      </c>
      <c r="D243" s="57" t="s">
        <v>26</v>
      </c>
      <c r="E243" s="56">
        <v>16.2</v>
      </c>
      <c r="F243" s="58">
        <f t="shared" si="100"/>
        <v>194.4</v>
      </c>
      <c r="G243" s="58">
        <f t="shared" si="101"/>
        <v>215.946</v>
      </c>
      <c r="H243" s="58">
        <f t="shared" si="102"/>
        <v>226.8</v>
      </c>
      <c r="I243" s="58">
        <f t="shared" si="103"/>
        <v>388.8</v>
      </c>
      <c r="J243" s="58">
        <f t="shared" si="104"/>
        <v>431.892</v>
      </c>
      <c r="K243" s="56">
        <f t="shared" si="105"/>
        <v>453.6</v>
      </c>
      <c r="M243" s="47"/>
    </row>
    <row r="244" spans="1:13">
      <c r="A244" s="56" t="s">
        <v>90</v>
      </c>
      <c r="B244" s="57">
        <v>0.71</v>
      </c>
      <c r="C244" s="56" t="s">
        <v>43</v>
      </c>
      <c r="D244" s="57" t="s">
        <v>29</v>
      </c>
      <c r="E244" s="56">
        <v>25.9956</v>
      </c>
      <c r="F244" s="58">
        <f t="shared" si="100"/>
        <v>311.9472</v>
      </c>
      <c r="G244" s="58">
        <f t="shared" si="101"/>
        <v>346.521348</v>
      </c>
      <c r="H244" s="58">
        <f t="shared" si="102"/>
        <v>363.9384</v>
      </c>
      <c r="I244" s="58">
        <f t="shared" si="103"/>
        <v>623.8944</v>
      </c>
      <c r="J244" s="58">
        <f t="shared" si="104"/>
        <v>693.042696</v>
      </c>
      <c r="K244" s="56">
        <f t="shared" si="105"/>
        <v>727.8768</v>
      </c>
      <c r="M244" s="47"/>
    </row>
    <row r="245" spans="1:13">
      <c r="A245" s="56" t="s">
        <v>90</v>
      </c>
      <c r="B245" s="57">
        <v>0.71</v>
      </c>
      <c r="C245" s="56" t="s">
        <v>43</v>
      </c>
      <c r="D245" s="57" t="s">
        <v>33</v>
      </c>
      <c r="E245" s="56">
        <v>37.206</v>
      </c>
      <c r="F245" s="58">
        <f t="shared" si="100"/>
        <v>446.472</v>
      </c>
      <c r="G245" s="58">
        <f t="shared" si="101"/>
        <v>495.95598</v>
      </c>
      <c r="H245" s="58">
        <f t="shared" si="102"/>
        <v>520.884</v>
      </c>
      <c r="I245" s="58">
        <f t="shared" si="103"/>
        <v>892.944</v>
      </c>
      <c r="J245" s="58">
        <f t="shared" si="104"/>
        <v>991.91196</v>
      </c>
      <c r="K245" s="56">
        <f t="shared" si="105"/>
        <v>1041.768</v>
      </c>
      <c r="M245" s="47"/>
    </row>
    <row r="246" spans="1:13">
      <c r="A246" s="56" t="s">
        <v>90</v>
      </c>
      <c r="B246" s="57">
        <v>0.71</v>
      </c>
      <c r="C246" s="56" t="s">
        <v>43</v>
      </c>
      <c r="D246" s="57" t="s">
        <v>40</v>
      </c>
      <c r="E246" s="56">
        <v>49.9068</v>
      </c>
      <c r="F246" s="58">
        <f t="shared" si="100"/>
        <v>598.8816</v>
      </c>
      <c r="G246" s="58">
        <f t="shared" si="101"/>
        <v>665.257644</v>
      </c>
      <c r="H246" s="58">
        <f t="shared" si="102"/>
        <v>698.6952</v>
      </c>
      <c r="I246" s="58">
        <f t="shared" si="103"/>
        <v>1197.7632</v>
      </c>
      <c r="J246" s="58">
        <f t="shared" si="104"/>
        <v>1330.515288</v>
      </c>
      <c r="K246" s="56">
        <f t="shared" si="105"/>
        <v>1397.3904</v>
      </c>
      <c r="M246" s="47"/>
    </row>
    <row r="247" spans="1:13">
      <c r="A247" s="56" t="s">
        <v>90</v>
      </c>
      <c r="B247" s="57">
        <v>0.8</v>
      </c>
      <c r="C247" s="56" t="s">
        <v>43</v>
      </c>
      <c r="D247" s="59" t="s">
        <v>25</v>
      </c>
      <c r="E247" s="56">
        <v>12.42</v>
      </c>
      <c r="F247" s="58">
        <f t="shared" si="100"/>
        <v>149.04</v>
      </c>
      <c r="G247" s="58">
        <f t="shared" si="101"/>
        <v>165.5586</v>
      </c>
      <c r="H247" s="58">
        <f t="shared" si="102"/>
        <v>173.88</v>
      </c>
      <c r="I247" s="58">
        <f t="shared" si="103"/>
        <v>298.08</v>
      </c>
      <c r="J247" s="58">
        <f t="shared" si="104"/>
        <v>331.1172</v>
      </c>
      <c r="K247" s="56">
        <f t="shared" si="105"/>
        <v>347.76</v>
      </c>
      <c r="M247" s="47"/>
    </row>
    <row r="248" spans="1:13">
      <c r="A248" s="56" t="s">
        <v>90</v>
      </c>
      <c r="B248" s="57">
        <v>0.8</v>
      </c>
      <c r="C248" s="56" t="s">
        <v>43</v>
      </c>
      <c r="D248" s="57" t="s">
        <v>26</v>
      </c>
      <c r="E248" s="56">
        <v>16.4808</v>
      </c>
      <c r="F248" s="58">
        <f t="shared" si="100"/>
        <v>197.7696</v>
      </c>
      <c r="G248" s="58">
        <f t="shared" si="101"/>
        <v>219.689064</v>
      </c>
      <c r="H248" s="58">
        <f t="shared" si="102"/>
        <v>230.7312</v>
      </c>
      <c r="I248" s="58">
        <f t="shared" si="103"/>
        <v>395.5392</v>
      </c>
      <c r="J248" s="58">
        <f t="shared" si="104"/>
        <v>439.378128</v>
      </c>
      <c r="K248" s="56">
        <f t="shared" si="105"/>
        <v>461.4624</v>
      </c>
      <c r="M248" s="47"/>
    </row>
    <row r="249" spans="1:13">
      <c r="A249" s="56" t="s">
        <v>90</v>
      </c>
      <c r="B249" s="57">
        <v>0.8</v>
      </c>
      <c r="C249" s="56" t="s">
        <v>43</v>
      </c>
      <c r="D249" s="57" t="s">
        <v>29</v>
      </c>
      <c r="E249" s="56">
        <v>26.784</v>
      </c>
      <c r="F249" s="58">
        <f t="shared" si="100"/>
        <v>321.408</v>
      </c>
      <c r="G249" s="58">
        <f t="shared" si="101"/>
        <v>357.03072</v>
      </c>
      <c r="H249" s="58">
        <f t="shared" si="102"/>
        <v>374.976</v>
      </c>
      <c r="I249" s="58">
        <f t="shared" si="103"/>
        <v>642.816</v>
      </c>
      <c r="J249" s="58">
        <f t="shared" si="104"/>
        <v>714.06144</v>
      </c>
      <c r="K249" s="56">
        <f t="shared" si="105"/>
        <v>749.952</v>
      </c>
      <c r="M249" s="47"/>
    </row>
    <row r="250" spans="1:13">
      <c r="A250" s="56" t="s">
        <v>90</v>
      </c>
      <c r="B250" s="57">
        <v>0.8</v>
      </c>
      <c r="C250" s="56" t="s">
        <v>43</v>
      </c>
      <c r="D250" s="57" t="s">
        <v>33</v>
      </c>
      <c r="E250" s="56">
        <v>38.3076</v>
      </c>
      <c r="F250" s="58">
        <f t="shared" si="100"/>
        <v>459.6912</v>
      </c>
      <c r="G250" s="58">
        <f t="shared" si="101"/>
        <v>510.640308</v>
      </c>
      <c r="H250" s="58">
        <f t="shared" si="102"/>
        <v>536.3064</v>
      </c>
      <c r="I250" s="58">
        <f t="shared" si="103"/>
        <v>919.3824</v>
      </c>
      <c r="J250" s="58">
        <f t="shared" si="104"/>
        <v>1021.280616</v>
      </c>
      <c r="K250" s="56">
        <f t="shared" si="105"/>
        <v>1072.6128</v>
      </c>
      <c r="M250" s="47"/>
    </row>
    <row r="251" spans="1:13">
      <c r="A251" s="56" t="s">
        <v>90</v>
      </c>
      <c r="B251" s="57">
        <v>0.9</v>
      </c>
      <c r="C251" s="56" t="s">
        <v>46</v>
      </c>
      <c r="D251" s="59" t="s">
        <v>25</v>
      </c>
      <c r="E251" s="56">
        <v>13.9752</v>
      </c>
      <c r="F251" s="58">
        <f t="shared" si="100"/>
        <v>167.7024</v>
      </c>
      <c r="G251" s="58">
        <f t="shared" si="101"/>
        <v>186.289416</v>
      </c>
      <c r="H251" s="58">
        <f t="shared" si="102"/>
        <v>195.6528</v>
      </c>
      <c r="I251" s="58">
        <f t="shared" si="103"/>
        <v>335.4048</v>
      </c>
      <c r="J251" s="58">
        <f t="shared" si="104"/>
        <v>372.578832</v>
      </c>
      <c r="K251" s="56">
        <f t="shared" si="105"/>
        <v>391.3056</v>
      </c>
      <c r="M251" s="47"/>
    </row>
    <row r="252" spans="1:13">
      <c r="A252" s="56" t="s">
        <v>90</v>
      </c>
      <c r="B252" s="57">
        <v>0.9</v>
      </c>
      <c r="C252" s="56" t="s">
        <v>43</v>
      </c>
      <c r="D252" s="57" t="s">
        <v>29</v>
      </c>
      <c r="E252" s="56">
        <v>27.4536</v>
      </c>
      <c r="F252" s="58">
        <f t="shared" si="100"/>
        <v>329.4432</v>
      </c>
      <c r="G252" s="58">
        <f t="shared" si="101"/>
        <v>365.956488</v>
      </c>
      <c r="H252" s="58">
        <f t="shared" si="102"/>
        <v>384.3504</v>
      </c>
      <c r="I252" s="58">
        <f t="shared" si="103"/>
        <v>658.8864</v>
      </c>
      <c r="J252" s="58">
        <f t="shared" si="104"/>
        <v>731.912976</v>
      </c>
      <c r="K252" s="56">
        <f t="shared" si="105"/>
        <v>768.7008</v>
      </c>
      <c r="M252" s="47"/>
    </row>
    <row r="253" spans="1:13">
      <c r="A253" s="56" t="s">
        <v>90</v>
      </c>
      <c r="B253" s="57">
        <v>0.9</v>
      </c>
      <c r="C253" s="56" t="s">
        <v>43</v>
      </c>
      <c r="D253" s="57" t="s">
        <v>33</v>
      </c>
      <c r="E253" s="56">
        <v>40.1544</v>
      </c>
      <c r="F253" s="58">
        <f t="shared" si="100"/>
        <v>481.8528</v>
      </c>
      <c r="G253" s="58">
        <f t="shared" si="101"/>
        <v>535.258152</v>
      </c>
      <c r="H253" s="58">
        <f t="shared" si="102"/>
        <v>562.1616</v>
      </c>
      <c r="I253" s="58">
        <f t="shared" si="103"/>
        <v>963.7056</v>
      </c>
      <c r="J253" s="58">
        <f t="shared" si="104"/>
        <v>1070.516304</v>
      </c>
      <c r="K253" s="56">
        <f t="shared" si="105"/>
        <v>1124.3232</v>
      </c>
      <c r="M253" s="47"/>
    </row>
    <row r="254" spans="1:13">
      <c r="A254" s="56" t="s">
        <v>90</v>
      </c>
      <c r="B254" s="57">
        <v>0.9</v>
      </c>
      <c r="C254" s="56" t="s">
        <v>46</v>
      </c>
      <c r="D254" s="57" t="s">
        <v>26</v>
      </c>
      <c r="E254" s="56">
        <v>17.9928</v>
      </c>
      <c r="F254" s="58">
        <f t="shared" si="100"/>
        <v>215.9136</v>
      </c>
      <c r="G254" s="58">
        <f t="shared" si="101"/>
        <v>239.844024</v>
      </c>
      <c r="H254" s="58">
        <f t="shared" si="102"/>
        <v>251.8992</v>
      </c>
      <c r="I254" s="58">
        <f t="shared" si="103"/>
        <v>431.8272</v>
      </c>
      <c r="J254" s="58">
        <f t="shared" si="104"/>
        <v>479.688048</v>
      </c>
      <c r="K254" s="56">
        <f t="shared" si="105"/>
        <v>503.7984</v>
      </c>
      <c r="M254" s="47"/>
    </row>
    <row r="255" spans="1:13">
      <c r="A255" s="56" t="s">
        <v>90</v>
      </c>
      <c r="B255" s="57" t="s">
        <v>104</v>
      </c>
      <c r="C255" s="56" t="s">
        <v>47</v>
      </c>
      <c r="D255" s="59" t="s">
        <v>25</v>
      </c>
      <c r="E255" s="56">
        <v>14.1048</v>
      </c>
      <c r="F255" s="58">
        <f t="shared" si="100"/>
        <v>169.2576</v>
      </c>
      <c r="G255" s="58">
        <f t="shared" si="101"/>
        <v>188.016984</v>
      </c>
      <c r="H255" s="58">
        <f t="shared" si="102"/>
        <v>197.4672</v>
      </c>
      <c r="I255" s="58">
        <f t="shared" si="103"/>
        <v>338.5152</v>
      </c>
      <c r="J255" s="58">
        <f t="shared" si="104"/>
        <v>376.033968</v>
      </c>
      <c r="K255" s="56">
        <f t="shared" si="105"/>
        <v>394.9344</v>
      </c>
      <c r="M255" s="47"/>
    </row>
    <row r="256" spans="1:13">
      <c r="A256" s="56" t="s">
        <v>90</v>
      </c>
      <c r="B256" s="57" t="s">
        <v>104</v>
      </c>
      <c r="C256" s="56" t="s">
        <v>47</v>
      </c>
      <c r="D256" s="57" t="s">
        <v>26</v>
      </c>
      <c r="E256" s="56">
        <v>17.8848</v>
      </c>
      <c r="F256" s="58">
        <f t="shared" si="100"/>
        <v>214.6176</v>
      </c>
      <c r="G256" s="58">
        <f t="shared" si="101"/>
        <v>238.404384</v>
      </c>
      <c r="H256" s="58">
        <f t="shared" si="102"/>
        <v>250.3872</v>
      </c>
      <c r="I256" s="58">
        <f t="shared" si="103"/>
        <v>429.2352</v>
      </c>
      <c r="J256" s="58">
        <f t="shared" si="104"/>
        <v>476.808768</v>
      </c>
      <c r="K256" s="56">
        <f t="shared" si="105"/>
        <v>500.7744</v>
      </c>
      <c r="M256" s="47"/>
    </row>
    <row r="257" spans="1:13">
      <c r="A257" s="56" t="s">
        <v>90</v>
      </c>
      <c r="B257" s="57" t="s">
        <v>104</v>
      </c>
      <c r="C257" s="56" t="s">
        <v>46</v>
      </c>
      <c r="D257" s="57" t="s">
        <v>29</v>
      </c>
      <c r="E257" s="56">
        <v>28.1772</v>
      </c>
      <c r="F257" s="58">
        <f t="shared" si="100"/>
        <v>338.1264</v>
      </c>
      <c r="G257" s="58">
        <f t="shared" si="101"/>
        <v>375.602076</v>
      </c>
      <c r="H257" s="58">
        <f t="shared" si="102"/>
        <v>394.4808</v>
      </c>
      <c r="I257" s="58">
        <f t="shared" si="103"/>
        <v>676.2528</v>
      </c>
      <c r="J257" s="58">
        <f t="shared" si="104"/>
        <v>751.204152</v>
      </c>
      <c r="K257" s="56">
        <f t="shared" si="105"/>
        <v>788.9616</v>
      </c>
      <c r="M257" s="47"/>
    </row>
    <row r="258" spans="1:13">
      <c r="A258" s="56" t="s">
        <v>90</v>
      </c>
      <c r="B258" s="57" t="s">
        <v>104</v>
      </c>
      <c r="C258" s="56" t="s">
        <v>43</v>
      </c>
      <c r="D258" s="57" t="s">
        <v>33</v>
      </c>
      <c r="E258" s="56">
        <v>38.9772</v>
      </c>
      <c r="F258" s="58">
        <f t="shared" ref="F258:F294" si="106">E258*12</f>
        <v>467.7264</v>
      </c>
      <c r="G258" s="58">
        <f t="shared" ref="G258:G294" si="107">E258*13.33</f>
        <v>519.566076</v>
      </c>
      <c r="H258" s="58">
        <f t="shared" ref="H258:H294" si="108">E258*14</f>
        <v>545.6808</v>
      </c>
      <c r="I258" s="58">
        <f t="shared" ref="I258:I294" si="109">F258*2</f>
        <v>935.4528</v>
      </c>
      <c r="J258" s="58">
        <f t="shared" ref="J258:J294" si="110">G258*2</f>
        <v>1039.132152</v>
      </c>
      <c r="K258" s="56">
        <f t="shared" ref="K258:K294" si="111">H258*2</f>
        <v>1091.3616</v>
      </c>
      <c r="M258" s="47"/>
    </row>
    <row r="259" spans="1:13">
      <c r="A259" s="56" t="s">
        <v>90</v>
      </c>
      <c r="B259" s="57" t="s">
        <v>104</v>
      </c>
      <c r="C259" s="56" t="s">
        <v>43</v>
      </c>
      <c r="D259" s="57" t="s">
        <v>40</v>
      </c>
      <c r="E259" s="56">
        <v>38.9772</v>
      </c>
      <c r="F259" s="58">
        <f t="shared" si="106"/>
        <v>467.7264</v>
      </c>
      <c r="G259" s="58">
        <f t="shared" si="107"/>
        <v>519.566076</v>
      </c>
      <c r="H259" s="58">
        <f t="shared" si="108"/>
        <v>545.6808</v>
      </c>
      <c r="I259" s="58">
        <f t="shared" si="109"/>
        <v>935.4528</v>
      </c>
      <c r="J259" s="58">
        <f t="shared" si="110"/>
        <v>1039.132152</v>
      </c>
      <c r="K259" s="56">
        <f t="shared" si="111"/>
        <v>1091.3616</v>
      </c>
      <c r="M259" s="47"/>
    </row>
    <row r="260" spans="1:13">
      <c r="A260" s="56" t="s">
        <v>90</v>
      </c>
      <c r="B260" s="57">
        <v>1.1</v>
      </c>
      <c r="C260" s="56" t="s">
        <v>48</v>
      </c>
      <c r="D260" s="59" t="s">
        <v>25</v>
      </c>
      <c r="E260" s="56">
        <v>15.1632</v>
      </c>
      <c r="F260" s="58">
        <f t="shared" si="106"/>
        <v>181.9584</v>
      </c>
      <c r="G260" s="58">
        <f t="shared" si="107"/>
        <v>202.125456</v>
      </c>
      <c r="H260" s="58">
        <f t="shared" si="108"/>
        <v>212.2848</v>
      </c>
      <c r="I260" s="58">
        <f t="shared" si="109"/>
        <v>363.9168</v>
      </c>
      <c r="J260" s="58">
        <f t="shared" si="110"/>
        <v>404.250912</v>
      </c>
      <c r="K260" s="56">
        <f t="shared" si="111"/>
        <v>424.5696</v>
      </c>
      <c r="M260" s="47"/>
    </row>
    <row r="261" spans="1:13">
      <c r="A261" s="56" t="s">
        <v>90</v>
      </c>
      <c r="B261" s="57">
        <v>1.1</v>
      </c>
      <c r="C261" s="56" t="s">
        <v>48</v>
      </c>
      <c r="D261" s="57" t="s">
        <v>26</v>
      </c>
      <c r="E261" s="56">
        <v>18.8676</v>
      </c>
      <c r="F261" s="58">
        <f t="shared" si="106"/>
        <v>226.4112</v>
      </c>
      <c r="G261" s="58">
        <f t="shared" si="107"/>
        <v>251.505108</v>
      </c>
      <c r="H261" s="58">
        <f t="shared" si="108"/>
        <v>264.1464</v>
      </c>
      <c r="I261" s="58">
        <f t="shared" si="109"/>
        <v>452.8224</v>
      </c>
      <c r="J261" s="58">
        <f t="shared" si="110"/>
        <v>503.010216</v>
      </c>
      <c r="K261" s="56">
        <f t="shared" si="111"/>
        <v>528.2928</v>
      </c>
      <c r="M261" s="47"/>
    </row>
    <row r="262" spans="1:13">
      <c r="A262" s="56" t="s">
        <v>90</v>
      </c>
      <c r="B262" s="57">
        <v>1.1</v>
      </c>
      <c r="C262" s="56" t="s">
        <v>47</v>
      </c>
      <c r="D262" s="57" t="s">
        <v>29</v>
      </c>
      <c r="E262" s="56">
        <v>28.7712</v>
      </c>
      <c r="F262" s="58">
        <f t="shared" si="106"/>
        <v>345.2544</v>
      </c>
      <c r="G262" s="58">
        <f t="shared" si="107"/>
        <v>383.520096</v>
      </c>
      <c r="H262" s="58">
        <f t="shared" si="108"/>
        <v>402.7968</v>
      </c>
      <c r="I262" s="58">
        <f t="shared" si="109"/>
        <v>690.5088</v>
      </c>
      <c r="J262" s="58">
        <f t="shared" si="110"/>
        <v>767.040192</v>
      </c>
      <c r="K262" s="56">
        <f t="shared" si="111"/>
        <v>805.5936</v>
      </c>
      <c r="M262" s="47"/>
    </row>
    <row r="263" spans="1:13">
      <c r="A263" s="56" t="s">
        <v>90</v>
      </c>
      <c r="B263" s="57">
        <v>1.1</v>
      </c>
      <c r="C263" s="56" t="s">
        <v>47</v>
      </c>
      <c r="D263" s="57" t="s">
        <v>33</v>
      </c>
      <c r="E263" s="56">
        <v>38.9772</v>
      </c>
      <c r="F263" s="58">
        <f t="shared" si="106"/>
        <v>467.7264</v>
      </c>
      <c r="G263" s="58">
        <f t="shared" si="107"/>
        <v>519.566076</v>
      </c>
      <c r="H263" s="58">
        <f t="shared" si="108"/>
        <v>545.6808</v>
      </c>
      <c r="I263" s="58">
        <f t="shared" si="109"/>
        <v>935.4528</v>
      </c>
      <c r="J263" s="58">
        <f t="shared" si="110"/>
        <v>1039.132152</v>
      </c>
      <c r="K263" s="56">
        <f t="shared" si="111"/>
        <v>1091.3616</v>
      </c>
      <c r="M263" s="47"/>
    </row>
    <row r="264" spans="1:13">
      <c r="A264" s="56" t="s">
        <v>90</v>
      </c>
      <c r="B264" s="57">
        <v>1.2</v>
      </c>
      <c r="C264" s="56" t="s">
        <v>48</v>
      </c>
      <c r="D264" s="59" t="s">
        <v>25</v>
      </c>
      <c r="E264" s="56">
        <v>15.282</v>
      </c>
      <c r="F264" s="58">
        <f t="shared" si="106"/>
        <v>183.384</v>
      </c>
      <c r="G264" s="58">
        <f t="shared" si="107"/>
        <v>203.70906</v>
      </c>
      <c r="H264" s="58">
        <f t="shared" si="108"/>
        <v>213.948</v>
      </c>
      <c r="I264" s="58">
        <f t="shared" si="109"/>
        <v>366.768</v>
      </c>
      <c r="J264" s="58">
        <f t="shared" si="110"/>
        <v>407.41812</v>
      </c>
      <c r="K264" s="56">
        <f t="shared" si="111"/>
        <v>427.896</v>
      </c>
      <c r="M264" s="47"/>
    </row>
    <row r="265" spans="1:13">
      <c r="A265" s="56" t="s">
        <v>90</v>
      </c>
      <c r="B265" s="57">
        <v>1.2</v>
      </c>
      <c r="C265" s="56" t="s">
        <v>48</v>
      </c>
      <c r="D265" s="57" t="s">
        <v>26</v>
      </c>
      <c r="E265" s="56">
        <v>18.9864</v>
      </c>
      <c r="F265" s="58">
        <f t="shared" si="106"/>
        <v>227.8368</v>
      </c>
      <c r="G265" s="58">
        <f t="shared" si="107"/>
        <v>253.088712</v>
      </c>
      <c r="H265" s="58">
        <f t="shared" si="108"/>
        <v>265.8096</v>
      </c>
      <c r="I265" s="58">
        <f t="shared" si="109"/>
        <v>455.6736</v>
      </c>
      <c r="J265" s="58">
        <f t="shared" si="110"/>
        <v>506.177424</v>
      </c>
      <c r="K265" s="56">
        <f t="shared" si="111"/>
        <v>531.6192</v>
      </c>
      <c r="M265" s="47"/>
    </row>
    <row r="266" spans="1:13">
      <c r="A266" s="56" t="s">
        <v>90</v>
      </c>
      <c r="B266" s="57">
        <v>1.2</v>
      </c>
      <c r="C266" s="56" t="s">
        <v>48</v>
      </c>
      <c r="D266" s="57" t="s">
        <v>29</v>
      </c>
      <c r="E266" s="56">
        <v>29.3868</v>
      </c>
      <c r="F266" s="58">
        <f t="shared" si="106"/>
        <v>352.6416</v>
      </c>
      <c r="G266" s="58">
        <f t="shared" si="107"/>
        <v>391.726044</v>
      </c>
      <c r="H266" s="58">
        <f t="shared" si="108"/>
        <v>411.4152</v>
      </c>
      <c r="I266" s="58">
        <f t="shared" si="109"/>
        <v>705.2832</v>
      </c>
      <c r="J266" s="58">
        <f t="shared" si="110"/>
        <v>783.452088</v>
      </c>
      <c r="K266" s="56">
        <f t="shared" si="111"/>
        <v>822.8304</v>
      </c>
      <c r="M266" s="47"/>
    </row>
    <row r="267" spans="1:13">
      <c r="A267" s="56" t="s">
        <v>90</v>
      </c>
      <c r="B267" s="57">
        <v>1.2</v>
      </c>
      <c r="C267" s="56" t="s">
        <v>47</v>
      </c>
      <c r="D267" s="57" t="s">
        <v>33</v>
      </c>
      <c r="E267" s="56">
        <v>41.9796</v>
      </c>
      <c r="F267" s="58">
        <f t="shared" si="106"/>
        <v>503.7552</v>
      </c>
      <c r="G267" s="58">
        <f t="shared" si="107"/>
        <v>559.588068</v>
      </c>
      <c r="H267" s="58">
        <f t="shared" si="108"/>
        <v>587.7144</v>
      </c>
      <c r="I267" s="58">
        <f t="shared" si="109"/>
        <v>1007.5104</v>
      </c>
      <c r="J267" s="58">
        <f t="shared" si="110"/>
        <v>1119.176136</v>
      </c>
      <c r="K267" s="56">
        <f t="shared" si="111"/>
        <v>1175.4288</v>
      </c>
      <c r="M267" s="47"/>
    </row>
    <row r="268" spans="1:13">
      <c r="A268" s="56" t="s">
        <v>90</v>
      </c>
      <c r="B268" s="57">
        <v>1.2</v>
      </c>
      <c r="C268" s="56" t="s">
        <v>47</v>
      </c>
      <c r="D268" s="57" t="s">
        <v>40</v>
      </c>
      <c r="E268" s="56">
        <v>56.4732</v>
      </c>
      <c r="F268" s="58">
        <f t="shared" si="106"/>
        <v>677.6784</v>
      </c>
      <c r="G268" s="58">
        <f t="shared" si="107"/>
        <v>752.787756</v>
      </c>
      <c r="H268" s="58">
        <f t="shared" si="108"/>
        <v>790.6248</v>
      </c>
      <c r="I268" s="58">
        <f t="shared" si="109"/>
        <v>1355.3568</v>
      </c>
      <c r="J268" s="58">
        <f t="shared" si="110"/>
        <v>1505.575512</v>
      </c>
      <c r="K268" s="56">
        <f t="shared" si="111"/>
        <v>1581.2496</v>
      </c>
      <c r="M268" s="47"/>
    </row>
    <row r="269" spans="1:13">
      <c r="A269" s="56" t="s">
        <v>90</v>
      </c>
      <c r="B269" s="57">
        <v>1.25</v>
      </c>
      <c r="C269" s="56" t="s">
        <v>49</v>
      </c>
      <c r="D269" s="59" t="s">
        <v>25</v>
      </c>
      <c r="E269" s="56">
        <v>17.064</v>
      </c>
      <c r="F269" s="58">
        <f t="shared" si="106"/>
        <v>204.768</v>
      </c>
      <c r="G269" s="58">
        <f t="shared" si="107"/>
        <v>227.46312</v>
      </c>
      <c r="H269" s="58">
        <f t="shared" si="108"/>
        <v>238.896</v>
      </c>
      <c r="I269" s="58">
        <f t="shared" si="109"/>
        <v>409.536</v>
      </c>
      <c r="J269" s="58">
        <f t="shared" si="110"/>
        <v>454.92624</v>
      </c>
      <c r="K269" s="56">
        <f t="shared" si="111"/>
        <v>477.792</v>
      </c>
      <c r="M269" s="47"/>
    </row>
    <row r="270" spans="1:13">
      <c r="A270" s="56" t="s">
        <v>90</v>
      </c>
      <c r="B270" s="57">
        <v>1.25</v>
      </c>
      <c r="C270" s="56" t="s">
        <v>49</v>
      </c>
      <c r="D270" s="57" t="s">
        <v>26</v>
      </c>
      <c r="E270" s="56">
        <v>20.7684</v>
      </c>
      <c r="F270" s="58">
        <f t="shared" si="106"/>
        <v>249.2208</v>
      </c>
      <c r="G270" s="58">
        <f t="shared" si="107"/>
        <v>276.842772</v>
      </c>
      <c r="H270" s="58">
        <f t="shared" si="108"/>
        <v>290.7576</v>
      </c>
      <c r="I270" s="58">
        <f t="shared" si="109"/>
        <v>498.4416</v>
      </c>
      <c r="J270" s="58">
        <f t="shared" si="110"/>
        <v>553.685544</v>
      </c>
      <c r="K270" s="56">
        <f t="shared" si="111"/>
        <v>581.5152</v>
      </c>
      <c r="M270" s="47"/>
    </row>
    <row r="271" spans="1:13">
      <c r="A271" s="56" t="s">
        <v>90</v>
      </c>
      <c r="B271" s="57">
        <v>1.3</v>
      </c>
      <c r="C271" s="56" t="s">
        <v>49</v>
      </c>
      <c r="D271" s="59" t="s">
        <v>25</v>
      </c>
      <c r="E271" s="56">
        <v>17.1936</v>
      </c>
      <c r="F271" s="58">
        <f t="shared" si="106"/>
        <v>206.3232</v>
      </c>
      <c r="G271" s="58">
        <f t="shared" si="107"/>
        <v>229.190688</v>
      </c>
      <c r="H271" s="58">
        <f t="shared" si="108"/>
        <v>240.7104</v>
      </c>
      <c r="I271" s="58">
        <f t="shared" si="109"/>
        <v>412.6464</v>
      </c>
      <c r="J271" s="58">
        <f t="shared" si="110"/>
        <v>458.381376</v>
      </c>
      <c r="K271" s="56">
        <f t="shared" si="111"/>
        <v>481.4208</v>
      </c>
      <c r="M271" s="47"/>
    </row>
    <row r="272" spans="1:13">
      <c r="A272" s="56" t="s">
        <v>90</v>
      </c>
      <c r="B272" s="57">
        <v>1.3</v>
      </c>
      <c r="C272" s="56" t="s">
        <v>49</v>
      </c>
      <c r="D272" s="57" t="s">
        <v>26</v>
      </c>
      <c r="E272" s="56">
        <v>20.898</v>
      </c>
      <c r="F272" s="58">
        <f t="shared" si="106"/>
        <v>250.776</v>
      </c>
      <c r="G272" s="58">
        <f t="shared" si="107"/>
        <v>278.57034</v>
      </c>
      <c r="H272" s="58">
        <f t="shared" si="108"/>
        <v>292.572</v>
      </c>
      <c r="I272" s="58">
        <f t="shared" si="109"/>
        <v>501.552</v>
      </c>
      <c r="J272" s="58">
        <f t="shared" si="110"/>
        <v>557.14068</v>
      </c>
      <c r="K272" s="56">
        <f t="shared" si="111"/>
        <v>585.144</v>
      </c>
      <c r="M272" s="47"/>
    </row>
    <row r="273" spans="1:13">
      <c r="A273" s="56" t="s">
        <v>90</v>
      </c>
      <c r="B273" s="57">
        <v>1.3</v>
      </c>
      <c r="C273" s="56" t="s">
        <v>49</v>
      </c>
      <c r="D273" s="57" t="s">
        <v>29</v>
      </c>
      <c r="E273" s="56">
        <v>30.726</v>
      </c>
      <c r="F273" s="58">
        <f t="shared" si="106"/>
        <v>368.712</v>
      </c>
      <c r="G273" s="58">
        <f t="shared" si="107"/>
        <v>409.57758</v>
      </c>
      <c r="H273" s="58">
        <f t="shared" si="108"/>
        <v>430.164</v>
      </c>
      <c r="I273" s="58">
        <f t="shared" si="109"/>
        <v>737.424</v>
      </c>
      <c r="J273" s="58">
        <f t="shared" si="110"/>
        <v>819.15516</v>
      </c>
      <c r="K273" s="56">
        <f t="shared" si="111"/>
        <v>860.328</v>
      </c>
      <c r="M273" s="47"/>
    </row>
    <row r="274" spans="1:13">
      <c r="A274" s="56" t="s">
        <v>90</v>
      </c>
      <c r="B274" s="57">
        <v>1.3</v>
      </c>
      <c r="C274" s="56" t="s">
        <v>48</v>
      </c>
      <c r="D274" s="57" t="s">
        <v>33</v>
      </c>
      <c r="E274" s="56">
        <v>40.1328</v>
      </c>
      <c r="F274" s="58">
        <f t="shared" si="106"/>
        <v>481.5936</v>
      </c>
      <c r="G274" s="58">
        <f t="shared" si="107"/>
        <v>534.970224</v>
      </c>
      <c r="H274" s="58">
        <f t="shared" si="108"/>
        <v>561.8592</v>
      </c>
      <c r="I274" s="58">
        <f t="shared" si="109"/>
        <v>963.1872</v>
      </c>
      <c r="J274" s="58">
        <f t="shared" si="110"/>
        <v>1069.940448</v>
      </c>
      <c r="K274" s="56">
        <f t="shared" si="111"/>
        <v>1123.7184</v>
      </c>
      <c r="M274" s="47"/>
    </row>
    <row r="275" spans="1:13">
      <c r="A275" s="56" t="s">
        <v>90</v>
      </c>
      <c r="B275" s="57">
        <v>1.4</v>
      </c>
      <c r="C275" s="56" t="s">
        <v>49</v>
      </c>
      <c r="D275" s="59" t="s">
        <v>25</v>
      </c>
      <c r="E275" s="56">
        <v>17.442</v>
      </c>
      <c r="F275" s="58">
        <f t="shared" si="106"/>
        <v>209.304</v>
      </c>
      <c r="G275" s="58">
        <f t="shared" si="107"/>
        <v>232.50186</v>
      </c>
      <c r="H275" s="58">
        <f t="shared" si="108"/>
        <v>244.188</v>
      </c>
      <c r="I275" s="58">
        <f t="shared" si="109"/>
        <v>418.608</v>
      </c>
      <c r="J275" s="58">
        <f t="shared" si="110"/>
        <v>465.00372</v>
      </c>
      <c r="K275" s="56">
        <f t="shared" si="111"/>
        <v>488.376</v>
      </c>
      <c r="M275" s="47"/>
    </row>
    <row r="276" spans="1:13">
      <c r="A276" s="56" t="s">
        <v>90</v>
      </c>
      <c r="B276" s="57">
        <v>1.4</v>
      </c>
      <c r="C276" s="56" t="s">
        <v>49</v>
      </c>
      <c r="D276" s="57" t="s">
        <v>26</v>
      </c>
      <c r="E276" s="56">
        <v>21.1356</v>
      </c>
      <c r="F276" s="58">
        <f t="shared" si="106"/>
        <v>253.6272</v>
      </c>
      <c r="G276" s="58">
        <f t="shared" si="107"/>
        <v>281.737548</v>
      </c>
      <c r="H276" s="58">
        <f t="shared" si="108"/>
        <v>295.8984</v>
      </c>
      <c r="I276" s="58">
        <f t="shared" si="109"/>
        <v>507.2544</v>
      </c>
      <c r="J276" s="58">
        <f t="shared" si="110"/>
        <v>563.475096</v>
      </c>
      <c r="K276" s="56">
        <f t="shared" si="111"/>
        <v>591.7968</v>
      </c>
      <c r="M276" s="47"/>
    </row>
    <row r="277" spans="1:13">
      <c r="A277" s="56" t="s">
        <v>90</v>
      </c>
      <c r="B277" s="57" t="s">
        <v>105</v>
      </c>
      <c r="C277" s="56" t="s">
        <v>49</v>
      </c>
      <c r="D277" s="57" t="s">
        <v>29</v>
      </c>
      <c r="E277" s="56">
        <v>31.3092</v>
      </c>
      <c r="F277" s="58">
        <f t="shared" si="106"/>
        <v>375.7104</v>
      </c>
      <c r="G277" s="58">
        <f t="shared" si="107"/>
        <v>417.351636</v>
      </c>
      <c r="H277" s="58">
        <f t="shared" si="108"/>
        <v>438.3288</v>
      </c>
      <c r="I277" s="58">
        <f t="shared" si="109"/>
        <v>751.4208</v>
      </c>
      <c r="J277" s="58">
        <f t="shared" si="110"/>
        <v>834.703272</v>
      </c>
      <c r="K277" s="56">
        <f t="shared" si="111"/>
        <v>876.6576</v>
      </c>
      <c r="M277" s="47"/>
    </row>
    <row r="278" spans="1:13">
      <c r="A278" s="56" t="s">
        <v>90</v>
      </c>
      <c r="B278" s="57" t="s">
        <v>105</v>
      </c>
      <c r="C278" s="56" t="s">
        <v>48</v>
      </c>
      <c r="D278" s="57" t="s">
        <v>33</v>
      </c>
      <c r="E278" s="56">
        <v>40.1328</v>
      </c>
      <c r="F278" s="58">
        <f t="shared" si="106"/>
        <v>481.5936</v>
      </c>
      <c r="G278" s="58">
        <f t="shared" si="107"/>
        <v>534.970224</v>
      </c>
      <c r="H278" s="58">
        <f t="shared" si="108"/>
        <v>561.8592</v>
      </c>
      <c r="I278" s="58">
        <f t="shared" si="109"/>
        <v>963.1872</v>
      </c>
      <c r="J278" s="58">
        <f t="shared" si="110"/>
        <v>1069.940448</v>
      </c>
      <c r="K278" s="56">
        <f t="shared" si="111"/>
        <v>1123.7184</v>
      </c>
      <c r="M278" s="47"/>
    </row>
    <row r="279" spans="1:13">
      <c r="A279" s="56" t="s">
        <v>90</v>
      </c>
      <c r="B279" s="57">
        <v>1.5</v>
      </c>
      <c r="C279" s="56" t="s">
        <v>50</v>
      </c>
      <c r="D279" s="59" t="s">
        <v>25</v>
      </c>
      <c r="E279" s="56">
        <v>19.0404</v>
      </c>
      <c r="F279" s="58">
        <f t="shared" si="106"/>
        <v>228.4848</v>
      </c>
      <c r="G279" s="58">
        <f t="shared" si="107"/>
        <v>253.808532</v>
      </c>
      <c r="H279" s="58">
        <f t="shared" si="108"/>
        <v>266.5656</v>
      </c>
      <c r="I279" s="58">
        <f t="shared" si="109"/>
        <v>456.9696</v>
      </c>
      <c r="J279" s="58">
        <f t="shared" si="110"/>
        <v>507.617064</v>
      </c>
      <c r="K279" s="56">
        <f t="shared" si="111"/>
        <v>533.1312</v>
      </c>
      <c r="M279" s="47"/>
    </row>
    <row r="280" spans="1:13">
      <c r="A280" s="56" t="s">
        <v>90</v>
      </c>
      <c r="B280" s="57">
        <v>1.5</v>
      </c>
      <c r="C280" s="56" t="s">
        <v>50</v>
      </c>
      <c r="D280" s="57" t="s">
        <v>26</v>
      </c>
      <c r="E280" s="56">
        <v>22.5828</v>
      </c>
      <c r="F280" s="58">
        <f t="shared" si="106"/>
        <v>270.9936</v>
      </c>
      <c r="G280" s="58">
        <f t="shared" si="107"/>
        <v>301.028724</v>
      </c>
      <c r="H280" s="58">
        <f t="shared" si="108"/>
        <v>316.1592</v>
      </c>
      <c r="I280" s="58">
        <f t="shared" si="109"/>
        <v>541.9872</v>
      </c>
      <c r="J280" s="58">
        <f t="shared" si="110"/>
        <v>602.057448</v>
      </c>
      <c r="K280" s="56">
        <f t="shared" si="111"/>
        <v>632.3184</v>
      </c>
      <c r="M280" s="47"/>
    </row>
    <row r="281" spans="1:13">
      <c r="A281" s="56" t="s">
        <v>90</v>
      </c>
      <c r="B281" s="57">
        <v>1.5</v>
      </c>
      <c r="C281" s="56" t="s">
        <v>50</v>
      </c>
      <c r="D281" s="57" t="s">
        <v>30</v>
      </c>
      <c r="E281" s="56">
        <v>27.1836</v>
      </c>
      <c r="F281" s="58">
        <f t="shared" si="106"/>
        <v>326.2032</v>
      </c>
      <c r="G281" s="58">
        <f t="shared" si="107"/>
        <v>362.357388</v>
      </c>
      <c r="H281" s="58">
        <f t="shared" si="108"/>
        <v>380.5704</v>
      </c>
      <c r="I281" s="58">
        <f t="shared" si="109"/>
        <v>652.4064</v>
      </c>
      <c r="J281" s="58">
        <f t="shared" si="110"/>
        <v>724.714776</v>
      </c>
      <c r="K281" s="56">
        <f t="shared" si="111"/>
        <v>761.1408</v>
      </c>
      <c r="M281" s="47"/>
    </row>
    <row r="282" spans="1:13">
      <c r="A282" s="56" t="s">
        <v>90</v>
      </c>
      <c r="B282" s="57">
        <v>1.5</v>
      </c>
      <c r="C282" s="56" t="s">
        <v>49</v>
      </c>
      <c r="D282" s="57" t="s">
        <v>33</v>
      </c>
      <c r="E282" s="56">
        <v>42.2712</v>
      </c>
      <c r="F282" s="58">
        <f t="shared" si="106"/>
        <v>507.2544</v>
      </c>
      <c r="G282" s="58">
        <f t="shared" si="107"/>
        <v>563.475096</v>
      </c>
      <c r="H282" s="58">
        <f t="shared" si="108"/>
        <v>591.7968</v>
      </c>
      <c r="I282" s="58">
        <f t="shared" si="109"/>
        <v>1014.5088</v>
      </c>
      <c r="J282" s="58">
        <f t="shared" si="110"/>
        <v>1126.950192</v>
      </c>
      <c r="K282" s="56">
        <f t="shared" si="111"/>
        <v>1183.5936</v>
      </c>
      <c r="M282" s="47"/>
    </row>
    <row r="283" spans="1:13">
      <c r="A283" s="34" t="s">
        <v>90</v>
      </c>
      <c r="B283" s="35">
        <v>1.5</v>
      </c>
      <c r="C283" s="34" t="s">
        <v>49</v>
      </c>
      <c r="D283" s="35" t="s">
        <v>29</v>
      </c>
      <c r="E283" s="34">
        <v>31.6872</v>
      </c>
      <c r="F283" s="36">
        <f t="shared" si="106"/>
        <v>380.2464</v>
      </c>
      <c r="G283" s="36">
        <f t="shared" si="107"/>
        <v>422.390376</v>
      </c>
      <c r="H283" s="36">
        <f t="shared" si="108"/>
        <v>443.6208</v>
      </c>
      <c r="I283" s="36">
        <f t="shared" si="109"/>
        <v>760.4928</v>
      </c>
      <c r="J283" s="36">
        <f t="shared" si="110"/>
        <v>844.780752</v>
      </c>
      <c r="K283" s="34">
        <f t="shared" si="111"/>
        <v>887.2416</v>
      </c>
      <c r="M283" s="47"/>
    </row>
    <row r="284" spans="1:13">
      <c r="A284" s="34" t="s">
        <v>90</v>
      </c>
      <c r="B284" s="35">
        <v>1.6</v>
      </c>
      <c r="C284" s="34" t="s">
        <v>52</v>
      </c>
      <c r="D284" s="54" t="s">
        <v>25</v>
      </c>
      <c r="E284" s="34">
        <v>18.576</v>
      </c>
      <c r="F284" s="36">
        <f t="shared" si="106"/>
        <v>222.912</v>
      </c>
      <c r="G284" s="36">
        <f t="shared" si="107"/>
        <v>247.61808</v>
      </c>
      <c r="H284" s="36">
        <f t="shared" si="108"/>
        <v>260.064</v>
      </c>
      <c r="I284" s="36">
        <f t="shared" si="109"/>
        <v>445.824</v>
      </c>
      <c r="J284" s="36">
        <f t="shared" si="110"/>
        <v>495.23616</v>
      </c>
      <c r="K284" s="34">
        <f t="shared" si="111"/>
        <v>520.128</v>
      </c>
      <c r="M284" s="47"/>
    </row>
    <row r="285" spans="1:13">
      <c r="A285" s="34" t="s">
        <v>90</v>
      </c>
      <c r="B285" s="35">
        <v>1.6</v>
      </c>
      <c r="C285" s="34" t="s">
        <v>50</v>
      </c>
      <c r="D285" s="35" t="s">
        <v>26</v>
      </c>
      <c r="E285" s="34">
        <v>22.1724</v>
      </c>
      <c r="F285" s="36">
        <f t="shared" si="106"/>
        <v>266.0688</v>
      </c>
      <c r="G285" s="36">
        <f t="shared" si="107"/>
        <v>295.558092</v>
      </c>
      <c r="H285" s="36">
        <f t="shared" si="108"/>
        <v>310.4136</v>
      </c>
      <c r="I285" s="36">
        <f t="shared" si="109"/>
        <v>532.1376</v>
      </c>
      <c r="J285" s="36">
        <f t="shared" si="110"/>
        <v>591.116184</v>
      </c>
      <c r="K285" s="34">
        <f t="shared" si="111"/>
        <v>620.8272</v>
      </c>
      <c r="M285" s="47"/>
    </row>
    <row r="286" spans="1:13">
      <c r="A286" s="34" t="s">
        <v>90</v>
      </c>
      <c r="B286" s="35">
        <v>1.6</v>
      </c>
      <c r="C286" s="34" t="s">
        <v>50</v>
      </c>
      <c r="D286" s="35" t="s">
        <v>29</v>
      </c>
      <c r="E286" s="34">
        <v>34.3008</v>
      </c>
      <c r="F286" s="36">
        <f t="shared" si="106"/>
        <v>411.6096</v>
      </c>
      <c r="G286" s="36">
        <f t="shared" si="107"/>
        <v>457.229664</v>
      </c>
      <c r="H286" s="36">
        <f t="shared" si="108"/>
        <v>480.2112</v>
      </c>
      <c r="I286" s="36">
        <f t="shared" si="109"/>
        <v>823.2192</v>
      </c>
      <c r="J286" s="36">
        <f t="shared" si="110"/>
        <v>914.459328</v>
      </c>
      <c r="K286" s="34">
        <f t="shared" si="111"/>
        <v>960.4224</v>
      </c>
      <c r="M286" s="47"/>
    </row>
    <row r="287" spans="1:13">
      <c r="A287" s="34" t="s">
        <v>90</v>
      </c>
      <c r="B287" s="35">
        <v>1.9</v>
      </c>
      <c r="C287" s="34" t="s">
        <v>53</v>
      </c>
      <c r="D287" s="54" t="s">
        <v>25</v>
      </c>
      <c r="E287" s="34">
        <v>22.0536</v>
      </c>
      <c r="F287" s="36">
        <f t="shared" si="106"/>
        <v>264.6432</v>
      </c>
      <c r="G287" s="36">
        <f t="shared" si="107"/>
        <v>293.974488</v>
      </c>
      <c r="H287" s="36">
        <f t="shared" si="108"/>
        <v>308.7504</v>
      </c>
      <c r="I287" s="36">
        <f t="shared" si="109"/>
        <v>529.2864</v>
      </c>
      <c r="J287" s="36">
        <f t="shared" si="110"/>
        <v>587.948976</v>
      </c>
      <c r="K287" s="34">
        <f t="shared" si="111"/>
        <v>617.5008</v>
      </c>
      <c r="M287" s="47"/>
    </row>
    <row r="288" spans="1:13">
      <c r="A288" s="34" t="s">
        <v>90</v>
      </c>
      <c r="B288" s="35">
        <v>1.9</v>
      </c>
      <c r="C288" s="34" t="s">
        <v>53</v>
      </c>
      <c r="D288" s="35" t="s">
        <v>29</v>
      </c>
      <c r="E288" s="34">
        <v>35.1756</v>
      </c>
      <c r="F288" s="36">
        <f t="shared" si="106"/>
        <v>422.1072</v>
      </c>
      <c r="G288" s="36">
        <f t="shared" si="107"/>
        <v>468.890748</v>
      </c>
      <c r="H288" s="36">
        <f t="shared" si="108"/>
        <v>492.4584</v>
      </c>
      <c r="I288" s="36">
        <f t="shared" si="109"/>
        <v>844.2144</v>
      </c>
      <c r="J288" s="36">
        <f t="shared" si="110"/>
        <v>937.781496</v>
      </c>
      <c r="K288" s="34">
        <f t="shared" si="111"/>
        <v>984.9168</v>
      </c>
      <c r="M288" s="47"/>
    </row>
    <row r="289" spans="1:14">
      <c r="A289" s="34" t="s">
        <v>90</v>
      </c>
      <c r="B289" s="35">
        <v>1.9</v>
      </c>
      <c r="C289" s="34" t="s">
        <v>53</v>
      </c>
      <c r="D289" s="35" t="s">
        <v>26</v>
      </c>
      <c r="E289" s="34">
        <v>25.6608</v>
      </c>
      <c r="F289" s="36">
        <f t="shared" si="106"/>
        <v>307.9296</v>
      </c>
      <c r="G289" s="36">
        <f t="shared" si="107"/>
        <v>342.058464</v>
      </c>
      <c r="H289" s="36">
        <f t="shared" si="108"/>
        <v>359.2512</v>
      </c>
      <c r="I289" s="36">
        <f t="shared" si="109"/>
        <v>615.8592</v>
      </c>
      <c r="J289" s="36">
        <f t="shared" si="110"/>
        <v>684.116928</v>
      </c>
      <c r="K289" s="34">
        <f t="shared" si="111"/>
        <v>718.5024</v>
      </c>
      <c r="M289" s="47"/>
    </row>
    <row r="290" spans="1:14">
      <c r="A290" s="34" t="s">
        <v>90</v>
      </c>
      <c r="B290" s="35">
        <v>2</v>
      </c>
      <c r="C290" s="34" t="s">
        <v>54</v>
      </c>
      <c r="D290" s="54" t="s">
        <v>25</v>
      </c>
      <c r="E290" s="34">
        <v>22.626</v>
      </c>
      <c r="F290" s="36">
        <f t="shared" si="106"/>
        <v>271.512</v>
      </c>
      <c r="G290" s="36">
        <f t="shared" si="107"/>
        <v>301.60458</v>
      </c>
      <c r="H290" s="36">
        <f t="shared" si="108"/>
        <v>316.764</v>
      </c>
      <c r="I290" s="36">
        <f t="shared" si="109"/>
        <v>543.024</v>
      </c>
      <c r="J290" s="36">
        <f t="shared" si="110"/>
        <v>603.20916</v>
      </c>
      <c r="K290" s="34">
        <f t="shared" si="111"/>
        <v>633.528</v>
      </c>
      <c r="M290" s="47"/>
    </row>
    <row r="291" spans="1:14">
      <c r="A291" s="34" t="s">
        <v>90</v>
      </c>
      <c r="B291" s="35">
        <v>2</v>
      </c>
      <c r="C291" s="34" t="s">
        <v>54</v>
      </c>
      <c r="D291" s="35" t="s">
        <v>26</v>
      </c>
      <c r="E291" s="34">
        <v>26.2332</v>
      </c>
      <c r="F291" s="36">
        <f t="shared" si="106"/>
        <v>314.7984</v>
      </c>
      <c r="G291" s="36">
        <f t="shared" si="107"/>
        <v>349.688556</v>
      </c>
      <c r="H291" s="36">
        <f t="shared" si="108"/>
        <v>367.2648</v>
      </c>
      <c r="I291" s="36">
        <f t="shared" si="109"/>
        <v>629.5968</v>
      </c>
      <c r="J291" s="36">
        <f t="shared" si="110"/>
        <v>699.377112</v>
      </c>
      <c r="K291" s="34">
        <f t="shared" si="111"/>
        <v>734.5296</v>
      </c>
      <c r="M291" s="47"/>
    </row>
    <row r="292" spans="1:14">
      <c r="A292" s="34" t="s">
        <v>90</v>
      </c>
      <c r="B292" s="35" t="s">
        <v>106</v>
      </c>
      <c r="C292" s="34" t="s">
        <v>55</v>
      </c>
      <c r="D292" s="35" t="s">
        <v>29</v>
      </c>
      <c r="E292" s="34">
        <v>37.476</v>
      </c>
      <c r="F292" s="36">
        <f t="shared" si="106"/>
        <v>449.712</v>
      </c>
      <c r="G292" s="36">
        <f t="shared" si="107"/>
        <v>499.55508</v>
      </c>
      <c r="H292" s="36">
        <f t="shared" si="108"/>
        <v>524.664</v>
      </c>
      <c r="I292" s="36">
        <f t="shared" si="109"/>
        <v>899.424</v>
      </c>
      <c r="J292" s="36">
        <f t="shared" si="110"/>
        <v>999.11016</v>
      </c>
      <c r="K292" s="34">
        <f t="shared" si="111"/>
        <v>1049.328</v>
      </c>
      <c r="M292" s="47"/>
    </row>
    <row r="293" spans="1:14">
      <c r="A293" s="34" t="s">
        <v>90</v>
      </c>
      <c r="B293" s="35">
        <v>2.4</v>
      </c>
      <c r="C293" s="34" t="s">
        <v>56</v>
      </c>
      <c r="D293" s="54" t="s">
        <v>25</v>
      </c>
      <c r="E293" s="34">
        <v>27.2808</v>
      </c>
      <c r="F293" s="36">
        <f t="shared" si="106"/>
        <v>327.3696</v>
      </c>
      <c r="G293" s="36">
        <f t="shared" si="107"/>
        <v>363.653064</v>
      </c>
      <c r="H293" s="36">
        <f t="shared" si="108"/>
        <v>381.9312</v>
      </c>
      <c r="I293" s="36">
        <f t="shared" si="109"/>
        <v>654.7392</v>
      </c>
      <c r="J293" s="36">
        <f t="shared" si="110"/>
        <v>727.306128</v>
      </c>
      <c r="K293" s="34">
        <f t="shared" si="111"/>
        <v>763.8624</v>
      </c>
      <c r="M293" s="47"/>
    </row>
    <row r="294" spans="1:14">
      <c r="A294" s="34" t="s">
        <v>90</v>
      </c>
      <c r="B294" s="35">
        <v>2.4</v>
      </c>
      <c r="C294" s="34" t="s">
        <v>56</v>
      </c>
      <c r="D294" s="35" t="s">
        <v>26</v>
      </c>
      <c r="E294" s="34">
        <v>30.8772</v>
      </c>
      <c r="F294" s="36">
        <f t="shared" si="106"/>
        <v>370.5264</v>
      </c>
      <c r="G294" s="36">
        <f t="shared" si="107"/>
        <v>411.593076</v>
      </c>
      <c r="H294" s="36">
        <f t="shared" si="108"/>
        <v>432.2808</v>
      </c>
      <c r="I294" s="36">
        <f t="shared" si="109"/>
        <v>741.0528</v>
      </c>
      <c r="J294" s="36">
        <f t="shared" si="110"/>
        <v>823.186152</v>
      </c>
      <c r="K294" s="34">
        <f t="shared" si="111"/>
        <v>864.5616</v>
      </c>
      <c r="M294" s="47"/>
    </row>
    <row r="295" spans="1:14">
      <c r="A295" s="60"/>
      <c r="B295" s="61"/>
      <c r="C295" s="60"/>
      <c r="D295" s="60"/>
      <c r="E295" s="60"/>
      <c r="F295" s="60"/>
      <c r="G295" s="60"/>
      <c r="H295" s="60"/>
      <c r="I295" s="60"/>
      <c r="J295" s="60"/>
      <c r="K295" s="60"/>
    </row>
    <row r="296" ht="25.8" spans="1:14">
      <c r="A296" s="39" t="s">
        <v>107</v>
      </c>
      <c r="B296" s="40"/>
      <c r="C296" s="40"/>
      <c r="D296" s="40"/>
      <c r="E296" s="40"/>
      <c r="F296" s="41"/>
      <c r="G296" s="41"/>
      <c r="H296" s="41"/>
      <c r="I296" s="14"/>
      <c r="J296" s="14"/>
      <c r="K296" s="38"/>
    </row>
    <row r="297" ht="28.8" spans="1:14">
      <c r="A297" s="42" t="s">
        <v>12</v>
      </c>
      <c r="B297" s="42" t="s">
        <v>60</v>
      </c>
      <c r="C297" s="42" t="s">
        <v>61</v>
      </c>
      <c r="D297" s="42"/>
      <c r="E297" s="42"/>
      <c r="F297" s="42" t="s">
        <v>62</v>
      </c>
      <c r="G297" s="42" t="s">
        <v>63</v>
      </c>
      <c r="H297" s="42" t="s">
        <v>64</v>
      </c>
      <c r="I297" s="42" t="s">
        <v>65</v>
      </c>
      <c r="J297" s="42" t="s">
        <v>66</v>
      </c>
      <c r="K297" s="34" t="s">
        <v>67</v>
      </c>
    </row>
    <row r="298" spans="1:14">
      <c r="A298" s="42" t="s">
        <v>108</v>
      </c>
      <c r="B298" s="42">
        <v>7628</v>
      </c>
      <c r="C298" s="42" t="s">
        <v>69</v>
      </c>
      <c r="D298" s="42"/>
      <c r="E298" s="42"/>
      <c r="F298" s="42">
        <v>150</v>
      </c>
      <c r="G298" s="42" t="s">
        <v>70</v>
      </c>
      <c r="H298" s="35" t="s">
        <v>71</v>
      </c>
      <c r="I298" s="62">
        <f t="shared" ref="I298:I314" si="112">J298*F298</f>
        <v>3941.85</v>
      </c>
      <c r="J298" s="34">
        <v>26.279</v>
      </c>
      <c r="K298" s="34">
        <f>J298/13.12</f>
        <v>2.00297256097561</v>
      </c>
      <c r="L298" s="46"/>
      <c r="M298" s="47"/>
      <c r="N298" s="26"/>
    </row>
    <row r="299" spans="1:14">
      <c r="A299" s="42" t="s">
        <v>108</v>
      </c>
      <c r="B299" s="42">
        <v>7628</v>
      </c>
      <c r="C299" s="42" t="s">
        <v>69</v>
      </c>
      <c r="D299" s="42"/>
      <c r="E299" s="42"/>
      <c r="F299" s="42">
        <v>150</v>
      </c>
      <c r="G299" s="42" t="s">
        <v>70</v>
      </c>
      <c r="H299" s="35" t="s">
        <v>109</v>
      </c>
      <c r="I299" s="62">
        <f t="shared" si="112"/>
        <v>4115.1</v>
      </c>
      <c r="J299" s="34">
        <v>27.434</v>
      </c>
      <c r="K299" s="34">
        <f t="shared" ref="K298:K314" si="113">J299/13.12</f>
        <v>2.09100609756098</v>
      </c>
      <c r="L299" s="46"/>
      <c r="M299" s="47"/>
      <c r="N299" s="26"/>
    </row>
    <row r="300" spans="1:14">
      <c r="A300" s="42" t="s">
        <v>108</v>
      </c>
      <c r="B300" s="42">
        <v>7628</v>
      </c>
      <c r="C300" s="42" t="s">
        <v>69</v>
      </c>
      <c r="D300" s="42"/>
      <c r="E300" s="42"/>
      <c r="F300" s="42">
        <v>150</v>
      </c>
      <c r="G300" s="42" t="s">
        <v>70</v>
      </c>
      <c r="H300" s="35" t="s">
        <v>110</v>
      </c>
      <c r="I300" s="62">
        <f t="shared" si="112"/>
        <v>4240.5</v>
      </c>
      <c r="J300" s="34">
        <v>28.27</v>
      </c>
      <c r="K300" s="34">
        <f t="shared" si="113"/>
        <v>2.1547256097561</v>
      </c>
      <c r="L300" s="46"/>
      <c r="M300" s="47"/>
      <c r="N300" s="26"/>
    </row>
    <row r="301" spans="1:14">
      <c r="A301" s="42" t="s">
        <v>108</v>
      </c>
      <c r="B301" s="42">
        <v>7628</v>
      </c>
      <c r="C301" s="42" t="s">
        <v>69</v>
      </c>
      <c r="D301" s="42"/>
      <c r="E301" s="42"/>
      <c r="F301" s="42">
        <v>150</v>
      </c>
      <c r="G301" s="42" t="s">
        <v>70</v>
      </c>
      <c r="H301" s="35" t="s">
        <v>75</v>
      </c>
      <c r="I301" s="62">
        <f t="shared" si="112"/>
        <v>4364.25</v>
      </c>
      <c r="J301" s="34">
        <v>29.095</v>
      </c>
      <c r="K301" s="34">
        <f t="shared" si="113"/>
        <v>2.21760670731707</v>
      </c>
      <c r="L301" s="46"/>
      <c r="M301" s="47"/>
      <c r="N301" s="26"/>
    </row>
    <row r="302" spans="1:14">
      <c r="A302" s="42" t="s">
        <v>108</v>
      </c>
      <c r="B302" s="42">
        <v>7628</v>
      </c>
      <c r="C302" s="42" t="s">
        <v>69</v>
      </c>
      <c r="D302" s="42"/>
      <c r="E302" s="42"/>
      <c r="F302" s="42">
        <v>150</v>
      </c>
      <c r="G302" s="42" t="s">
        <v>70</v>
      </c>
      <c r="H302" s="35" t="s">
        <v>76</v>
      </c>
      <c r="I302" s="62">
        <f t="shared" si="112"/>
        <v>4491.3</v>
      </c>
      <c r="J302" s="34">
        <v>29.942</v>
      </c>
      <c r="K302" s="34">
        <f t="shared" si="113"/>
        <v>2.28216463414634</v>
      </c>
      <c r="L302" s="46"/>
      <c r="M302" s="47"/>
      <c r="N302" s="26"/>
    </row>
    <row r="303" spans="1:14">
      <c r="A303" s="42" t="s">
        <v>108</v>
      </c>
      <c r="B303" s="42">
        <v>2116</v>
      </c>
      <c r="C303" s="42" t="s">
        <v>77</v>
      </c>
      <c r="D303" s="42"/>
      <c r="E303" s="42"/>
      <c r="F303" s="42">
        <v>300</v>
      </c>
      <c r="G303" s="42" t="s">
        <v>70</v>
      </c>
      <c r="H303" s="35" t="s">
        <v>76</v>
      </c>
      <c r="I303" s="62">
        <f t="shared" si="112"/>
        <v>7306.2</v>
      </c>
      <c r="J303" s="34">
        <v>24.354</v>
      </c>
      <c r="K303" s="34">
        <f t="shared" si="113"/>
        <v>1.85625</v>
      </c>
      <c r="L303" s="46"/>
      <c r="M303" s="47"/>
      <c r="N303" s="26"/>
    </row>
    <row r="304" spans="1:14">
      <c r="A304" s="42" t="s">
        <v>108</v>
      </c>
      <c r="B304" s="42">
        <v>2116</v>
      </c>
      <c r="C304" s="42" t="s">
        <v>77</v>
      </c>
      <c r="D304" s="42"/>
      <c r="E304" s="42"/>
      <c r="F304" s="42">
        <v>300</v>
      </c>
      <c r="G304" s="42" t="s">
        <v>70</v>
      </c>
      <c r="H304" s="35" t="s">
        <v>80</v>
      </c>
      <c r="I304" s="62">
        <f t="shared" si="112"/>
        <v>7372.2</v>
      </c>
      <c r="J304" s="34">
        <v>24.574</v>
      </c>
      <c r="K304" s="34">
        <f t="shared" si="113"/>
        <v>1.87301829268293</v>
      </c>
      <c r="L304" s="46"/>
      <c r="M304" s="47"/>
      <c r="N304" s="26"/>
    </row>
    <row r="305" spans="1:14">
      <c r="A305" s="42" t="s">
        <v>108</v>
      </c>
      <c r="B305" s="42">
        <v>2116</v>
      </c>
      <c r="C305" s="42" t="s">
        <v>77</v>
      </c>
      <c r="D305" s="42"/>
      <c r="E305" s="42"/>
      <c r="F305" s="42">
        <v>300</v>
      </c>
      <c r="G305" s="42" t="s">
        <v>70</v>
      </c>
      <c r="H305" s="35" t="s">
        <v>81</v>
      </c>
      <c r="I305" s="62">
        <f t="shared" si="112"/>
        <v>7623</v>
      </c>
      <c r="J305" s="34">
        <v>25.41</v>
      </c>
      <c r="K305" s="34">
        <f t="shared" si="113"/>
        <v>1.93673780487805</v>
      </c>
      <c r="L305" s="46"/>
      <c r="M305" s="47"/>
      <c r="N305" s="26"/>
    </row>
    <row r="306" spans="1:14">
      <c r="A306" s="42" t="s">
        <v>108</v>
      </c>
      <c r="B306" s="42">
        <v>2116</v>
      </c>
      <c r="C306" s="42" t="s">
        <v>77</v>
      </c>
      <c r="D306" s="42"/>
      <c r="E306" s="42"/>
      <c r="F306" s="42">
        <v>300</v>
      </c>
      <c r="G306" s="42" t="s">
        <v>70</v>
      </c>
      <c r="H306" s="35" t="s">
        <v>82</v>
      </c>
      <c r="I306" s="62">
        <f t="shared" si="112"/>
        <v>7880.4</v>
      </c>
      <c r="J306" s="34">
        <v>26.268</v>
      </c>
      <c r="K306" s="34">
        <f t="shared" si="113"/>
        <v>2.00213414634146</v>
      </c>
      <c r="L306" s="46"/>
      <c r="M306" s="47"/>
      <c r="N306" s="26"/>
    </row>
    <row r="307" spans="1:14">
      <c r="A307" s="42" t="s">
        <v>108</v>
      </c>
      <c r="B307" s="42">
        <v>2116</v>
      </c>
      <c r="C307" s="42" t="s">
        <v>77</v>
      </c>
      <c r="D307" s="42"/>
      <c r="E307" s="42"/>
      <c r="F307" s="42">
        <v>300</v>
      </c>
      <c r="G307" s="42" t="s">
        <v>70</v>
      </c>
      <c r="H307" s="35" t="s">
        <v>83</v>
      </c>
      <c r="I307" s="62">
        <f t="shared" si="112"/>
        <v>8134.5</v>
      </c>
      <c r="J307" s="34">
        <v>27.115</v>
      </c>
      <c r="K307" s="34">
        <f t="shared" si="113"/>
        <v>2.06669207317073</v>
      </c>
      <c r="L307" s="46"/>
      <c r="M307" s="47"/>
      <c r="N307" s="26"/>
    </row>
    <row r="308" spans="1:14">
      <c r="A308" s="42" t="s">
        <v>108</v>
      </c>
      <c r="B308" s="42">
        <v>2116</v>
      </c>
      <c r="C308" s="42" t="s">
        <v>77</v>
      </c>
      <c r="D308" s="42"/>
      <c r="E308" s="42"/>
      <c r="F308" s="42">
        <v>300</v>
      </c>
      <c r="G308" s="42" t="s">
        <v>70</v>
      </c>
      <c r="H308" s="35" t="s">
        <v>111</v>
      </c>
      <c r="I308" s="62">
        <f t="shared" si="112"/>
        <v>8355.6</v>
      </c>
      <c r="J308" s="34">
        <v>27.852</v>
      </c>
      <c r="K308" s="34">
        <f t="shared" si="113"/>
        <v>2.12286585365854</v>
      </c>
      <c r="L308" s="46"/>
      <c r="M308" s="47"/>
      <c r="N308" s="26"/>
    </row>
    <row r="309" spans="1:14">
      <c r="A309" s="42" t="s">
        <v>108</v>
      </c>
      <c r="B309" s="42">
        <v>1080</v>
      </c>
      <c r="C309" s="42" t="s">
        <v>77</v>
      </c>
      <c r="D309" s="42"/>
      <c r="E309" s="42"/>
      <c r="F309" s="42">
        <v>300</v>
      </c>
      <c r="G309" s="42" t="s">
        <v>70</v>
      </c>
      <c r="H309" s="35" t="s">
        <v>84</v>
      </c>
      <c r="I309" s="62">
        <f t="shared" si="112"/>
        <v>7368.9</v>
      </c>
      <c r="J309" s="34">
        <v>24.563</v>
      </c>
      <c r="K309" s="34">
        <f t="shared" si="113"/>
        <v>1.87217987804878</v>
      </c>
      <c r="L309" s="46"/>
      <c r="M309" s="47"/>
      <c r="N309" s="26"/>
    </row>
    <row r="310" spans="1:14">
      <c r="A310" s="42" t="s">
        <v>108</v>
      </c>
      <c r="B310" s="42">
        <v>1080</v>
      </c>
      <c r="C310" s="42" t="s">
        <v>77</v>
      </c>
      <c r="D310" s="42"/>
      <c r="E310" s="42"/>
      <c r="F310" s="42">
        <v>300</v>
      </c>
      <c r="G310" s="42" t="s">
        <v>70</v>
      </c>
      <c r="H310" s="35" t="s">
        <v>85</v>
      </c>
      <c r="I310" s="62">
        <f t="shared" si="112"/>
        <v>7586.7</v>
      </c>
      <c r="J310" s="34">
        <v>25.289</v>
      </c>
      <c r="K310" s="34">
        <f t="shared" si="113"/>
        <v>1.92751524390244</v>
      </c>
      <c r="L310" s="46"/>
      <c r="M310" s="47"/>
      <c r="N310" s="26"/>
    </row>
    <row r="311" spans="1:14">
      <c r="A311" s="42" t="s">
        <v>108</v>
      </c>
      <c r="B311" s="42">
        <v>1080</v>
      </c>
      <c r="C311" s="42" t="s">
        <v>77</v>
      </c>
      <c r="D311" s="42"/>
      <c r="E311" s="42"/>
      <c r="F311" s="42">
        <v>300</v>
      </c>
      <c r="G311" s="42" t="s">
        <v>70</v>
      </c>
      <c r="H311" s="35" t="s">
        <v>86</v>
      </c>
      <c r="I311" s="62">
        <f t="shared" si="112"/>
        <v>7850.7</v>
      </c>
      <c r="J311" s="34">
        <v>26.169</v>
      </c>
      <c r="K311" s="34">
        <f t="shared" si="113"/>
        <v>1.99458841463415</v>
      </c>
      <c r="L311" s="46"/>
      <c r="M311" s="47"/>
      <c r="N311" s="26"/>
    </row>
    <row r="312" spans="1:14">
      <c r="A312" s="42" t="s">
        <v>108</v>
      </c>
      <c r="B312" s="42">
        <v>1080</v>
      </c>
      <c r="C312" s="42" t="s">
        <v>77</v>
      </c>
      <c r="D312" s="42"/>
      <c r="E312" s="42"/>
      <c r="F312" s="42">
        <v>300</v>
      </c>
      <c r="G312" s="42" t="s">
        <v>70</v>
      </c>
      <c r="H312" s="35" t="s">
        <v>87</v>
      </c>
      <c r="I312" s="62">
        <f t="shared" si="112"/>
        <v>8124.6</v>
      </c>
      <c r="J312" s="34">
        <v>27.082</v>
      </c>
      <c r="K312" s="34">
        <f t="shared" si="113"/>
        <v>2.06417682926829</v>
      </c>
      <c r="L312" s="46"/>
      <c r="M312" s="47"/>
      <c r="N312" s="26"/>
    </row>
    <row r="313" spans="1:14">
      <c r="A313" s="42" t="s">
        <v>108</v>
      </c>
      <c r="B313" s="42">
        <v>1080</v>
      </c>
      <c r="C313" s="42" t="s">
        <v>77</v>
      </c>
      <c r="D313" s="42"/>
      <c r="E313" s="42"/>
      <c r="F313" s="42">
        <v>300</v>
      </c>
      <c r="G313" s="42" t="s">
        <v>70</v>
      </c>
      <c r="H313" s="35" t="s">
        <v>88</v>
      </c>
      <c r="I313" s="62">
        <f t="shared" si="112"/>
        <v>8243.4</v>
      </c>
      <c r="J313" s="34">
        <v>27.478</v>
      </c>
      <c r="K313" s="34">
        <f t="shared" si="113"/>
        <v>2.09435975609756</v>
      </c>
      <c r="L313" s="46"/>
      <c r="M313" s="47"/>
      <c r="N313" s="26"/>
    </row>
    <row r="314" spans="1:14">
      <c r="A314" s="42" t="s">
        <v>108</v>
      </c>
      <c r="B314" s="42">
        <v>1080</v>
      </c>
      <c r="C314" s="42" t="s">
        <v>77</v>
      </c>
      <c r="D314" s="42"/>
      <c r="E314" s="42"/>
      <c r="F314" s="42">
        <v>300</v>
      </c>
      <c r="G314" s="42" t="s">
        <v>70</v>
      </c>
      <c r="H314" s="35" t="s">
        <v>112</v>
      </c>
      <c r="I314" s="62">
        <f t="shared" si="112"/>
        <v>8520.6</v>
      </c>
      <c r="J314" s="34">
        <v>28.402</v>
      </c>
      <c r="K314" s="34">
        <f t="shared" si="113"/>
        <v>2.16478658536585</v>
      </c>
      <c r="L314" s="46"/>
      <c r="M314" s="47"/>
      <c r="N314" s="26"/>
    </row>
    <row r="315" spans="1:14">
      <c r="A315" s="49"/>
      <c r="B315" s="50"/>
      <c r="C315" s="50"/>
      <c r="D315" s="50"/>
      <c r="E315" s="50"/>
      <c r="F315" s="50"/>
      <c r="G315" s="50"/>
      <c r="H315" s="50"/>
      <c r="I315" s="51"/>
      <c r="J315" s="51"/>
      <c r="K315" s="52"/>
    </row>
    <row r="316" ht="25.8" spans="1:14">
      <c r="A316" s="20" t="s">
        <v>113</v>
      </c>
      <c r="B316" s="20"/>
      <c r="C316" s="20"/>
      <c r="D316" s="20"/>
      <c r="E316" s="20"/>
      <c r="F316" s="20"/>
      <c r="G316" s="20"/>
      <c r="H316" s="20"/>
      <c r="I316" s="20"/>
      <c r="J316" s="20"/>
      <c r="K316" s="20"/>
    </row>
    <row r="317" spans="1:14">
      <c r="A317" s="54" t="s">
        <v>12</v>
      </c>
      <c r="B317" s="54" t="s">
        <v>13</v>
      </c>
      <c r="C317" s="54" t="s">
        <v>14</v>
      </c>
      <c r="D317" s="54" t="s">
        <v>15</v>
      </c>
      <c r="E317" s="54" t="s">
        <v>16</v>
      </c>
      <c r="F317" s="54" t="s">
        <v>17</v>
      </c>
      <c r="G317" s="54" t="s">
        <v>18</v>
      </c>
      <c r="H317" s="54" t="s">
        <v>19</v>
      </c>
      <c r="I317" s="54" t="s">
        <v>20</v>
      </c>
      <c r="J317" s="54" t="s">
        <v>21</v>
      </c>
      <c r="K317" s="54" t="s">
        <v>22</v>
      </c>
    </row>
    <row r="318" spans="1:14">
      <c r="A318" s="54" t="s">
        <v>114</v>
      </c>
      <c r="B318" s="35">
        <v>0.076</v>
      </c>
      <c r="C318" s="54" t="s">
        <v>24</v>
      </c>
      <c r="D318" s="54" t="s">
        <v>25</v>
      </c>
      <c r="E318" s="34">
        <v>7.722</v>
      </c>
      <c r="F318" s="36">
        <f t="shared" ref="F318:F335" si="114">E318*12</f>
        <v>92.664</v>
      </c>
      <c r="G318" s="37">
        <f t="shared" ref="G318:G335" si="115">E318*13.33</f>
        <v>102.93426</v>
      </c>
      <c r="H318" s="36">
        <f t="shared" ref="H318:H335" si="116">E318*14</f>
        <v>108.108</v>
      </c>
      <c r="I318" s="36">
        <f t="shared" ref="I318:I335" si="117">F318*2</f>
        <v>185.328</v>
      </c>
      <c r="J318" s="36">
        <f t="shared" ref="J318:J335" si="118">G318*2</f>
        <v>205.86852</v>
      </c>
      <c r="K318" s="34">
        <f t="shared" ref="K318:K335" si="119">H318*2</f>
        <v>216.216</v>
      </c>
    </row>
    <row r="319" spans="1:14">
      <c r="A319" s="54" t="s">
        <v>114</v>
      </c>
      <c r="B319" s="35">
        <v>0.076</v>
      </c>
      <c r="C319" s="54" t="s">
        <v>24</v>
      </c>
      <c r="D319" s="35" t="s">
        <v>26</v>
      </c>
      <c r="E319" s="34">
        <v>11.5776</v>
      </c>
      <c r="F319" s="36">
        <f t="shared" si="114"/>
        <v>138.9312</v>
      </c>
      <c r="G319" s="37">
        <f t="shared" si="115"/>
        <v>154.329408</v>
      </c>
      <c r="H319" s="36">
        <f t="shared" si="116"/>
        <v>162.0864</v>
      </c>
      <c r="I319" s="36">
        <f t="shared" si="117"/>
        <v>277.8624</v>
      </c>
      <c r="J319" s="36">
        <f t="shared" si="118"/>
        <v>308.658816</v>
      </c>
      <c r="K319" s="34">
        <f t="shared" si="119"/>
        <v>324.1728</v>
      </c>
    </row>
    <row r="320" spans="1:14">
      <c r="A320" s="34" t="s">
        <v>114</v>
      </c>
      <c r="B320" s="35">
        <v>0.1</v>
      </c>
      <c r="C320" s="34" t="s">
        <v>28</v>
      </c>
      <c r="D320" s="54" t="s">
        <v>25</v>
      </c>
      <c r="E320" s="34">
        <v>7.722</v>
      </c>
      <c r="F320" s="36">
        <f t="shared" si="114"/>
        <v>92.664</v>
      </c>
      <c r="G320" s="37">
        <f t="shared" si="115"/>
        <v>102.93426</v>
      </c>
      <c r="H320" s="36">
        <f t="shared" si="116"/>
        <v>108.108</v>
      </c>
      <c r="I320" s="36">
        <f t="shared" si="117"/>
        <v>185.328</v>
      </c>
      <c r="J320" s="36">
        <f t="shared" si="118"/>
        <v>205.86852</v>
      </c>
      <c r="K320" s="34">
        <f t="shared" si="119"/>
        <v>216.216</v>
      </c>
    </row>
    <row r="321" spans="1:11">
      <c r="A321" s="34" t="s">
        <v>114</v>
      </c>
      <c r="B321" s="35">
        <v>0.1</v>
      </c>
      <c r="C321" s="34" t="s">
        <v>28</v>
      </c>
      <c r="D321" s="35" t="s">
        <v>26</v>
      </c>
      <c r="E321" s="34">
        <v>11.5776</v>
      </c>
      <c r="F321" s="36">
        <f t="shared" si="114"/>
        <v>138.9312</v>
      </c>
      <c r="G321" s="37">
        <f t="shared" si="115"/>
        <v>154.329408</v>
      </c>
      <c r="H321" s="36">
        <f t="shared" si="116"/>
        <v>162.0864</v>
      </c>
      <c r="I321" s="36">
        <f t="shared" si="117"/>
        <v>277.8624</v>
      </c>
      <c r="J321" s="36">
        <f t="shared" si="118"/>
        <v>308.658816</v>
      </c>
      <c r="K321" s="34">
        <f t="shared" si="119"/>
        <v>324.1728</v>
      </c>
    </row>
    <row r="322" spans="1:11">
      <c r="A322" s="34" t="s">
        <v>114</v>
      </c>
      <c r="B322" s="35">
        <v>0.13</v>
      </c>
      <c r="C322" s="34" t="s">
        <v>28</v>
      </c>
      <c r="D322" s="54" t="s">
        <v>25</v>
      </c>
      <c r="E322" s="34">
        <v>7.9596</v>
      </c>
      <c r="F322" s="36">
        <f t="shared" si="114"/>
        <v>95.5152</v>
      </c>
      <c r="G322" s="37">
        <f t="shared" si="115"/>
        <v>106.101468</v>
      </c>
      <c r="H322" s="36">
        <f t="shared" si="116"/>
        <v>111.4344</v>
      </c>
      <c r="I322" s="36">
        <f t="shared" si="117"/>
        <v>191.0304</v>
      </c>
      <c r="J322" s="36">
        <f t="shared" si="118"/>
        <v>212.202936</v>
      </c>
      <c r="K322" s="34">
        <f t="shared" si="119"/>
        <v>222.8688</v>
      </c>
    </row>
    <row r="323" spans="1:11">
      <c r="A323" s="34" t="s">
        <v>114</v>
      </c>
      <c r="B323" s="35">
        <v>0.13</v>
      </c>
      <c r="C323" s="34" t="s">
        <v>28</v>
      </c>
      <c r="D323" s="35" t="s">
        <v>26</v>
      </c>
      <c r="E323" s="34">
        <v>11.8152</v>
      </c>
      <c r="F323" s="36">
        <f t="shared" si="114"/>
        <v>141.7824</v>
      </c>
      <c r="G323" s="37">
        <f t="shared" si="115"/>
        <v>157.496616</v>
      </c>
      <c r="H323" s="36">
        <f t="shared" si="116"/>
        <v>165.4128</v>
      </c>
      <c r="I323" s="36">
        <f t="shared" si="117"/>
        <v>283.5648</v>
      </c>
      <c r="J323" s="36">
        <f t="shared" si="118"/>
        <v>314.993232</v>
      </c>
      <c r="K323" s="34">
        <f t="shared" si="119"/>
        <v>330.8256</v>
      </c>
    </row>
    <row r="324" spans="1:11">
      <c r="A324" s="34" t="s">
        <v>114</v>
      </c>
      <c r="B324" s="35">
        <v>0.15</v>
      </c>
      <c r="C324" s="34" t="s">
        <v>31</v>
      </c>
      <c r="D324" s="54" t="s">
        <v>25</v>
      </c>
      <c r="E324" s="34">
        <v>8.316</v>
      </c>
      <c r="F324" s="36">
        <f t="shared" si="114"/>
        <v>99.792</v>
      </c>
      <c r="G324" s="37">
        <f t="shared" si="115"/>
        <v>110.85228</v>
      </c>
      <c r="H324" s="36">
        <f t="shared" si="116"/>
        <v>116.424</v>
      </c>
      <c r="I324" s="36">
        <f t="shared" si="117"/>
        <v>199.584</v>
      </c>
      <c r="J324" s="36">
        <f t="shared" si="118"/>
        <v>221.70456</v>
      </c>
      <c r="K324" s="34">
        <f t="shared" si="119"/>
        <v>232.848</v>
      </c>
    </row>
    <row r="325" spans="1:11">
      <c r="A325" s="34" t="s">
        <v>114</v>
      </c>
      <c r="B325" s="35">
        <v>0.15</v>
      </c>
      <c r="C325" s="34" t="s">
        <v>31</v>
      </c>
      <c r="D325" s="35" t="s">
        <v>26</v>
      </c>
      <c r="E325" s="34">
        <v>12.1824</v>
      </c>
      <c r="F325" s="36">
        <f t="shared" si="114"/>
        <v>146.1888</v>
      </c>
      <c r="G325" s="37">
        <f t="shared" si="115"/>
        <v>162.391392</v>
      </c>
      <c r="H325" s="36">
        <f t="shared" si="116"/>
        <v>170.5536</v>
      </c>
      <c r="I325" s="36">
        <f t="shared" si="117"/>
        <v>292.3776</v>
      </c>
      <c r="J325" s="36">
        <f t="shared" si="118"/>
        <v>324.782784</v>
      </c>
      <c r="K325" s="34">
        <f t="shared" si="119"/>
        <v>341.1072</v>
      </c>
    </row>
    <row r="326" spans="1:11">
      <c r="A326" s="34" t="s">
        <v>114</v>
      </c>
      <c r="B326" s="35">
        <v>0.2</v>
      </c>
      <c r="C326" s="34" t="s">
        <v>32</v>
      </c>
      <c r="D326" s="54" t="s">
        <v>25</v>
      </c>
      <c r="E326" s="34">
        <v>8.316</v>
      </c>
      <c r="F326" s="36">
        <f t="shared" si="114"/>
        <v>99.792</v>
      </c>
      <c r="G326" s="37">
        <f t="shared" si="115"/>
        <v>110.85228</v>
      </c>
      <c r="H326" s="36">
        <f t="shared" si="116"/>
        <v>116.424</v>
      </c>
      <c r="I326" s="36">
        <f t="shared" si="117"/>
        <v>199.584</v>
      </c>
      <c r="J326" s="36">
        <f t="shared" si="118"/>
        <v>221.70456</v>
      </c>
      <c r="K326" s="34">
        <f t="shared" si="119"/>
        <v>232.848</v>
      </c>
    </row>
    <row r="327" spans="1:11">
      <c r="A327" s="34" t="s">
        <v>114</v>
      </c>
      <c r="B327" s="35">
        <v>0.2</v>
      </c>
      <c r="C327" s="34" t="s">
        <v>32</v>
      </c>
      <c r="D327" s="35" t="s">
        <v>26</v>
      </c>
      <c r="E327" s="34">
        <v>12.1824</v>
      </c>
      <c r="F327" s="36">
        <f t="shared" si="114"/>
        <v>146.1888</v>
      </c>
      <c r="G327" s="37">
        <f t="shared" si="115"/>
        <v>162.391392</v>
      </c>
      <c r="H327" s="36">
        <f t="shared" si="116"/>
        <v>170.5536</v>
      </c>
      <c r="I327" s="36">
        <f t="shared" si="117"/>
        <v>292.3776</v>
      </c>
      <c r="J327" s="36">
        <f t="shared" si="118"/>
        <v>324.782784</v>
      </c>
      <c r="K327" s="34">
        <f t="shared" si="119"/>
        <v>341.1072</v>
      </c>
    </row>
    <row r="328" spans="1:11">
      <c r="A328" s="34" t="s">
        <v>114</v>
      </c>
      <c r="B328" s="35">
        <v>0.25</v>
      </c>
      <c r="C328" s="34" t="s">
        <v>34</v>
      </c>
      <c r="D328" s="54" t="s">
        <v>25</v>
      </c>
      <c r="E328" s="34">
        <v>9.8928</v>
      </c>
      <c r="F328" s="36">
        <f t="shared" si="114"/>
        <v>118.7136</v>
      </c>
      <c r="G328" s="37">
        <f t="shared" si="115"/>
        <v>131.871024</v>
      </c>
      <c r="H328" s="36">
        <f t="shared" si="116"/>
        <v>138.4992</v>
      </c>
      <c r="I328" s="36">
        <f t="shared" si="117"/>
        <v>237.4272</v>
      </c>
      <c r="J328" s="36">
        <f t="shared" si="118"/>
        <v>263.742048</v>
      </c>
      <c r="K328" s="34">
        <f t="shared" si="119"/>
        <v>276.9984</v>
      </c>
    </row>
    <row r="329" spans="1:11">
      <c r="A329" s="34" t="s">
        <v>114</v>
      </c>
      <c r="B329" s="35">
        <v>0.25</v>
      </c>
      <c r="C329" s="34" t="s">
        <v>34</v>
      </c>
      <c r="D329" s="35" t="s">
        <v>26</v>
      </c>
      <c r="E329" s="34">
        <v>13.7484</v>
      </c>
      <c r="F329" s="36">
        <f t="shared" si="114"/>
        <v>164.9808</v>
      </c>
      <c r="G329" s="37">
        <f t="shared" si="115"/>
        <v>183.266172</v>
      </c>
      <c r="H329" s="36">
        <f t="shared" si="116"/>
        <v>192.4776</v>
      </c>
      <c r="I329" s="36">
        <f t="shared" si="117"/>
        <v>329.9616</v>
      </c>
      <c r="J329" s="36">
        <f t="shared" si="118"/>
        <v>366.532344</v>
      </c>
      <c r="K329" s="34">
        <f t="shared" si="119"/>
        <v>384.9552</v>
      </c>
    </row>
    <row r="330" spans="1:11">
      <c r="A330" s="34" t="s">
        <v>114</v>
      </c>
      <c r="B330" s="35">
        <v>0.25</v>
      </c>
      <c r="C330" s="34" t="s">
        <v>34</v>
      </c>
      <c r="D330" s="35" t="s">
        <v>29</v>
      </c>
      <c r="E330" s="34">
        <v>23.6412</v>
      </c>
      <c r="F330" s="36">
        <f t="shared" si="114"/>
        <v>283.6944</v>
      </c>
      <c r="G330" s="37">
        <f t="shared" si="115"/>
        <v>315.137196</v>
      </c>
      <c r="H330" s="36">
        <f t="shared" si="116"/>
        <v>330.9768</v>
      </c>
      <c r="I330" s="36">
        <f t="shared" si="117"/>
        <v>567.3888</v>
      </c>
      <c r="J330" s="36">
        <f t="shared" si="118"/>
        <v>630.274392</v>
      </c>
      <c r="K330" s="34">
        <f t="shared" si="119"/>
        <v>661.9536</v>
      </c>
    </row>
    <row r="331" spans="1:11">
      <c r="A331" s="34" t="s">
        <v>114</v>
      </c>
      <c r="B331" s="35">
        <v>0.3</v>
      </c>
      <c r="C331" s="34" t="s">
        <v>35</v>
      </c>
      <c r="D331" s="54" t="s">
        <v>25</v>
      </c>
      <c r="E331" s="34">
        <v>10.2492</v>
      </c>
      <c r="F331" s="36">
        <f t="shared" si="114"/>
        <v>122.9904</v>
      </c>
      <c r="G331" s="37">
        <f t="shared" si="115"/>
        <v>136.621836</v>
      </c>
      <c r="H331" s="36">
        <f t="shared" si="116"/>
        <v>143.4888</v>
      </c>
      <c r="I331" s="36">
        <f t="shared" si="117"/>
        <v>245.9808</v>
      </c>
      <c r="J331" s="36">
        <f t="shared" si="118"/>
        <v>273.243672</v>
      </c>
      <c r="K331" s="34">
        <f t="shared" si="119"/>
        <v>286.9776</v>
      </c>
    </row>
    <row r="332" spans="1:11">
      <c r="A332" s="34" t="s">
        <v>114</v>
      </c>
      <c r="B332" s="35">
        <v>0.3</v>
      </c>
      <c r="C332" s="34" t="s">
        <v>35</v>
      </c>
      <c r="D332" s="35" t="s">
        <v>26</v>
      </c>
      <c r="E332" s="34">
        <v>14.1048</v>
      </c>
      <c r="F332" s="36">
        <f t="shared" si="114"/>
        <v>169.2576</v>
      </c>
      <c r="G332" s="37">
        <f t="shared" si="115"/>
        <v>188.016984</v>
      </c>
      <c r="H332" s="36">
        <f t="shared" si="116"/>
        <v>197.4672</v>
      </c>
      <c r="I332" s="36">
        <f t="shared" si="117"/>
        <v>338.5152</v>
      </c>
      <c r="J332" s="36">
        <f t="shared" si="118"/>
        <v>376.033968</v>
      </c>
      <c r="K332" s="34">
        <f t="shared" si="119"/>
        <v>394.9344</v>
      </c>
    </row>
    <row r="333" spans="1:11">
      <c r="A333" s="34" t="s">
        <v>114</v>
      </c>
      <c r="B333" s="35">
        <v>0.35</v>
      </c>
      <c r="C333" s="34" t="s">
        <v>36</v>
      </c>
      <c r="D333" s="54" t="s">
        <v>25</v>
      </c>
      <c r="E333" s="34">
        <v>10.0008</v>
      </c>
      <c r="F333" s="36">
        <f t="shared" si="114"/>
        <v>120.0096</v>
      </c>
      <c r="G333" s="37">
        <f t="shared" si="115"/>
        <v>133.310664</v>
      </c>
      <c r="H333" s="36">
        <f t="shared" si="116"/>
        <v>140.0112</v>
      </c>
      <c r="I333" s="36">
        <f t="shared" si="117"/>
        <v>240.0192</v>
      </c>
      <c r="J333" s="36">
        <f t="shared" si="118"/>
        <v>266.621328</v>
      </c>
      <c r="K333" s="34">
        <f t="shared" si="119"/>
        <v>280.0224</v>
      </c>
    </row>
    <row r="334" spans="1:11">
      <c r="A334" s="34" t="s">
        <v>114</v>
      </c>
      <c r="B334" s="35">
        <v>0.35</v>
      </c>
      <c r="C334" s="34" t="s">
        <v>36</v>
      </c>
      <c r="D334" s="35" t="s">
        <v>26</v>
      </c>
      <c r="E334" s="34">
        <v>13.8672</v>
      </c>
      <c r="F334" s="36">
        <f t="shared" si="114"/>
        <v>166.4064</v>
      </c>
      <c r="G334" s="37">
        <f t="shared" si="115"/>
        <v>184.849776</v>
      </c>
      <c r="H334" s="36">
        <f t="shared" si="116"/>
        <v>194.1408</v>
      </c>
      <c r="I334" s="36">
        <f t="shared" si="117"/>
        <v>332.8128</v>
      </c>
      <c r="J334" s="36">
        <f t="shared" si="118"/>
        <v>369.699552</v>
      </c>
      <c r="K334" s="34">
        <f t="shared" si="119"/>
        <v>388.2816</v>
      </c>
    </row>
    <row r="335" spans="1:11">
      <c r="A335" s="34" t="s">
        <v>114</v>
      </c>
      <c r="B335" s="35">
        <v>0.36</v>
      </c>
      <c r="C335" s="34" t="s">
        <v>36</v>
      </c>
      <c r="D335" s="54" t="s">
        <v>25</v>
      </c>
      <c r="E335" s="34">
        <v>10.0008</v>
      </c>
      <c r="F335" s="36">
        <f t="shared" si="114"/>
        <v>120.0096</v>
      </c>
      <c r="G335" s="37">
        <f t="shared" si="115"/>
        <v>133.310664</v>
      </c>
      <c r="H335" s="36">
        <f t="shared" si="116"/>
        <v>140.0112</v>
      </c>
      <c r="I335" s="36">
        <f t="shared" si="117"/>
        <v>240.0192</v>
      </c>
      <c r="J335" s="36">
        <f t="shared" si="118"/>
        <v>266.621328</v>
      </c>
      <c r="K335" s="34">
        <f t="shared" si="119"/>
        <v>280.0224</v>
      </c>
    </row>
    <row r="336" spans="1:11">
      <c r="A336" s="34" t="s">
        <v>114</v>
      </c>
      <c r="B336" s="35">
        <v>0.36</v>
      </c>
      <c r="C336" s="34" t="s">
        <v>36</v>
      </c>
      <c r="D336" s="35" t="s">
        <v>26</v>
      </c>
      <c r="E336" s="34">
        <v>13.8672</v>
      </c>
      <c r="F336" s="36">
        <f t="shared" ref="F336:F353" si="120">E336*12</f>
        <v>166.4064</v>
      </c>
      <c r="G336" s="37">
        <f t="shared" ref="G336:G353" si="121">E336*13.33</f>
        <v>184.849776</v>
      </c>
      <c r="H336" s="36">
        <f t="shared" ref="H336:H353" si="122">E336*14</f>
        <v>194.1408</v>
      </c>
      <c r="I336" s="36">
        <f t="shared" ref="I336:I353" si="123">F336*2</f>
        <v>332.8128</v>
      </c>
      <c r="J336" s="36">
        <f t="shared" ref="J336:J353" si="124">G336*2</f>
        <v>369.699552</v>
      </c>
      <c r="K336" s="34">
        <f t="shared" ref="K336:K353" si="125">H336*2</f>
        <v>388.2816</v>
      </c>
    </row>
    <row r="337" spans="1:11">
      <c r="A337" s="34" t="s">
        <v>114</v>
      </c>
      <c r="B337" s="35">
        <v>0.38</v>
      </c>
      <c r="C337" s="34" t="s">
        <v>36</v>
      </c>
      <c r="D337" s="54" t="s">
        <v>25</v>
      </c>
      <c r="E337" s="34">
        <v>10.0008</v>
      </c>
      <c r="F337" s="36">
        <f t="shared" si="120"/>
        <v>120.0096</v>
      </c>
      <c r="G337" s="37">
        <f t="shared" si="121"/>
        <v>133.310664</v>
      </c>
      <c r="H337" s="36">
        <f t="shared" si="122"/>
        <v>140.0112</v>
      </c>
      <c r="I337" s="36">
        <f t="shared" si="123"/>
        <v>240.0192</v>
      </c>
      <c r="J337" s="36">
        <f t="shared" si="124"/>
        <v>266.621328</v>
      </c>
      <c r="K337" s="34">
        <f t="shared" si="125"/>
        <v>280.0224</v>
      </c>
    </row>
    <row r="338" spans="1:11">
      <c r="A338" s="34" t="s">
        <v>114</v>
      </c>
      <c r="B338" s="35">
        <v>0.38</v>
      </c>
      <c r="C338" s="34" t="s">
        <v>36</v>
      </c>
      <c r="D338" s="35" t="s">
        <v>26</v>
      </c>
      <c r="E338" s="34">
        <v>13.8672</v>
      </c>
      <c r="F338" s="36">
        <f t="shared" si="120"/>
        <v>166.4064</v>
      </c>
      <c r="G338" s="37">
        <f t="shared" si="121"/>
        <v>184.849776</v>
      </c>
      <c r="H338" s="36">
        <f t="shared" si="122"/>
        <v>194.1408</v>
      </c>
      <c r="I338" s="36">
        <f t="shared" si="123"/>
        <v>332.8128</v>
      </c>
      <c r="J338" s="36">
        <f t="shared" si="124"/>
        <v>369.699552</v>
      </c>
      <c r="K338" s="34">
        <f t="shared" si="125"/>
        <v>388.2816</v>
      </c>
    </row>
    <row r="339" spans="1:11">
      <c r="A339" s="34" t="s">
        <v>114</v>
      </c>
      <c r="B339" s="35">
        <v>0.4</v>
      </c>
      <c r="C339" s="34" t="s">
        <v>36</v>
      </c>
      <c r="D339" s="54" t="s">
        <v>25</v>
      </c>
      <c r="E339" s="34">
        <v>10.1304</v>
      </c>
      <c r="F339" s="36">
        <f t="shared" si="120"/>
        <v>121.5648</v>
      </c>
      <c r="G339" s="37">
        <f t="shared" si="121"/>
        <v>135.038232</v>
      </c>
      <c r="H339" s="36">
        <f t="shared" si="122"/>
        <v>141.8256</v>
      </c>
      <c r="I339" s="36">
        <f t="shared" si="123"/>
        <v>243.1296</v>
      </c>
      <c r="J339" s="36">
        <f t="shared" si="124"/>
        <v>270.076464</v>
      </c>
      <c r="K339" s="34">
        <f t="shared" si="125"/>
        <v>283.6512</v>
      </c>
    </row>
    <row r="340" spans="1:11">
      <c r="A340" s="22" t="s">
        <v>114</v>
      </c>
      <c r="B340" s="27">
        <v>0.4</v>
      </c>
      <c r="C340" s="22" t="s">
        <v>36</v>
      </c>
      <c r="D340" s="27" t="s">
        <v>26</v>
      </c>
      <c r="E340" s="22">
        <v>13.986</v>
      </c>
      <c r="F340" s="23">
        <f t="shared" si="120"/>
        <v>167.832</v>
      </c>
      <c r="G340" s="24">
        <f t="shared" si="121"/>
        <v>186.43338</v>
      </c>
      <c r="H340" s="23">
        <f t="shared" si="122"/>
        <v>195.804</v>
      </c>
      <c r="I340" s="23">
        <f t="shared" si="123"/>
        <v>335.664</v>
      </c>
      <c r="J340" s="23">
        <f t="shared" si="124"/>
        <v>372.86676</v>
      </c>
      <c r="K340" s="22">
        <f t="shared" si="125"/>
        <v>391.608</v>
      </c>
    </row>
    <row r="341" spans="1:11">
      <c r="A341" s="22" t="s">
        <v>114</v>
      </c>
      <c r="B341" s="27">
        <v>0.4</v>
      </c>
      <c r="C341" s="22" t="s">
        <v>36</v>
      </c>
      <c r="D341" s="27" t="s">
        <v>29</v>
      </c>
      <c r="E341" s="22">
        <v>24.9372</v>
      </c>
      <c r="F341" s="23">
        <f t="shared" si="120"/>
        <v>299.2464</v>
      </c>
      <c r="G341" s="24">
        <f t="shared" si="121"/>
        <v>332.412876</v>
      </c>
      <c r="H341" s="23">
        <f t="shared" si="122"/>
        <v>349.1208</v>
      </c>
      <c r="I341" s="23">
        <f t="shared" si="123"/>
        <v>598.4928</v>
      </c>
      <c r="J341" s="23">
        <f t="shared" si="124"/>
        <v>664.825752</v>
      </c>
      <c r="K341" s="22">
        <f t="shared" si="125"/>
        <v>698.2416</v>
      </c>
    </row>
    <row r="342" spans="1:11">
      <c r="A342" s="22" t="s">
        <v>114</v>
      </c>
      <c r="B342" s="27">
        <v>0.45</v>
      </c>
      <c r="C342" s="22" t="s">
        <v>37</v>
      </c>
      <c r="D342" s="21" t="s">
        <v>25</v>
      </c>
      <c r="E342" s="22">
        <v>11.448</v>
      </c>
      <c r="F342" s="23">
        <f t="shared" si="120"/>
        <v>137.376</v>
      </c>
      <c r="G342" s="24">
        <f t="shared" si="121"/>
        <v>152.60184</v>
      </c>
      <c r="H342" s="23">
        <f t="shared" si="122"/>
        <v>160.272</v>
      </c>
      <c r="I342" s="23">
        <f t="shared" si="123"/>
        <v>274.752</v>
      </c>
      <c r="J342" s="23">
        <f t="shared" si="124"/>
        <v>305.20368</v>
      </c>
      <c r="K342" s="22">
        <f t="shared" si="125"/>
        <v>320.544</v>
      </c>
    </row>
    <row r="343" spans="1:11">
      <c r="A343" s="22" t="s">
        <v>114</v>
      </c>
      <c r="B343" s="27">
        <v>0.45</v>
      </c>
      <c r="C343" s="22" t="s">
        <v>37</v>
      </c>
      <c r="D343" s="27" t="s">
        <v>26</v>
      </c>
      <c r="E343" s="22">
        <v>15.1956</v>
      </c>
      <c r="F343" s="23">
        <f t="shared" si="120"/>
        <v>182.3472</v>
      </c>
      <c r="G343" s="24">
        <f t="shared" si="121"/>
        <v>202.557348</v>
      </c>
      <c r="H343" s="23">
        <f t="shared" si="122"/>
        <v>212.7384</v>
      </c>
      <c r="I343" s="23">
        <f t="shared" si="123"/>
        <v>364.6944</v>
      </c>
      <c r="J343" s="23">
        <f t="shared" si="124"/>
        <v>405.114696</v>
      </c>
      <c r="K343" s="22">
        <f t="shared" si="125"/>
        <v>425.4768</v>
      </c>
    </row>
    <row r="344" spans="1:11">
      <c r="A344" s="22" t="s">
        <v>114</v>
      </c>
      <c r="B344" s="27">
        <v>0.46</v>
      </c>
      <c r="C344" s="22" t="s">
        <v>37</v>
      </c>
      <c r="D344" s="21" t="s">
        <v>25</v>
      </c>
      <c r="E344" s="22">
        <v>11.448</v>
      </c>
      <c r="F344" s="23">
        <f t="shared" si="120"/>
        <v>137.376</v>
      </c>
      <c r="G344" s="24">
        <f t="shared" si="121"/>
        <v>152.60184</v>
      </c>
      <c r="H344" s="23">
        <f t="shared" si="122"/>
        <v>160.272</v>
      </c>
      <c r="I344" s="23">
        <f t="shared" si="123"/>
        <v>274.752</v>
      </c>
      <c r="J344" s="23">
        <f t="shared" si="124"/>
        <v>305.20368</v>
      </c>
      <c r="K344" s="22">
        <f t="shared" si="125"/>
        <v>320.544</v>
      </c>
    </row>
    <row r="345" spans="1:11">
      <c r="A345" s="22" t="s">
        <v>114</v>
      </c>
      <c r="B345" s="27">
        <v>0.46</v>
      </c>
      <c r="C345" s="22" t="s">
        <v>37</v>
      </c>
      <c r="D345" s="27" t="s">
        <v>26</v>
      </c>
      <c r="E345" s="22">
        <v>15.1956</v>
      </c>
      <c r="F345" s="23">
        <f t="shared" si="120"/>
        <v>182.3472</v>
      </c>
      <c r="G345" s="24">
        <f t="shared" si="121"/>
        <v>202.557348</v>
      </c>
      <c r="H345" s="23">
        <f t="shared" si="122"/>
        <v>212.7384</v>
      </c>
      <c r="I345" s="23">
        <f t="shared" si="123"/>
        <v>364.6944</v>
      </c>
      <c r="J345" s="23">
        <f t="shared" si="124"/>
        <v>405.114696</v>
      </c>
      <c r="K345" s="22">
        <f t="shared" si="125"/>
        <v>425.4768</v>
      </c>
    </row>
    <row r="346" spans="1:11">
      <c r="A346" s="34" t="s">
        <v>114</v>
      </c>
      <c r="B346" s="35">
        <v>0.5</v>
      </c>
      <c r="C346" s="34" t="s">
        <v>38</v>
      </c>
      <c r="D346" s="54" t="s">
        <v>25</v>
      </c>
      <c r="E346" s="34">
        <v>11.5776</v>
      </c>
      <c r="F346" s="36">
        <f t="shared" si="120"/>
        <v>138.9312</v>
      </c>
      <c r="G346" s="37">
        <f t="shared" si="121"/>
        <v>154.329408</v>
      </c>
      <c r="H346" s="36">
        <f t="shared" si="122"/>
        <v>162.0864</v>
      </c>
      <c r="I346" s="36">
        <f t="shared" si="123"/>
        <v>277.8624</v>
      </c>
      <c r="J346" s="36">
        <f t="shared" si="124"/>
        <v>308.658816</v>
      </c>
      <c r="K346" s="34">
        <f t="shared" si="125"/>
        <v>324.1728</v>
      </c>
    </row>
    <row r="347" spans="1:11">
      <c r="A347" s="34" t="s">
        <v>114</v>
      </c>
      <c r="B347" s="35">
        <v>0.5</v>
      </c>
      <c r="C347" s="34" t="s">
        <v>38</v>
      </c>
      <c r="D347" s="35" t="s">
        <v>26</v>
      </c>
      <c r="E347" s="34">
        <v>15.3144</v>
      </c>
      <c r="F347" s="36">
        <f t="shared" si="120"/>
        <v>183.7728</v>
      </c>
      <c r="G347" s="37">
        <f t="shared" si="121"/>
        <v>204.140952</v>
      </c>
      <c r="H347" s="36">
        <f t="shared" si="122"/>
        <v>214.4016</v>
      </c>
      <c r="I347" s="36">
        <f t="shared" si="123"/>
        <v>367.5456</v>
      </c>
      <c r="J347" s="36">
        <f t="shared" si="124"/>
        <v>408.281904</v>
      </c>
      <c r="K347" s="34">
        <f t="shared" si="125"/>
        <v>428.8032</v>
      </c>
    </row>
    <row r="348" spans="1:11">
      <c r="A348" s="34" t="s">
        <v>114</v>
      </c>
      <c r="B348" s="35">
        <v>0.53</v>
      </c>
      <c r="C348" s="34" t="s">
        <v>41</v>
      </c>
      <c r="D348" s="54" t="s">
        <v>25</v>
      </c>
      <c r="E348" s="34">
        <v>11.5776</v>
      </c>
      <c r="F348" s="36">
        <f t="shared" si="120"/>
        <v>138.9312</v>
      </c>
      <c r="G348" s="37">
        <f t="shared" si="121"/>
        <v>154.329408</v>
      </c>
      <c r="H348" s="36">
        <f t="shared" si="122"/>
        <v>162.0864</v>
      </c>
      <c r="I348" s="36">
        <f t="shared" si="123"/>
        <v>277.8624</v>
      </c>
      <c r="J348" s="36">
        <f t="shared" si="124"/>
        <v>308.658816</v>
      </c>
      <c r="K348" s="34">
        <f t="shared" si="125"/>
        <v>324.1728</v>
      </c>
    </row>
    <row r="349" spans="1:11">
      <c r="A349" s="34" t="s">
        <v>114</v>
      </c>
      <c r="B349" s="35">
        <v>0.53</v>
      </c>
      <c r="C349" s="34" t="s">
        <v>41</v>
      </c>
      <c r="D349" s="35" t="s">
        <v>26</v>
      </c>
      <c r="E349" s="34">
        <v>15.3144</v>
      </c>
      <c r="F349" s="36">
        <f t="shared" si="120"/>
        <v>183.7728</v>
      </c>
      <c r="G349" s="37">
        <f t="shared" si="121"/>
        <v>204.140952</v>
      </c>
      <c r="H349" s="36">
        <f t="shared" si="122"/>
        <v>214.4016</v>
      </c>
      <c r="I349" s="36">
        <f t="shared" si="123"/>
        <v>367.5456</v>
      </c>
      <c r="J349" s="36">
        <f t="shared" si="124"/>
        <v>408.281904</v>
      </c>
      <c r="K349" s="34">
        <f t="shared" si="125"/>
        <v>428.8032</v>
      </c>
    </row>
    <row r="350" spans="1:11">
      <c r="A350" s="34" t="s">
        <v>114</v>
      </c>
      <c r="B350" s="35">
        <v>0.6</v>
      </c>
      <c r="C350" s="34" t="s">
        <v>41</v>
      </c>
      <c r="D350" s="54" t="s">
        <v>25</v>
      </c>
      <c r="E350" s="34">
        <v>11.6856</v>
      </c>
      <c r="F350" s="36">
        <f t="shared" si="120"/>
        <v>140.2272</v>
      </c>
      <c r="G350" s="37">
        <f t="shared" si="121"/>
        <v>155.769048</v>
      </c>
      <c r="H350" s="36">
        <f t="shared" si="122"/>
        <v>163.5984</v>
      </c>
      <c r="I350" s="36">
        <f t="shared" si="123"/>
        <v>280.4544</v>
      </c>
      <c r="J350" s="36">
        <f t="shared" si="124"/>
        <v>311.538096</v>
      </c>
      <c r="K350" s="34">
        <f t="shared" si="125"/>
        <v>327.1968</v>
      </c>
    </row>
    <row r="351" spans="1:11">
      <c r="A351" s="34" t="s">
        <v>114</v>
      </c>
      <c r="B351" s="35">
        <v>0.6</v>
      </c>
      <c r="C351" s="34" t="s">
        <v>41</v>
      </c>
      <c r="D351" s="35" t="s">
        <v>26</v>
      </c>
      <c r="E351" s="34">
        <v>15.4332</v>
      </c>
      <c r="F351" s="36">
        <f t="shared" si="120"/>
        <v>185.1984</v>
      </c>
      <c r="G351" s="37">
        <f t="shared" si="121"/>
        <v>205.724556</v>
      </c>
      <c r="H351" s="36">
        <f t="shared" si="122"/>
        <v>216.0648</v>
      </c>
      <c r="I351" s="36">
        <f t="shared" si="123"/>
        <v>370.3968</v>
      </c>
      <c r="J351" s="36">
        <f t="shared" si="124"/>
        <v>411.449112</v>
      </c>
      <c r="K351" s="34">
        <f t="shared" si="125"/>
        <v>432.1296</v>
      </c>
    </row>
    <row r="352" spans="1:11">
      <c r="A352" s="34" t="s">
        <v>114</v>
      </c>
      <c r="B352" s="35">
        <v>0.6</v>
      </c>
      <c r="C352" s="34" t="s">
        <v>41</v>
      </c>
      <c r="D352" s="35" t="s">
        <v>29</v>
      </c>
      <c r="E352" s="34">
        <v>27.8748</v>
      </c>
      <c r="F352" s="36">
        <f t="shared" si="120"/>
        <v>334.4976</v>
      </c>
      <c r="G352" s="37">
        <f t="shared" si="121"/>
        <v>371.571084</v>
      </c>
      <c r="H352" s="36">
        <f t="shared" si="122"/>
        <v>390.2472</v>
      </c>
      <c r="I352" s="36">
        <f t="shared" si="123"/>
        <v>668.9952</v>
      </c>
      <c r="J352" s="36">
        <f t="shared" si="124"/>
        <v>743.142168</v>
      </c>
      <c r="K352" s="34">
        <f t="shared" si="125"/>
        <v>780.4944</v>
      </c>
    </row>
    <row r="353" spans="1:11">
      <c r="A353" s="34" t="s">
        <v>114</v>
      </c>
      <c r="B353" s="35">
        <v>0.6</v>
      </c>
      <c r="C353" s="34" t="s">
        <v>41</v>
      </c>
      <c r="D353" s="35" t="s">
        <v>33</v>
      </c>
      <c r="E353" s="34">
        <v>37.3788</v>
      </c>
      <c r="F353" s="36">
        <f t="shared" si="120"/>
        <v>448.5456</v>
      </c>
      <c r="G353" s="37">
        <f t="shared" si="121"/>
        <v>498.259404</v>
      </c>
      <c r="H353" s="36">
        <f t="shared" si="122"/>
        <v>523.3032</v>
      </c>
      <c r="I353" s="36">
        <f t="shared" si="123"/>
        <v>897.0912</v>
      </c>
      <c r="J353" s="36">
        <f t="shared" si="124"/>
        <v>996.518808</v>
      </c>
      <c r="K353" s="34">
        <f t="shared" si="125"/>
        <v>1046.6064</v>
      </c>
    </row>
    <row r="354" spans="1:11">
      <c r="A354" s="34" t="s">
        <v>114</v>
      </c>
      <c r="B354" s="35">
        <v>0.71</v>
      </c>
      <c r="C354" s="34" t="s">
        <v>43</v>
      </c>
      <c r="D354" s="54" t="s">
        <v>25</v>
      </c>
      <c r="E354" s="34">
        <v>12.8952</v>
      </c>
      <c r="F354" s="36">
        <f t="shared" ref="F354:F359" si="126">E354*12</f>
        <v>154.7424</v>
      </c>
      <c r="G354" s="37">
        <f t="shared" ref="G354:G359" si="127">E354*13.33</f>
        <v>171.893016</v>
      </c>
      <c r="H354" s="36">
        <f t="shared" ref="H354:H359" si="128">E354*14</f>
        <v>180.5328</v>
      </c>
      <c r="I354" s="36">
        <f t="shared" ref="I354:I359" si="129">F354*2</f>
        <v>309.4848</v>
      </c>
      <c r="J354" s="36">
        <f t="shared" ref="J354:J359" si="130">G354*2</f>
        <v>343.786032</v>
      </c>
      <c r="K354" s="34">
        <f t="shared" ref="K354:K359" si="131">H354*2</f>
        <v>361.0656</v>
      </c>
    </row>
    <row r="355" spans="1:11">
      <c r="A355" s="34" t="s">
        <v>114</v>
      </c>
      <c r="B355" s="35">
        <v>0.71</v>
      </c>
      <c r="C355" s="34" t="s">
        <v>43</v>
      </c>
      <c r="D355" s="35" t="s">
        <v>26</v>
      </c>
      <c r="E355" s="34">
        <v>16.6428</v>
      </c>
      <c r="F355" s="36">
        <f t="shared" si="126"/>
        <v>199.7136</v>
      </c>
      <c r="G355" s="37">
        <f t="shared" si="127"/>
        <v>221.848524</v>
      </c>
      <c r="H355" s="36">
        <f t="shared" si="128"/>
        <v>232.9992</v>
      </c>
      <c r="I355" s="36">
        <f t="shared" si="129"/>
        <v>399.4272</v>
      </c>
      <c r="J355" s="36">
        <f t="shared" si="130"/>
        <v>443.697048</v>
      </c>
      <c r="K355" s="34">
        <f t="shared" si="131"/>
        <v>465.9984</v>
      </c>
    </row>
    <row r="356" spans="1:11">
      <c r="A356" s="34" t="s">
        <v>114</v>
      </c>
      <c r="B356" s="35">
        <v>0.8</v>
      </c>
      <c r="C356" s="34" t="s">
        <v>43</v>
      </c>
      <c r="D356" s="54" t="s">
        <v>44</v>
      </c>
      <c r="E356" s="34">
        <v>11.9448</v>
      </c>
      <c r="F356" s="36">
        <f t="shared" si="126"/>
        <v>143.3376</v>
      </c>
      <c r="G356" s="37">
        <f t="shared" si="127"/>
        <v>159.224184</v>
      </c>
      <c r="H356" s="36">
        <f t="shared" si="128"/>
        <v>167.2272</v>
      </c>
      <c r="I356" s="36">
        <f t="shared" si="129"/>
        <v>286.6752</v>
      </c>
      <c r="J356" s="36">
        <f t="shared" si="130"/>
        <v>318.448368</v>
      </c>
      <c r="K356" s="34">
        <f t="shared" si="131"/>
        <v>334.4544</v>
      </c>
    </row>
    <row r="357" spans="1:11">
      <c r="A357" s="34" t="s">
        <v>114</v>
      </c>
      <c r="B357" s="35">
        <v>0.8</v>
      </c>
      <c r="C357" s="34" t="s">
        <v>43</v>
      </c>
      <c r="D357" s="54" t="s">
        <v>25</v>
      </c>
      <c r="E357" s="34">
        <v>13.0248</v>
      </c>
      <c r="F357" s="36">
        <f t="shared" si="126"/>
        <v>156.2976</v>
      </c>
      <c r="G357" s="37">
        <f t="shared" si="127"/>
        <v>173.620584</v>
      </c>
      <c r="H357" s="36">
        <f t="shared" si="128"/>
        <v>182.3472</v>
      </c>
      <c r="I357" s="36">
        <f t="shared" si="129"/>
        <v>312.5952</v>
      </c>
      <c r="J357" s="36">
        <f t="shared" si="130"/>
        <v>347.241168</v>
      </c>
      <c r="K357" s="34">
        <f t="shared" si="131"/>
        <v>364.6944</v>
      </c>
    </row>
    <row r="358" spans="1:11">
      <c r="A358" s="22" t="s">
        <v>114</v>
      </c>
      <c r="B358" s="27">
        <v>0.8</v>
      </c>
      <c r="C358" s="22" t="s">
        <v>43</v>
      </c>
      <c r="D358" s="27" t="s">
        <v>26</v>
      </c>
      <c r="E358" s="22">
        <v>16.7508</v>
      </c>
      <c r="F358" s="23">
        <f t="shared" si="126"/>
        <v>201.0096</v>
      </c>
      <c r="G358" s="24">
        <f t="shared" si="127"/>
        <v>223.288164</v>
      </c>
      <c r="H358" s="23">
        <f t="shared" si="128"/>
        <v>234.5112</v>
      </c>
      <c r="I358" s="23">
        <f t="shared" si="129"/>
        <v>402.0192</v>
      </c>
      <c r="J358" s="23">
        <f t="shared" si="130"/>
        <v>446.576328</v>
      </c>
      <c r="K358" s="22">
        <f t="shared" si="131"/>
        <v>469.0224</v>
      </c>
    </row>
    <row r="359" spans="1:11">
      <c r="A359" s="22" t="s">
        <v>114</v>
      </c>
      <c r="B359" s="27">
        <v>0.8</v>
      </c>
      <c r="C359" s="22" t="s">
        <v>43</v>
      </c>
      <c r="D359" s="27" t="s">
        <v>29</v>
      </c>
      <c r="E359" s="22">
        <v>26.04204</v>
      </c>
      <c r="F359" s="23">
        <f t="shared" si="126"/>
        <v>312.50448</v>
      </c>
      <c r="G359" s="24">
        <f t="shared" si="127"/>
        <v>347.1403932</v>
      </c>
      <c r="H359" s="23">
        <f t="shared" si="128"/>
        <v>364.58856</v>
      </c>
      <c r="I359" s="23">
        <f t="shared" si="129"/>
        <v>625.00896</v>
      </c>
      <c r="J359" s="23">
        <f t="shared" si="130"/>
        <v>694.2807864</v>
      </c>
      <c r="K359" s="22">
        <f t="shared" si="131"/>
        <v>729.17712</v>
      </c>
    </row>
    <row r="360" spans="1:11">
      <c r="A360" s="22" t="s">
        <v>114</v>
      </c>
      <c r="B360" s="27">
        <v>0.9</v>
      </c>
      <c r="C360" s="22" t="s">
        <v>46</v>
      </c>
      <c r="D360" s="21" t="s">
        <v>25</v>
      </c>
      <c r="E360" s="22">
        <v>14.3532</v>
      </c>
      <c r="F360" s="23">
        <f t="shared" ref="F360:F380" si="132">E360*12</f>
        <v>172.2384</v>
      </c>
      <c r="G360" s="24">
        <f t="shared" ref="G360:G380" si="133">E360*13.33</f>
        <v>191.328156</v>
      </c>
      <c r="H360" s="23">
        <f t="shared" ref="H360:H380" si="134">E360*14</f>
        <v>200.9448</v>
      </c>
      <c r="I360" s="23">
        <f t="shared" ref="I360:I380" si="135">F360*2</f>
        <v>344.4768</v>
      </c>
      <c r="J360" s="23">
        <f t="shared" ref="J360:J380" si="136">G360*2</f>
        <v>382.656312</v>
      </c>
      <c r="K360" s="22">
        <f t="shared" ref="K360:K380" si="137">H360*2</f>
        <v>401.8896</v>
      </c>
    </row>
    <row r="361" spans="1:11">
      <c r="A361" s="22" t="s">
        <v>114</v>
      </c>
      <c r="B361" s="27">
        <v>0.9</v>
      </c>
      <c r="C361" s="22" t="s">
        <v>46</v>
      </c>
      <c r="D361" s="27" t="s">
        <v>26</v>
      </c>
      <c r="E361" s="22">
        <v>18.09</v>
      </c>
      <c r="F361" s="23">
        <f t="shared" si="132"/>
        <v>217.08</v>
      </c>
      <c r="G361" s="24">
        <f t="shared" si="133"/>
        <v>241.1397</v>
      </c>
      <c r="H361" s="23">
        <f t="shared" si="134"/>
        <v>253.26</v>
      </c>
      <c r="I361" s="23">
        <f t="shared" si="135"/>
        <v>434.16</v>
      </c>
      <c r="J361" s="23">
        <f t="shared" si="136"/>
        <v>482.2794</v>
      </c>
      <c r="K361" s="22">
        <f t="shared" si="137"/>
        <v>506.52</v>
      </c>
    </row>
    <row r="362" spans="1:11">
      <c r="A362" s="22" t="s">
        <v>114</v>
      </c>
      <c r="B362" s="27" t="s">
        <v>104</v>
      </c>
      <c r="C362" s="22" t="s">
        <v>47</v>
      </c>
      <c r="D362" s="21" t="s">
        <v>25</v>
      </c>
      <c r="E362" s="22">
        <v>14.472</v>
      </c>
      <c r="F362" s="23">
        <f t="shared" si="132"/>
        <v>173.664</v>
      </c>
      <c r="G362" s="24">
        <f t="shared" si="133"/>
        <v>192.91176</v>
      </c>
      <c r="H362" s="23">
        <f t="shared" si="134"/>
        <v>202.608</v>
      </c>
      <c r="I362" s="23">
        <f t="shared" si="135"/>
        <v>347.328</v>
      </c>
      <c r="J362" s="23">
        <f t="shared" si="136"/>
        <v>385.82352</v>
      </c>
      <c r="K362" s="22">
        <f t="shared" si="137"/>
        <v>405.216</v>
      </c>
    </row>
    <row r="363" spans="1:11">
      <c r="A363" s="22" t="s">
        <v>114</v>
      </c>
      <c r="B363" s="27" t="s">
        <v>104</v>
      </c>
      <c r="C363" s="22" t="s">
        <v>47</v>
      </c>
      <c r="D363" s="27" t="s">
        <v>26</v>
      </c>
      <c r="E363" s="22">
        <v>18.198</v>
      </c>
      <c r="F363" s="23">
        <f t="shared" si="132"/>
        <v>218.376</v>
      </c>
      <c r="G363" s="24">
        <f t="shared" si="133"/>
        <v>242.57934</v>
      </c>
      <c r="H363" s="23">
        <f t="shared" si="134"/>
        <v>254.772</v>
      </c>
      <c r="I363" s="23">
        <f t="shared" si="135"/>
        <v>436.752</v>
      </c>
      <c r="J363" s="23">
        <f t="shared" si="136"/>
        <v>485.15868</v>
      </c>
      <c r="K363" s="22">
        <f t="shared" si="137"/>
        <v>509.544</v>
      </c>
    </row>
    <row r="364" spans="1:11">
      <c r="A364" s="22" t="s">
        <v>114</v>
      </c>
      <c r="B364" s="27">
        <v>1.1</v>
      </c>
      <c r="C364" s="22" t="s">
        <v>48</v>
      </c>
      <c r="D364" s="21" t="s">
        <v>25</v>
      </c>
      <c r="E364" s="22">
        <v>15.8004</v>
      </c>
      <c r="F364" s="23">
        <f t="shared" si="132"/>
        <v>189.6048</v>
      </c>
      <c r="G364" s="24">
        <f t="shared" si="133"/>
        <v>210.619332</v>
      </c>
      <c r="H364" s="23">
        <f t="shared" si="134"/>
        <v>221.2056</v>
      </c>
      <c r="I364" s="23">
        <f t="shared" si="135"/>
        <v>379.2096</v>
      </c>
      <c r="J364" s="23">
        <f t="shared" si="136"/>
        <v>421.238664</v>
      </c>
      <c r="K364" s="22">
        <f t="shared" si="137"/>
        <v>442.4112</v>
      </c>
    </row>
    <row r="365" spans="1:11">
      <c r="A365" s="22" t="s">
        <v>114</v>
      </c>
      <c r="B365" s="27">
        <v>1.1</v>
      </c>
      <c r="C365" s="22" t="s">
        <v>48</v>
      </c>
      <c r="D365" s="27" t="s">
        <v>26</v>
      </c>
      <c r="E365" s="22">
        <v>19.5372</v>
      </c>
      <c r="F365" s="23">
        <f t="shared" si="132"/>
        <v>234.4464</v>
      </c>
      <c r="G365" s="24">
        <f t="shared" si="133"/>
        <v>260.430876</v>
      </c>
      <c r="H365" s="23">
        <f t="shared" si="134"/>
        <v>273.5208</v>
      </c>
      <c r="I365" s="23">
        <f t="shared" si="135"/>
        <v>468.8928</v>
      </c>
      <c r="J365" s="23">
        <f t="shared" si="136"/>
        <v>520.861752</v>
      </c>
      <c r="K365" s="22">
        <f t="shared" si="137"/>
        <v>547.0416</v>
      </c>
    </row>
    <row r="366" spans="1:11">
      <c r="A366" s="22" t="s">
        <v>114</v>
      </c>
      <c r="B366" s="27">
        <v>1.2</v>
      </c>
      <c r="C366" s="22" t="s">
        <v>48</v>
      </c>
      <c r="D366" s="21" t="s">
        <v>25</v>
      </c>
      <c r="E366" s="22">
        <v>16.038</v>
      </c>
      <c r="F366" s="23">
        <f t="shared" si="132"/>
        <v>192.456</v>
      </c>
      <c r="G366" s="24">
        <f t="shared" si="133"/>
        <v>213.78654</v>
      </c>
      <c r="H366" s="23">
        <f t="shared" si="134"/>
        <v>224.532</v>
      </c>
      <c r="I366" s="23">
        <f t="shared" si="135"/>
        <v>384.912</v>
      </c>
      <c r="J366" s="23">
        <f t="shared" si="136"/>
        <v>427.57308</v>
      </c>
      <c r="K366" s="22">
        <f t="shared" si="137"/>
        <v>449.064</v>
      </c>
    </row>
    <row r="367" spans="1:11">
      <c r="A367" s="22" t="s">
        <v>114</v>
      </c>
      <c r="B367" s="27">
        <v>1.2</v>
      </c>
      <c r="C367" s="22" t="s">
        <v>48</v>
      </c>
      <c r="D367" s="63" t="s">
        <v>26</v>
      </c>
      <c r="E367" s="22">
        <v>19.7748</v>
      </c>
      <c r="F367" s="23">
        <f t="shared" si="132"/>
        <v>237.2976</v>
      </c>
      <c r="G367" s="24">
        <f t="shared" si="133"/>
        <v>263.598084</v>
      </c>
      <c r="H367" s="23">
        <f t="shared" si="134"/>
        <v>276.8472</v>
      </c>
      <c r="I367" s="23">
        <f t="shared" si="135"/>
        <v>474.5952</v>
      </c>
      <c r="J367" s="23">
        <f t="shared" si="136"/>
        <v>527.196168</v>
      </c>
      <c r="K367" s="22">
        <f t="shared" si="137"/>
        <v>553.6944</v>
      </c>
    </row>
    <row r="368" spans="1:11">
      <c r="A368" s="22" t="s">
        <v>114</v>
      </c>
      <c r="B368" s="27">
        <v>1.25</v>
      </c>
      <c r="C368" s="22" t="s">
        <v>48</v>
      </c>
      <c r="D368" s="27" t="s">
        <v>26</v>
      </c>
      <c r="E368" s="22">
        <v>21.4704</v>
      </c>
      <c r="F368" s="23">
        <f t="shared" si="132"/>
        <v>257.6448</v>
      </c>
      <c r="G368" s="24">
        <f t="shared" si="133"/>
        <v>286.200432</v>
      </c>
      <c r="H368" s="23">
        <f t="shared" si="134"/>
        <v>300.5856</v>
      </c>
      <c r="I368" s="23">
        <f t="shared" si="135"/>
        <v>515.2896</v>
      </c>
      <c r="J368" s="23">
        <f t="shared" si="136"/>
        <v>572.400864</v>
      </c>
      <c r="K368" s="22">
        <f t="shared" si="137"/>
        <v>601.1712</v>
      </c>
    </row>
    <row r="369" spans="1:12">
      <c r="A369" s="22" t="s">
        <v>114</v>
      </c>
      <c r="B369" s="27">
        <v>1.3</v>
      </c>
      <c r="C369" s="22" t="s">
        <v>49</v>
      </c>
      <c r="D369" s="21" t="s">
        <v>25</v>
      </c>
      <c r="E369" s="22">
        <v>18.4464</v>
      </c>
      <c r="F369" s="23">
        <f t="shared" si="132"/>
        <v>221.3568</v>
      </c>
      <c r="G369" s="24">
        <f t="shared" si="133"/>
        <v>245.890512</v>
      </c>
      <c r="H369" s="23">
        <f t="shared" si="134"/>
        <v>258.2496</v>
      </c>
      <c r="I369" s="23">
        <f t="shared" si="135"/>
        <v>442.7136</v>
      </c>
      <c r="J369" s="23">
        <f t="shared" si="136"/>
        <v>491.781024</v>
      </c>
      <c r="K369" s="22">
        <f t="shared" si="137"/>
        <v>516.4992</v>
      </c>
    </row>
    <row r="370" spans="1:12">
      <c r="A370" s="22" t="s">
        <v>114</v>
      </c>
      <c r="B370" s="27">
        <v>1.3</v>
      </c>
      <c r="C370" s="22" t="s">
        <v>49</v>
      </c>
      <c r="D370" s="27" t="s">
        <v>26</v>
      </c>
      <c r="E370" s="22">
        <v>22.1832</v>
      </c>
      <c r="F370" s="23">
        <f t="shared" si="132"/>
        <v>266.1984</v>
      </c>
      <c r="G370" s="24">
        <f t="shared" si="133"/>
        <v>295.702056</v>
      </c>
      <c r="H370" s="23">
        <f t="shared" si="134"/>
        <v>310.5648</v>
      </c>
      <c r="I370" s="23">
        <f t="shared" si="135"/>
        <v>532.3968</v>
      </c>
      <c r="J370" s="23">
        <f t="shared" si="136"/>
        <v>591.404112</v>
      </c>
      <c r="K370" s="22">
        <f t="shared" si="137"/>
        <v>621.1296</v>
      </c>
    </row>
    <row r="371" spans="1:12">
      <c r="A371" s="22" t="s">
        <v>114</v>
      </c>
      <c r="B371" s="27">
        <v>1.4</v>
      </c>
      <c r="C371" s="22" t="s">
        <v>49</v>
      </c>
      <c r="D371" s="21" t="s">
        <v>25</v>
      </c>
      <c r="E371" s="22">
        <v>18.6948</v>
      </c>
      <c r="F371" s="23">
        <f t="shared" si="132"/>
        <v>224.3376</v>
      </c>
      <c r="G371" s="24">
        <f t="shared" si="133"/>
        <v>249.201684</v>
      </c>
      <c r="H371" s="23">
        <f t="shared" si="134"/>
        <v>261.7272</v>
      </c>
      <c r="I371" s="23">
        <f t="shared" si="135"/>
        <v>448.6752</v>
      </c>
      <c r="J371" s="23">
        <f t="shared" si="136"/>
        <v>498.403368</v>
      </c>
      <c r="K371" s="22">
        <f t="shared" si="137"/>
        <v>523.4544</v>
      </c>
    </row>
    <row r="372" spans="1:12">
      <c r="A372" s="22" t="s">
        <v>114</v>
      </c>
      <c r="B372" s="27">
        <v>1.4</v>
      </c>
      <c r="C372" s="22" t="s">
        <v>49</v>
      </c>
      <c r="D372" s="27" t="s">
        <v>26</v>
      </c>
      <c r="E372" s="22">
        <v>22.4208</v>
      </c>
      <c r="F372" s="23">
        <f t="shared" si="132"/>
        <v>269.0496</v>
      </c>
      <c r="G372" s="24">
        <f t="shared" si="133"/>
        <v>298.869264</v>
      </c>
      <c r="H372" s="23">
        <f t="shared" si="134"/>
        <v>313.8912</v>
      </c>
      <c r="I372" s="23">
        <f t="shared" si="135"/>
        <v>538.0992</v>
      </c>
      <c r="J372" s="23">
        <f t="shared" si="136"/>
        <v>597.738528</v>
      </c>
      <c r="K372" s="22">
        <f t="shared" si="137"/>
        <v>627.7824</v>
      </c>
    </row>
    <row r="373" spans="1:12">
      <c r="A373" s="22" t="s">
        <v>114</v>
      </c>
      <c r="B373" s="27">
        <v>1.5</v>
      </c>
      <c r="C373" s="22" t="s">
        <v>50</v>
      </c>
      <c r="D373" s="64" t="s">
        <v>25</v>
      </c>
      <c r="E373" s="22">
        <v>19.8936</v>
      </c>
      <c r="F373" s="23">
        <f t="shared" si="132"/>
        <v>238.7232</v>
      </c>
      <c r="G373" s="24">
        <f t="shared" si="133"/>
        <v>265.181688</v>
      </c>
      <c r="H373" s="23">
        <f t="shared" si="134"/>
        <v>278.5104</v>
      </c>
      <c r="I373" s="23">
        <f t="shared" si="135"/>
        <v>477.4464</v>
      </c>
      <c r="J373" s="23">
        <f t="shared" si="136"/>
        <v>530.363376</v>
      </c>
      <c r="K373" s="22">
        <f t="shared" si="137"/>
        <v>557.0208</v>
      </c>
    </row>
    <row r="374" spans="1:12">
      <c r="A374" s="22" t="s">
        <v>114</v>
      </c>
      <c r="B374" s="27">
        <v>1.5</v>
      </c>
      <c r="C374" s="22" t="s">
        <v>50</v>
      </c>
      <c r="D374" s="63" t="s">
        <v>26</v>
      </c>
      <c r="E374" s="22">
        <v>23.6304</v>
      </c>
      <c r="F374" s="23">
        <f t="shared" si="132"/>
        <v>283.5648</v>
      </c>
      <c r="G374" s="24">
        <f t="shared" si="133"/>
        <v>314.993232</v>
      </c>
      <c r="H374" s="23">
        <f t="shared" si="134"/>
        <v>330.8256</v>
      </c>
      <c r="I374" s="23">
        <f t="shared" si="135"/>
        <v>567.1296</v>
      </c>
      <c r="J374" s="23">
        <f t="shared" si="136"/>
        <v>629.986464</v>
      </c>
      <c r="K374" s="22">
        <f t="shared" si="137"/>
        <v>661.6512</v>
      </c>
    </row>
    <row r="375" spans="1:12">
      <c r="A375" s="22" t="s">
        <v>114</v>
      </c>
      <c r="B375" s="27">
        <v>1.5</v>
      </c>
      <c r="C375" s="22" t="s">
        <v>49</v>
      </c>
      <c r="D375" s="63" t="s">
        <v>115</v>
      </c>
      <c r="E375" s="22">
        <v>29.1708</v>
      </c>
      <c r="F375" s="23">
        <f t="shared" si="132"/>
        <v>350.0496</v>
      </c>
      <c r="G375" s="24">
        <f t="shared" si="133"/>
        <v>388.846764</v>
      </c>
      <c r="H375" s="23">
        <f t="shared" si="134"/>
        <v>408.3912</v>
      </c>
      <c r="I375" s="23">
        <f t="shared" si="135"/>
        <v>700.0992</v>
      </c>
      <c r="J375" s="23">
        <f t="shared" si="136"/>
        <v>777.693528</v>
      </c>
      <c r="K375" s="22">
        <f t="shared" si="137"/>
        <v>816.7824</v>
      </c>
    </row>
    <row r="376" spans="1:12">
      <c r="A376" s="22" t="s">
        <v>114</v>
      </c>
      <c r="B376" s="27">
        <v>1.5</v>
      </c>
      <c r="C376" s="22" t="s">
        <v>49</v>
      </c>
      <c r="D376" s="63" t="s">
        <v>33</v>
      </c>
      <c r="E376" s="22">
        <v>43.8264</v>
      </c>
      <c r="F376" s="23">
        <f t="shared" si="132"/>
        <v>525.9168</v>
      </c>
      <c r="G376" s="24">
        <f t="shared" si="133"/>
        <v>584.205912</v>
      </c>
      <c r="H376" s="23">
        <f t="shared" si="134"/>
        <v>613.5696</v>
      </c>
      <c r="I376" s="23">
        <f t="shared" si="135"/>
        <v>1051.8336</v>
      </c>
      <c r="J376" s="23">
        <f t="shared" si="136"/>
        <v>1168.411824</v>
      </c>
      <c r="K376" s="22">
        <f t="shared" si="137"/>
        <v>1227.1392</v>
      </c>
    </row>
    <row r="377" spans="1:12">
      <c r="A377" s="22" t="s">
        <v>114</v>
      </c>
      <c r="B377" s="27">
        <v>1.5</v>
      </c>
      <c r="C377" s="22" t="s">
        <v>49</v>
      </c>
      <c r="D377" s="27" t="s">
        <v>29</v>
      </c>
      <c r="E377" s="22">
        <v>33.5232</v>
      </c>
      <c r="F377" s="23">
        <f t="shared" si="132"/>
        <v>402.2784</v>
      </c>
      <c r="G377" s="24">
        <f t="shared" si="133"/>
        <v>446.864256</v>
      </c>
      <c r="H377" s="23">
        <f t="shared" si="134"/>
        <v>469.3248</v>
      </c>
      <c r="I377" s="23">
        <f t="shared" si="135"/>
        <v>804.5568</v>
      </c>
      <c r="J377" s="23">
        <f t="shared" si="136"/>
        <v>893.728512</v>
      </c>
      <c r="K377" s="22">
        <f t="shared" si="137"/>
        <v>938.6496</v>
      </c>
    </row>
    <row r="378" spans="1:12">
      <c r="A378" s="22" t="s">
        <v>114</v>
      </c>
      <c r="B378" s="27">
        <v>1.6</v>
      </c>
      <c r="C378" s="22" t="s">
        <v>50</v>
      </c>
      <c r="D378" s="21" t="s">
        <v>25</v>
      </c>
      <c r="E378" s="22">
        <v>20.4984</v>
      </c>
      <c r="F378" s="23">
        <f t="shared" si="132"/>
        <v>245.9808</v>
      </c>
      <c r="G378" s="24">
        <f t="shared" si="133"/>
        <v>273.243672</v>
      </c>
      <c r="H378" s="23">
        <f t="shared" si="134"/>
        <v>286.9776</v>
      </c>
      <c r="I378" s="23">
        <f t="shared" si="135"/>
        <v>491.9616</v>
      </c>
      <c r="J378" s="23">
        <f t="shared" si="136"/>
        <v>546.487344</v>
      </c>
      <c r="K378" s="22">
        <f t="shared" si="137"/>
        <v>573.9552</v>
      </c>
    </row>
    <row r="379" spans="1:12">
      <c r="A379" s="22" t="s">
        <v>114</v>
      </c>
      <c r="B379" s="27">
        <v>1.6</v>
      </c>
      <c r="C379" s="22" t="s">
        <v>50</v>
      </c>
      <c r="D379" s="27" t="s">
        <v>26</v>
      </c>
      <c r="E379" s="22">
        <v>24.2352</v>
      </c>
      <c r="F379" s="23">
        <f t="shared" si="132"/>
        <v>290.8224</v>
      </c>
      <c r="G379" s="24">
        <f t="shared" si="133"/>
        <v>323.055216</v>
      </c>
      <c r="H379" s="23">
        <f t="shared" si="134"/>
        <v>339.2928</v>
      </c>
      <c r="I379" s="23">
        <f t="shared" si="135"/>
        <v>581.6448</v>
      </c>
      <c r="J379" s="23">
        <f t="shared" si="136"/>
        <v>646.110432</v>
      </c>
      <c r="K379" s="22">
        <f t="shared" si="137"/>
        <v>678.5856</v>
      </c>
    </row>
    <row r="380" spans="1:12">
      <c r="A380" s="22" t="s">
        <v>114</v>
      </c>
      <c r="B380" s="27" t="s">
        <v>116</v>
      </c>
      <c r="C380" s="22" t="s">
        <v>53</v>
      </c>
      <c r="D380" s="27" t="s">
        <v>26</v>
      </c>
      <c r="E380" s="22">
        <v>27.26352</v>
      </c>
      <c r="F380" s="23">
        <f t="shared" si="132"/>
        <v>327.16224</v>
      </c>
      <c r="G380" s="24">
        <f t="shared" si="133"/>
        <v>363.4227216</v>
      </c>
      <c r="H380" s="23">
        <f t="shared" si="134"/>
        <v>381.68928</v>
      </c>
      <c r="I380" s="23">
        <f t="shared" si="135"/>
        <v>654.32448</v>
      </c>
      <c r="J380" s="23">
        <f t="shared" si="136"/>
        <v>726.8454432</v>
      </c>
      <c r="K380" s="22">
        <f t="shared" si="137"/>
        <v>763.37856</v>
      </c>
    </row>
    <row r="381" spans="1:12">
      <c r="A381" s="65"/>
      <c r="B381" s="65"/>
      <c r="C381" s="66"/>
      <c r="D381" s="65"/>
      <c r="E381" s="67"/>
      <c r="F381" s="68"/>
      <c r="G381" s="67"/>
      <c r="H381" s="67"/>
      <c r="I381" s="69"/>
      <c r="J381" s="70"/>
      <c r="K381" s="71"/>
    </row>
    <row r="382" ht="25.8" spans="1:12">
      <c r="A382" s="39" t="s">
        <v>117</v>
      </c>
      <c r="B382" s="40"/>
      <c r="C382" s="40"/>
      <c r="D382" s="40"/>
      <c r="E382" s="40"/>
      <c r="F382" s="41"/>
      <c r="G382" s="41"/>
      <c r="H382" s="41"/>
      <c r="I382" s="14"/>
      <c r="J382" s="14"/>
      <c r="K382" s="38"/>
    </row>
    <row r="383" ht="28.8" spans="1:12">
      <c r="A383" s="42" t="s">
        <v>12</v>
      </c>
      <c r="B383" s="42" t="s">
        <v>60</v>
      </c>
      <c r="C383" s="42" t="s">
        <v>61</v>
      </c>
      <c r="D383" s="42"/>
      <c r="E383" s="42"/>
      <c r="F383" s="42" t="s">
        <v>62</v>
      </c>
      <c r="G383" s="42" t="s">
        <v>63</v>
      </c>
      <c r="H383" s="42" t="s">
        <v>64</v>
      </c>
      <c r="I383" s="42" t="s">
        <v>65</v>
      </c>
      <c r="J383" s="42" t="s">
        <v>66</v>
      </c>
      <c r="K383" s="34" t="s">
        <v>67</v>
      </c>
    </row>
    <row r="384" spans="1:12">
      <c r="A384" s="42" t="s">
        <v>118</v>
      </c>
      <c r="B384" s="42">
        <v>7628</v>
      </c>
      <c r="C384" s="42" t="s">
        <v>69</v>
      </c>
      <c r="D384" s="42"/>
      <c r="E384" s="42"/>
      <c r="F384" s="42">
        <v>150</v>
      </c>
      <c r="G384" s="42" t="s">
        <v>70</v>
      </c>
      <c r="H384" s="35" t="s">
        <v>71</v>
      </c>
      <c r="I384" s="62">
        <f t="shared" ref="I384:I398" si="138">J384*F384</f>
        <v>4240.5</v>
      </c>
      <c r="J384" s="34">
        <v>28.27</v>
      </c>
      <c r="K384" s="34">
        <f>J384/13.12</f>
        <v>2.1547256097561</v>
      </c>
      <c r="L384" s="46"/>
    </row>
    <row r="385" spans="1:12">
      <c r="A385" s="42" t="s">
        <v>118</v>
      </c>
      <c r="B385" s="42">
        <v>7628</v>
      </c>
      <c r="C385" s="42" t="s">
        <v>69</v>
      </c>
      <c r="D385" s="42"/>
      <c r="E385" s="42"/>
      <c r="F385" s="42">
        <v>150</v>
      </c>
      <c r="G385" s="42" t="s">
        <v>70</v>
      </c>
      <c r="H385" s="35" t="s">
        <v>109</v>
      </c>
      <c r="I385" s="62">
        <f t="shared" si="138"/>
        <v>4364.25</v>
      </c>
      <c r="J385" s="34">
        <v>29.095</v>
      </c>
      <c r="K385" s="34">
        <f t="shared" ref="K384:K398" si="139">J385/13.12</f>
        <v>2.21760670731707</v>
      </c>
      <c r="L385" s="46"/>
    </row>
    <row r="386" spans="1:12">
      <c r="A386" s="42" t="s">
        <v>118</v>
      </c>
      <c r="B386" s="42">
        <v>7628</v>
      </c>
      <c r="C386" s="42" t="s">
        <v>69</v>
      </c>
      <c r="D386" s="42"/>
      <c r="E386" s="42"/>
      <c r="F386" s="42">
        <v>150</v>
      </c>
      <c r="G386" s="42" t="s">
        <v>70</v>
      </c>
      <c r="H386" s="35" t="s">
        <v>73</v>
      </c>
      <c r="I386" s="62">
        <f t="shared" si="138"/>
        <v>4491.3</v>
      </c>
      <c r="J386" s="34">
        <v>29.942</v>
      </c>
      <c r="K386" s="34">
        <f t="shared" si="139"/>
        <v>2.28216463414634</v>
      </c>
      <c r="L386" s="46"/>
    </row>
    <row r="387" spans="1:12">
      <c r="A387" s="42" t="s">
        <v>118</v>
      </c>
      <c r="B387" s="42">
        <v>7628</v>
      </c>
      <c r="C387" s="42" t="s">
        <v>69</v>
      </c>
      <c r="D387" s="42"/>
      <c r="E387" s="42"/>
      <c r="F387" s="42">
        <v>150</v>
      </c>
      <c r="G387" s="42" t="s">
        <v>70</v>
      </c>
      <c r="H387" s="35" t="s">
        <v>75</v>
      </c>
      <c r="I387" s="62">
        <f t="shared" si="138"/>
        <v>4491.3</v>
      </c>
      <c r="J387" s="34">
        <v>29.942</v>
      </c>
      <c r="K387" s="34">
        <f t="shared" si="139"/>
        <v>2.28216463414634</v>
      </c>
      <c r="L387" s="46"/>
    </row>
    <row r="388" spans="1:12">
      <c r="A388" s="42" t="s">
        <v>118</v>
      </c>
      <c r="B388" s="42">
        <v>7628</v>
      </c>
      <c r="C388" s="42" t="s">
        <v>69</v>
      </c>
      <c r="D388" s="42"/>
      <c r="E388" s="42"/>
      <c r="F388" s="42">
        <v>150</v>
      </c>
      <c r="G388" s="42" t="s">
        <v>70</v>
      </c>
      <c r="H388" s="35" t="s">
        <v>76</v>
      </c>
      <c r="I388" s="62">
        <f t="shared" si="138"/>
        <v>4615.05</v>
      </c>
      <c r="J388" s="34">
        <v>30.767</v>
      </c>
      <c r="K388" s="34">
        <f t="shared" si="139"/>
        <v>2.34504573170732</v>
      </c>
      <c r="L388" s="46"/>
    </row>
    <row r="389" spans="1:12">
      <c r="A389" s="42" t="s">
        <v>118</v>
      </c>
      <c r="B389" s="42">
        <v>2116</v>
      </c>
      <c r="C389" s="42" t="s">
        <v>77</v>
      </c>
      <c r="D389" s="42"/>
      <c r="E389" s="42"/>
      <c r="F389" s="42">
        <v>300</v>
      </c>
      <c r="G389" s="42" t="s">
        <v>70</v>
      </c>
      <c r="H389" s="35" t="s">
        <v>76</v>
      </c>
      <c r="I389" s="62">
        <f t="shared" si="138"/>
        <v>8134.5</v>
      </c>
      <c r="J389" s="34">
        <v>27.115</v>
      </c>
      <c r="K389" s="34">
        <f t="shared" si="139"/>
        <v>2.06669207317073</v>
      </c>
      <c r="L389" s="46"/>
    </row>
    <row r="390" spans="1:12">
      <c r="A390" s="42" t="s">
        <v>118</v>
      </c>
      <c r="B390" s="42">
        <v>2116</v>
      </c>
      <c r="C390" s="42" t="s">
        <v>77</v>
      </c>
      <c r="D390" s="42"/>
      <c r="E390" s="42"/>
      <c r="F390" s="42">
        <v>300</v>
      </c>
      <c r="G390" s="42" t="s">
        <v>70</v>
      </c>
      <c r="H390" s="35" t="s">
        <v>119</v>
      </c>
      <c r="I390" s="62">
        <f t="shared" si="138"/>
        <v>8385.3</v>
      </c>
      <c r="J390" s="34">
        <v>27.951</v>
      </c>
      <c r="K390" s="34">
        <f t="shared" si="139"/>
        <v>2.13041158536585</v>
      </c>
      <c r="L390" s="46"/>
    </row>
    <row r="391" spans="1:12">
      <c r="A391" s="42" t="s">
        <v>118</v>
      </c>
      <c r="B391" s="42">
        <v>2116</v>
      </c>
      <c r="C391" s="42" t="s">
        <v>77</v>
      </c>
      <c r="D391" s="42"/>
      <c r="E391" s="42"/>
      <c r="F391" s="42">
        <v>300</v>
      </c>
      <c r="G391" s="42" t="s">
        <v>70</v>
      </c>
      <c r="H391" s="35" t="s">
        <v>81</v>
      </c>
      <c r="I391" s="62">
        <f t="shared" si="138"/>
        <v>8385.3</v>
      </c>
      <c r="J391" s="34">
        <v>27.951</v>
      </c>
      <c r="K391" s="34">
        <f t="shared" si="139"/>
        <v>2.13041158536585</v>
      </c>
      <c r="L391" s="46"/>
    </row>
    <row r="392" spans="1:12">
      <c r="A392" s="42" t="s">
        <v>118</v>
      </c>
      <c r="B392" s="42">
        <v>2116</v>
      </c>
      <c r="C392" s="42" t="s">
        <v>77</v>
      </c>
      <c r="D392" s="42"/>
      <c r="E392" s="42"/>
      <c r="F392" s="42">
        <v>300</v>
      </c>
      <c r="G392" s="42" t="s">
        <v>70</v>
      </c>
      <c r="H392" s="35" t="s">
        <v>82</v>
      </c>
      <c r="I392" s="62">
        <f t="shared" si="138"/>
        <v>8642.7</v>
      </c>
      <c r="J392" s="34">
        <v>28.809</v>
      </c>
      <c r="K392" s="34">
        <f t="shared" si="139"/>
        <v>2.19580792682927</v>
      </c>
      <c r="L392" s="46"/>
    </row>
    <row r="393" spans="1:12">
      <c r="A393" s="42" t="s">
        <v>118</v>
      </c>
      <c r="B393" s="42">
        <v>2116</v>
      </c>
      <c r="C393" s="42" t="s">
        <v>77</v>
      </c>
      <c r="D393" s="42"/>
      <c r="E393" s="42"/>
      <c r="F393" s="42">
        <v>300</v>
      </c>
      <c r="G393" s="42" t="s">
        <v>70</v>
      </c>
      <c r="H393" s="35" t="s">
        <v>83</v>
      </c>
      <c r="I393" s="62">
        <f t="shared" si="138"/>
        <v>8642.7</v>
      </c>
      <c r="J393" s="34">
        <v>28.809</v>
      </c>
      <c r="K393" s="34">
        <f t="shared" si="139"/>
        <v>2.19580792682927</v>
      </c>
      <c r="L393" s="46"/>
    </row>
    <row r="394" spans="1:12">
      <c r="A394" s="42" t="s">
        <v>118</v>
      </c>
      <c r="B394" s="42">
        <v>1080</v>
      </c>
      <c r="C394" s="42" t="s">
        <v>77</v>
      </c>
      <c r="D394" s="42"/>
      <c r="E394" s="42"/>
      <c r="F394" s="42">
        <v>300</v>
      </c>
      <c r="G394" s="42" t="s">
        <v>70</v>
      </c>
      <c r="H394" s="35" t="s">
        <v>84</v>
      </c>
      <c r="I394" s="62">
        <f t="shared" si="138"/>
        <v>8028.9</v>
      </c>
      <c r="J394" s="34">
        <v>26.763</v>
      </c>
      <c r="K394" s="34">
        <f t="shared" si="139"/>
        <v>2.03986280487805</v>
      </c>
      <c r="L394" s="46"/>
    </row>
    <row r="395" spans="1:12">
      <c r="A395" s="42" t="s">
        <v>118</v>
      </c>
      <c r="B395" s="42">
        <v>1080</v>
      </c>
      <c r="C395" s="42" t="s">
        <v>77</v>
      </c>
      <c r="D395" s="42"/>
      <c r="E395" s="42"/>
      <c r="F395" s="42">
        <v>300</v>
      </c>
      <c r="G395" s="42" t="s">
        <v>70</v>
      </c>
      <c r="H395" s="35" t="s">
        <v>85</v>
      </c>
      <c r="I395" s="62">
        <f t="shared" si="138"/>
        <v>8286.3</v>
      </c>
      <c r="J395" s="34">
        <v>27.621</v>
      </c>
      <c r="K395" s="34">
        <f t="shared" si="139"/>
        <v>2.10525914634146</v>
      </c>
      <c r="L395" s="46"/>
    </row>
    <row r="396" spans="1:12">
      <c r="A396" s="42" t="s">
        <v>118</v>
      </c>
      <c r="B396" s="42">
        <v>1080</v>
      </c>
      <c r="C396" s="42" t="s">
        <v>77</v>
      </c>
      <c r="D396" s="42"/>
      <c r="E396" s="42"/>
      <c r="F396" s="42">
        <v>300</v>
      </c>
      <c r="G396" s="42" t="s">
        <v>70</v>
      </c>
      <c r="H396" s="35" t="s">
        <v>86</v>
      </c>
      <c r="I396" s="62">
        <f t="shared" si="138"/>
        <v>8547</v>
      </c>
      <c r="J396" s="34">
        <v>28.49</v>
      </c>
      <c r="K396" s="34">
        <f t="shared" si="139"/>
        <v>2.17149390243902</v>
      </c>
      <c r="L396" s="46"/>
    </row>
    <row r="397" spans="1:12">
      <c r="A397" s="42" t="s">
        <v>118</v>
      </c>
      <c r="B397" s="42">
        <v>1080</v>
      </c>
      <c r="C397" s="42" t="s">
        <v>77</v>
      </c>
      <c r="D397" s="42"/>
      <c r="E397" s="42"/>
      <c r="F397" s="42">
        <v>300</v>
      </c>
      <c r="G397" s="42" t="s">
        <v>70</v>
      </c>
      <c r="H397" s="35" t="s">
        <v>87</v>
      </c>
      <c r="I397" s="62">
        <f t="shared" si="138"/>
        <v>8804.4</v>
      </c>
      <c r="J397" s="34">
        <v>29.348</v>
      </c>
      <c r="K397" s="34">
        <f t="shared" si="139"/>
        <v>2.23689024390244</v>
      </c>
      <c r="L397" s="46"/>
    </row>
    <row r="398" spans="1:12">
      <c r="A398" s="42" t="s">
        <v>118</v>
      </c>
      <c r="B398" s="42">
        <v>1080</v>
      </c>
      <c r="C398" s="42" t="s">
        <v>77</v>
      </c>
      <c r="D398" s="42"/>
      <c r="E398" s="42"/>
      <c r="F398" s="42">
        <v>300</v>
      </c>
      <c r="G398" s="42" t="s">
        <v>70</v>
      </c>
      <c r="H398" s="35" t="s">
        <v>88</v>
      </c>
      <c r="I398" s="62">
        <f t="shared" si="138"/>
        <v>8804.4</v>
      </c>
      <c r="J398" s="34">
        <v>29.348</v>
      </c>
      <c r="K398" s="34">
        <f t="shared" si="139"/>
        <v>2.23689024390244</v>
      </c>
      <c r="L398" s="46"/>
    </row>
    <row r="399" ht="15" spans="1:12">
      <c r="A399" s="72" t="s">
        <v>120</v>
      </c>
      <c r="B399" s="15"/>
      <c r="C399" s="15"/>
      <c r="D399" s="73"/>
      <c r="E399" s="73"/>
      <c r="F399" s="73"/>
      <c r="G399" s="73"/>
      <c r="H399" s="73"/>
      <c r="I399" s="15"/>
      <c r="J399" s="38"/>
      <c r="K399" s="15"/>
      <c r="L399" s="46"/>
    </row>
    <row r="400" spans="1:12">
      <c r="A400" s="60"/>
      <c r="B400" s="74"/>
      <c r="C400" s="38"/>
      <c r="D400" s="38"/>
      <c r="E400" s="75"/>
      <c r="F400" s="76"/>
      <c r="G400" s="77"/>
      <c r="H400" s="76"/>
      <c r="I400" s="76"/>
      <c r="J400" s="76"/>
      <c r="K400" s="75"/>
    </row>
    <row r="401" spans="1:11">
      <c r="A401" s="60"/>
      <c r="B401" s="74"/>
      <c r="C401" s="38"/>
      <c r="D401" s="38"/>
      <c r="E401" s="75"/>
      <c r="F401" s="76"/>
      <c r="G401" s="77"/>
      <c r="H401" s="76"/>
      <c r="I401" s="76"/>
      <c r="J401" s="76"/>
      <c r="K401" s="75"/>
    </row>
    <row r="402" spans="1:11">
      <c r="A402" s="60"/>
      <c r="B402" s="74"/>
      <c r="C402" s="38"/>
      <c r="D402" s="38"/>
      <c r="E402" s="75"/>
      <c r="F402" s="76"/>
      <c r="G402" s="77"/>
      <c r="H402" s="76"/>
      <c r="I402" s="76"/>
      <c r="J402" s="76"/>
      <c r="K402" s="75"/>
    </row>
    <row r="403" spans="1:11">
      <c r="A403" s="60"/>
      <c r="B403" s="74"/>
      <c r="C403" s="38"/>
      <c r="D403" s="38"/>
      <c r="E403" s="75"/>
      <c r="F403" s="76"/>
      <c r="G403" s="77"/>
      <c r="H403" s="76"/>
      <c r="I403" s="76"/>
      <c r="J403" s="76"/>
      <c r="K403" s="75"/>
    </row>
    <row r="404" spans="1:11">
      <c r="A404" s="60"/>
      <c r="B404" s="74"/>
      <c r="C404" s="38"/>
      <c r="D404" s="38"/>
      <c r="E404" s="75"/>
      <c r="F404" s="76"/>
      <c r="G404" s="77"/>
      <c r="H404" s="76"/>
      <c r="I404" s="76"/>
      <c r="J404" s="76"/>
      <c r="K404" s="75"/>
    </row>
    <row r="405" ht="15" spans="1:11">
      <c r="B405" s="73"/>
      <c r="C405" s="73"/>
      <c r="D405" s="15"/>
      <c r="E405" s="15"/>
      <c r="F405" s="15"/>
      <c r="G405" s="15"/>
      <c r="H405" s="15"/>
      <c r="I405" s="15"/>
      <c r="J405" s="15"/>
      <c r="K405" s="15"/>
    </row>
  </sheetData>
  <mergeCells count="60">
    <mergeCell ref="A1:K1"/>
    <mergeCell ref="A2:J2"/>
    <mergeCell ref="A3:J3"/>
    <mergeCell ref="A9:K9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297:E297"/>
    <mergeCell ref="C298:E298"/>
    <mergeCell ref="C299:E299"/>
    <mergeCell ref="C300:E300"/>
    <mergeCell ref="C301:E301"/>
    <mergeCell ref="C302:E302"/>
    <mergeCell ref="C303:E303"/>
    <mergeCell ref="C304:E304"/>
    <mergeCell ref="C305:E305"/>
    <mergeCell ref="C306:E306"/>
    <mergeCell ref="C307:E307"/>
    <mergeCell ref="C308:E308"/>
    <mergeCell ref="C309:E309"/>
    <mergeCell ref="C310:E310"/>
    <mergeCell ref="C311:E311"/>
    <mergeCell ref="C312:E312"/>
    <mergeCell ref="C313:E313"/>
    <mergeCell ref="C314:E314"/>
    <mergeCell ref="A316:K316"/>
    <mergeCell ref="C383:E383"/>
    <mergeCell ref="C384:E384"/>
    <mergeCell ref="C385:E385"/>
    <mergeCell ref="C386:E386"/>
    <mergeCell ref="C387:E387"/>
    <mergeCell ref="C388:E388"/>
    <mergeCell ref="C389:E389"/>
    <mergeCell ref="C390:E390"/>
    <mergeCell ref="C391:E391"/>
    <mergeCell ref="C392:E392"/>
    <mergeCell ref="C393:E393"/>
    <mergeCell ref="C394:E394"/>
    <mergeCell ref="C395:E395"/>
    <mergeCell ref="C396:E396"/>
    <mergeCell ref="C397:E397"/>
    <mergeCell ref="C398:E398"/>
  </mergeCells>
  <pageMargins left="0.7" right="0.7" top="0.75" bottom="0.75" header="0.3" footer="0.3"/>
  <pageSetup paperSize="9" scale="75" orientation="portrait"/>
  <headerFooter/>
  <rowBreaks count="2" manualBreakCount="2">
    <brk id="330" max="10" man="1"/>
    <brk id="399" max="10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吴成令</dc:creator>
  <cp:lastModifiedBy>思念是一种病</cp:lastModifiedBy>
  <dcterms:created xsi:type="dcterms:W3CDTF">2023-05-12T11:15:00Z</dcterms:created>
  <dcterms:modified xsi:type="dcterms:W3CDTF">2026-06-01T03:24:29Z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AD20CCD93111483D8963911644339D0B_13</vt:lpwstr>
  </property>
  <property fmtid="{D5CDD505-2E9C-101B-9397-08002B2CF9AE}" pid="4" name="CalculationRule">
    <vt:i4>0</vt:i4>
  </property>
</Properties>
</file>