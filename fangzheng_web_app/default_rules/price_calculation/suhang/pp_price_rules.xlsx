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Sheet1!$A$2:$EQ$42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<sst xmlns="http://schemas.openxmlformats.org/spreadsheetml/2006/main" count="119" uniqueCount="54">
  <si>
    <t>物料名称</t>
  </si>
  <si>
    <t>物料规格</t>
  </si>
  <si>
    <t>单位</t>
  </si>
  <si>
    <t>卷/米</t>
  </si>
  <si>
    <t>旧单价</t>
  </si>
  <si>
    <t>旧单价
（卷/元）</t>
  </si>
  <si>
    <t>新单价
（米/元）</t>
  </si>
  <si>
    <t>新单价
（卷/元）</t>
  </si>
  <si>
    <t>涨幅</t>
  </si>
  <si>
    <t>中TG150 1080 62%</t>
  </si>
  <si>
    <t>1260MM*300MA级(TG&gt;150)</t>
  </si>
  <si>
    <t>卷</t>
  </si>
  <si>
    <t>中TG150 1080 65%</t>
  </si>
  <si>
    <t>中TG150 1080 68%</t>
  </si>
  <si>
    <t>中TG150 1506 48%</t>
  </si>
  <si>
    <t>1260MM*150MA级(TG&gt;150)</t>
  </si>
  <si>
    <t>中TG150 2113 56%</t>
  </si>
  <si>
    <t>中TG150 2113 58%</t>
  </si>
  <si>
    <t>中TG150 3313 58%</t>
  </si>
  <si>
    <t>1260MM*250M (中TG150)A级</t>
  </si>
  <si>
    <t>中TG150 2116 53%</t>
  </si>
  <si>
    <t>1260MM*300M(中TG150)A级</t>
  </si>
  <si>
    <t>中TG150 2116 55%</t>
  </si>
  <si>
    <t>中TG150 7628 43%</t>
  </si>
  <si>
    <t>中TG150 7628 45%</t>
  </si>
  <si>
    <t>中TG150 7628 46%</t>
  </si>
  <si>
    <t>中TG150 7628 48%</t>
  </si>
  <si>
    <t>高TG170 1080 62%</t>
  </si>
  <si>
    <t>1260MM*300M(高TG170)A级</t>
  </si>
  <si>
    <t>高TG170 1080 65%</t>
  </si>
  <si>
    <t>高TG170 1506 48%</t>
  </si>
  <si>
    <t>1260MM*150M(高TG170)A级</t>
  </si>
  <si>
    <t>高TG170 2113 56%</t>
  </si>
  <si>
    <t>高TG170 2113 58%</t>
  </si>
  <si>
    <t>高TG170 2116 53%</t>
  </si>
  <si>
    <t>高TG170 2116 55%</t>
  </si>
  <si>
    <t>高TG170 7628 43%</t>
  </si>
  <si>
    <t>高TG170 7628 46%</t>
  </si>
  <si>
    <t>高TG170 7628 48%</t>
  </si>
  <si>
    <t>无卤中TG150 2113 56%</t>
  </si>
  <si>
    <t>无卤中TG150 2113 58%</t>
  </si>
  <si>
    <t>无卤中TG150 2116 55%</t>
  </si>
  <si>
    <t>无卤中TG150 1506 48%</t>
  </si>
  <si>
    <t>1260MM*150M(中TG150)A级</t>
  </si>
  <si>
    <t>无卤中TG150 1080 62%</t>
  </si>
  <si>
    <t>无卤中TG150 1080 65%</t>
  </si>
  <si>
    <t>无卤中TG150 1080 68%</t>
  </si>
  <si>
    <t>无卤中TG150 7628 48%</t>
  </si>
  <si>
    <t>无卤高TG170 1080 62%</t>
  </si>
  <si>
    <t>无卤高TG170 1080 65%</t>
  </si>
  <si>
    <t>无卤高TG170 2113 56%</t>
  </si>
  <si>
    <t>无卤高TG170 2113 58%</t>
  </si>
  <si>
    <t>无卤高TG170 2116 55%</t>
  </si>
  <si>
    <t>无卤高TG170 7628 48%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</si>
</sst>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00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0"/>
      <name val="宋体"/>
      <charset val="134"/>
      <scheme val="minor"/>
    </font>
    <font>
      <b/>
      <sz val="10"/>
      <name val="宋体"/>
      <charset val="134"/>
      <scheme val="minor"/>
    </font>
    <font>
      <b/>
      <sz val="9"/>
      <name val="宋体"/>
      <charset val="134"/>
      <scheme val="minor"/>
    </font>
    <font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6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 applyBorder="0">
      <alignment vertical="center"/>
    </xf>
    <xf numFmtId="0" fontId="0" fillId="0" borderId="0" applyBorder="0">
      <alignment vertical="center"/>
    </xf>
    <xf numFmtId="0" fontId="0" fillId="0" borderId="0">
      <alignment vertical="center"/>
    </xf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1" fillId="0" borderId="0" xfId="0" applyFont="1"/>
    <xf numFmtId="176" fontId="2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/>
    </xf>
    <xf numFmtId="176" fontId="1" fillId="0" borderId="0" xfId="0" applyNumberFormat="1" applyFont="1"/>
    <xf numFmtId="177" fontId="1" fillId="0" borderId="0" xfId="0" applyNumberFormat="1" applyFont="1"/>
    <xf numFmtId="178" fontId="1" fillId="0" borderId="0" xfId="0" applyNumberFormat="1" applyFont="1" applyAlignment="1">
      <alignment horizontal="center"/>
    </xf>
    <xf numFmtId="0" fontId="1" fillId="0" borderId="0" xfId="52" applyFont="1">
      <alignment vertical="center"/>
    </xf>
    <xf numFmtId="176" fontId="2" fillId="0" borderId="0" xfId="52" applyNumberFormat="1" applyFont="1" applyAlignment="1">
      <alignment horizontal="center" vertical="center"/>
    </xf>
    <xf numFmtId="177" fontId="1" fillId="0" borderId="0" xfId="52" applyNumberFormat="1" applyFont="1" applyAlignment="1">
      <alignment horizontal="center" vertical="center"/>
    </xf>
    <xf numFmtId="176" fontId="1" fillId="0" borderId="0" xfId="52" applyNumberFormat="1" applyFont="1">
      <alignment vertical="center"/>
    </xf>
    <xf numFmtId="177" fontId="1" fillId="0" borderId="0" xfId="52" applyNumberFormat="1" applyFont="1">
      <alignment vertical="center"/>
    </xf>
    <xf numFmtId="178" fontId="1" fillId="0" borderId="0" xfId="52" applyNumberFormat="1" applyFont="1" applyAlignment="1">
      <alignment horizontal="center" vertical="center"/>
    </xf>
    <xf numFmtId="0" fontId="3" fillId="0" borderId="1" xfId="52" applyFont="1" applyFill="1" applyBorder="1" applyAlignment="1">
      <alignment horizontal="center" vertical="center" wrapText="1"/>
    </xf>
    <xf numFmtId="0" fontId="3" fillId="0" borderId="1" xfId="52" applyFont="1" applyFill="1" applyBorder="1" applyAlignment="1">
      <alignment horizontal="left" vertical="center" wrapText="1"/>
    </xf>
    <xf numFmtId="176" fontId="4" fillId="0" borderId="1" xfId="52" applyNumberFormat="1" applyFont="1" applyFill="1" applyBorder="1" applyAlignment="1">
      <alignment horizontal="center" vertical="center" wrapText="1"/>
    </xf>
    <xf numFmtId="177" fontId="3" fillId="0" borderId="1" xfId="52" applyNumberFormat="1" applyFont="1" applyFill="1" applyBorder="1" applyAlignment="1">
      <alignment horizontal="center" vertical="center" wrapText="1"/>
    </xf>
    <xf numFmtId="176" fontId="3" fillId="0" borderId="1" xfId="52" applyNumberFormat="1" applyFont="1" applyFill="1" applyBorder="1" applyAlignment="1">
      <alignment horizontal="center" vertical="center" wrapText="1"/>
    </xf>
    <xf numFmtId="177" fontId="3" fillId="0" borderId="2" xfId="52" applyNumberFormat="1" applyFont="1" applyFill="1" applyBorder="1" applyAlignment="1">
      <alignment horizontal="center" vertical="center" wrapText="1"/>
    </xf>
    <xf numFmtId="10" fontId="3" fillId="0" borderId="1" xfId="52" applyNumberFormat="1" applyFont="1" applyFill="1" applyBorder="1" applyAlignment="1">
      <alignment horizontal="center" vertical="center" wrapText="1"/>
    </xf>
    <xf numFmtId="178" fontId="3" fillId="0" borderId="0" xfId="52" applyNumberFormat="1" applyFont="1" applyFill="1" applyAlignment="1">
      <alignment horizontal="center" vertical="center" wrapText="1"/>
    </xf>
    <xf numFmtId="0" fontId="3" fillId="0" borderId="0" xfId="52" applyFont="1" applyFill="1" applyAlignment="1">
      <alignment horizontal="center" vertical="center" wrapText="1"/>
    </xf>
    <xf numFmtId="0" fontId="3" fillId="0" borderId="1" xfId="52" applyFont="1" applyFill="1" applyBorder="1" applyAlignment="1">
      <alignment horizontal="center" vertical="center"/>
    </xf>
    <xf numFmtId="0" fontId="3" fillId="0" borderId="1" xfId="52" applyFont="1" applyFill="1" applyBorder="1">
      <alignment vertical="center"/>
    </xf>
    <xf numFmtId="0" fontId="3" fillId="0" borderId="1" xfId="52" applyFont="1" applyFill="1" applyBorder="1" applyAlignment="1">
      <alignment horizontal="left" vertical="center"/>
    </xf>
    <xf numFmtId="176" fontId="4" fillId="0" borderId="1" xfId="52" applyNumberFormat="1" applyFont="1" applyFill="1" applyBorder="1" applyAlignment="1">
      <alignment horizontal="center" vertical="center"/>
    </xf>
    <xf numFmtId="0" fontId="3" fillId="0" borderId="0" xfId="52" applyFont="1" applyFill="1">
      <alignment vertical="center"/>
    </xf>
    <xf numFmtId="0" fontId="3" fillId="0" borderId="0" xfId="52" applyFont="1" applyFill="1" applyBorder="1" applyAlignment="1">
      <alignment horizontal="center" vertical="center"/>
    </xf>
    <xf numFmtId="176" fontId="4" fillId="0" borderId="0" xfId="52" applyNumberFormat="1" applyFont="1" applyFill="1" applyBorder="1" applyAlignment="1">
      <alignment horizontal="center" vertical="center"/>
    </xf>
    <xf numFmtId="10" fontId="3" fillId="0" borderId="1" xfId="52" applyNumberFormat="1" applyFont="1" applyFill="1" applyBorder="1" applyAlignment="1">
      <alignment horizontal="center" vertical="center"/>
    </xf>
    <xf numFmtId="176" fontId="3" fillId="0" borderId="1" xfId="52" applyNumberFormat="1" applyFont="1" applyFill="1" applyBorder="1" applyAlignment="1">
      <alignment horizontal="center" vertical="center"/>
    </xf>
    <xf numFmtId="0" fontId="3" fillId="0" borderId="0" xfId="52" applyFont="1" applyFill="1" applyBorder="1">
      <alignment vertical="center"/>
    </xf>
    <xf numFmtId="178" fontId="3" fillId="0" borderId="0" xfId="52" applyNumberFormat="1" applyFont="1" applyFill="1" applyAlignment="1">
      <alignment horizontal="center" vertical="center"/>
    </xf>
    <xf numFmtId="176" fontId="5" fillId="0" borderId="0" xfId="52" applyNumberFormat="1" applyFont="1" applyFill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/>
    </xf>
    <xf numFmtId="176" fontId="4" fillId="0" borderId="0" xfId="0" applyNumberFormat="1" applyFont="1" applyBorder="1" applyAlignment="1">
      <alignment horizontal="center"/>
    </xf>
    <xf numFmtId="10" fontId="1" fillId="0" borderId="1" xfId="0" applyNumberFormat="1" applyFont="1" applyBorder="1" applyAlignment="1">
      <alignment horizontal="center"/>
    </xf>
    <xf numFmtId="0" fontId="3" fillId="0" borderId="1" xfId="52" applyFont="1" applyFill="1" applyBorder="1" applyAlignment="1">
      <alignment vertical="center"/>
    </xf>
    <xf numFmtId="0" fontId="1" fillId="0" borderId="0" xfId="52" applyFont="1" applyBorder="1">
      <alignment vertical="center"/>
    </xf>
    <xf numFmtId="0" fontId="6" fillId="0" borderId="0" xfId="52" applyFont="1" applyFill="1" applyBorder="1" applyAlignment="1">
      <alignment horizontal="center" vertical="center"/>
    </xf>
    <xf numFmtId="0" fontId="6" fillId="0" borderId="0" xfId="52" applyFont="1" applyFill="1" applyAlignment="1">
      <alignment horizontal="center" vertical="center"/>
    </xf>
    <xf numFmtId="176" fontId="5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176" fontId="6" fillId="0" borderId="0" xfId="0" applyNumberFormat="1" applyFont="1"/>
    <xf numFmtId="177" fontId="6" fillId="0" borderId="0" xfId="0" applyNumberFormat="1" applyFont="1"/>
    <xf numFmtId="0" fontId="6" fillId="0" borderId="0" xfId="0" applyFont="1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5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Q45"/>
  <sheetViews>
    <sheetView tabSelected="1" workbookViewId="0">
      <selection activeCell="F1" sqref="F$1:F$1048576"/>
    </sheetView>
  </sheetViews>
  <sheetFormatPr defaultColWidth="9" defaultRowHeight="14.4"/>
  <cols>
    <col min="1" max="1" width="22.6296296296296" style="4" customWidth="1"/>
    <col min="2" max="2" width="27.4444444444444" style="4" customWidth="1"/>
    <col min="3" max="3" width="5.37962962962963" style="4" customWidth="1"/>
    <col min="4" max="4" width="5.66666666666667" style="4" customWidth="1"/>
    <col min="5" max="5" width="10.3796296296296" style="5" customWidth="1"/>
    <col min="6" max="6" width="11.6296296296296" style="6" customWidth="1"/>
    <col min="7" max="7" width="10" style="7" customWidth="1"/>
    <col min="8" max="8" width="10.7777777777778" style="8"/>
    <col min="9" max="9" width="9" style="4"/>
    <col min="10" max="10" width="12.8888888888889" style="9"/>
    <col min="11" max="16384" width="9" style="4"/>
  </cols>
  <sheetData>
    <row r="1" spans="1:147">
      <c r="A1" s="10"/>
      <c r="B1" s="10"/>
      <c r="C1" s="10"/>
      <c r="D1" s="10"/>
      <c r="E1" s="11"/>
      <c r="F1" s="12"/>
      <c r="G1" s="13"/>
      <c r="H1" s="14"/>
      <c r="I1" s="10"/>
      <c r="J1" s="15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  <c r="BT1" s="10"/>
      <c r="BU1" s="10"/>
      <c r="BV1" s="10"/>
      <c r="BW1" s="10"/>
      <c r="BX1" s="10"/>
      <c r="BY1" s="10"/>
      <c r="BZ1" s="10"/>
      <c r="CA1" s="10"/>
      <c r="CB1" s="10"/>
      <c r="CC1" s="10"/>
      <c r="CD1" s="10"/>
      <c r="CE1" s="10"/>
      <c r="CF1" s="10"/>
      <c r="CG1" s="10"/>
      <c r="CH1" s="10"/>
      <c r="CI1" s="10"/>
      <c r="CJ1" s="10"/>
      <c r="CK1" s="10"/>
      <c r="CL1" s="10"/>
      <c r="CM1" s="10"/>
      <c r="CN1" s="10"/>
      <c r="CO1" s="10"/>
      <c r="CP1" s="10"/>
      <c r="CQ1" s="10"/>
      <c r="CR1" s="10"/>
      <c r="CS1" s="10"/>
      <c r="CT1" s="10"/>
      <c r="CU1" s="10"/>
      <c r="CV1" s="10"/>
      <c r="CW1" s="10"/>
      <c r="CX1" s="10"/>
      <c r="CY1" s="10"/>
      <c r="CZ1" s="10"/>
      <c r="DA1" s="10"/>
      <c r="DB1" s="10"/>
      <c r="DC1" s="10"/>
      <c r="DD1" s="10"/>
      <c r="DE1" s="10"/>
      <c r="DF1" s="10"/>
      <c r="DG1" s="10"/>
      <c r="DH1" s="10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</row>
    <row r="2" ht="24" spans="1:147">
      <c r="A2" s="16" t="s">
        <v>0</v>
      </c>
      <c r="B2" s="17" t="s">
        <v>1</v>
      </c>
      <c r="C2" s="16" t="s">
        <v>2</v>
      </c>
      <c r="D2" s="16" t="s">
        <v>3</v>
      </c>
      <c r="E2" s="18" t="s">
        <v>4</v>
      </c>
      <c r="F2" s="19" t="s">
        <v>5</v>
      </c>
      <c r="G2" s="20" t="s">
        <v>6</v>
      </c>
      <c r="H2" s="21" t="s">
        <v>7</v>
      </c>
      <c r="I2" s="22" t="s">
        <v>8</v>
      </c>
      <c r="J2" s="23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</row>
    <row r="3" ht="14" customHeight="1" spans="1:147">
      <c r="A3" s="17" t="s">
        <v>9</v>
      </c>
      <c r="B3" s="17" t="s">
        <v>10</v>
      </c>
      <c r="C3" s="25" t="s">
        <v>11</v>
      </c>
      <c r="D3" s="25">
        <v>300</v>
      </c>
      <c r="E3" s="18"/>
      <c r="F3" s="19">
        <f>E3*D3</f>
        <v>0</v>
      </c>
      <c r="G3" s="20">
        <v>33.2</v>
      </c>
      <c r="H3" s="21">
        <f>G3*300</f>
        <v>9960</v>
      </c>
      <c r="I3" s="22"/>
      <c r="J3" s="23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</row>
    <row r="4" ht="14" customHeight="1" spans="1:147">
      <c r="A4" s="26" t="s">
        <v>12</v>
      </c>
      <c r="B4" s="27" t="s">
        <v>10</v>
      </c>
      <c r="C4" s="25" t="s">
        <v>11</v>
      </c>
      <c r="D4" s="25">
        <v>300</v>
      </c>
      <c r="E4" s="28">
        <v>29.26</v>
      </c>
      <c r="F4" s="19">
        <f>E4*D4</f>
        <v>8778</v>
      </c>
      <c r="G4" s="20">
        <v>33.65</v>
      </c>
      <c r="H4" s="21">
        <f>G4*300</f>
        <v>10095</v>
      </c>
      <c r="I4" s="22"/>
      <c r="J4" s="23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29"/>
      <c r="EN4" s="29"/>
      <c r="EO4" s="29"/>
      <c r="EP4" s="29"/>
      <c r="EQ4" s="29"/>
    </row>
    <row r="5" ht="14" customHeight="1" spans="1:147">
      <c r="A5" s="26" t="s">
        <v>13</v>
      </c>
      <c r="B5" s="17" t="s">
        <v>10</v>
      </c>
      <c r="C5" s="25" t="s">
        <v>11</v>
      </c>
      <c r="D5" s="25">
        <v>300</v>
      </c>
      <c r="E5" s="28">
        <v>30.14</v>
      </c>
      <c r="F5" s="19">
        <f>E5*D5</f>
        <v>9042</v>
      </c>
      <c r="G5" s="20">
        <v>34.65</v>
      </c>
      <c r="H5" s="21">
        <f>G5*300</f>
        <v>10395</v>
      </c>
      <c r="I5" s="22"/>
      <c r="J5" s="23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</row>
    <row r="6" ht="14" customHeight="1" spans="1:147">
      <c r="A6" s="26" t="s">
        <v>14</v>
      </c>
      <c r="B6" s="26" t="s">
        <v>15</v>
      </c>
      <c r="C6" s="25" t="s">
        <v>11</v>
      </c>
      <c r="D6" s="25">
        <v>150</v>
      </c>
      <c r="E6" s="28">
        <v>33.6</v>
      </c>
      <c r="F6" s="19">
        <f>E6*D6</f>
        <v>5040</v>
      </c>
      <c r="G6" s="20">
        <v>38.64</v>
      </c>
      <c r="H6" s="21">
        <f>G6*150</f>
        <v>5796</v>
      </c>
      <c r="I6" s="22"/>
      <c r="J6" s="23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</row>
    <row r="7" ht="14" customHeight="1" spans="1:147">
      <c r="A7" s="26" t="s">
        <v>16</v>
      </c>
      <c r="B7" s="26" t="s">
        <v>10</v>
      </c>
      <c r="C7" s="25"/>
      <c r="D7" s="30"/>
      <c r="E7" s="31"/>
      <c r="F7" s="19"/>
      <c r="G7" s="20">
        <v>32</v>
      </c>
      <c r="H7" s="21">
        <f>G7*300</f>
        <v>9600</v>
      </c>
      <c r="I7" s="32"/>
      <c r="J7" s="23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</row>
    <row r="8" ht="14" customHeight="1" spans="1:147">
      <c r="A8" s="26" t="s">
        <v>17</v>
      </c>
      <c r="B8" s="26" t="s">
        <v>10</v>
      </c>
      <c r="C8" s="25" t="s">
        <v>11</v>
      </c>
      <c r="D8" s="25">
        <v>300</v>
      </c>
      <c r="E8" s="28">
        <v>28.21</v>
      </c>
      <c r="F8" s="19">
        <f t="shared" ref="F8:F15" si="0">E8*D8</f>
        <v>8463</v>
      </c>
      <c r="G8" s="33">
        <v>32.44</v>
      </c>
      <c r="H8" s="21">
        <f>G8*300</f>
        <v>9732</v>
      </c>
      <c r="I8" s="32"/>
      <c r="J8" s="23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</row>
    <row r="9" ht="14" customHeight="1" spans="1:147">
      <c r="A9" s="26" t="s">
        <v>18</v>
      </c>
      <c r="B9" s="26" t="s">
        <v>19</v>
      </c>
      <c r="C9" s="25" t="s">
        <v>11</v>
      </c>
      <c r="D9" s="25">
        <v>250</v>
      </c>
      <c r="E9" s="28"/>
      <c r="F9" s="19">
        <f t="shared" si="0"/>
        <v>0</v>
      </c>
      <c r="G9" s="33">
        <v>36.2</v>
      </c>
      <c r="H9" s="21">
        <f>G9*250</f>
        <v>9050</v>
      </c>
      <c r="I9" s="32"/>
      <c r="J9" s="23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</row>
    <row r="10" ht="14" customHeight="1" spans="1:147">
      <c r="A10" s="26" t="s">
        <v>20</v>
      </c>
      <c r="B10" s="26" t="s">
        <v>21</v>
      </c>
      <c r="C10" s="25" t="s">
        <v>11</v>
      </c>
      <c r="D10" s="25">
        <v>300</v>
      </c>
      <c r="E10" s="28">
        <v>29</v>
      </c>
      <c r="F10" s="19">
        <f t="shared" si="0"/>
        <v>8700</v>
      </c>
      <c r="G10" s="33">
        <v>33.35</v>
      </c>
      <c r="H10" s="21">
        <f>G10*300</f>
        <v>10005</v>
      </c>
      <c r="I10" s="32"/>
      <c r="J10" s="23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</row>
    <row r="11" ht="14" customHeight="1" spans="1:147">
      <c r="A11" s="26" t="s">
        <v>22</v>
      </c>
      <c r="B11" s="26" t="s">
        <v>10</v>
      </c>
      <c r="C11" s="25" t="s">
        <v>11</v>
      </c>
      <c r="D11" s="25">
        <v>300</v>
      </c>
      <c r="E11" s="28">
        <v>30.15</v>
      </c>
      <c r="F11" s="19">
        <f t="shared" si="0"/>
        <v>9045</v>
      </c>
      <c r="G11" s="33">
        <v>33.77</v>
      </c>
      <c r="H11" s="21">
        <f>G11*300</f>
        <v>10131</v>
      </c>
      <c r="I11" s="32"/>
      <c r="J11" s="23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</row>
    <row r="12" ht="14" customHeight="1" spans="1:147">
      <c r="A12" s="26" t="s">
        <v>23</v>
      </c>
      <c r="B12" s="26" t="s">
        <v>15</v>
      </c>
      <c r="C12" s="25" t="s">
        <v>11</v>
      </c>
      <c r="D12" s="25">
        <v>150</v>
      </c>
      <c r="E12" s="28">
        <v>32.7</v>
      </c>
      <c r="F12" s="19">
        <f t="shared" si="0"/>
        <v>4905</v>
      </c>
      <c r="G12" s="33">
        <v>32.7</v>
      </c>
      <c r="H12" s="21">
        <f>G12*150</f>
        <v>4905</v>
      </c>
      <c r="I12" s="32"/>
      <c r="J12" s="23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  <c r="BL12" s="29"/>
      <c r="BM12" s="29"/>
      <c r="BN12" s="29"/>
      <c r="BO12" s="29"/>
      <c r="BP12" s="29"/>
      <c r="BQ12" s="29"/>
      <c r="BR12" s="29"/>
      <c r="BS12" s="29"/>
      <c r="BT12" s="29"/>
      <c r="BU12" s="29"/>
      <c r="BV12" s="29"/>
      <c r="BW12" s="29"/>
      <c r="BX12" s="29"/>
      <c r="BY12" s="29"/>
      <c r="BZ12" s="29"/>
      <c r="CA12" s="29"/>
      <c r="CB12" s="29"/>
      <c r="CC12" s="29"/>
      <c r="CD12" s="29"/>
      <c r="CE12" s="29"/>
      <c r="CF12" s="29"/>
      <c r="CG12" s="29"/>
      <c r="CH12" s="29"/>
      <c r="CI12" s="29"/>
      <c r="CJ12" s="29"/>
      <c r="CK12" s="29"/>
      <c r="CL12" s="29"/>
      <c r="CM12" s="29"/>
      <c r="CN12" s="29"/>
      <c r="CO12" s="29"/>
      <c r="CP12" s="29"/>
      <c r="CQ12" s="29"/>
      <c r="CR12" s="29"/>
      <c r="CS12" s="29"/>
      <c r="CT12" s="29"/>
      <c r="CU12" s="29"/>
      <c r="CV12" s="29"/>
      <c r="CW12" s="29"/>
      <c r="CX12" s="29"/>
      <c r="CY12" s="29"/>
      <c r="CZ12" s="29"/>
      <c r="DA12" s="29"/>
      <c r="DB12" s="29"/>
      <c r="DC12" s="29"/>
      <c r="DD12" s="29"/>
      <c r="DE12" s="29"/>
      <c r="DF12" s="29"/>
      <c r="DG12" s="29"/>
      <c r="DH12" s="29"/>
      <c r="DI12" s="29"/>
      <c r="DJ12" s="29"/>
      <c r="DK12" s="29"/>
      <c r="DL12" s="29"/>
      <c r="DM12" s="29"/>
      <c r="DN12" s="29"/>
      <c r="DO12" s="29"/>
      <c r="DP12" s="29"/>
      <c r="DQ12" s="29"/>
      <c r="DR12" s="29"/>
      <c r="DS12" s="29"/>
      <c r="DT12" s="29"/>
      <c r="DU12" s="29"/>
      <c r="DV12" s="29"/>
      <c r="DW12" s="29"/>
      <c r="DX12" s="29"/>
      <c r="DY12" s="29"/>
      <c r="DZ12" s="29"/>
      <c r="EA12" s="29"/>
      <c r="EB12" s="29"/>
      <c r="EC12" s="29"/>
      <c r="ED12" s="29"/>
      <c r="EE12" s="29"/>
      <c r="EF12" s="29"/>
      <c r="EG12" s="29"/>
      <c r="EH12" s="29"/>
      <c r="EI12" s="29"/>
      <c r="EJ12" s="29"/>
      <c r="EK12" s="29"/>
      <c r="EL12" s="29"/>
      <c r="EM12" s="29"/>
      <c r="EN12" s="29"/>
      <c r="EO12" s="29"/>
      <c r="EP12" s="29"/>
      <c r="EQ12" s="29"/>
    </row>
    <row r="13" ht="14" customHeight="1" spans="1:147">
      <c r="A13" s="26" t="s">
        <v>24</v>
      </c>
      <c r="B13" s="26" t="s">
        <v>15</v>
      </c>
      <c r="C13" s="25" t="s">
        <v>11</v>
      </c>
      <c r="D13" s="25">
        <v>150</v>
      </c>
      <c r="E13" s="28">
        <v>30.35</v>
      </c>
      <c r="F13" s="19">
        <f t="shared" si="0"/>
        <v>4552.5</v>
      </c>
      <c r="G13" s="33">
        <v>33.38</v>
      </c>
      <c r="H13" s="21">
        <f>G13*150</f>
        <v>5007</v>
      </c>
      <c r="I13" s="32"/>
      <c r="J13" s="23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  <c r="BZ13" s="29"/>
      <c r="CA13" s="29"/>
      <c r="CB13" s="29"/>
      <c r="CC13" s="29"/>
      <c r="CD13" s="29"/>
      <c r="CE13" s="29"/>
      <c r="CF13" s="29"/>
      <c r="CG13" s="29"/>
      <c r="CH13" s="29"/>
      <c r="CI13" s="29"/>
      <c r="CJ13" s="29"/>
      <c r="CK13" s="29"/>
      <c r="CL13" s="29"/>
      <c r="CM13" s="29"/>
      <c r="CN13" s="29"/>
      <c r="CO13" s="29"/>
      <c r="CP13" s="29"/>
      <c r="CQ13" s="29"/>
      <c r="CR13" s="29"/>
      <c r="CS13" s="29"/>
      <c r="CT13" s="29"/>
      <c r="CU13" s="29"/>
      <c r="CV13" s="29"/>
      <c r="CW13" s="29"/>
      <c r="CX13" s="29"/>
      <c r="CY13" s="29"/>
      <c r="CZ13" s="29"/>
      <c r="DA13" s="29"/>
      <c r="DB13" s="29"/>
      <c r="DC13" s="29"/>
      <c r="DD13" s="29"/>
      <c r="DE13" s="29"/>
      <c r="DF13" s="29"/>
      <c r="DG13" s="29"/>
      <c r="DH13" s="29"/>
      <c r="DI13" s="29"/>
      <c r="DJ13" s="29"/>
      <c r="DK13" s="29"/>
      <c r="DL13" s="29"/>
      <c r="DM13" s="29"/>
      <c r="DN13" s="29"/>
      <c r="DO13" s="29"/>
      <c r="DP13" s="29"/>
      <c r="DQ13" s="29"/>
      <c r="DR13" s="29"/>
      <c r="DS13" s="29"/>
      <c r="DT13" s="29"/>
      <c r="DU13" s="29"/>
      <c r="DV13" s="29"/>
      <c r="DW13" s="29"/>
      <c r="DX13" s="29"/>
      <c r="DY13" s="29"/>
      <c r="DZ13" s="29"/>
      <c r="EA13" s="29"/>
      <c r="EB13" s="29"/>
      <c r="EC13" s="29"/>
      <c r="ED13" s="29"/>
      <c r="EE13" s="29"/>
      <c r="EF13" s="29"/>
      <c r="EG13" s="29"/>
      <c r="EH13" s="29"/>
      <c r="EI13" s="29"/>
      <c r="EJ13" s="29"/>
      <c r="EK13" s="29"/>
      <c r="EL13" s="29"/>
      <c r="EM13" s="29"/>
      <c r="EN13" s="29"/>
      <c r="EO13" s="29"/>
      <c r="EP13" s="29"/>
      <c r="EQ13" s="29"/>
    </row>
    <row r="14" ht="14" customHeight="1" spans="1:147">
      <c r="A14" s="26" t="s">
        <v>25</v>
      </c>
      <c r="B14" s="26" t="s">
        <v>15</v>
      </c>
      <c r="C14" s="25" t="s">
        <v>11</v>
      </c>
      <c r="D14" s="25">
        <v>150</v>
      </c>
      <c r="E14" s="28">
        <v>26.72</v>
      </c>
      <c r="F14" s="19">
        <f t="shared" si="0"/>
        <v>4008</v>
      </c>
      <c r="G14" s="33">
        <v>30.73</v>
      </c>
      <c r="H14" s="21">
        <f>G14*150</f>
        <v>4609.5</v>
      </c>
      <c r="I14" s="32"/>
      <c r="J14" s="23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</row>
    <row r="15" ht="14" customHeight="1" spans="1:147">
      <c r="A15" s="26" t="s">
        <v>26</v>
      </c>
      <c r="B15" s="26" t="s">
        <v>15</v>
      </c>
      <c r="C15" s="25" t="s">
        <v>11</v>
      </c>
      <c r="D15" s="25">
        <v>150</v>
      </c>
      <c r="E15" s="28">
        <v>29.72</v>
      </c>
      <c r="F15" s="19">
        <f t="shared" si="0"/>
        <v>4458</v>
      </c>
      <c r="G15" s="33">
        <v>32.69</v>
      </c>
      <c r="H15" s="21">
        <f>G15*150</f>
        <v>4903.5</v>
      </c>
      <c r="I15" s="32"/>
      <c r="J15" s="23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</row>
    <row r="16" spans="1:147">
      <c r="A16" s="34"/>
      <c r="B16" s="34"/>
      <c r="C16" s="30"/>
      <c r="D16" s="30"/>
      <c r="E16" s="31"/>
      <c r="F16" s="19"/>
      <c r="G16" s="20"/>
      <c r="H16" s="21"/>
      <c r="I16" s="32"/>
      <c r="J16" s="35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</row>
    <row r="17" spans="1:147">
      <c r="A17" s="26" t="s">
        <v>27</v>
      </c>
      <c r="B17" s="26" t="s">
        <v>28</v>
      </c>
      <c r="C17" s="25" t="s">
        <v>11</v>
      </c>
      <c r="D17" s="25">
        <v>300</v>
      </c>
      <c r="E17" s="28">
        <v>30.14</v>
      </c>
      <c r="F17" s="19">
        <f t="shared" ref="F16:F39" si="1">E17*D17</f>
        <v>9042</v>
      </c>
      <c r="G17" s="20">
        <v>33.75</v>
      </c>
      <c r="H17" s="21">
        <f>G17*300</f>
        <v>10125</v>
      </c>
      <c r="I17" s="32"/>
      <c r="J17" s="35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</row>
    <row r="18" spans="1:147">
      <c r="A18" s="26" t="s">
        <v>29</v>
      </c>
      <c r="B18" s="26" t="s">
        <v>28</v>
      </c>
      <c r="C18" s="25" t="s">
        <v>11</v>
      </c>
      <c r="D18" s="25">
        <v>300</v>
      </c>
      <c r="E18" s="28">
        <v>30.74</v>
      </c>
      <c r="F18" s="19">
        <f t="shared" si="1"/>
        <v>9222</v>
      </c>
      <c r="G18" s="20">
        <v>33.81</v>
      </c>
      <c r="H18" s="21">
        <f>G18*300</f>
        <v>10143</v>
      </c>
      <c r="I18" s="32"/>
      <c r="J18" s="35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</row>
    <row r="19" spans="1:147">
      <c r="A19" s="26" t="s">
        <v>30</v>
      </c>
      <c r="B19" s="26" t="s">
        <v>31</v>
      </c>
      <c r="C19" s="25" t="s">
        <v>11</v>
      </c>
      <c r="D19" s="25">
        <v>150</v>
      </c>
      <c r="E19" s="28">
        <v>38.33</v>
      </c>
      <c r="F19" s="19">
        <f t="shared" si="1"/>
        <v>5749.5</v>
      </c>
      <c r="G19" s="20">
        <v>41.4</v>
      </c>
      <c r="H19" s="21">
        <f>G19*150</f>
        <v>6210</v>
      </c>
      <c r="I19" s="32"/>
      <c r="J19" s="35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</row>
    <row r="20" spans="1:147">
      <c r="A20" s="26" t="s">
        <v>32</v>
      </c>
      <c r="B20" s="26" t="s">
        <v>28</v>
      </c>
      <c r="C20" s="25" t="s">
        <v>11</v>
      </c>
      <c r="D20" s="25">
        <v>300</v>
      </c>
      <c r="E20" s="28"/>
      <c r="F20" s="19">
        <f t="shared" si="1"/>
        <v>0</v>
      </c>
      <c r="G20" s="20">
        <v>35.6</v>
      </c>
      <c r="H20" s="21">
        <f>G20*300</f>
        <v>10680</v>
      </c>
      <c r="I20" s="32"/>
      <c r="J20" s="35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</row>
    <row r="21" spans="1:147">
      <c r="A21" s="26" t="s">
        <v>33</v>
      </c>
      <c r="B21" s="26" t="s">
        <v>28</v>
      </c>
      <c r="C21" s="25" t="s">
        <v>11</v>
      </c>
      <c r="D21" s="25">
        <v>300</v>
      </c>
      <c r="E21" s="28">
        <v>33.5</v>
      </c>
      <c r="F21" s="19">
        <f t="shared" si="1"/>
        <v>10050</v>
      </c>
      <c r="G21" s="20">
        <v>36.2</v>
      </c>
      <c r="H21" s="21">
        <f>G21*300</f>
        <v>10860</v>
      </c>
      <c r="I21" s="32"/>
      <c r="J21" s="35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</row>
    <row r="22" spans="1:147">
      <c r="A22" s="26" t="s">
        <v>34</v>
      </c>
      <c r="B22" s="26" t="s">
        <v>28</v>
      </c>
      <c r="C22" s="25" t="s">
        <v>11</v>
      </c>
      <c r="D22" s="25">
        <v>300</v>
      </c>
      <c r="E22" s="28"/>
      <c r="F22" s="19">
        <f t="shared" si="1"/>
        <v>0</v>
      </c>
      <c r="G22" s="20">
        <v>35</v>
      </c>
      <c r="H22" s="21">
        <f>G22*300</f>
        <v>10500</v>
      </c>
      <c r="I22" s="32"/>
      <c r="J22" s="35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</row>
    <row r="23" spans="1:147">
      <c r="A23" s="26" t="s">
        <v>35</v>
      </c>
      <c r="B23" s="26" t="s">
        <v>28</v>
      </c>
      <c r="C23" s="25" t="s">
        <v>11</v>
      </c>
      <c r="D23" s="25">
        <v>300</v>
      </c>
      <c r="E23" s="28">
        <v>32.78</v>
      </c>
      <c r="F23" s="19">
        <f t="shared" si="1"/>
        <v>9834</v>
      </c>
      <c r="G23" s="20">
        <v>36.2</v>
      </c>
      <c r="H23" s="21">
        <f>G23*300</f>
        <v>10860</v>
      </c>
      <c r="I23" s="32"/>
      <c r="J23" s="35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</row>
    <row r="24" spans="1:147">
      <c r="A24" s="26" t="s">
        <v>36</v>
      </c>
      <c r="B24" s="26" t="s">
        <v>31</v>
      </c>
      <c r="C24" s="25" t="s">
        <v>11</v>
      </c>
      <c r="D24" s="25">
        <v>150</v>
      </c>
      <c r="E24" s="28">
        <v>32.7</v>
      </c>
      <c r="F24" s="19">
        <f t="shared" si="1"/>
        <v>4905</v>
      </c>
      <c r="G24" s="20">
        <v>35.8</v>
      </c>
      <c r="H24" s="21">
        <f>G24*150</f>
        <v>5370</v>
      </c>
      <c r="I24" s="32"/>
      <c r="J24" s="35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</row>
    <row r="25" spans="1:147">
      <c r="A25" s="26" t="s">
        <v>37</v>
      </c>
      <c r="B25" s="26" t="s">
        <v>31</v>
      </c>
      <c r="C25" s="25" t="s">
        <v>11</v>
      </c>
      <c r="D25" s="25">
        <v>150</v>
      </c>
      <c r="E25" s="28">
        <v>31.89</v>
      </c>
      <c r="F25" s="19">
        <f t="shared" si="1"/>
        <v>4783.5</v>
      </c>
      <c r="G25" s="20">
        <v>37.6</v>
      </c>
      <c r="H25" s="21">
        <f>G25*150</f>
        <v>5640</v>
      </c>
      <c r="I25" s="32"/>
      <c r="J25" s="35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</row>
    <row r="26" spans="1:147">
      <c r="A26" s="26" t="s">
        <v>38</v>
      </c>
      <c r="B26" s="26" t="s">
        <v>31</v>
      </c>
      <c r="C26" s="25" t="s">
        <v>11</v>
      </c>
      <c r="D26" s="25">
        <v>150</v>
      </c>
      <c r="E26" s="28">
        <v>34.5</v>
      </c>
      <c r="F26" s="19">
        <f t="shared" si="1"/>
        <v>5175</v>
      </c>
      <c r="G26" s="20">
        <v>38.64</v>
      </c>
      <c r="H26" s="21">
        <f>G26*150</f>
        <v>5796</v>
      </c>
      <c r="I26" s="32"/>
      <c r="J26" s="35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</row>
    <row r="27" spans="1:147">
      <c r="A27" s="34"/>
      <c r="B27" s="34"/>
      <c r="C27" s="30"/>
      <c r="D27" s="30"/>
      <c r="E27" s="36"/>
      <c r="F27" s="19"/>
      <c r="G27" s="20"/>
      <c r="H27" s="21"/>
      <c r="I27" s="32"/>
      <c r="J27" s="35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</row>
    <row r="28" spans="1:147">
      <c r="A28" s="26" t="s">
        <v>39</v>
      </c>
      <c r="B28" s="26" t="s">
        <v>10</v>
      </c>
      <c r="C28" s="25" t="s">
        <v>11</v>
      </c>
      <c r="D28" s="25">
        <v>300</v>
      </c>
      <c r="E28" s="28">
        <v>32.11</v>
      </c>
      <c r="F28" s="19">
        <f t="shared" si="1"/>
        <v>9633</v>
      </c>
      <c r="G28" s="20">
        <v>36.92</v>
      </c>
      <c r="H28" s="21">
        <f>G28*300</f>
        <v>11076</v>
      </c>
      <c r="I28" s="32"/>
      <c r="J28" s="35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</row>
    <row r="29" spans="1:147">
      <c r="A29" s="26" t="s">
        <v>40</v>
      </c>
      <c r="B29" s="26" t="s">
        <v>10</v>
      </c>
      <c r="C29" s="25" t="s">
        <v>11</v>
      </c>
      <c r="D29" s="25">
        <v>300</v>
      </c>
      <c r="E29" s="37">
        <v>33.5</v>
      </c>
      <c r="F29" s="19">
        <f t="shared" si="1"/>
        <v>10050</v>
      </c>
      <c r="G29" s="20">
        <v>38.52</v>
      </c>
      <c r="H29" s="21">
        <f>G29*300</f>
        <v>11556</v>
      </c>
      <c r="I29" s="32"/>
      <c r="J29" s="35"/>
    </row>
    <row r="30" spans="1:147">
      <c r="A30" s="26" t="s">
        <v>41</v>
      </c>
      <c r="B30" s="26" t="s">
        <v>10</v>
      </c>
      <c r="C30" s="25" t="s">
        <v>11</v>
      </c>
      <c r="D30" s="25">
        <v>300</v>
      </c>
      <c r="E30" s="37">
        <v>34.38</v>
      </c>
      <c r="F30" s="19">
        <f t="shared" si="1"/>
        <v>10314</v>
      </c>
      <c r="G30" s="20">
        <v>39.54</v>
      </c>
      <c r="H30" s="21">
        <f>G30*300</f>
        <v>11862</v>
      </c>
      <c r="I30" s="32"/>
      <c r="J30" s="35"/>
    </row>
    <row r="31" spans="1:147">
      <c r="A31" s="26" t="s">
        <v>42</v>
      </c>
      <c r="B31" s="26" t="s">
        <v>43</v>
      </c>
      <c r="C31" s="25" t="s">
        <v>11</v>
      </c>
      <c r="D31" s="25">
        <v>150</v>
      </c>
      <c r="E31" s="37"/>
      <c r="F31" s="19">
        <f t="shared" si="1"/>
        <v>0</v>
      </c>
      <c r="G31" s="20">
        <v>44.85</v>
      </c>
      <c r="H31" s="21">
        <f>G31*150</f>
        <v>6727.5</v>
      </c>
      <c r="I31" s="32"/>
      <c r="J31" s="35"/>
    </row>
    <row r="32" spans="1:147">
      <c r="A32" s="26" t="s">
        <v>44</v>
      </c>
      <c r="B32" s="26" t="s">
        <v>10</v>
      </c>
      <c r="C32" s="25" t="s">
        <v>11</v>
      </c>
      <c r="D32" s="25">
        <v>300</v>
      </c>
      <c r="E32" s="37"/>
      <c r="F32" s="19">
        <f t="shared" si="1"/>
        <v>0</v>
      </c>
      <c r="G32" s="20">
        <v>35.75</v>
      </c>
      <c r="H32" s="21">
        <f>G32*300</f>
        <v>10725</v>
      </c>
      <c r="I32" s="32"/>
      <c r="J32" s="35"/>
    </row>
    <row r="33" spans="1:10">
      <c r="A33" s="26" t="s">
        <v>45</v>
      </c>
      <c r="B33" s="26" t="s">
        <v>10</v>
      </c>
      <c r="C33" s="25" t="s">
        <v>11</v>
      </c>
      <c r="D33" s="25">
        <v>300</v>
      </c>
      <c r="E33" s="37"/>
      <c r="F33" s="19">
        <f t="shared" si="1"/>
        <v>0</v>
      </c>
      <c r="G33" s="20">
        <v>36.2</v>
      </c>
      <c r="H33" s="21">
        <f>G33*300</f>
        <v>10860</v>
      </c>
      <c r="I33" s="32"/>
      <c r="J33" s="35"/>
    </row>
    <row r="34" spans="1:10">
      <c r="A34" s="26" t="s">
        <v>46</v>
      </c>
      <c r="B34" s="26" t="s">
        <v>10</v>
      </c>
      <c r="C34" s="25" t="s">
        <v>11</v>
      </c>
      <c r="D34" s="25">
        <v>300</v>
      </c>
      <c r="E34" s="37">
        <v>31.36</v>
      </c>
      <c r="F34" s="19"/>
      <c r="G34" s="20">
        <v>36.4</v>
      </c>
      <c r="H34" s="21">
        <f>G34*300</f>
        <v>10920</v>
      </c>
      <c r="I34" s="32"/>
      <c r="J34" s="35"/>
    </row>
    <row r="35" spans="1:10">
      <c r="A35" s="26" t="s">
        <v>47</v>
      </c>
      <c r="B35" s="26" t="s">
        <v>43</v>
      </c>
      <c r="C35" s="25" t="s">
        <v>11</v>
      </c>
      <c r="D35" s="25">
        <v>150</v>
      </c>
      <c r="E35" s="37">
        <v>35.05</v>
      </c>
      <c r="F35" s="19">
        <f>E35*D35</f>
        <v>5257.5</v>
      </c>
      <c r="G35" s="20">
        <v>40.31</v>
      </c>
      <c r="H35" s="21">
        <f>G35*150</f>
        <v>6046.5</v>
      </c>
      <c r="I35" s="32"/>
      <c r="J35" s="35"/>
    </row>
    <row r="36" spans="1:10">
      <c r="A36" s="34"/>
      <c r="B36" s="34"/>
      <c r="C36" s="30"/>
      <c r="D36" s="30"/>
      <c r="E36" s="38"/>
      <c r="F36" s="19"/>
      <c r="G36" s="20"/>
      <c r="H36" s="21"/>
      <c r="I36" s="39"/>
    </row>
    <row r="37" spans="1:10">
      <c r="A37" s="40" t="s">
        <v>48</v>
      </c>
      <c r="B37" s="26" t="s">
        <v>28</v>
      </c>
      <c r="C37" s="25" t="s">
        <v>11</v>
      </c>
      <c r="D37" s="25">
        <v>300</v>
      </c>
      <c r="E37" s="37">
        <v>42.94</v>
      </c>
      <c r="F37" s="19"/>
      <c r="G37" s="20">
        <v>46.37</v>
      </c>
      <c r="H37" s="21">
        <f>G37*300</f>
        <v>13911</v>
      </c>
      <c r="I37" s="39"/>
    </row>
    <row r="38" spans="1:10">
      <c r="A38" s="40" t="s">
        <v>49</v>
      </c>
      <c r="B38" s="26" t="s">
        <v>28</v>
      </c>
      <c r="C38" s="25" t="s">
        <v>11</v>
      </c>
      <c r="D38" s="25">
        <v>300</v>
      </c>
      <c r="E38" s="37">
        <v>44.27</v>
      </c>
      <c r="F38" s="19">
        <f>E38*D38</f>
        <v>13281</v>
      </c>
      <c r="G38" s="20">
        <v>47.81</v>
      </c>
      <c r="H38" s="21">
        <f>G38*300</f>
        <v>14343</v>
      </c>
      <c r="I38" s="32"/>
    </row>
    <row r="39" spans="1:10">
      <c r="A39" s="40" t="s">
        <v>50</v>
      </c>
      <c r="B39" s="26" t="s">
        <v>28</v>
      </c>
      <c r="C39" s="25" t="s">
        <v>11</v>
      </c>
      <c r="D39" s="25">
        <v>300</v>
      </c>
      <c r="E39" s="37">
        <v>46.86</v>
      </c>
      <c r="F39" s="19">
        <f>E39*D39</f>
        <v>14058</v>
      </c>
      <c r="G39" s="20">
        <v>52.48</v>
      </c>
      <c r="H39" s="21">
        <f>G39*300</f>
        <v>15744</v>
      </c>
      <c r="I39" s="32"/>
    </row>
    <row r="40" spans="1:10">
      <c r="A40" s="40" t="s">
        <v>51</v>
      </c>
      <c r="B40" s="26" t="s">
        <v>28</v>
      </c>
      <c r="C40" s="25" t="s">
        <v>11</v>
      </c>
      <c r="D40" s="25">
        <v>300</v>
      </c>
      <c r="E40" s="37">
        <v>47.8</v>
      </c>
      <c r="F40" s="19"/>
      <c r="G40" s="20">
        <v>53.54</v>
      </c>
      <c r="H40" s="21">
        <f>G40*300</f>
        <v>16062</v>
      </c>
      <c r="I40" s="32"/>
    </row>
    <row r="41" spans="1:10">
      <c r="A41" s="40" t="s">
        <v>52</v>
      </c>
      <c r="B41" s="26" t="s">
        <v>28</v>
      </c>
      <c r="C41" s="25" t="s">
        <v>11</v>
      </c>
      <c r="D41" s="25">
        <v>300</v>
      </c>
      <c r="E41" s="37">
        <v>45.16</v>
      </c>
      <c r="F41" s="19">
        <f>E41*D41</f>
        <v>13548</v>
      </c>
      <c r="G41" s="20">
        <v>49.68</v>
      </c>
      <c r="H41" s="21">
        <f>G41*300</f>
        <v>14904</v>
      </c>
      <c r="I41" s="32"/>
    </row>
    <row r="42" spans="1:10">
      <c r="A42" s="26" t="s">
        <v>53</v>
      </c>
      <c r="B42" s="26" t="s">
        <v>31</v>
      </c>
      <c r="C42" s="25" t="s">
        <v>11</v>
      </c>
      <c r="D42" s="25">
        <v>150</v>
      </c>
      <c r="E42" s="37">
        <v>47.36</v>
      </c>
      <c r="F42" s="19">
        <f>E42*D42</f>
        <v>7104</v>
      </c>
      <c r="G42" s="20">
        <v>52.1</v>
      </c>
      <c r="H42" s="21">
        <f>G42*150</f>
        <v>7815</v>
      </c>
      <c r="I42" s="32"/>
    </row>
    <row r="43" spans="1:10">
      <c r="A43" s="34"/>
      <c r="B43" s="41"/>
      <c r="C43" s="42"/>
      <c r="D43" s="43"/>
      <c r="E43" s="44"/>
      <c r="F43" s="45"/>
      <c r="G43" s="46"/>
      <c r="H43" s="47"/>
      <c r="I43" s="48"/>
    </row>
    <row r="44" spans="1:10">
      <c r="A44" s="10"/>
      <c r="B44" s="10"/>
      <c r="C44" s="10"/>
      <c r="D44" s="10"/>
    </row>
    <row r="45" spans="1:10">
      <c r="A45" s="10"/>
      <c r="B45" s="10"/>
      <c r="C45" s="10"/>
      <c r="D45" s="10"/>
    </row>
  </sheetData>
  <autoFilter xmlns:etc="http://www.wps.cn/officeDocument/2017/etCustomData" ref="A2:EQ42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H12:H17"/>
  <sheetViews>
    <sheetView topLeftCell="A6" workbookViewId="0">
      <selection activeCell="C8" sqref="C8:J20"/>
    </sheetView>
  </sheetViews>
  <sheetFormatPr defaultColWidth="9" defaultRowHeight="14.4" outlineLevelCol="7"/>
  <cols>
    <col min="4" max="4" width="41.1111111111111" customWidth="1"/>
    <col min="5" max="5" width="10.4444444444444" style="1" customWidth="1"/>
    <col min="6" max="6" width="9.66666666666667" style="1" customWidth="1"/>
    <col min="7" max="7" width="7.66666666666667" style="1" customWidth="1"/>
    <col min="8" max="8" width="9" style="1"/>
  </cols>
  <sheetData>
    <row r="12" spans="8:8">
      <c r="H12" s="2"/>
    </row>
    <row r="13" spans="8:8">
      <c r="H13" s="2"/>
    </row>
    <row r="14" spans="8:8">
      <c r="H14" s="2"/>
    </row>
    <row r="15" spans="8:8">
      <c r="H15" s="2"/>
    </row>
    <row r="16" spans="8:8">
      <c r="H16" s="3"/>
    </row>
    <row r="17" spans="8:8">
      <c r="H17" s="3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3"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</dc:creator>
  <cp:lastModifiedBy>叶落</cp:lastModifiedBy>
  <dcterms:created xsi:type="dcterms:W3CDTF">2006-09-16T00:00:00Z</dcterms:created>
  <cp:lastPrinted>2026-01-04T01:43:00Z</cp:lastPrinted>
  <dcterms:modified xsi:type="dcterms:W3CDTF">2026-08-01T10:14:52Z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6D2D82777A80483D83C68D0FD74FB485_13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5B77E7CEEC58BC6AFAE8886BEB80DBEB">
    <vt:lpwstr>otCYQxs9Dbw2bUEn/Soxv9pYAoWsCRIsU8+gIbxzzmNcJN13+qHIPyWmbF9hFzPHyi2m8DLwi54E5OVVM5pJ0yGmgAiYTaR6oYUdYZxdjep6I9xviFUFZ9aTScfBW9OGSkvmQCmJqrisy+istjFai2AScG4mXZFe6EErMtN7nPP7ARW8Xw9ukPQG4ixdkarufsfNXXJL51o8jM3pXEbZUSrFZ9tredwnNouwjr3uEcvF1UM3xdtkRpLZBKNADiRt5f7p5IAkftP2Kv4BdvfTh+XOqi/lObeEN6wMbTWfrvC/GpXI6Js5YLEoWxZXaPen0jJiJz0XOF0F4TKLj/9c8xSxK0ePe/dbr53x2ZcZA2l9oFzAONJ548mE/+WtcwVQ8MBGFYyu1AYu16B2j4AB3wTzdxiDpAa+zlmy99h748tdu2oJLQsnoEoaBfEk8Fl3P9aEEPPZX6NhXpOWjtGK2pZFO/79bceeMBWPLmUlgRgQv/ZpjpUJqfKzpj8qY1XtnbaMZw4o7DJpbsjltH7gK58m2WgGkBwbdgy0QiIgkKi65LsrLtR9RiSkVuWBMjWHOhFwh2bpP9zhX92tkbAhYCT0arVQ/q1U0Veq5x2bT0g=</vt:lpwstr>
  </property>
</Properties>
</file>