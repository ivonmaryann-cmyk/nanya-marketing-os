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CCL" sheetId="1" r:id="rId1"/>
    <sheet name="Sheet1" sheetId="2" r:id="rId2"/>
  </sheets>
  <definedNames>
    <definedName name="_xlnm.Print_Area" localSheetId="0">CCL!$A$1:$O$216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<sst xmlns="http://schemas.openxmlformats.org/spreadsheetml/2006/main" count="811" uniqueCount="69">
  <si>
    <t>南亚新材料科技股份有限公司</t>
  </si>
  <si>
    <t>中 国 上 海 市 嘉 定 区 南 翔 镇 昌 翔 路 158 号</t>
  </si>
  <si>
    <r>
      <rPr>
        <sz val="10"/>
        <color theme="1"/>
        <rFont val="Arial"/>
        <charset val="134"/>
      </rPr>
      <t>TEL</t>
    </r>
    <r>
      <rPr>
        <sz val="10"/>
        <color theme="1"/>
        <rFont val="宋体"/>
        <charset val="134"/>
      </rPr>
      <t>：</t>
    </r>
    <r>
      <rPr>
        <sz val="10"/>
        <color theme="1"/>
        <rFont val="Arial"/>
        <charset val="134"/>
      </rPr>
      <t>021-59175555(</t>
    </r>
    <r>
      <rPr>
        <sz val="10"/>
        <color theme="1"/>
        <rFont val="宋体"/>
        <charset val="134"/>
      </rPr>
      <t>上海</t>
    </r>
    <r>
      <rPr>
        <sz val="10"/>
        <color theme="1"/>
        <rFont val="Arial"/>
        <charset val="134"/>
      </rPr>
      <t>)</t>
    </r>
    <r>
      <rPr>
        <sz val="10"/>
        <color theme="1"/>
        <rFont val="宋体"/>
        <charset val="134"/>
      </rPr>
      <t>，</t>
    </r>
    <r>
      <rPr>
        <sz val="10"/>
        <color theme="1"/>
        <rFont val="Arial"/>
        <charset val="134"/>
      </rPr>
      <t xml:space="preserve"> 0755-33231030(</t>
    </r>
    <r>
      <rPr>
        <sz val="10"/>
        <color theme="1"/>
        <rFont val="宋体"/>
        <charset val="134"/>
      </rPr>
      <t>深圳</t>
    </r>
    <r>
      <rPr>
        <sz val="10"/>
        <color theme="1"/>
        <rFont val="Arial"/>
        <charset val="134"/>
      </rPr>
      <t>)</t>
    </r>
  </si>
  <si>
    <t>客户名称：苏杭集团</t>
  </si>
  <si>
    <t>付款方式：月结90天</t>
  </si>
  <si>
    <t>生效日期：2026-8-1（出货执行）</t>
  </si>
  <si>
    <t xml:space="preserve">        感谢您对我司的支持和信任！ 贵司所需材料定价如下:</t>
  </si>
  <si>
    <t>一、NY2150板材价格表</t>
  </si>
  <si>
    <t>型号</t>
  </si>
  <si>
    <t>厚度</t>
  </si>
  <si>
    <t>铜厚</t>
  </si>
  <si>
    <t>总芯厚</t>
  </si>
  <si>
    <t>铜箔</t>
  </si>
  <si>
    <t>叠构</t>
  </si>
  <si>
    <t>旧单价</t>
  </si>
  <si>
    <t>新价格</t>
  </si>
  <si>
    <t>NY2150</t>
  </si>
  <si>
    <t>mm</t>
  </si>
  <si>
    <t>Cu</t>
  </si>
  <si>
    <r>
      <rPr>
        <sz val="11"/>
        <rFont val="宋体"/>
        <charset val="134"/>
      </rPr>
      <t>含铜</t>
    </r>
    <r>
      <rPr>
        <sz val="11"/>
        <rFont val="Arial"/>
        <charset val="134"/>
      </rPr>
      <t>/</t>
    </r>
    <r>
      <rPr>
        <sz val="11"/>
        <rFont val="宋体"/>
        <charset val="134"/>
      </rPr>
      <t>不含铜</t>
    </r>
  </si>
  <si>
    <t>Stacking</t>
  </si>
  <si>
    <t>41"X49"</t>
  </si>
  <si>
    <t>SF</t>
  </si>
  <si>
    <t>37"X49"</t>
  </si>
  <si>
    <t>43"X49"</t>
  </si>
  <si>
    <t>74"X49"</t>
  </si>
  <si>
    <t>82"X49"</t>
  </si>
  <si>
    <t>86"X49"</t>
  </si>
  <si>
    <t>涨幅</t>
  </si>
  <si>
    <t>H/H</t>
  </si>
  <si>
    <t>不含铜</t>
  </si>
  <si>
    <t>HTE</t>
  </si>
  <si>
    <t>1*2116</t>
  </si>
  <si>
    <t>1/1</t>
  </si>
  <si>
    <t>1*1506</t>
  </si>
  <si>
    <t>1*7628</t>
  </si>
  <si>
    <t>2*2116</t>
  </si>
  <si>
    <t>2*1506</t>
  </si>
  <si>
    <t>2*7628</t>
  </si>
  <si>
    <t>2/2</t>
  </si>
  <si>
    <t>3/3</t>
  </si>
  <si>
    <t>2*7628+1*1080</t>
  </si>
  <si>
    <t>2*7628+1*2116</t>
  </si>
  <si>
    <t>3*7628</t>
  </si>
  <si>
    <t>4*7628</t>
  </si>
  <si>
    <t>4*7628+1*2116</t>
  </si>
  <si>
    <t>含铜</t>
  </si>
  <si>
    <t>F/F</t>
  </si>
  <si>
    <t>5*7628</t>
  </si>
  <si>
    <t>6*7628</t>
  </si>
  <si>
    <t>7*7628</t>
  </si>
  <si>
    <t>8*7628</t>
  </si>
  <si>
    <t>二、NY3150HF板材价格表</t>
  </si>
  <si>
    <t>Product</t>
  </si>
  <si>
    <t>NY3150HF</t>
  </si>
  <si>
    <t>生效日期：8026-8-1（出货执行）</t>
  </si>
  <si>
    <t>三、NY2170板材价格表</t>
  </si>
  <si>
    <t>NY2170</t>
  </si>
  <si>
    <t>1*1080</t>
  </si>
  <si>
    <t>10*7628</t>
  </si>
  <si>
    <t>四、NY3170M板材价格表</t>
  </si>
  <si>
    <t>37*49</t>
  </si>
  <si>
    <t>43*49</t>
  </si>
  <si>
    <t>NY3170M</t>
  </si>
  <si>
    <t>RTF</t>
  </si>
  <si>
    <t>1*1086</t>
  </si>
  <si>
    <t>说明：</t>
  </si>
  <si>
    <t>1、以上含13%增值税报价</t>
  </si>
  <si>
    <t>2、报价单中没有的规格重新报价，报价有效期至新报价止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</si>
</sst>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_ "/>
    <numFmt numFmtId="178" formatCode="0.0000_ "/>
  </numFmts>
  <fonts count="62">
    <font>
      <sz val="11"/>
      <color theme="1"/>
      <name val="宋体"/>
      <charset val="134"/>
      <scheme val="minor"/>
    </font>
    <font>
      <sz val="12"/>
      <color theme="1"/>
      <name val="Arial Unicode MS"/>
      <charset val="134"/>
    </font>
    <font>
      <sz val="11"/>
      <name val="宋体"/>
      <charset val="134"/>
      <scheme val="minor"/>
    </font>
    <font>
      <sz val="11"/>
      <color theme="1"/>
      <name val="黑体"/>
      <charset val="134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38"/>
      <color theme="1"/>
      <name val="Arial Unicode MS"/>
      <charset val="134"/>
    </font>
    <font>
      <b/>
      <sz val="38"/>
      <name val="Arial Unicode MS"/>
      <charset val="134"/>
    </font>
    <font>
      <b/>
      <sz val="38"/>
      <color theme="1"/>
      <name val="黑体"/>
      <charset val="134"/>
    </font>
    <font>
      <b/>
      <sz val="38"/>
      <color rgb="FFFF0000"/>
      <name val="Arial Unicode MS"/>
      <charset val="134"/>
    </font>
    <font>
      <b/>
      <sz val="48"/>
      <color theme="1"/>
      <name val="Arial Unicode MS"/>
      <charset val="134"/>
    </font>
    <font>
      <b/>
      <sz val="48"/>
      <name val="Arial Unicode MS"/>
      <charset val="134"/>
    </font>
    <font>
      <b/>
      <sz val="48"/>
      <color theme="1"/>
      <name val="黑体"/>
      <charset val="134"/>
    </font>
    <font>
      <b/>
      <sz val="48"/>
      <color rgb="FFFF0000"/>
      <name val="Arial Unicode MS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0"/>
      <color theme="1"/>
      <name val="黑体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sz val="12"/>
      <name val="Arial Unicode MS"/>
      <charset val="134"/>
    </font>
    <font>
      <sz val="12"/>
      <color theme="1"/>
      <name val="黑体"/>
      <charset val="134"/>
    </font>
    <font>
      <b/>
      <sz val="16"/>
      <color theme="1"/>
      <name val="宋体"/>
      <charset val="134"/>
    </font>
    <font>
      <b/>
      <sz val="16"/>
      <name val="宋体"/>
      <charset val="134"/>
    </font>
    <font>
      <b/>
      <sz val="16"/>
      <color theme="1"/>
      <name val="黑体"/>
      <charset val="134"/>
    </font>
    <font>
      <b/>
      <sz val="16"/>
      <color rgb="FFFF0000"/>
      <name val="宋体"/>
      <charset val="134"/>
    </font>
    <font>
      <sz val="11"/>
      <name val="Arial Unicode MS"/>
      <charset val="134"/>
    </font>
    <font>
      <sz val="11"/>
      <color theme="1"/>
      <name val="Arial Unicode MS"/>
      <charset val="134"/>
    </font>
    <font>
      <b/>
      <sz val="11"/>
      <color theme="1"/>
      <name val="Arial Unicode MS"/>
      <charset val="134"/>
    </font>
    <font>
      <sz val="11"/>
      <color rgb="FFFF0000"/>
      <name val="Arial Unicode MS"/>
      <charset val="134"/>
    </font>
    <font>
      <sz val="12"/>
      <name val="Arial"/>
      <charset val="134"/>
    </font>
    <font>
      <sz val="11"/>
      <name val="Arial"/>
      <charset val="134"/>
    </font>
    <font>
      <sz val="11"/>
      <name val="宋体"/>
      <charset val="134"/>
    </font>
    <font>
      <sz val="11"/>
      <name val="黑体"/>
      <charset val="134"/>
    </font>
    <font>
      <sz val="11"/>
      <color rgb="FFFF0000"/>
      <name val="Arial"/>
      <charset val="134"/>
    </font>
    <font>
      <b/>
      <sz val="11"/>
      <name val="宋体"/>
      <charset val="134"/>
    </font>
    <font>
      <sz val="10"/>
      <name val="黑体"/>
      <charset val="134"/>
    </font>
    <font>
      <sz val="12"/>
      <color theme="1"/>
      <name val="Arial"/>
      <charset val="134"/>
    </font>
    <font>
      <sz val="11"/>
      <color theme="1"/>
      <name val="Arial"/>
      <charset val="134"/>
    </font>
    <font>
      <b/>
      <sz val="11"/>
      <color theme="1"/>
      <name val="宋体"/>
      <charset val="134"/>
    </font>
    <font>
      <sz val="10"/>
      <color indexed="8"/>
      <name val="黑体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3" applyNumberFormat="0" applyFill="0" applyAlignment="0" applyProtection="0">
      <alignment vertical="center"/>
    </xf>
    <xf numFmtId="0" fontId="48" fillId="0" borderId="3" applyNumberFormat="0" applyFill="0" applyAlignment="0" applyProtection="0">
      <alignment vertical="center"/>
    </xf>
    <xf numFmtId="0" fontId="49" fillId="0" borderId="4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4" borderId="5" applyNumberFormat="0" applyAlignment="0" applyProtection="0">
      <alignment vertical="center"/>
    </xf>
    <xf numFmtId="0" fontId="51" fillId="5" borderId="6" applyNumberFormat="0" applyAlignment="0" applyProtection="0">
      <alignment vertical="center"/>
    </xf>
    <xf numFmtId="0" fontId="52" fillId="5" borderId="5" applyNumberFormat="0" applyAlignment="0" applyProtection="0">
      <alignment vertical="center"/>
    </xf>
    <xf numFmtId="0" fontId="53" fillId="6" borderId="7" applyNumberFormat="0" applyAlignment="0" applyProtection="0">
      <alignment vertical="center"/>
    </xf>
    <xf numFmtId="0" fontId="54" fillId="0" borderId="8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61" fillId="0" borderId="0">
      <protection locked="0"/>
    </xf>
  </cellStyleXfs>
  <cellXfs count="13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0" xfId="49" applyFont="1" applyFill="1" applyAlignment="1" applyProtection="1">
      <alignment vertical="center"/>
    </xf>
    <xf numFmtId="176" fontId="0" fillId="0" borderId="0" xfId="0" applyNumberForma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177" fontId="0" fillId="0" borderId="0" xfId="0" applyNumberFormat="1" applyFill="1" applyAlignment="1">
      <alignment vertical="center"/>
    </xf>
    <xf numFmtId="177" fontId="4" fillId="0" borderId="0" xfId="0" applyNumberFormat="1" applyFont="1" applyFill="1" applyAlignment="1">
      <alignment vertical="center"/>
    </xf>
    <xf numFmtId="10" fontId="5" fillId="0" borderId="0" xfId="0" applyNumberFormat="1" applyFont="1" applyFill="1" applyAlignment="1">
      <alignment horizontal="center" vertical="center"/>
    </xf>
    <xf numFmtId="0" fontId="6" fillId="2" borderId="0" xfId="49" applyFont="1" applyFill="1" applyAlignment="1" applyProtection="1">
      <alignment horizontal="center" vertical="center"/>
    </xf>
    <xf numFmtId="176" fontId="6" fillId="2" borderId="0" xfId="49" applyNumberFormat="1" applyFont="1" applyFill="1" applyAlignment="1" applyProtection="1">
      <alignment horizontal="center" vertical="center"/>
    </xf>
    <xf numFmtId="0" fontId="7" fillId="2" borderId="0" xfId="49" applyFont="1" applyFill="1" applyAlignment="1" applyProtection="1">
      <alignment horizontal="center" vertical="center"/>
    </xf>
    <xf numFmtId="0" fontId="8" fillId="2" borderId="0" xfId="49" applyFont="1" applyFill="1" applyAlignment="1" applyProtection="1">
      <alignment horizontal="center" vertical="center"/>
    </xf>
    <xf numFmtId="177" fontId="6" fillId="0" borderId="0" xfId="49" applyNumberFormat="1" applyFont="1" applyFill="1" applyAlignment="1" applyProtection="1">
      <alignment horizontal="center" vertical="center"/>
    </xf>
    <xf numFmtId="177" fontId="6" fillId="2" borderId="0" xfId="49" applyNumberFormat="1" applyFont="1" applyFill="1" applyAlignment="1" applyProtection="1">
      <alignment horizontal="center" vertical="center"/>
    </xf>
    <xf numFmtId="177" fontId="9" fillId="0" borderId="0" xfId="49" applyNumberFormat="1" applyFont="1" applyFill="1" applyAlignment="1" applyProtection="1">
      <alignment horizontal="center" vertical="center"/>
    </xf>
    <xf numFmtId="10" fontId="6" fillId="2" borderId="0" xfId="49" applyNumberFormat="1" applyFont="1" applyFill="1" applyAlignment="1" applyProtection="1">
      <alignment horizontal="center" vertical="center"/>
    </xf>
    <xf numFmtId="0" fontId="10" fillId="2" borderId="0" xfId="49" applyFont="1" applyFill="1" applyAlignment="1" applyProtection="1">
      <alignment horizontal="center" vertical="center"/>
    </xf>
    <xf numFmtId="176" fontId="10" fillId="2" borderId="0" xfId="49" applyNumberFormat="1" applyFont="1" applyFill="1" applyAlignment="1" applyProtection="1">
      <alignment horizontal="center" vertical="center"/>
    </xf>
    <xf numFmtId="0" fontId="11" fillId="2" borderId="0" xfId="49" applyFont="1" applyFill="1" applyAlignment="1" applyProtection="1">
      <alignment horizontal="center" vertical="center"/>
    </xf>
    <xf numFmtId="0" fontId="12" fillId="2" borderId="0" xfId="49" applyFont="1" applyFill="1" applyAlignment="1" applyProtection="1">
      <alignment horizontal="center" vertical="center"/>
    </xf>
    <xf numFmtId="177" fontId="10" fillId="0" borderId="0" xfId="49" applyNumberFormat="1" applyFont="1" applyFill="1" applyAlignment="1" applyProtection="1">
      <alignment horizontal="center" vertical="center"/>
    </xf>
    <xf numFmtId="177" fontId="10" fillId="2" borderId="0" xfId="49" applyNumberFormat="1" applyFont="1" applyFill="1" applyAlignment="1" applyProtection="1">
      <alignment horizontal="center" vertical="center"/>
    </xf>
    <xf numFmtId="177" fontId="13" fillId="0" borderId="0" xfId="49" applyNumberFormat="1" applyFont="1" applyFill="1" applyAlignment="1" applyProtection="1">
      <alignment horizontal="center" vertical="center"/>
    </xf>
    <xf numFmtId="10" fontId="10" fillId="2" borderId="0" xfId="49" applyNumberFormat="1" applyFont="1" applyFill="1" applyAlignment="1" applyProtection="1">
      <alignment horizontal="center" vertical="center"/>
    </xf>
    <xf numFmtId="0" fontId="14" fillId="2" borderId="0" xfId="0" applyFont="1" applyFill="1" applyAlignment="1">
      <alignment horizontal="left" vertical="center"/>
    </xf>
    <xf numFmtId="176" fontId="14" fillId="2" borderId="0" xfId="0" applyNumberFormat="1" applyFont="1" applyFill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177" fontId="14" fillId="0" borderId="0" xfId="0" applyNumberFormat="1" applyFont="1" applyFill="1" applyAlignment="1">
      <alignment horizontal="left" vertical="center"/>
    </xf>
    <xf numFmtId="177" fontId="0" fillId="0" borderId="0" xfId="0" applyNumberFormat="1" applyFill="1" applyAlignment="1">
      <alignment horizontal="left" vertical="center"/>
    </xf>
    <xf numFmtId="177" fontId="4" fillId="0" borderId="0" xfId="0" applyNumberFormat="1" applyFont="1" applyFill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176" fontId="17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177" fontId="17" fillId="0" borderId="0" xfId="0" applyNumberFormat="1" applyFont="1" applyFill="1" applyAlignment="1">
      <alignment horizontal="left" vertical="center"/>
    </xf>
    <xf numFmtId="0" fontId="1" fillId="2" borderId="0" xfId="49" applyFont="1" applyFill="1" applyAlignment="1" applyProtection="1">
      <alignment horizontal="left" vertical="center"/>
    </xf>
    <xf numFmtId="176" fontId="1" fillId="2" borderId="0" xfId="49" applyNumberFormat="1" applyFont="1" applyFill="1" applyAlignment="1" applyProtection="1">
      <alignment horizontal="left" vertical="center"/>
    </xf>
    <xf numFmtId="0" fontId="19" fillId="2" borderId="0" xfId="49" applyFont="1" applyFill="1" applyAlignment="1" applyProtection="1">
      <alignment horizontal="left" vertical="center"/>
    </xf>
    <xf numFmtId="49" fontId="19" fillId="2" borderId="0" xfId="49" applyNumberFormat="1" applyFont="1" applyFill="1" applyAlignment="1" applyProtection="1">
      <alignment horizontal="center" vertical="center"/>
    </xf>
    <xf numFmtId="0" fontId="1" fillId="2" borderId="0" xfId="49" applyFont="1" applyFill="1" applyAlignment="1" applyProtection="1">
      <alignment horizontal="center" vertical="center"/>
    </xf>
    <xf numFmtId="0" fontId="20" fillId="2" borderId="0" xfId="49" applyFont="1" applyFill="1" applyAlignment="1" applyProtection="1">
      <alignment horizontal="center" vertical="center"/>
    </xf>
    <xf numFmtId="177" fontId="1" fillId="0" borderId="0" xfId="49" applyNumberFormat="1" applyFont="1" applyFill="1" applyAlignment="1" applyProtection="1">
      <alignment vertical="center"/>
    </xf>
    <xf numFmtId="176" fontId="1" fillId="2" borderId="0" xfId="49" applyNumberFormat="1" applyFont="1" applyFill="1" applyAlignment="1" applyProtection="1">
      <alignment horizontal="center" vertical="center"/>
    </xf>
    <xf numFmtId="176" fontId="1" fillId="2" borderId="0" xfId="49" applyNumberFormat="1" applyFont="1" applyFill="1" applyAlignment="1" applyProtection="1">
      <alignment vertical="center"/>
    </xf>
    <xf numFmtId="49" fontId="19" fillId="2" borderId="0" xfId="49" applyNumberFormat="1" applyFont="1" applyFill="1" applyAlignment="1" applyProtection="1">
      <alignment vertical="center"/>
    </xf>
    <xf numFmtId="49" fontId="19" fillId="2" borderId="0" xfId="49" applyNumberFormat="1" applyFont="1" applyFill="1" applyAlignment="1" applyProtection="1">
      <alignment horizontal="center" vertical="center" wrapText="1"/>
    </xf>
    <xf numFmtId="0" fontId="1" fillId="2" borderId="0" xfId="49" applyFont="1" applyFill="1" applyAlignment="1" applyProtection="1">
      <alignment horizontal="center" vertical="center" wrapText="1"/>
    </xf>
    <xf numFmtId="0" fontId="20" fillId="2" borderId="0" xfId="49" applyFont="1" applyFill="1" applyAlignment="1" applyProtection="1">
      <alignment horizontal="center" vertical="center" wrapText="1"/>
    </xf>
    <xf numFmtId="177" fontId="1" fillId="0" borderId="0" xfId="49" applyNumberFormat="1" applyFont="1" applyFill="1" applyAlignment="1" applyProtection="1">
      <alignment horizontal="left" vertical="center" readingOrder="1"/>
    </xf>
    <xf numFmtId="0" fontId="21" fillId="2" borderId="0" xfId="0" applyFont="1" applyFill="1" applyAlignment="1">
      <alignment horizontal="center" vertical="center"/>
    </xf>
    <xf numFmtId="176" fontId="21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177" fontId="21" fillId="0" borderId="0" xfId="0" applyNumberFormat="1" applyFont="1" applyFill="1" applyAlignment="1">
      <alignment horizontal="center" vertical="center"/>
    </xf>
    <xf numFmtId="177" fontId="21" fillId="2" borderId="0" xfId="0" applyNumberFormat="1" applyFont="1" applyFill="1" applyAlignment="1">
      <alignment horizontal="center" vertical="center"/>
    </xf>
    <xf numFmtId="177" fontId="24" fillId="0" borderId="0" xfId="0" applyNumberFormat="1" applyFont="1" applyFill="1" applyAlignment="1">
      <alignment horizontal="center" vertical="center"/>
    </xf>
    <xf numFmtId="10" fontId="21" fillId="2" borderId="0" xfId="0" applyNumberFormat="1" applyFont="1" applyFill="1" applyAlignment="1">
      <alignment horizontal="center" vertical="center"/>
    </xf>
    <xf numFmtId="0" fontId="1" fillId="0" borderId="1" xfId="49" applyFont="1" applyFill="1" applyBorder="1" applyAlignment="1" applyProtection="1">
      <alignment horizontal="center" vertical="center"/>
    </xf>
    <xf numFmtId="176" fontId="1" fillId="0" borderId="1" xfId="49" applyNumberFormat="1" applyFont="1" applyFill="1" applyBorder="1" applyAlignment="1" applyProtection="1">
      <alignment horizontal="center" vertical="center"/>
    </xf>
    <xf numFmtId="49" fontId="25" fillId="0" borderId="1" xfId="49" applyNumberFormat="1" applyFont="1" applyFill="1" applyBorder="1" applyAlignment="1" applyProtection="1">
      <alignment horizontal="center" vertical="center"/>
    </xf>
    <xf numFmtId="49" fontId="26" fillId="0" borderId="1" xfId="49" applyNumberFormat="1" applyFont="1" applyFill="1" applyBorder="1" applyAlignment="1" applyProtection="1">
      <alignment horizontal="center" vertical="center"/>
    </xf>
    <xf numFmtId="49" fontId="3" fillId="0" borderId="1" xfId="49" applyNumberFormat="1" applyFont="1" applyFill="1" applyBorder="1" applyAlignment="1" applyProtection="1">
      <alignment horizontal="center" vertical="center"/>
    </xf>
    <xf numFmtId="177" fontId="27" fillId="0" borderId="1" xfId="49" applyNumberFormat="1" applyFont="1" applyFill="1" applyBorder="1" applyAlignment="1" applyProtection="1">
      <alignment horizontal="center" vertical="center"/>
    </xf>
    <xf numFmtId="177" fontId="26" fillId="0" borderId="1" xfId="49" applyNumberFormat="1" applyFont="1" applyFill="1" applyBorder="1" applyAlignment="1" applyProtection="1">
      <alignment horizontal="center" vertical="center"/>
    </xf>
    <xf numFmtId="177" fontId="28" fillId="0" borderId="1" xfId="49" applyNumberFormat="1" applyFont="1" applyFill="1" applyBorder="1" applyAlignment="1" applyProtection="1">
      <alignment horizontal="center" vertical="center"/>
    </xf>
    <xf numFmtId="178" fontId="27" fillId="0" borderId="1" xfId="49" applyNumberFormat="1" applyFont="1" applyFill="1" applyBorder="1" applyAlignment="1" applyProtection="1">
      <alignment horizontal="center" vertical="center"/>
    </xf>
    <xf numFmtId="0" fontId="29" fillId="0" borderId="1" xfId="49" applyFont="1" applyFill="1" applyBorder="1" applyAlignment="1" applyProtection="1">
      <alignment horizontal="center" vertical="center"/>
    </xf>
    <xf numFmtId="176" fontId="29" fillId="0" borderId="1" xfId="49" applyNumberFormat="1" applyFont="1" applyFill="1" applyBorder="1" applyAlignment="1" applyProtection="1">
      <alignment horizontal="center" vertical="center"/>
    </xf>
    <xf numFmtId="49" fontId="30" fillId="0" borderId="1" xfId="49" applyNumberFormat="1" applyFont="1" applyFill="1" applyBorder="1" applyAlignment="1" applyProtection="1">
      <alignment horizontal="center" vertical="center"/>
    </xf>
    <xf numFmtId="49" fontId="31" fillId="0" borderId="1" xfId="49" applyNumberFormat="1" applyFont="1" applyFill="1" applyBorder="1" applyAlignment="1" applyProtection="1">
      <alignment horizontal="center" vertical="center"/>
    </xf>
    <xf numFmtId="49" fontId="32" fillId="0" borderId="1" xfId="49" applyNumberFormat="1" applyFont="1" applyFill="1" applyBorder="1" applyAlignment="1" applyProtection="1">
      <alignment horizontal="center" vertical="center"/>
    </xf>
    <xf numFmtId="177" fontId="30" fillId="0" borderId="1" xfId="49" applyNumberFormat="1" applyFont="1" applyFill="1" applyBorder="1" applyAlignment="1" applyProtection="1">
      <alignment horizontal="center" vertical="center"/>
    </xf>
    <xf numFmtId="177" fontId="33" fillId="0" borderId="1" xfId="49" applyNumberFormat="1" applyFont="1" applyFill="1" applyBorder="1" applyAlignment="1" applyProtection="1">
      <alignment horizontal="center" vertical="center"/>
    </xf>
    <xf numFmtId="10" fontId="34" fillId="0" borderId="1" xfId="49" applyNumberFormat="1" applyFont="1" applyFill="1" applyBorder="1" applyAlignment="1" applyProtection="1">
      <alignment horizontal="center" vertical="center"/>
    </xf>
    <xf numFmtId="178" fontId="0" fillId="0" borderId="0" xfId="0" applyNumberFormat="1" applyFill="1" applyAlignment="1">
      <alignment vertical="center"/>
    </xf>
    <xf numFmtId="49" fontId="29" fillId="0" borderId="1" xfId="49" applyNumberFormat="1" applyFont="1" applyFill="1" applyBorder="1" applyAlignment="1" applyProtection="1">
      <alignment horizontal="center" vertical="center"/>
    </xf>
    <xf numFmtId="0" fontId="35" fillId="0" borderId="1" xfId="0" applyFont="1" applyFill="1" applyBorder="1" applyAlignment="1">
      <alignment horizontal="center" vertical="center" wrapText="1"/>
    </xf>
    <xf numFmtId="0" fontId="36" fillId="0" borderId="0" xfId="49" applyFont="1" applyFill="1" applyAlignment="1" applyProtection="1">
      <alignment horizontal="center" vertical="center"/>
    </xf>
    <xf numFmtId="176" fontId="36" fillId="0" borderId="0" xfId="49" applyNumberFormat="1" applyFont="1" applyFill="1" applyAlignment="1" applyProtection="1">
      <alignment horizontal="center" vertical="center"/>
    </xf>
    <xf numFmtId="49" fontId="29" fillId="0" borderId="0" xfId="49" applyNumberFormat="1" applyFont="1" applyFill="1" applyAlignment="1" applyProtection="1">
      <alignment horizontal="center" vertical="center"/>
    </xf>
    <xf numFmtId="49" fontId="31" fillId="0" borderId="0" xfId="49" applyNumberFormat="1" applyFont="1" applyFill="1" applyAlignment="1" applyProtection="1">
      <alignment horizontal="center" vertical="center"/>
    </xf>
    <xf numFmtId="49" fontId="37" fillId="0" borderId="0" xfId="49" applyNumberFormat="1" applyFont="1" applyFill="1" applyAlignment="1" applyProtection="1">
      <alignment horizontal="center" vertical="center"/>
    </xf>
    <xf numFmtId="0" fontId="35" fillId="0" borderId="0" xfId="0" applyFont="1" applyFill="1" applyAlignment="1">
      <alignment horizontal="center" vertical="center"/>
    </xf>
    <xf numFmtId="177" fontId="30" fillId="0" borderId="0" xfId="49" applyNumberFormat="1" applyFont="1" applyFill="1" applyAlignment="1" applyProtection="1">
      <alignment horizontal="center" vertical="center"/>
    </xf>
    <xf numFmtId="177" fontId="37" fillId="0" borderId="0" xfId="49" applyNumberFormat="1" applyFont="1" applyFill="1" applyAlignment="1" applyProtection="1">
      <alignment horizontal="center" vertical="center"/>
    </xf>
    <xf numFmtId="177" fontId="33" fillId="0" borderId="0" xfId="49" applyNumberFormat="1" applyFont="1" applyFill="1" applyAlignment="1" applyProtection="1">
      <alignment horizontal="center" vertical="center"/>
    </xf>
    <xf numFmtId="177" fontId="33" fillId="0" borderId="0" xfId="49" applyNumberFormat="1" applyFont="1" applyFill="1" applyBorder="1" applyAlignment="1" applyProtection="1">
      <alignment horizontal="center" vertical="center"/>
    </xf>
    <xf numFmtId="0" fontId="6" fillId="0" borderId="0" xfId="49" applyFont="1" applyFill="1" applyAlignment="1" applyProtection="1">
      <alignment horizontal="center" vertical="center"/>
    </xf>
    <xf numFmtId="176" fontId="6" fillId="0" borderId="0" xfId="49" applyNumberFormat="1" applyFont="1" applyFill="1" applyAlignment="1" applyProtection="1">
      <alignment horizontal="center" vertical="center"/>
    </xf>
    <xf numFmtId="0" fontId="7" fillId="0" borderId="0" xfId="49" applyFont="1" applyFill="1" applyAlignment="1" applyProtection="1">
      <alignment horizontal="center" vertical="center"/>
    </xf>
    <xf numFmtId="0" fontId="8" fillId="0" borderId="0" xfId="49" applyFont="1" applyFill="1" applyAlignment="1" applyProtection="1">
      <alignment horizontal="center" vertical="center"/>
    </xf>
    <xf numFmtId="10" fontId="6" fillId="0" borderId="0" xfId="49" applyNumberFormat="1" applyFont="1" applyFill="1" applyAlignment="1" applyProtection="1">
      <alignment horizontal="center" vertical="center"/>
    </xf>
    <xf numFmtId="0" fontId="10" fillId="0" borderId="0" xfId="49" applyFont="1" applyFill="1" applyAlignment="1" applyProtection="1">
      <alignment horizontal="center" vertical="center"/>
    </xf>
    <xf numFmtId="176" fontId="10" fillId="0" borderId="0" xfId="49" applyNumberFormat="1" applyFont="1" applyFill="1" applyAlignment="1" applyProtection="1">
      <alignment horizontal="center" vertical="center"/>
    </xf>
    <xf numFmtId="0" fontId="11" fillId="0" borderId="0" xfId="49" applyFont="1" applyFill="1" applyAlignment="1" applyProtection="1">
      <alignment horizontal="center" vertical="center"/>
    </xf>
    <xf numFmtId="0" fontId="12" fillId="0" borderId="0" xfId="49" applyFont="1" applyFill="1" applyAlignment="1" applyProtection="1">
      <alignment horizontal="center" vertical="center"/>
    </xf>
    <xf numFmtId="10" fontId="10" fillId="0" borderId="0" xfId="49" applyNumberFormat="1" applyFont="1" applyFill="1" applyAlignment="1" applyProtection="1">
      <alignment horizontal="center" vertical="center"/>
    </xf>
    <xf numFmtId="0" fontId="14" fillId="0" borderId="0" xfId="0" applyFont="1" applyFill="1" applyAlignment="1">
      <alignment horizontal="left" vertical="center"/>
    </xf>
    <xf numFmtId="176" fontId="14" fillId="0" borderId="0" xfId="0" applyNumberFormat="1" applyFont="1" applyFill="1" applyAlignment="1">
      <alignment horizontal="left" vertical="center"/>
    </xf>
    <xf numFmtId="0" fontId="15" fillId="0" borderId="0" xfId="0" applyFont="1" applyFill="1" applyAlignment="1">
      <alignment horizontal="left" vertical="center"/>
    </xf>
    <xf numFmtId="0" fontId="16" fillId="0" borderId="0" xfId="0" applyFont="1" applyFill="1" applyAlignment="1">
      <alignment horizontal="left" vertical="center"/>
    </xf>
    <xf numFmtId="0" fontId="17" fillId="0" borderId="0" xfId="0" applyFont="1" applyFill="1" applyAlignment="1">
      <alignment horizontal="left" vertical="center"/>
    </xf>
    <xf numFmtId="176" fontId="17" fillId="0" borderId="0" xfId="0" applyNumberFormat="1" applyFont="1" applyFill="1" applyAlignment="1">
      <alignment horizontal="left" vertical="center"/>
    </xf>
    <xf numFmtId="0" fontId="18" fillId="0" borderId="0" xfId="0" applyFont="1" applyFill="1" applyAlignment="1">
      <alignment horizontal="left" vertical="center"/>
    </xf>
    <xf numFmtId="0" fontId="1" fillId="0" borderId="0" xfId="49" applyFont="1" applyFill="1" applyAlignment="1" applyProtection="1">
      <alignment horizontal="left" vertical="center"/>
    </xf>
    <xf numFmtId="176" fontId="1" fillId="0" borderId="0" xfId="49" applyNumberFormat="1" applyFont="1" applyFill="1" applyAlignment="1" applyProtection="1">
      <alignment horizontal="left" vertical="center"/>
    </xf>
    <xf numFmtId="0" fontId="19" fillId="0" borderId="0" xfId="49" applyFont="1" applyFill="1" applyAlignment="1" applyProtection="1">
      <alignment horizontal="left" vertical="center"/>
    </xf>
    <xf numFmtId="49" fontId="19" fillId="0" borderId="0" xfId="49" applyNumberFormat="1" applyFont="1" applyFill="1" applyAlignment="1" applyProtection="1">
      <alignment horizontal="center" vertical="center"/>
    </xf>
    <xf numFmtId="0" fontId="1" fillId="0" borderId="0" xfId="49" applyFont="1" applyFill="1" applyAlignment="1" applyProtection="1">
      <alignment horizontal="center" vertical="center"/>
    </xf>
    <xf numFmtId="0" fontId="20" fillId="0" borderId="0" xfId="49" applyFont="1" applyFill="1" applyAlignment="1" applyProtection="1">
      <alignment horizontal="center" vertical="center"/>
    </xf>
    <xf numFmtId="176" fontId="1" fillId="0" borderId="0" xfId="49" applyNumberFormat="1" applyFont="1" applyFill="1" applyAlignment="1" applyProtection="1">
      <alignment horizontal="center" vertical="center"/>
    </xf>
    <xf numFmtId="0" fontId="1" fillId="0" borderId="0" xfId="49" applyFont="1" applyFill="1" applyAlignment="1" applyProtection="1">
      <alignment vertical="center"/>
    </xf>
    <xf numFmtId="176" fontId="1" fillId="0" borderId="0" xfId="49" applyNumberFormat="1" applyFont="1" applyFill="1" applyAlignment="1" applyProtection="1">
      <alignment vertical="center"/>
    </xf>
    <xf numFmtId="49" fontId="19" fillId="0" borderId="0" xfId="49" applyNumberFormat="1" applyFont="1" applyFill="1" applyAlignment="1" applyProtection="1">
      <alignment vertical="center"/>
    </xf>
    <xf numFmtId="49" fontId="19" fillId="0" borderId="0" xfId="49" applyNumberFormat="1" applyFont="1" applyFill="1" applyAlignment="1" applyProtection="1">
      <alignment horizontal="center" vertical="center" wrapText="1"/>
    </xf>
    <xf numFmtId="0" fontId="1" fillId="0" borderId="0" xfId="49" applyFont="1" applyFill="1" applyAlignment="1" applyProtection="1">
      <alignment horizontal="center" vertical="center" wrapText="1"/>
    </xf>
    <xf numFmtId="0" fontId="20" fillId="0" borderId="0" xfId="49" applyFont="1" applyFill="1" applyAlignment="1" applyProtection="1">
      <alignment horizontal="center" vertical="center" wrapText="1"/>
    </xf>
    <xf numFmtId="0" fontId="21" fillId="0" borderId="0" xfId="0" applyFont="1" applyFill="1" applyAlignment="1">
      <alignment horizontal="center" vertical="center"/>
    </xf>
    <xf numFmtId="176" fontId="21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36" fillId="0" borderId="1" xfId="49" applyFont="1" applyFill="1" applyBorder="1" applyAlignment="1" applyProtection="1">
      <alignment horizontal="center" vertical="center"/>
    </xf>
    <xf numFmtId="176" fontId="36" fillId="0" borderId="1" xfId="49" applyNumberFormat="1" applyFont="1" applyFill="1" applyBorder="1" applyAlignment="1" applyProtection="1">
      <alignment horizontal="center" vertical="center"/>
    </xf>
    <xf numFmtId="49" fontId="37" fillId="0" borderId="1" xfId="49" applyNumberFormat="1" applyFont="1" applyFill="1" applyBorder="1" applyAlignment="1" applyProtection="1">
      <alignment horizontal="center" vertical="center"/>
    </xf>
    <xf numFmtId="177" fontId="37" fillId="0" borderId="1" xfId="49" applyNumberFormat="1" applyFont="1" applyFill="1" applyBorder="1" applyAlignment="1" applyProtection="1">
      <alignment horizontal="center" vertical="center"/>
    </xf>
    <xf numFmtId="10" fontId="38" fillId="0" borderId="1" xfId="49" applyNumberFormat="1" applyFont="1" applyFill="1" applyBorder="1" applyAlignment="1" applyProtection="1">
      <alignment horizontal="center" vertical="center"/>
    </xf>
    <xf numFmtId="177" fontId="39" fillId="0" borderId="1" xfId="0" applyNumberFormat="1" applyFont="1" applyFill="1" applyBorder="1" applyAlignment="1">
      <alignment horizontal="center" vertical="center" wrapText="1"/>
    </xf>
    <xf numFmtId="10" fontId="5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35" fillId="0" borderId="0" xfId="0" applyFont="1" applyFill="1" applyAlignment="1">
      <alignment horizontal="center" vertical="center" wrapText="1"/>
    </xf>
    <xf numFmtId="177" fontId="37" fillId="0" borderId="0" xfId="49" applyNumberFormat="1" applyFont="1" applyFill="1" applyBorder="1" applyAlignment="1" applyProtection="1">
      <alignment horizontal="center" vertical="center"/>
    </xf>
    <xf numFmtId="0" fontId="40" fillId="0" borderId="0" xfId="0" applyFont="1" applyFill="1" applyAlignment="1">
      <alignment horizontal="left" vertical="center"/>
    </xf>
    <xf numFmtId="176" fontId="40" fillId="0" borderId="0" xfId="0" applyNumberFormat="1" applyFont="1" applyFill="1" applyAlignment="1">
      <alignment horizontal="left" vertical="center"/>
    </xf>
    <xf numFmtId="10" fontId="40" fillId="0" borderId="0" xfId="0" applyNumberFormat="1" applyFont="1" applyFill="1" applyAlignment="1">
      <alignment horizontal="left" vertical="center"/>
    </xf>
    <xf numFmtId="0" fontId="32" fillId="0" borderId="0" xfId="0" applyFont="1" applyFill="1" applyAlignment="1">
      <alignment horizontal="left" vertical="center"/>
    </xf>
    <xf numFmtId="177" fontId="40" fillId="0" borderId="0" xfId="0" applyNumberFormat="1" applyFont="1" applyFill="1" applyAlignment="1">
      <alignment horizontal="left" vertical="center"/>
    </xf>
    <xf numFmtId="177" fontId="41" fillId="0" borderId="0" xfId="0" applyNumberFormat="1" applyFont="1" applyFill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x001e_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34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763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35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763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9238</xdr:colOff>
      <xdr:row>4</xdr:row>
      <xdr:rowOff>177105</xdr:rowOff>
    </xdr:to>
    <xdr:pic>
      <xdr:nvPicPr>
        <xdr:cNvPr id="36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88138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9238</xdr:colOff>
      <xdr:row>4</xdr:row>
      <xdr:rowOff>177105</xdr:rowOff>
    </xdr:to>
    <xdr:pic>
      <xdr:nvPicPr>
        <xdr:cNvPr id="37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88138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9238</xdr:colOff>
      <xdr:row>4</xdr:row>
      <xdr:rowOff>177105</xdr:rowOff>
    </xdr:to>
    <xdr:pic>
      <xdr:nvPicPr>
        <xdr:cNvPr id="38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88138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9238</xdr:colOff>
      <xdr:row>4</xdr:row>
      <xdr:rowOff>177105</xdr:rowOff>
    </xdr:to>
    <xdr:pic>
      <xdr:nvPicPr>
        <xdr:cNvPr id="39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88138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40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763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41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763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42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763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43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763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9238</xdr:colOff>
      <xdr:row>4</xdr:row>
      <xdr:rowOff>177105</xdr:rowOff>
    </xdr:to>
    <xdr:pic>
      <xdr:nvPicPr>
        <xdr:cNvPr id="44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88138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9238</xdr:colOff>
      <xdr:row>4</xdr:row>
      <xdr:rowOff>177105</xdr:rowOff>
    </xdr:to>
    <xdr:pic>
      <xdr:nvPicPr>
        <xdr:cNvPr id="45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88138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9238</xdr:colOff>
      <xdr:row>4</xdr:row>
      <xdr:rowOff>177105</xdr:rowOff>
    </xdr:to>
    <xdr:pic>
      <xdr:nvPicPr>
        <xdr:cNvPr id="46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88138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9238</xdr:colOff>
      <xdr:row>4</xdr:row>
      <xdr:rowOff>177105</xdr:rowOff>
    </xdr:to>
    <xdr:pic>
      <xdr:nvPicPr>
        <xdr:cNvPr id="47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88138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48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763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49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763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50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763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51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763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9238</xdr:colOff>
      <xdr:row>4</xdr:row>
      <xdr:rowOff>177105</xdr:rowOff>
    </xdr:to>
    <xdr:pic>
      <xdr:nvPicPr>
        <xdr:cNvPr id="52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88138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9238</xdr:colOff>
      <xdr:row>4</xdr:row>
      <xdr:rowOff>177105</xdr:rowOff>
    </xdr:to>
    <xdr:pic>
      <xdr:nvPicPr>
        <xdr:cNvPr id="53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88138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9238</xdr:colOff>
      <xdr:row>4</xdr:row>
      <xdr:rowOff>177105</xdr:rowOff>
    </xdr:to>
    <xdr:pic>
      <xdr:nvPicPr>
        <xdr:cNvPr id="54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88138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9238</xdr:colOff>
      <xdr:row>4</xdr:row>
      <xdr:rowOff>177105</xdr:rowOff>
    </xdr:to>
    <xdr:pic>
      <xdr:nvPicPr>
        <xdr:cNvPr id="55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88138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56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763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57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763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58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763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59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763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9238</xdr:colOff>
      <xdr:row>4</xdr:row>
      <xdr:rowOff>177105</xdr:rowOff>
    </xdr:to>
    <xdr:pic>
      <xdr:nvPicPr>
        <xdr:cNvPr id="60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88138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9238</xdr:colOff>
      <xdr:row>4</xdr:row>
      <xdr:rowOff>177105</xdr:rowOff>
    </xdr:to>
    <xdr:pic>
      <xdr:nvPicPr>
        <xdr:cNvPr id="61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88138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9238</xdr:colOff>
      <xdr:row>4</xdr:row>
      <xdr:rowOff>177105</xdr:rowOff>
    </xdr:to>
    <xdr:pic>
      <xdr:nvPicPr>
        <xdr:cNvPr id="62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88138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9238</xdr:colOff>
      <xdr:row>4</xdr:row>
      <xdr:rowOff>177105</xdr:rowOff>
    </xdr:to>
    <xdr:pic>
      <xdr:nvPicPr>
        <xdr:cNvPr id="63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88138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64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763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5</xdr:row>
      <xdr:rowOff>12501</xdr:rowOff>
    </xdr:from>
    <xdr:to>
      <xdr:col>0</xdr:col>
      <xdr:colOff>9238</xdr:colOff>
      <xdr:row>5</xdr:row>
      <xdr:rowOff>177105</xdr:rowOff>
    </xdr:to>
    <xdr:pic>
      <xdr:nvPicPr>
        <xdr:cNvPr id="65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763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90</xdr:row>
      <xdr:rowOff>12501</xdr:rowOff>
    </xdr:from>
    <xdr:to>
      <xdr:col>0</xdr:col>
      <xdr:colOff>9238</xdr:colOff>
      <xdr:row>90</xdr:row>
      <xdr:rowOff>177105</xdr:rowOff>
    </xdr:to>
    <xdr:pic>
      <xdr:nvPicPr>
        <xdr:cNvPr id="130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51555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90</xdr:row>
      <xdr:rowOff>12501</xdr:rowOff>
    </xdr:from>
    <xdr:to>
      <xdr:col>0</xdr:col>
      <xdr:colOff>9238</xdr:colOff>
      <xdr:row>90</xdr:row>
      <xdr:rowOff>177105</xdr:rowOff>
    </xdr:to>
    <xdr:pic>
      <xdr:nvPicPr>
        <xdr:cNvPr id="131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51555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9238</xdr:colOff>
      <xdr:row>89</xdr:row>
      <xdr:rowOff>177105</xdr:rowOff>
    </xdr:to>
    <xdr:pic>
      <xdr:nvPicPr>
        <xdr:cNvPr id="132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491486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9238</xdr:colOff>
      <xdr:row>89</xdr:row>
      <xdr:rowOff>177105</xdr:rowOff>
    </xdr:to>
    <xdr:pic>
      <xdr:nvPicPr>
        <xdr:cNvPr id="133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491486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9238</xdr:colOff>
      <xdr:row>89</xdr:row>
      <xdr:rowOff>177105</xdr:rowOff>
    </xdr:to>
    <xdr:pic>
      <xdr:nvPicPr>
        <xdr:cNvPr id="134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491486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9238</xdr:colOff>
      <xdr:row>89</xdr:row>
      <xdr:rowOff>177105</xdr:rowOff>
    </xdr:to>
    <xdr:pic>
      <xdr:nvPicPr>
        <xdr:cNvPr id="135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491486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90</xdr:row>
      <xdr:rowOff>12501</xdr:rowOff>
    </xdr:from>
    <xdr:to>
      <xdr:col>0</xdr:col>
      <xdr:colOff>9238</xdr:colOff>
      <xdr:row>90</xdr:row>
      <xdr:rowOff>177105</xdr:rowOff>
    </xdr:to>
    <xdr:pic>
      <xdr:nvPicPr>
        <xdr:cNvPr id="136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51555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90</xdr:row>
      <xdr:rowOff>12501</xdr:rowOff>
    </xdr:from>
    <xdr:to>
      <xdr:col>0</xdr:col>
      <xdr:colOff>9238</xdr:colOff>
      <xdr:row>90</xdr:row>
      <xdr:rowOff>177105</xdr:rowOff>
    </xdr:to>
    <xdr:pic>
      <xdr:nvPicPr>
        <xdr:cNvPr id="137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51555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90</xdr:row>
      <xdr:rowOff>12501</xdr:rowOff>
    </xdr:from>
    <xdr:to>
      <xdr:col>0</xdr:col>
      <xdr:colOff>9238</xdr:colOff>
      <xdr:row>90</xdr:row>
      <xdr:rowOff>177105</xdr:rowOff>
    </xdr:to>
    <xdr:pic>
      <xdr:nvPicPr>
        <xdr:cNvPr id="138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51555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90</xdr:row>
      <xdr:rowOff>12501</xdr:rowOff>
    </xdr:from>
    <xdr:to>
      <xdr:col>0</xdr:col>
      <xdr:colOff>9238</xdr:colOff>
      <xdr:row>90</xdr:row>
      <xdr:rowOff>177105</xdr:rowOff>
    </xdr:to>
    <xdr:pic>
      <xdr:nvPicPr>
        <xdr:cNvPr id="139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51555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9238</xdr:colOff>
      <xdr:row>89</xdr:row>
      <xdr:rowOff>177105</xdr:rowOff>
    </xdr:to>
    <xdr:pic>
      <xdr:nvPicPr>
        <xdr:cNvPr id="140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491486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9238</xdr:colOff>
      <xdr:row>89</xdr:row>
      <xdr:rowOff>177105</xdr:rowOff>
    </xdr:to>
    <xdr:pic>
      <xdr:nvPicPr>
        <xdr:cNvPr id="141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491486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9238</xdr:colOff>
      <xdr:row>89</xdr:row>
      <xdr:rowOff>177105</xdr:rowOff>
    </xdr:to>
    <xdr:pic>
      <xdr:nvPicPr>
        <xdr:cNvPr id="142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491486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9238</xdr:colOff>
      <xdr:row>89</xdr:row>
      <xdr:rowOff>177105</xdr:rowOff>
    </xdr:to>
    <xdr:pic>
      <xdr:nvPicPr>
        <xdr:cNvPr id="143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491486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90</xdr:row>
      <xdr:rowOff>12501</xdr:rowOff>
    </xdr:from>
    <xdr:to>
      <xdr:col>0</xdr:col>
      <xdr:colOff>9238</xdr:colOff>
      <xdr:row>90</xdr:row>
      <xdr:rowOff>177105</xdr:rowOff>
    </xdr:to>
    <xdr:pic>
      <xdr:nvPicPr>
        <xdr:cNvPr id="144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51555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90</xdr:row>
      <xdr:rowOff>12501</xdr:rowOff>
    </xdr:from>
    <xdr:to>
      <xdr:col>0</xdr:col>
      <xdr:colOff>9238</xdr:colOff>
      <xdr:row>90</xdr:row>
      <xdr:rowOff>177105</xdr:rowOff>
    </xdr:to>
    <xdr:pic>
      <xdr:nvPicPr>
        <xdr:cNvPr id="145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51555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90</xdr:row>
      <xdr:rowOff>12501</xdr:rowOff>
    </xdr:from>
    <xdr:to>
      <xdr:col>0</xdr:col>
      <xdr:colOff>9238</xdr:colOff>
      <xdr:row>90</xdr:row>
      <xdr:rowOff>177105</xdr:rowOff>
    </xdr:to>
    <xdr:pic>
      <xdr:nvPicPr>
        <xdr:cNvPr id="146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51555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90</xdr:row>
      <xdr:rowOff>12501</xdr:rowOff>
    </xdr:from>
    <xdr:to>
      <xdr:col>0</xdr:col>
      <xdr:colOff>9238</xdr:colOff>
      <xdr:row>90</xdr:row>
      <xdr:rowOff>177105</xdr:rowOff>
    </xdr:to>
    <xdr:pic>
      <xdr:nvPicPr>
        <xdr:cNvPr id="147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51555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9238</xdr:colOff>
      <xdr:row>89</xdr:row>
      <xdr:rowOff>177105</xdr:rowOff>
    </xdr:to>
    <xdr:pic>
      <xdr:nvPicPr>
        <xdr:cNvPr id="148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491486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9238</xdr:colOff>
      <xdr:row>89</xdr:row>
      <xdr:rowOff>177105</xdr:rowOff>
    </xdr:to>
    <xdr:pic>
      <xdr:nvPicPr>
        <xdr:cNvPr id="149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491486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9238</xdr:colOff>
      <xdr:row>89</xdr:row>
      <xdr:rowOff>177105</xdr:rowOff>
    </xdr:to>
    <xdr:pic>
      <xdr:nvPicPr>
        <xdr:cNvPr id="150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491486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9238</xdr:colOff>
      <xdr:row>89</xdr:row>
      <xdr:rowOff>177105</xdr:rowOff>
    </xdr:to>
    <xdr:pic>
      <xdr:nvPicPr>
        <xdr:cNvPr id="151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491486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90</xdr:row>
      <xdr:rowOff>12501</xdr:rowOff>
    </xdr:from>
    <xdr:to>
      <xdr:col>0</xdr:col>
      <xdr:colOff>9238</xdr:colOff>
      <xdr:row>90</xdr:row>
      <xdr:rowOff>177105</xdr:rowOff>
    </xdr:to>
    <xdr:pic>
      <xdr:nvPicPr>
        <xdr:cNvPr id="152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51555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90</xdr:row>
      <xdr:rowOff>12501</xdr:rowOff>
    </xdr:from>
    <xdr:to>
      <xdr:col>0</xdr:col>
      <xdr:colOff>9238</xdr:colOff>
      <xdr:row>90</xdr:row>
      <xdr:rowOff>177105</xdr:rowOff>
    </xdr:to>
    <xdr:pic>
      <xdr:nvPicPr>
        <xdr:cNvPr id="153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51555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90</xdr:row>
      <xdr:rowOff>12501</xdr:rowOff>
    </xdr:from>
    <xdr:to>
      <xdr:col>0</xdr:col>
      <xdr:colOff>9238</xdr:colOff>
      <xdr:row>90</xdr:row>
      <xdr:rowOff>177105</xdr:rowOff>
    </xdr:to>
    <xdr:pic>
      <xdr:nvPicPr>
        <xdr:cNvPr id="154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51555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90</xdr:row>
      <xdr:rowOff>12501</xdr:rowOff>
    </xdr:from>
    <xdr:to>
      <xdr:col>0</xdr:col>
      <xdr:colOff>9238</xdr:colOff>
      <xdr:row>90</xdr:row>
      <xdr:rowOff>177105</xdr:rowOff>
    </xdr:to>
    <xdr:pic>
      <xdr:nvPicPr>
        <xdr:cNvPr id="155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51555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9238</xdr:colOff>
      <xdr:row>89</xdr:row>
      <xdr:rowOff>177105</xdr:rowOff>
    </xdr:to>
    <xdr:pic>
      <xdr:nvPicPr>
        <xdr:cNvPr id="156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491486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9238</xdr:colOff>
      <xdr:row>89</xdr:row>
      <xdr:rowOff>177105</xdr:rowOff>
    </xdr:to>
    <xdr:pic>
      <xdr:nvPicPr>
        <xdr:cNvPr id="157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491486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9238</xdr:colOff>
      <xdr:row>89</xdr:row>
      <xdr:rowOff>177105</xdr:rowOff>
    </xdr:to>
    <xdr:pic>
      <xdr:nvPicPr>
        <xdr:cNvPr id="158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491486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9238</xdr:colOff>
      <xdr:row>89</xdr:row>
      <xdr:rowOff>177105</xdr:rowOff>
    </xdr:to>
    <xdr:pic>
      <xdr:nvPicPr>
        <xdr:cNvPr id="159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491486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90</xdr:row>
      <xdr:rowOff>12501</xdr:rowOff>
    </xdr:from>
    <xdr:to>
      <xdr:col>0</xdr:col>
      <xdr:colOff>9238</xdr:colOff>
      <xdr:row>90</xdr:row>
      <xdr:rowOff>177105</xdr:rowOff>
    </xdr:to>
    <xdr:pic>
      <xdr:nvPicPr>
        <xdr:cNvPr id="160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51555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90</xdr:row>
      <xdr:rowOff>12501</xdr:rowOff>
    </xdr:from>
    <xdr:to>
      <xdr:col>0</xdr:col>
      <xdr:colOff>9238</xdr:colOff>
      <xdr:row>90</xdr:row>
      <xdr:rowOff>177105</xdr:rowOff>
    </xdr:to>
    <xdr:pic>
      <xdr:nvPicPr>
        <xdr:cNvPr id="161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2515552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131</xdr:row>
      <xdr:rowOff>12501</xdr:rowOff>
    </xdr:from>
    <xdr:to>
      <xdr:col>0</xdr:col>
      <xdr:colOff>9238</xdr:colOff>
      <xdr:row>131</xdr:row>
      <xdr:rowOff>177105</xdr:rowOff>
    </xdr:to>
    <xdr:pic>
      <xdr:nvPicPr>
        <xdr:cNvPr id="162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2799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131</xdr:row>
      <xdr:rowOff>12501</xdr:rowOff>
    </xdr:from>
    <xdr:to>
      <xdr:col>0</xdr:col>
      <xdr:colOff>9238</xdr:colOff>
      <xdr:row>131</xdr:row>
      <xdr:rowOff>177105</xdr:rowOff>
    </xdr:to>
    <xdr:pic>
      <xdr:nvPicPr>
        <xdr:cNvPr id="163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2799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9238</xdr:colOff>
      <xdr:row>130</xdr:row>
      <xdr:rowOff>177105</xdr:rowOff>
    </xdr:to>
    <xdr:pic>
      <xdr:nvPicPr>
        <xdr:cNvPr id="164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0393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9238</xdr:colOff>
      <xdr:row>130</xdr:row>
      <xdr:rowOff>177105</xdr:rowOff>
    </xdr:to>
    <xdr:pic>
      <xdr:nvPicPr>
        <xdr:cNvPr id="165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0393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9238</xdr:colOff>
      <xdr:row>130</xdr:row>
      <xdr:rowOff>177105</xdr:rowOff>
    </xdr:to>
    <xdr:pic>
      <xdr:nvPicPr>
        <xdr:cNvPr id="166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0393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9238</xdr:colOff>
      <xdr:row>130</xdr:row>
      <xdr:rowOff>177105</xdr:rowOff>
    </xdr:to>
    <xdr:pic>
      <xdr:nvPicPr>
        <xdr:cNvPr id="167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0393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131</xdr:row>
      <xdr:rowOff>12501</xdr:rowOff>
    </xdr:from>
    <xdr:to>
      <xdr:col>0</xdr:col>
      <xdr:colOff>9238</xdr:colOff>
      <xdr:row>131</xdr:row>
      <xdr:rowOff>177105</xdr:rowOff>
    </xdr:to>
    <xdr:pic>
      <xdr:nvPicPr>
        <xdr:cNvPr id="168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2799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131</xdr:row>
      <xdr:rowOff>12501</xdr:rowOff>
    </xdr:from>
    <xdr:to>
      <xdr:col>0</xdr:col>
      <xdr:colOff>9238</xdr:colOff>
      <xdr:row>131</xdr:row>
      <xdr:rowOff>177105</xdr:rowOff>
    </xdr:to>
    <xdr:pic>
      <xdr:nvPicPr>
        <xdr:cNvPr id="169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2799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131</xdr:row>
      <xdr:rowOff>12501</xdr:rowOff>
    </xdr:from>
    <xdr:to>
      <xdr:col>0</xdr:col>
      <xdr:colOff>9238</xdr:colOff>
      <xdr:row>131</xdr:row>
      <xdr:rowOff>177105</xdr:rowOff>
    </xdr:to>
    <xdr:pic>
      <xdr:nvPicPr>
        <xdr:cNvPr id="170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2799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131</xdr:row>
      <xdr:rowOff>12501</xdr:rowOff>
    </xdr:from>
    <xdr:to>
      <xdr:col>0</xdr:col>
      <xdr:colOff>9238</xdr:colOff>
      <xdr:row>131</xdr:row>
      <xdr:rowOff>177105</xdr:rowOff>
    </xdr:to>
    <xdr:pic>
      <xdr:nvPicPr>
        <xdr:cNvPr id="171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2799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9238</xdr:colOff>
      <xdr:row>130</xdr:row>
      <xdr:rowOff>177105</xdr:rowOff>
    </xdr:to>
    <xdr:pic>
      <xdr:nvPicPr>
        <xdr:cNvPr id="172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0393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9238</xdr:colOff>
      <xdr:row>130</xdr:row>
      <xdr:rowOff>177105</xdr:rowOff>
    </xdr:to>
    <xdr:pic>
      <xdr:nvPicPr>
        <xdr:cNvPr id="173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0393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9238</xdr:colOff>
      <xdr:row>130</xdr:row>
      <xdr:rowOff>177105</xdr:rowOff>
    </xdr:to>
    <xdr:pic>
      <xdr:nvPicPr>
        <xdr:cNvPr id="174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0393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9238</xdr:colOff>
      <xdr:row>130</xdr:row>
      <xdr:rowOff>177105</xdr:rowOff>
    </xdr:to>
    <xdr:pic>
      <xdr:nvPicPr>
        <xdr:cNvPr id="175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0393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131</xdr:row>
      <xdr:rowOff>12501</xdr:rowOff>
    </xdr:from>
    <xdr:to>
      <xdr:col>0</xdr:col>
      <xdr:colOff>9238</xdr:colOff>
      <xdr:row>131</xdr:row>
      <xdr:rowOff>177105</xdr:rowOff>
    </xdr:to>
    <xdr:pic>
      <xdr:nvPicPr>
        <xdr:cNvPr id="176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2799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131</xdr:row>
      <xdr:rowOff>12501</xdr:rowOff>
    </xdr:from>
    <xdr:to>
      <xdr:col>0</xdr:col>
      <xdr:colOff>9238</xdr:colOff>
      <xdr:row>131</xdr:row>
      <xdr:rowOff>177105</xdr:rowOff>
    </xdr:to>
    <xdr:pic>
      <xdr:nvPicPr>
        <xdr:cNvPr id="177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2799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131</xdr:row>
      <xdr:rowOff>12501</xdr:rowOff>
    </xdr:from>
    <xdr:to>
      <xdr:col>0</xdr:col>
      <xdr:colOff>9238</xdr:colOff>
      <xdr:row>131</xdr:row>
      <xdr:rowOff>177105</xdr:rowOff>
    </xdr:to>
    <xdr:pic>
      <xdr:nvPicPr>
        <xdr:cNvPr id="178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2799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131</xdr:row>
      <xdr:rowOff>12501</xdr:rowOff>
    </xdr:from>
    <xdr:to>
      <xdr:col>0</xdr:col>
      <xdr:colOff>9238</xdr:colOff>
      <xdr:row>131</xdr:row>
      <xdr:rowOff>177105</xdr:rowOff>
    </xdr:to>
    <xdr:pic>
      <xdr:nvPicPr>
        <xdr:cNvPr id="179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2799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9238</xdr:colOff>
      <xdr:row>130</xdr:row>
      <xdr:rowOff>177105</xdr:rowOff>
    </xdr:to>
    <xdr:pic>
      <xdr:nvPicPr>
        <xdr:cNvPr id="180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0393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9238</xdr:colOff>
      <xdr:row>130</xdr:row>
      <xdr:rowOff>177105</xdr:rowOff>
    </xdr:to>
    <xdr:pic>
      <xdr:nvPicPr>
        <xdr:cNvPr id="181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0393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9238</xdr:colOff>
      <xdr:row>130</xdr:row>
      <xdr:rowOff>177105</xdr:rowOff>
    </xdr:to>
    <xdr:pic>
      <xdr:nvPicPr>
        <xdr:cNvPr id="182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0393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9238</xdr:colOff>
      <xdr:row>130</xdr:row>
      <xdr:rowOff>177105</xdr:rowOff>
    </xdr:to>
    <xdr:pic>
      <xdr:nvPicPr>
        <xdr:cNvPr id="183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0393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131</xdr:row>
      <xdr:rowOff>12501</xdr:rowOff>
    </xdr:from>
    <xdr:to>
      <xdr:col>0</xdr:col>
      <xdr:colOff>9238</xdr:colOff>
      <xdr:row>131</xdr:row>
      <xdr:rowOff>177105</xdr:rowOff>
    </xdr:to>
    <xdr:pic>
      <xdr:nvPicPr>
        <xdr:cNvPr id="184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2799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131</xdr:row>
      <xdr:rowOff>12501</xdr:rowOff>
    </xdr:from>
    <xdr:to>
      <xdr:col>0</xdr:col>
      <xdr:colOff>9238</xdr:colOff>
      <xdr:row>131</xdr:row>
      <xdr:rowOff>177105</xdr:rowOff>
    </xdr:to>
    <xdr:pic>
      <xdr:nvPicPr>
        <xdr:cNvPr id="185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2799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131</xdr:row>
      <xdr:rowOff>12501</xdr:rowOff>
    </xdr:from>
    <xdr:to>
      <xdr:col>0</xdr:col>
      <xdr:colOff>9238</xdr:colOff>
      <xdr:row>131</xdr:row>
      <xdr:rowOff>177105</xdr:rowOff>
    </xdr:to>
    <xdr:pic>
      <xdr:nvPicPr>
        <xdr:cNvPr id="186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2799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131</xdr:row>
      <xdr:rowOff>12501</xdr:rowOff>
    </xdr:from>
    <xdr:to>
      <xdr:col>0</xdr:col>
      <xdr:colOff>9238</xdr:colOff>
      <xdr:row>131</xdr:row>
      <xdr:rowOff>177105</xdr:rowOff>
    </xdr:to>
    <xdr:pic>
      <xdr:nvPicPr>
        <xdr:cNvPr id="187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2799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9238</xdr:colOff>
      <xdr:row>130</xdr:row>
      <xdr:rowOff>177105</xdr:rowOff>
    </xdr:to>
    <xdr:pic>
      <xdr:nvPicPr>
        <xdr:cNvPr id="188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0393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9238</xdr:colOff>
      <xdr:row>130</xdr:row>
      <xdr:rowOff>177105</xdr:rowOff>
    </xdr:to>
    <xdr:pic>
      <xdr:nvPicPr>
        <xdr:cNvPr id="189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0393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9238</xdr:colOff>
      <xdr:row>130</xdr:row>
      <xdr:rowOff>177105</xdr:rowOff>
    </xdr:to>
    <xdr:pic>
      <xdr:nvPicPr>
        <xdr:cNvPr id="190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0393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9238</xdr:colOff>
      <xdr:row>130</xdr:row>
      <xdr:rowOff>177105</xdr:rowOff>
    </xdr:to>
    <xdr:pic>
      <xdr:nvPicPr>
        <xdr:cNvPr id="191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0393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131</xdr:row>
      <xdr:rowOff>12501</xdr:rowOff>
    </xdr:from>
    <xdr:to>
      <xdr:col>0</xdr:col>
      <xdr:colOff>9238</xdr:colOff>
      <xdr:row>131</xdr:row>
      <xdr:rowOff>177105</xdr:rowOff>
    </xdr:to>
    <xdr:pic>
      <xdr:nvPicPr>
        <xdr:cNvPr id="192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2799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131</xdr:row>
      <xdr:rowOff>12501</xdr:rowOff>
    </xdr:from>
    <xdr:to>
      <xdr:col>0</xdr:col>
      <xdr:colOff>9238</xdr:colOff>
      <xdr:row>131</xdr:row>
      <xdr:rowOff>177105</xdr:rowOff>
    </xdr:to>
    <xdr:pic>
      <xdr:nvPicPr>
        <xdr:cNvPr id="193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352799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189</xdr:row>
      <xdr:rowOff>12501</xdr:rowOff>
    </xdr:from>
    <xdr:to>
      <xdr:col>0</xdr:col>
      <xdr:colOff>9238</xdr:colOff>
      <xdr:row>189</xdr:row>
      <xdr:rowOff>177105</xdr:rowOff>
    </xdr:to>
    <xdr:pic>
      <xdr:nvPicPr>
        <xdr:cNvPr id="98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11803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189</xdr:row>
      <xdr:rowOff>12501</xdr:rowOff>
    </xdr:from>
    <xdr:to>
      <xdr:col>0</xdr:col>
      <xdr:colOff>9238</xdr:colOff>
      <xdr:row>189</xdr:row>
      <xdr:rowOff>177105</xdr:rowOff>
    </xdr:to>
    <xdr:pic>
      <xdr:nvPicPr>
        <xdr:cNvPr id="99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11803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9238</xdr:colOff>
      <xdr:row>188</xdr:row>
      <xdr:rowOff>177105</xdr:rowOff>
    </xdr:to>
    <xdr:pic>
      <xdr:nvPicPr>
        <xdr:cNvPr id="100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08889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9238</xdr:colOff>
      <xdr:row>188</xdr:row>
      <xdr:rowOff>177105</xdr:rowOff>
    </xdr:to>
    <xdr:pic>
      <xdr:nvPicPr>
        <xdr:cNvPr id="101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08889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9238</xdr:colOff>
      <xdr:row>188</xdr:row>
      <xdr:rowOff>177105</xdr:rowOff>
    </xdr:to>
    <xdr:pic>
      <xdr:nvPicPr>
        <xdr:cNvPr id="102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08889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9238</xdr:colOff>
      <xdr:row>188</xdr:row>
      <xdr:rowOff>177105</xdr:rowOff>
    </xdr:to>
    <xdr:pic>
      <xdr:nvPicPr>
        <xdr:cNvPr id="103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08889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189</xdr:row>
      <xdr:rowOff>12501</xdr:rowOff>
    </xdr:from>
    <xdr:to>
      <xdr:col>0</xdr:col>
      <xdr:colOff>9238</xdr:colOff>
      <xdr:row>189</xdr:row>
      <xdr:rowOff>177105</xdr:rowOff>
    </xdr:to>
    <xdr:pic>
      <xdr:nvPicPr>
        <xdr:cNvPr id="104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11803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189</xdr:row>
      <xdr:rowOff>12501</xdr:rowOff>
    </xdr:from>
    <xdr:to>
      <xdr:col>0</xdr:col>
      <xdr:colOff>9238</xdr:colOff>
      <xdr:row>189</xdr:row>
      <xdr:rowOff>177105</xdr:rowOff>
    </xdr:to>
    <xdr:pic>
      <xdr:nvPicPr>
        <xdr:cNvPr id="105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11803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189</xdr:row>
      <xdr:rowOff>12501</xdr:rowOff>
    </xdr:from>
    <xdr:to>
      <xdr:col>0</xdr:col>
      <xdr:colOff>9238</xdr:colOff>
      <xdr:row>189</xdr:row>
      <xdr:rowOff>177105</xdr:rowOff>
    </xdr:to>
    <xdr:pic>
      <xdr:nvPicPr>
        <xdr:cNvPr id="106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11803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189</xdr:row>
      <xdr:rowOff>12501</xdr:rowOff>
    </xdr:from>
    <xdr:to>
      <xdr:col>0</xdr:col>
      <xdr:colOff>9238</xdr:colOff>
      <xdr:row>189</xdr:row>
      <xdr:rowOff>177105</xdr:rowOff>
    </xdr:to>
    <xdr:pic>
      <xdr:nvPicPr>
        <xdr:cNvPr id="107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11803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9238</xdr:colOff>
      <xdr:row>188</xdr:row>
      <xdr:rowOff>177105</xdr:rowOff>
    </xdr:to>
    <xdr:pic>
      <xdr:nvPicPr>
        <xdr:cNvPr id="108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08889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9238</xdr:colOff>
      <xdr:row>188</xdr:row>
      <xdr:rowOff>177105</xdr:rowOff>
    </xdr:to>
    <xdr:pic>
      <xdr:nvPicPr>
        <xdr:cNvPr id="109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08889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9238</xdr:colOff>
      <xdr:row>188</xdr:row>
      <xdr:rowOff>177105</xdr:rowOff>
    </xdr:to>
    <xdr:pic>
      <xdr:nvPicPr>
        <xdr:cNvPr id="110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08889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9238</xdr:colOff>
      <xdr:row>188</xdr:row>
      <xdr:rowOff>177105</xdr:rowOff>
    </xdr:to>
    <xdr:pic>
      <xdr:nvPicPr>
        <xdr:cNvPr id="111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08889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189</xdr:row>
      <xdr:rowOff>12501</xdr:rowOff>
    </xdr:from>
    <xdr:to>
      <xdr:col>0</xdr:col>
      <xdr:colOff>9238</xdr:colOff>
      <xdr:row>189</xdr:row>
      <xdr:rowOff>177105</xdr:rowOff>
    </xdr:to>
    <xdr:pic>
      <xdr:nvPicPr>
        <xdr:cNvPr id="112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11803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189</xdr:row>
      <xdr:rowOff>12501</xdr:rowOff>
    </xdr:from>
    <xdr:to>
      <xdr:col>0</xdr:col>
      <xdr:colOff>9238</xdr:colOff>
      <xdr:row>189</xdr:row>
      <xdr:rowOff>177105</xdr:rowOff>
    </xdr:to>
    <xdr:pic>
      <xdr:nvPicPr>
        <xdr:cNvPr id="113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11803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189</xdr:row>
      <xdr:rowOff>12501</xdr:rowOff>
    </xdr:from>
    <xdr:to>
      <xdr:col>0</xdr:col>
      <xdr:colOff>9238</xdr:colOff>
      <xdr:row>189</xdr:row>
      <xdr:rowOff>177105</xdr:rowOff>
    </xdr:to>
    <xdr:pic>
      <xdr:nvPicPr>
        <xdr:cNvPr id="114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11803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189</xdr:row>
      <xdr:rowOff>12501</xdr:rowOff>
    </xdr:from>
    <xdr:to>
      <xdr:col>0</xdr:col>
      <xdr:colOff>9238</xdr:colOff>
      <xdr:row>189</xdr:row>
      <xdr:rowOff>177105</xdr:rowOff>
    </xdr:to>
    <xdr:pic>
      <xdr:nvPicPr>
        <xdr:cNvPr id="115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11803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9238</xdr:colOff>
      <xdr:row>188</xdr:row>
      <xdr:rowOff>177105</xdr:rowOff>
    </xdr:to>
    <xdr:pic>
      <xdr:nvPicPr>
        <xdr:cNvPr id="116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08889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9238</xdr:colOff>
      <xdr:row>188</xdr:row>
      <xdr:rowOff>177105</xdr:rowOff>
    </xdr:to>
    <xdr:pic>
      <xdr:nvPicPr>
        <xdr:cNvPr id="117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08889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9238</xdr:colOff>
      <xdr:row>188</xdr:row>
      <xdr:rowOff>177105</xdr:rowOff>
    </xdr:to>
    <xdr:pic>
      <xdr:nvPicPr>
        <xdr:cNvPr id="118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08889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9238</xdr:colOff>
      <xdr:row>188</xdr:row>
      <xdr:rowOff>177105</xdr:rowOff>
    </xdr:to>
    <xdr:pic>
      <xdr:nvPicPr>
        <xdr:cNvPr id="119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08889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189</xdr:row>
      <xdr:rowOff>12501</xdr:rowOff>
    </xdr:from>
    <xdr:to>
      <xdr:col>0</xdr:col>
      <xdr:colOff>9238</xdr:colOff>
      <xdr:row>189</xdr:row>
      <xdr:rowOff>177105</xdr:rowOff>
    </xdr:to>
    <xdr:pic>
      <xdr:nvPicPr>
        <xdr:cNvPr id="120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11803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189</xdr:row>
      <xdr:rowOff>12501</xdr:rowOff>
    </xdr:from>
    <xdr:to>
      <xdr:col>0</xdr:col>
      <xdr:colOff>9238</xdr:colOff>
      <xdr:row>189</xdr:row>
      <xdr:rowOff>177105</xdr:rowOff>
    </xdr:to>
    <xdr:pic>
      <xdr:nvPicPr>
        <xdr:cNvPr id="121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11803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189</xdr:row>
      <xdr:rowOff>12501</xdr:rowOff>
    </xdr:from>
    <xdr:to>
      <xdr:col>0</xdr:col>
      <xdr:colOff>9238</xdr:colOff>
      <xdr:row>189</xdr:row>
      <xdr:rowOff>177105</xdr:rowOff>
    </xdr:to>
    <xdr:pic>
      <xdr:nvPicPr>
        <xdr:cNvPr id="122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11803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189</xdr:row>
      <xdr:rowOff>12501</xdr:rowOff>
    </xdr:from>
    <xdr:to>
      <xdr:col>0</xdr:col>
      <xdr:colOff>9238</xdr:colOff>
      <xdr:row>189</xdr:row>
      <xdr:rowOff>177105</xdr:rowOff>
    </xdr:to>
    <xdr:pic>
      <xdr:nvPicPr>
        <xdr:cNvPr id="123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11803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9238</xdr:colOff>
      <xdr:row>188</xdr:row>
      <xdr:rowOff>177105</xdr:rowOff>
    </xdr:to>
    <xdr:pic>
      <xdr:nvPicPr>
        <xdr:cNvPr id="124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08889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9238</xdr:colOff>
      <xdr:row>188</xdr:row>
      <xdr:rowOff>177105</xdr:rowOff>
    </xdr:to>
    <xdr:pic>
      <xdr:nvPicPr>
        <xdr:cNvPr id="125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08889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9238</xdr:colOff>
      <xdr:row>188</xdr:row>
      <xdr:rowOff>177105</xdr:rowOff>
    </xdr:to>
    <xdr:pic>
      <xdr:nvPicPr>
        <xdr:cNvPr id="126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08889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9238</xdr:colOff>
      <xdr:row>188</xdr:row>
      <xdr:rowOff>177105</xdr:rowOff>
    </xdr:to>
    <xdr:pic>
      <xdr:nvPicPr>
        <xdr:cNvPr id="127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0888900"/>
          <a:ext cx="8890" cy="17653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189</xdr:row>
      <xdr:rowOff>12501</xdr:rowOff>
    </xdr:from>
    <xdr:to>
      <xdr:col>0</xdr:col>
      <xdr:colOff>9238</xdr:colOff>
      <xdr:row>189</xdr:row>
      <xdr:rowOff>177105</xdr:rowOff>
    </xdr:to>
    <xdr:pic>
      <xdr:nvPicPr>
        <xdr:cNvPr id="128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11803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189</xdr:row>
      <xdr:rowOff>12501</xdr:rowOff>
    </xdr:from>
    <xdr:to>
      <xdr:col>0</xdr:col>
      <xdr:colOff>9238</xdr:colOff>
      <xdr:row>189</xdr:row>
      <xdr:rowOff>177105</xdr:rowOff>
    </xdr:to>
    <xdr:pic>
      <xdr:nvPicPr>
        <xdr:cNvPr id="129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51180365"/>
          <a:ext cx="8890" cy="16446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3"/>
  <sheetViews>
    <sheetView tabSelected="1" zoomScale="90" zoomScaleNormal="90" topLeftCell="A10" workbookViewId="0">
      <selection activeCell="R25" sqref="R25"/>
    </sheetView>
  </sheetViews>
  <sheetFormatPr defaultColWidth="9" defaultRowHeight="14.4"/>
  <cols>
    <col min="1" max="1" width="17.8888888888889" style="1" customWidth="1"/>
    <col min="2" max="2" width="7.88888888888889" style="3" customWidth="1"/>
    <col min="3" max="3" width="5.66666666666667" style="4" customWidth="1"/>
    <col min="4" max="4" width="12" style="4" customWidth="1"/>
    <col min="5" max="5" width="11.5555555555556" style="1" customWidth="1"/>
    <col min="6" max="6" width="16.2222222222222" style="5" customWidth="1"/>
    <col min="7" max="7" width="8.66666666666667" style="6" customWidth="1"/>
    <col min="8" max="8" width="9.66666666666667" style="6" hidden="1" customWidth="1"/>
    <col min="9" max="9" width="9.66666666666667" style="7" customWidth="1"/>
    <col min="10" max="11" width="8.66666666666667" style="7" customWidth="1"/>
    <col min="12" max="14" width="8.66666666666667" style="6" customWidth="1"/>
    <col min="15" max="15" width="9.25925925925926" style="8" customWidth="1"/>
    <col min="16" max="17" width="12.8888888888889" style="1"/>
    <col min="18" max="16384" width="9" style="1"/>
  </cols>
  <sheetData>
    <row r="1" s="1" customFormat="1" ht="18" customHeight="1" spans="1:16">
      <c r="A1" s="9" t="s">
        <v>0</v>
      </c>
      <c r="B1" s="10"/>
      <c r="C1" s="11"/>
      <c r="D1" s="11"/>
      <c r="E1" s="9"/>
      <c r="F1" s="12"/>
      <c r="G1" s="13"/>
      <c r="H1" s="14"/>
      <c r="I1" s="15"/>
      <c r="J1" s="15"/>
      <c r="K1" s="15"/>
      <c r="L1" s="14"/>
      <c r="M1" s="14"/>
      <c r="N1" s="14"/>
      <c r="O1" s="16"/>
    </row>
    <row r="2" s="1" customFormat="1" ht="18" customHeight="1" spans="1:16">
      <c r="A2" s="9"/>
      <c r="B2" s="10"/>
      <c r="C2" s="11"/>
      <c r="D2" s="11"/>
      <c r="E2" s="9"/>
      <c r="F2" s="12"/>
      <c r="G2" s="13"/>
      <c r="H2" s="14"/>
      <c r="I2" s="15"/>
      <c r="J2" s="15"/>
      <c r="K2" s="15"/>
      <c r="L2" s="14"/>
      <c r="M2" s="14"/>
      <c r="N2" s="14"/>
      <c r="O2" s="16"/>
    </row>
    <row r="3" s="1" customFormat="1" spans="1:16">
      <c r="A3" s="9"/>
      <c r="B3" s="10"/>
      <c r="C3" s="11"/>
      <c r="D3" s="11"/>
      <c r="E3" s="9"/>
      <c r="F3" s="12"/>
      <c r="G3" s="13"/>
      <c r="H3" s="14"/>
      <c r="I3" s="15"/>
      <c r="J3" s="15"/>
      <c r="K3" s="15"/>
      <c r="L3" s="14"/>
      <c r="M3" s="14"/>
      <c r="N3" s="14"/>
      <c r="O3" s="16"/>
    </row>
    <row r="4" s="1" customFormat="1" ht="19" customHeight="1" spans="1:16">
      <c r="A4" s="17"/>
      <c r="B4" s="18"/>
      <c r="C4" s="19"/>
      <c r="D4" s="19"/>
      <c r="E4" s="17"/>
      <c r="F4" s="20"/>
      <c r="G4" s="21"/>
      <c r="H4" s="22"/>
      <c r="I4" s="23"/>
      <c r="J4" s="23"/>
      <c r="K4" s="23"/>
      <c r="L4" s="22"/>
      <c r="M4" s="22"/>
      <c r="N4" s="22"/>
      <c r="O4" s="24"/>
    </row>
    <row r="5" s="1" customFormat="1" spans="1:16">
      <c r="A5" s="25" t="s">
        <v>1</v>
      </c>
      <c r="B5" s="26"/>
      <c r="C5" s="27"/>
      <c r="D5" s="27"/>
      <c r="E5" s="25"/>
      <c r="F5" s="28"/>
      <c r="G5" s="29"/>
      <c r="H5" s="30"/>
      <c r="I5" s="31"/>
      <c r="J5" s="31"/>
      <c r="K5" s="31"/>
      <c r="L5" s="30"/>
      <c r="M5" s="30"/>
      <c r="N5" s="30"/>
      <c r="O5" s="8"/>
    </row>
    <row r="6" s="1" customFormat="1" ht="18" customHeight="1" spans="1:16">
      <c r="A6" s="32" t="s">
        <v>2</v>
      </c>
      <c r="B6" s="33"/>
      <c r="C6" s="34"/>
      <c r="D6" s="34"/>
      <c r="E6" s="32"/>
      <c r="F6" s="28"/>
      <c r="G6" s="35"/>
      <c r="H6" s="6"/>
      <c r="I6" s="7"/>
      <c r="J6" s="7"/>
      <c r="K6" s="7"/>
      <c r="L6" s="6"/>
      <c r="M6" s="6"/>
      <c r="N6" s="6"/>
      <c r="O6" s="8"/>
    </row>
    <row r="7" s="1" customFormat="1" ht="18" customHeight="1" spans="1:16">
      <c r="A7" s="36" t="s">
        <v>3</v>
      </c>
      <c r="B7" s="37"/>
      <c r="C7" s="38"/>
      <c r="D7" s="39"/>
      <c r="E7" s="40"/>
      <c r="F7" s="41"/>
      <c r="G7" s="42"/>
      <c r="H7" s="6"/>
      <c r="I7" s="7"/>
      <c r="J7" s="7"/>
      <c r="K7" s="7"/>
      <c r="L7" s="6"/>
      <c r="M7" s="6"/>
      <c r="N7" s="6"/>
      <c r="O7" s="8"/>
    </row>
    <row r="8" s="1" customFormat="1" ht="18" customHeight="1" spans="1:16">
      <c r="A8" s="36" t="s">
        <v>4</v>
      </c>
      <c r="B8" s="43"/>
      <c r="C8" s="39"/>
      <c r="D8" s="39"/>
      <c r="E8" s="40"/>
      <c r="F8" s="41"/>
      <c r="G8" s="42"/>
      <c r="H8" s="6"/>
      <c r="I8" s="7"/>
      <c r="J8" s="7"/>
      <c r="K8" s="7"/>
      <c r="L8" s="6"/>
      <c r="M8" s="6"/>
      <c r="N8" s="6"/>
      <c r="O8" s="8"/>
    </row>
    <row r="9" s="1" customFormat="1" ht="18" customHeight="1" spans="1:16">
      <c r="A9" s="2" t="s">
        <v>5</v>
      </c>
      <c r="B9" s="44"/>
      <c r="C9" s="45"/>
      <c r="D9" s="45"/>
      <c r="E9" s="40"/>
      <c r="F9" s="41"/>
      <c r="G9" s="42"/>
      <c r="H9" s="6"/>
      <c r="I9" s="7"/>
      <c r="J9" s="7"/>
      <c r="K9" s="7"/>
      <c r="L9" s="6"/>
      <c r="M9" s="6"/>
      <c r="N9" s="6"/>
      <c r="O9" s="8"/>
    </row>
    <row r="10" s="1" customFormat="1" ht="18" customHeight="1" spans="1:16">
      <c r="A10" s="36" t="s">
        <v>6</v>
      </c>
      <c r="B10" s="43"/>
      <c r="C10" s="46"/>
      <c r="D10" s="46"/>
      <c r="E10" s="47"/>
      <c r="F10" s="48"/>
      <c r="G10" s="49"/>
      <c r="H10" s="6"/>
      <c r="I10" s="7"/>
      <c r="J10" s="7"/>
      <c r="K10" s="7"/>
      <c r="L10" s="6"/>
      <c r="M10" s="6"/>
      <c r="N10" s="6"/>
      <c r="O10" s="8"/>
    </row>
    <row r="11" s="1" customFormat="1" ht="31" customHeight="1" spans="1:16">
      <c r="A11" s="50" t="s">
        <v>7</v>
      </c>
      <c r="B11" s="51"/>
      <c r="C11" s="52"/>
      <c r="D11" s="52"/>
      <c r="E11" s="50"/>
      <c r="F11" s="53"/>
      <c r="G11" s="54"/>
      <c r="H11" s="55"/>
      <c r="I11" s="56"/>
      <c r="J11" s="56"/>
      <c r="K11" s="56"/>
      <c r="L11" s="55"/>
      <c r="M11" s="55"/>
      <c r="N11" s="55"/>
      <c r="O11" s="57"/>
    </row>
    <row r="12" s="1" customFormat="1" ht="22" customHeight="1" spans="1:16">
      <c r="A12" s="58" t="s">
        <v>8</v>
      </c>
      <c r="B12" s="59" t="s">
        <v>9</v>
      </c>
      <c r="C12" s="60" t="s">
        <v>10</v>
      </c>
      <c r="D12" s="60" t="s">
        <v>11</v>
      </c>
      <c r="E12" s="61" t="s">
        <v>12</v>
      </c>
      <c r="F12" s="62" t="s">
        <v>13</v>
      </c>
      <c r="G12" s="63" t="s">
        <v>14</v>
      </c>
      <c r="H12" s="64" t="s">
        <v>15</v>
      </c>
      <c r="I12" s="65"/>
      <c r="J12" s="65"/>
      <c r="K12" s="65"/>
      <c r="L12" s="64"/>
      <c r="M12" s="64"/>
      <c r="N12" s="64"/>
      <c r="O12" s="66"/>
    </row>
    <row r="13" s="1" customFormat="1" ht="22" customHeight="1" spans="1:16">
      <c r="A13" s="67" t="s">
        <v>16</v>
      </c>
      <c r="B13" s="68" t="s">
        <v>17</v>
      </c>
      <c r="C13" s="69" t="s">
        <v>18</v>
      </c>
      <c r="D13" s="70" t="s">
        <v>19</v>
      </c>
      <c r="E13" s="69" t="s">
        <v>18</v>
      </c>
      <c r="F13" s="71" t="s">
        <v>20</v>
      </c>
      <c r="G13" s="72" t="s">
        <v>21</v>
      </c>
      <c r="H13" s="72" t="s">
        <v>22</v>
      </c>
      <c r="I13" s="73" t="s">
        <v>23</v>
      </c>
      <c r="J13" s="73" t="s">
        <v>21</v>
      </c>
      <c r="K13" s="73" t="s">
        <v>24</v>
      </c>
      <c r="L13" s="72" t="s">
        <v>25</v>
      </c>
      <c r="M13" s="72" t="s">
        <v>26</v>
      </c>
      <c r="N13" s="72" t="s">
        <v>27</v>
      </c>
      <c r="O13" s="74" t="s">
        <v>28</v>
      </c>
    </row>
    <row r="14" s="1" customFormat="1" ht="22" customHeight="1" spans="1:16">
      <c r="A14" s="67" t="s">
        <v>16</v>
      </c>
      <c r="B14" s="68">
        <v>0.1</v>
      </c>
      <c r="C14" s="69" t="s">
        <v>29</v>
      </c>
      <c r="D14" s="70" t="s">
        <v>30</v>
      </c>
      <c r="E14" s="69" t="s">
        <v>31</v>
      </c>
      <c r="F14" s="71" t="s">
        <v>32</v>
      </c>
      <c r="G14" s="72">
        <v>117</v>
      </c>
      <c r="H14" s="72">
        <f t="shared" ref="H14:H22" si="0">J14/13.33</f>
        <v>9.45236309077269</v>
      </c>
      <c r="I14" s="73">
        <f t="shared" ref="I14:I26" si="1">J14*0.9</f>
        <v>113.4</v>
      </c>
      <c r="J14" s="73">
        <v>126</v>
      </c>
      <c r="K14" s="73">
        <f t="shared" ref="K14:K22" si="2">J14*1.05</f>
        <v>132.3</v>
      </c>
      <c r="L14" s="72">
        <f t="shared" ref="L14:L22" si="3">I14*2</f>
        <v>226.8</v>
      </c>
      <c r="M14" s="72">
        <f t="shared" ref="M14:M22" si="4">J14*2</f>
        <v>252</v>
      </c>
      <c r="N14" s="72">
        <f t="shared" ref="N14:N22" si="5">K14*2</f>
        <v>264.6</v>
      </c>
      <c r="O14" s="74">
        <f>(J14-G14)/G14</f>
        <v>0.0769230769230769</v>
      </c>
      <c r="P14" s="75"/>
    </row>
    <row r="15" s="1" customFormat="1" ht="22" customHeight="1" spans="1:16">
      <c r="A15" s="67" t="s">
        <v>16</v>
      </c>
      <c r="B15" s="68">
        <v>0.1</v>
      </c>
      <c r="C15" s="69" t="s">
        <v>33</v>
      </c>
      <c r="D15" s="70" t="s">
        <v>30</v>
      </c>
      <c r="E15" s="69" t="s">
        <v>31</v>
      </c>
      <c r="F15" s="71" t="s">
        <v>32</v>
      </c>
      <c r="G15" s="72">
        <v>186</v>
      </c>
      <c r="H15" s="72">
        <f t="shared" si="0"/>
        <v>15.0787696924231</v>
      </c>
      <c r="I15" s="73">
        <f t="shared" si="1"/>
        <v>180.9</v>
      </c>
      <c r="J15" s="73">
        <v>201</v>
      </c>
      <c r="K15" s="73">
        <f t="shared" si="2"/>
        <v>211.05</v>
      </c>
      <c r="L15" s="72">
        <f t="shared" si="3"/>
        <v>361.8</v>
      </c>
      <c r="M15" s="72">
        <f t="shared" si="4"/>
        <v>402</v>
      </c>
      <c r="N15" s="72">
        <f t="shared" si="5"/>
        <v>422.1</v>
      </c>
      <c r="O15" s="74">
        <f t="shared" ref="O15:O46" si="6">(J15-G15)/G15</f>
        <v>0.0806451612903226</v>
      </c>
      <c r="P15" s="75"/>
    </row>
    <row r="16" s="1" customFormat="1" ht="22" customHeight="1" spans="1:16">
      <c r="A16" s="67" t="s">
        <v>16</v>
      </c>
      <c r="B16" s="68">
        <v>0.13</v>
      </c>
      <c r="C16" s="69" t="s">
        <v>29</v>
      </c>
      <c r="D16" s="70" t="s">
        <v>30</v>
      </c>
      <c r="E16" s="69" t="s">
        <v>31</v>
      </c>
      <c r="F16" s="71" t="s">
        <v>32</v>
      </c>
      <c r="G16" s="72">
        <v>115</v>
      </c>
      <c r="H16" s="72">
        <f t="shared" si="0"/>
        <v>9.75243810952738</v>
      </c>
      <c r="I16" s="73">
        <f t="shared" si="1"/>
        <v>117</v>
      </c>
      <c r="J16" s="73">
        <v>130</v>
      </c>
      <c r="K16" s="73">
        <f t="shared" si="2"/>
        <v>136.5</v>
      </c>
      <c r="L16" s="72">
        <f t="shared" si="3"/>
        <v>234</v>
      </c>
      <c r="M16" s="72">
        <f t="shared" si="4"/>
        <v>260</v>
      </c>
      <c r="N16" s="72">
        <f t="shared" si="5"/>
        <v>273</v>
      </c>
      <c r="O16" s="74">
        <f t="shared" si="6"/>
        <v>0.130434782608696</v>
      </c>
      <c r="P16" s="75"/>
    </row>
    <row r="17" s="1" customFormat="1" ht="22" customHeight="1" spans="1:16">
      <c r="A17" s="67" t="s">
        <v>16</v>
      </c>
      <c r="B17" s="68">
        <v>0.13</v>
      </c>
      <c r="C17" s="69" t="s">
        <v>33</v>
      </c>
      <c r="D17" s="70" t="s">
        <v>30</v>
      </c>
      <c r="E17" s="69" t="s">
        <v>31</v>
      </c>
      <c r="F17" s="71" t="s">
        <v>32</v>
      </c>
      <c r="G17" s="72">
        <v>184</v>
      </c>
      <c r="H17" s="72">
        <f t="shared" si="0"/>
        <v>14.9287321830458</v>
      </c>
      <c r="I17" s="73">
        <f t="shared" si="1"/>
        <v>179.1</v>
      </c>
      <c r="J17" s="73">
        <v>199</v>
      </c>
      <c r="K17" s="73">
        <f t="shared" si="2"/>
        <v>208.95</v>
      </c>
      <c r="L17" s="72">
        <f t="shared" si="3"/>
        <v>358.2</v>
      </c>
      <c r="M17" s="72">
        <f t="shared" si="4"/>
        <v>398</v>
      </c>
      <c r="N17" s="72">
        <f t="shared" si="5"/>
        <v>417.9</v>
      </c>
      <c r="O17" s="74">
        <f t="shared" si="6"/>
        <v>0.0815217391304348</v>
      </c>
      <c r="P17" s="75"/>
    </row>
    <row r="18" s="1" customFormat="1" ht="22" customHeight="1" spans="1:16">
      <c r="A18" s="67" t="s">
        <v>16</v>
      </c>
      <c r="B18" s="68">
        <v>0.15</v>
      </c>
      <c r="C18" s="69" t="s">
        <v>33</v>
      </c>
      <c r="D18" s="70" t="s">
        <v>30</v>
      </c>
      <c r="E18" s="69" t="s">
        <v>31</v>
      </c>
      <c r="F18" s="71" t="s">
        <v>34</v>
      </c>
      <c r="G18" s="72">
        <v>183</v>
      </c>
      <c r="H18" s="72">
        <f t="shared" si="0"/>
        <v>14.8537134283571</v>
      </c>
      <c r="I18" s="73">
        <f t="shared" si="1"/>
        <v>178.2</v>
      </c>
      <c r="J18" s="73">
        <v>198</v>
      </c>
      <c r="K18" s="73">
        <f t="shared" si="2"/>
        <v>207.9</v>
      </c>
      <c r="L18" s="72">
        <f t="shared" si="3"/>
        <v>356.4</v>
      </c>
      <c r="M18" s="72">
        <f t="shared" si="4"/>
        <v>396</v>
      </c>
      <c r="N18" s="72">
        <f t="shared" si="5"/>
        <v>415.8</v>
      </c>
      <c r="O18" s="74">
        <f t="shared" si="6"/>
        <v>0.0819672131147541</v>
      </c>
      <c r="P18" s="75"/>
    </row>
    <row r="19" s="1" customFormat="1" ht="22" customHeight="1" spans="1:16">
      <c r="A19" s="67" t="s">
        <v>16</v>
      </c>
      <c r="B19" s="68">
        <v>0.2</v>
      </c>
      <c r="C19" s="69" t="s">
        <v>29</v>
      </c>
      <c r="D19" s="70" t="s">
        <v>30</v>
      </c>
      <c r="E19" s="69" t="s">
        <v>31</v>
      </c>
      <c r="F19" s="71" t="s">
        <v>35</v>
      </c>
      <c r="G19" s="72">
        <v>121</v>
      </c>
      <c r="H19" s="72">
        <f t="shared" si="0"/>
        <v>9.60240060015004</v>
      </c>
      <c r="I19" s="73">
        <f t="shared" si="1"/>
        <v>115.2</v>
      </c>
      <c r="J19" s="73">
        <v>128</v>
      </c>
      <c r="K19" s="73">
        <f t="shared" si="2"/>
        <v>134.4</v>
      </c>
      <c r="L19" s="72">
        <f t="shared" si="3"/>
        <v>230.4</v>
      </c>
      <c r="M19" s="72">
        <f t="shared" si="4"/>
        <v>256</v>
      </c>
      <c r="N19" s="72">
        <f t="shared" si="5"/>
        <v>268.8</v>
      </c>
      <c r="O19" s="74">
        <f t="shared" si="6"/>
        <v>0.0578512396694215</v>
      </c>
      <c r="P19" s="75"/>
    </row>
    <row r="20" s="1" customFormat="1" ht="22" customHeight="1" spans="1:16">
      <c r="A20" s="67" t="s">
        <v>16</v>
      </c>
      <c r="B20" s="68">
        <v>0.2</v>
      </c>
      <c r="C20" s="69" t="s">
        <v>33</v>
      </c>
      <c r="D20" s="70" t="s">
        <v>30</v>
      </c>
      <c r="E20" s="69" t="s">
        <v>31</v>
      </c>
      <c r="F20" s="71" t="s">
        <v>35</v>
      </c>
      <c r="G20" s="72">
        <v>183</v>
      </c>
      <c r="H20" s="72">
        <f t="shared" si="0"/>
        <v>14.8537134283571</v>
      </c>
      <c r="I20" s="73">
        <f t="shared" si="1"/>
        <v>178.2</v>
      </c>
      <c r="J20" s="73">
        <v>198</v>
      </c>
      <c r="K20" s="73">
        <f t="shared" si="2"/>
        <v>207.9</v>
      </c>
      <c r="L20" s="72">
        <f t="shared" si="3"/>
        <v>356.4</v>
      </c>
      <c r="M20" s="72">
        <f t="shared" si="4"/>
        <v>396</v>
      </c>
      <c r="N20" s="72">
        <f t="shared" si="5"/>
        <v>415.8</v>
      </c>
      <c r="O20" s="74">
        <f t="shared" si="6"/>
        <v>0.0819672131147541</v>
      </c>
      <c r="P20" s="75"/>
    </row>
    <row r="21" s="1" customFormat="1" ht="22" customHeight="1" spans="1:16">
      <c r="A21" s="67" t="s">
        <v>16</v>
      </c>
      <c r="B21" s="68">
        <v>0.25</v>
      </c>
      <c r="C21" s="69" t="s">
        <v>33</v>
      </c>
      <c r="D21" s="70" t="s">
        <v>30</v>
      </c>
      <c r="E21" s="69" t="s">
        <v>31</v>
      </c>
      <c r="F21" s="71" t="s">
        <v>36</v>
      </c>
      <c r="G21" s="72">
        <v>179</v>
      </c>
      <c r="H21" s="72">
        <f t="shared" si="0"/>
        <v>15.4538634658665</v>
      </c>
      <c r="I21" s="73">
        <f t="shared" si="1"/>
        <v>185.4</v>
      </c>
      <c r="J21" s="73">
        <v>206</v>
      </c>
      <c r="K21" s="73">
        <f t="shared" si="2"/>
        <v>216.3</v>
      </c>
      <c r="L21" s="72">
        <f t="shared" si="3"/>
        <v>370.8</v>
      </c>
      <c r="M21" s="72">
        <f t="shared" si="4"/>
        <v>412</v>
      </c>
      <c r="N21" s="72">
        <f t="shared" si="5"/>
        <v>432.6</v>
      </c>
      <c r="O21" s="74">
        <f t="shared" si="6"/>
        <v>0.150837988826816</v>
      </c>
      <c r="P21" s="75"/>
    </row>
    <row r="22" s="1" customFormat="1" ht="22" customHeight="1" spans="1:16">
      <c r="A22" s="67" t="s">
        <v>16</v>
      </c>
      <c r="B22" s="68">
        <v>0.3</v>
      </c>
      <c r="C22" s="69" t="s">
        <v>33</v>
      </c>
      <c r="D22" s="70" t="s">
        <v>30</v>
      </c>
      <c r="E22" s="69" t="s">
        <v>31</v>
      </c>
      <c r="F22" s="71" t="s">
        <v>37</v>
      </c>
      <c r="G22" s="72">
        <v>209</v>
      </c>
      <c r="H22" s="72">
        <f t="shared" si="0"/>
        <v>16.9542385596399</v>
      </c>
      <c r="I22" s="73">
        <f t="shared" si="1"/>
        <v>203.4</v>
      </c>
      <c r="J22" s="73">
        <v>226</v>
      </c>
      <c r="K22" s="73">
        <f t="shared" si="2"/>
        <v>237.3</v>
      </c>
      <c r="L22" s="72">
        <f t="shared" si="3"/>
        <v>406.8</v>
      </c>
      <c r="M22" s="72">
        <f t="shared" si="4"/>
        <v>452</v>
      </c>
      <c r="N22" s="72">
        <f t="shared" si="5"/>
        <v>474.6</v>
      </c>
      <c r="O22" s="74">
        <f t="shared" si="6"/>
        <v>0.0813397129186603</v>
      </c>
      <c r="P22" s="75"/>
    </row>
    <row r="23" s="1" customFormat="1" ht="22" customHeight="1" spans="1:16">
      <c r="A23" s="67" t="s">
        <v>16</v>
      </c>
      <c r="B23" s="68">
        <v>0.36</v>
      </c>
      <c r="C23" s="69" t="s">
        <v>29</v>
      </c>
      <c r="D23" s="70" t="s">
        <v>30</v>
      </c>
      <c r="E23" s="69" t="s">
        <v>31</v>
      </c>
      <c r="F23" s="71" t="s">
        <v>38</v>
      </c>
      <c r="G23" s="72">
        <v>131</v>
      </c>
      <c r="H23" s="72"/>
      <c r="I23" s="73">
        <f t="shared" si="1"/>
        <v>133.2</v>
      </c>
      <c r="J23" s="73">
        <v>148</v>
      </c>
      <c r="K23" s="73">
        <f t="shared" ref="K23:K50" si="7">J23*1.05</f>
        <v>155.4</v>
      </c>
      <c r="L23" s="72">
        <f t="shared" ref="L23:L50" si="8">I23*2</f>
        <v>266.4</v>
      </c>
      <c r="M23" s="72">
        <f t="shared" ref="M23:M50" si="9">J23*2</f>
        <v>296</v>
      </c>
      <c r="N23" s="72">
        <f t="shared" ref="N23:N50" si="10">K23*2</f>
        <v>310.8</v>
      </c>
      <c r="O23" s="74">
        <f t="shared" si="6"/>
        <v>0.129770992366412</v>
      </c>
      <c r="P23" s="75"/>
    </row>
    <row r="24" s="1" customFormat="1" ht="22" customHeight="1" spans="1:16">
      <c r="A24" s="67" t="s">
        <v>16</v>
      </c>
      <c r="B24" s="68">
        <v>0.36</v>
      </c>
      <c r="C24" s="69" t="s">
        <v>33</v>
      </c>
      <c r="D24" s="70" t="s">
        <v>30</v>
      </c>
      <c r="E24" s="69" t="s">
        <v>31</v>
      </c>
      <c r="F24" s="71" t="s">
        <v>38</v>
      </c>
      <c r="G24" s="72">
        <v>213</v>
      </c>
      <c r="H24" s="72">
        <f>J24/13.33</f>
        <v>16.9542385596399</v>
      </c>
      <c r="I24" s="73">
        <f t="shared" si="1"/>
        <v>203.4</v>
      </c>
      <c r="J24" s="73">
        <v>226</v>
      </c>
      <c r="K24" s="73">
        <f t="shared" si="7"/>
        <v>237.3</v>
      </c>
      <c r="L24" s="72">
        <f t="shared" si="8"/>
        <v>406.8</v>
      </c>
      <c r="M24" s="72">
        <f t="shared" si="9"/>
        <v>452</v>
      </c>
      <c r="N24" s="72">
        <f t="shared" si="10"/>
        <v>474.6</v>
      </c>
      <c r="O24" s="74">
        <f t="shared" si="6"/>
        <v>0.0610328638497653</v>
      </c>
      <c r="P24" s="75"/>
    </row>
    <row r="25" s="1" customFormat="1" ht="22" customHeight="1" spans="1:16">
      <c r="A25" s="67" t="s">
        <v>16</v>
      </c>
      <c r="B25" s="68">
        <v>0.36</v>
      </c>
      <c r="C25" s="69" t="s">
        <v>39</v>
      </c>
      <c r="D25" s="70" t="s">
        <v>30</v>
      </c>
      <c r="E25" s="69" t="s">
        <v>31</v>
      </c>
      <c r="F25" s="71" t="s">
        <v>38</v>
      </c>
      <c r="G25" s="72"/>
      <c r="H25" s="72">
        <f>J25/13.33</f>
        <v>27.3068267066767</v>
      </c>
      <c r="I25" s="73">
        <f t="shared" si="1"/>
        <v>327.6</v>
      </c>
      <c r="J25" s="73">
        <v>364</v>
      </c>
      <c r="K25" s="73">
        <f t="shared" si="7"/>
        <v>382.2</v>
      </c>
      <c r="L25" s="72">
        <f t="shared" si="8"/>
        <v>655.2</v>
      </c>
      <c r="M25" s="72">
        <f t="shared" si="9"/>
        <v>728</v>
      </c>
      <c r="N25" s="72">
        <f t="shared" si="10"/>
        <v>764.4</v>
      </c>
      <c r="O25" s="74"/>
      <c r="P25" s="75"/>
    </row>
    <row r="26" s="1" customFormat="1" ht="22" customHeight="1" spans="1:16">
      <c r="A26" s="67" t="s">
        <v>16</v>
      </c>
      <c r="B26" s="68">
        <v>0.36</v>
      </c>
      <c r="C26" s="69" t="s">
        <v>40</v>
      </c>
      <c r="D26" s="70" t="s">
        <v>30</v>
      </c>
      <c r="E26" s="69" t="s">
        <v>31</v>
      </c>
      <c r="F26" s="71" t="s">
        <v>38</v>
      </c>
      <c r="G26" s="72">
        <v>468</v>
      </c>
      <c r="H26" s="72"/>
      <c r="I26" s="73">
        <f t="shared" si="1"/>
        <v>509.4</v>
      </c>
      <c r="J26" s="73">
        <v>566</v>
      </c>
      <c r="K26" s="73">
        <f t="shared" si="7"/>
        <v>594.3</v>
      </c>
      <c r="L26" s="72">
        <f t="shared" si="8"/>
        <v>1018.8</v>
      </c>
      <c r="M26" s="72">
        <f t="shared" si="9"/>
        <v>1132</v>
      </c>
      <c r="N26" s="72">
        <f t="shared" si="10"/>
        <v>1188.6</v>
      </c>
      <c r="O26" s="74">
        <f t="shared" si="6"/>
        <v>0.209401709401709</v>
      </c>
      <c r="P26" s="75"/>
    </row>
    <row r="27" s="1" customFormat="1" ht="22" customHeight="1" spans="1:16">
      <c r="A27" s="67" t="s">
        <v>16</v>
      </c>
      <c r="B27" s="68">
        <v>0.38</v>
      </c>
      <c r="C27" s="69" t="s">
        <v>33</v>
      </c>
      <c r="D27" s="70" t="s">
        <v>30</v>
      </c>
      <c r="E27" s="69" t="s">
        <v>31</v>
      </c>
      <c r="F27" s="71" t="s">
        <v>38</v>
      </c>
      <c r="G27" s="72">
        <v>206</v>
      </c>
      <c r="H27" s="72">
        <f t="shared" ref="H27:H48" si="11">J27/13.33</f>
        <v>17.0292573143286</v>
      </c>
      <c r="I27" s="73">
        <f t="shared" ref="I27:I50" si="12">J27*0.9</f>
        <v>204.3</v>
      </c>
      <c r="J27" s="73">
        <v>227</v>
      </c>
      <c r="K27" s="73">
        <f t="shared" si="7"/>
        <v>238.35</v>
      </c>
      <c r="L27" s="72">
        <f t="shared" si="8"/>
        <v>408.6</v>
      </c>
      <c r="M27" s="72">
        <f t="shared" si="9"/>
        <v>454</v>
      </c>
      <c r="N27" s="72">
        <f t="shared" si="10"/>
        <v>476.7</v>
      </c>
      <c r="O27" s="74">
        <f t="shared" si="6"/>
        <v>0.101941747572816</v>
      </c>
      <c r="P27" s="75"/>
    </row>
    <row r="28" s="1" customFormat="1" ht="22" customHeight="1" spans="1:16">
      <c r="A28" s="67" t="s">
        <v>16</v>
      </c>
      <c r="B28" s="68">
        <v>0.41</v>
      </c>
      <c r="C28" s="69" t="s">
        <v>33</v>
      </c>
      <c r="D28" s="70" t="s">
        <v>30</v>
      </c>
      <c r="E28" s="69" t="s">
        <v>31</v>
      </c>
      <c r="F28" s="71" t="s">
        <v>38</v>
      </c>
      <c r="G28" s="72">
        <v>213</v>
      </c>
      <c r="H28" s="72">
        <f t="shared" si="11"/>
        <v>17.5543885971493</v>
      </c>
      <c r="I28" s="73">
        <f t="shared" si="12"/>
        <v>210.6</v>
      </c>
      <c r="J28" s="73">
        <v>234</v>
      </c>
      <c r="K28" s="73">
        <f t="shared" si="7"/>
        <v>245.7</v>
      </c>
      <c r="L28" s="72">
        <f t="shared" si="8"/>
        <v>421.2</v>
      </c>
      <c r="M28" s="72">
        <f t="shared" si="9"/>
        <v>468</v>
      </c>
      <c r="N28" s="72">
        <f t="shared" si="10"/>
        <v>491.4</v>
      </c>
      <c r="O28" s="74">
        <f t="shared" si="6"/>
        <v>0.0985915492957746</v>
      </c>
      <c r="P28" s="75"/>
    </row>
    <row r="29" s="1" customFormat="1" ht="22" customHeight="1" spans="1:16">
      <c r="A29" s="67" t="s">
        <v>16</v>
      </c>
      <c r="B29" s="68">
        <v>0.41</v>
      </c>
      <c r="C29" s="69" t="s">
        <v>40</v>
      </c>
      <c r="D29" s="70" t="s">
        <v>30</v>
      </c>
      <c r="E29" s="69" t="s">
        <v>31</v>
      </c>
      <c r="F29" s="71" t="s">
        <v>38</v>
      </c>
      <c r="G29" s="72">
        <v>474</v>
      </c>
      <c r="H29" s="72">
        <f t="shared" si="11"/>
        <v>42.9857464366092</v>
      </c>
      <c r="I29" s="73">
        <f t="shared" si="12"/>
        <v>515.7</v>
      </c>
      <c r="J29" s="73">
        <v>573</v>
      </c>
      <c r="K29" s="73">
        <f t="shared" si="7"/>
        <v>601.65</v>
      </c>
      <c r="L29" s="72">
        <f t="shared" si="8"/>
        <v>1031.4</v>
      </c>
      <c r="M29" s="72">
        <f t="shared" si="9"/>
        <v>1146</v>
      </c>
      <c r="N29" s="72">
        <f t="shared" si="10"/>
        <v>1203.3</v>
      </c>
      <c r="O29" s="74">
        <f t="shared" si="6"/>
        <v>0.208860759493671</v>
      </c>
      <c r="P29" s="75"/>
    </row>
    <row r="30" s="1" customFormat="1" ht="22" customHeight="1" spans="1:16">
      <c r="A30" s="67" t="s">
        <v>16</v>
      </c>
      <c r="B30" s="68">
        <v>0.46</v>
      </c>
      <c r="C30" s="69" t="s">
        <v>29</v>
      </c>
      <c r="D30" s="70" t="s">
        <v>30</v>
      </c>
      <c r="E30" s="69" t="s">
        <v>31</v>
      </c>
      <c r="F30" s="71" t="s">
        <v>41</v>
      </c>
      <c r="G30" s="72">
        <v>165</v>
      </c>
      <c r="H30" s="72">
        <f t="shared" si="11"/>
        <v>13.6534133533383</v>
      </c>
      <c r="I30" s="73">
        <f t="shared" si="12"/>
        <v>163.8</v>
      </c>
      <c r="J30" s="73">
        <v>182</v>
      </c>
      <c r="K30" s="73">
        <f t="shared" si="7"/>
        <v>191.1</v>
      </c>
      <c r="L30" s="72">
        <f t="shared" si="8"/>
        <v>327.6</v>
      </c>
      <c r="M30" s="72">
        <f t="shared" si="9"/>
        <v>364</v>
      </c>
      <c r="N30" s="72">
        <f t="shared" si="10"/>
        <v>382.2</v>
      </c>
      <c r="O30" s="74">
        <f t="shared" si="6"/>
        <v>0.103030303030303</v>
      </c>
      <c r="P30" s="75"/>
    </row>
    <row r="31" s="1" customFormat="1" ht="22" customHeight="1" spans="1:16">
      <c r="A31" s="67" t="s">
        <v>16</v>
      </c>
      <c r="B31" s="68">
        <v>0.46</v>
      </c>
      <c r="C31" s="69" t="s">
        <v>39</v>
      </c>
      <c r="D31" s="70" t="s">
        <v>30</v>
      </c>
      <c r="E31" s="69" t="s">
        <v>31</v>
      </c>
      <c r="F31" s="71" t="s">
        <v>41</v>
      </c>
      <c r="G31" s="72">
        <v>401</v>
      </c>
      <c r="H31" s="72">
        <f t="shared" si="11"/>
        <v>33.0832708177044</v>
      </c>
      <c r="I31" s="73">
        <f t="shared" si="12"/>
        <v>396.9</v>
      </c>
      <c r="J31" s="73">
        <v>441</v>
      </c>
      <c r="K31" s="73">
        <f t="shared" si="7"/>
        <v>463.05</v>
      </c>
      <c r="L31" s="72">
        <f t="shared" si="8"/>
        <v>793.8</v>
      </c>
      <c r="M31" s="72">
        <f t="shared" si="9"/>
        <v>882</v>
      </c>
      <c r="N31" s="72">
        <f t="shared" si="10"/>
        <v>926.1</v>
      </c>
      <c r="O31" s="74">
        <f t="shared" si="6"/>
        <v>0.0997506234413965</v>
      </c>
      <c r="P31" s="75"/>
    </row>
    <row r="32" s="1" customFormat="1" ht="22" customHeight="1" spans="1:16">
      <c r="A32" s="67" t="s">
        <v>16</v>
      </c>
      <c r="B32" s="68">
        <v>0.46</v>
      </c>
      <c r="C32" s="69" t="s">
        <v>40</v>
      </c>
      <c r="D32" s="70" t="s">
        <v>30</v>
      </c>
      <c r="E32" s="69" t="s">
        <v>31</v>
      </c>
      <c r="F32" s="71" t="s">
        <v>41</v>
      </c>
      <c r="G32" s="72"/>
      <c r="H32" s="72">
        <f t="shared" si="11"/>
        <v>47.1117779444861</v>
      </c>
      <c r="I32" s="73">
        <f t="shared" si="12"/>
        <v>565.2</v>
      </c>
      <c r="J32" s="73">
        <v>628</v>
      </c>
      <c r="K32" s="73">
        <f t="shared" si="7"/>
        <v>659.4</v>
      </c>
      <c r="L32" s="72">
        <f t="shared" si="8"/>
        <v>1130.4</v>
      </c>
      <c r="M32" s="72">
        <f t="shared" si="9"/>
        <v>1256</v>
      </c>
      <c r="N32" s="72">
        <f t="shared" si="10"/>
        <v>1318.8</v>
      </c>
      <c r="O32" s="74"/>
      <c r="P32" s="75"/>
    </row>
    <row r="33" s="1" customFormat="1" ht="22" customHeight="1" spans="1:16">
      <c r="A33" s="67" t="s">
        <v>16</v>
      </c>
      <c r="B33" s="68">
        <v>0.5</v>
      </c>
      <c r="C33" s="69" t="s">
        <v>39</v>
      </c>
      <c r="D33" s="70" t="s">
        <v>30</v>
      </c>
      <c r="E33" s="69" t="s">
        <v>31</v>
      </c>
      <c r="F33" s="71" t="s">
        <v>42</v>
      </c>
      <c r="G33" s="72">
        <v>356</v>
      </c>
      <c r="H33" s="72">
        <f t="shared" si="11"/>
        <v>30.2325581395349</v>
      </c>
      <c r="I33" s="73">
        <f t="shared" si="12"/>
        <v>362.7</v>
      </c>
      <c r="J33" s="73">
        <v>403</v>
      </c>
      <c r="K33" s="73">
        <f t="shared" si="7"/>
        <v>423.15</v>
      </c>
      <c r="L33" s="72">
        <f t="shared" si="8"/>
        <v>725.4</v>
      </c>
      <c r="M33" s="72">
        <f t="shared" si="9"/>
        <v>806</v>
      </c>
      <c r="N33" s="72">
        <f t="shared" si="10"/>
        <v>846.3</v>
      </c>
      <c r="O33" s="74">
        <f t="shared" si="6"/>
        <v>0.132022471910112</v>
      </c>
      <c r="P33" s="75"/>
    </row>
    <row r="34" s="1" customFormat="1" ht="22" customHeight="1" spans="1:16">
      <c r="A34" s="67" t="s">
        <v>16</v>
      </c>
      <c r="B34" s="68">
        <v>0.5</v>
      </c>
      <c r="C34" s="69" t="s">
        <v>40</v>
      </c>
      <c r="D34" s="70" t="s">
        <v>30</v>
      </c>
      <c r="E34" s="69" t="s">
        <v>31</v>
      </c>
      <c r="F34" s="71" t="s">
        <v>42</v>
      </c>
      <c r="G34" s="72"/>
      <c r="H34" s="72">
        <f t="shared" si="11"/>
        <v>42.0855213803451</v>
      </c>
      <c r="I34" s="73">
        <f t="shared" si="12"/>
        <v>504.9</v>
      </c>
      <c r="J34" s="73">
        <v>561</v>
      </c>
      <c r="K34" s="73">
        <f t="shared" si="7"/>
        <v>589.05</v>
      </c>
      <c r="L34" s="72">
        <f t="shared" si="8"/>
        <v>1009.8</v>
      </c>
      <c r="M34" s="72">
        <f t="shared" si="9"/>
        <v>1122</v>
      </c>
      <c r="N34" s="72">
        <f t="shared" si="10"/>
        <v>1178.1</v>
      </c>
      <c r="O34" s="74"/>
      <c r="P34" s="75"/>
    </row>
    <row r="35" s="1" customFormat="1" ht="22" customHeight="1" spans="1:16">
      <c r="A35" s="67" t="s">
        <v>16</v>
      </c>
      <c r="B35" s="68">
        <v>0.51</v>
      </c>
      <c r="C35" s="69" t="s">
        <v>29</v>
      </c>
      <c r="D35" s="70" t="s">
        <v>30</v>
      </c>
      <c r="E35" s="69" t="s">
        <v>31</v>
      </c>
      <c r="F35" s="71" t="s">
        <v>42</v>
      </c>
      <c r="G35" s="72">
        <v>162</v>
      </c>
      <c r="H35" s="72">
        <f t="shared" si="11"/>
        <v>13.3533383345836</v>
      </c>
      <c r="I35" s="73">
        <f t="shared" si="12"/>
        <v>160.2</v>
      </c>
      <c r="J35" s="73">
        <v>178</v>
      </c>
      <c r="K35" s="73">
        <f t="shared" si="7"/>
        <v>186.9</v>
      </c>
      <c r="L35" s="72">
        <f t="shared" si="8"/>
        <v>320.4</v>
      </c>
      <c r="M35" s="72">
        <f t="shared" si="9"/>
        <v>356</v>
      </c>
      <c r="N35" s="72">
        <f t="shared" si="10"/>
        <v>373.8</v>
      </c>
      <c r="O35" s="74">
        <f t="shared" si="6"/>
        <v>0.0987654320987654</v>
      </c>
      <c r="P35" s="75"/>
    </row>
    <row r="36" s="1" customFormat="1" ht="22" customHeight="1" spans="1:16">
      <c r="A36" s="67" t="s">
        <v>16</v>
      </c>
      <c r="B36" s="68">
        <v>0.51</v>
      </c>
      <c r="C36" s="69" t="s">
        <v>33</v>
      </c>
      <c r="D36" s="70" t="s">
        <v>30</v>
      </c>
      <c r="E36" s="69" t="s">
        <v>31</v>
      </c>
      <c r="F36" s="71" t="s">
        <v>42</v>
      </c>
      <c r="G36" s="72"/>
      <c r="H36" s="72">
        <f t="shared" si="11"/>
        <v>17.4043510877719</v>
      </c>
      <c r="I36" s="73">
        <f t="shared" si="12"/>
        <v>208.8</v>
      </c>
      <c r="J36" s="73">
        <v>232</v>
      </c>
      <c r="K36" s="73">
        <f t="shared" si="7"/>
        <v>243.6</v>
      </c>
      <c r="L36" s="72">
        <f t="shared" si="8"/>
        <v>417.6</v>
      </c>
      <c r="M36" s="72">
        <f t="shared" si="9"/>
        <v>464</v>
      </c>
      <c r="N36" s="72">
        <f t="shared" si="10"/>
        <v>487.2</v>
      </c>
      <c r="O36" s="74"/>
      <c r="P36" s="75"/>
    </row>
    <row r="37" s="1" customFormat="1" ht="22" customHeight="1" spans="1:16">
      <c r="A37" s="67" t="s">
        <v>16</v>
      </c>
      <c r="B37" s="68">
        <v>0.51</v>
      </c>
      <c r="C37" s="69" t="s">
        <v>39</v>
      </c>
      <c r="D37" s="70" t="s">
        <v>30</v>
      </c>
      <c r="E37" s="69" t="s">
        <v>31</v>
      </c>
      <c r="F37" s="71" t="s">
        <v>42</v>
      </c>
      <c r="G37" s="72"/>
      <c r="H37" s="72">
        <f t="shared" si="11"/>
        <v>30.3825956489122</v>
      </c>
      <c r="I37" s="73">
        <f t="shared" si="12"/>
        <v>364.5</v>
      </c>
      <c r="J37" s="73">
        <v>405</v>
      </c>
      <c r="K37" s="73">
        <f t="shared" si="7"/>
        <v>425.25</v>
      </c>
      <c r="L37" s="72">
        <f t="shared" si="8"/>
        <v>729</v>
      </c>
      <c r="M37" s="72">
        <f t="shared" si="9"/>
        <v>810</v>
      </c>
      <c r="N37" s="72">
        <f t="shared" si="10"/>
        <v>850.5</v>
      </c>
      <c r="O37" s="74"/>
      <c r="P37" s="75"/>
    </row>
    <row r="38" s="1" customFormat="1" ht="22" customHeight="1" spans="1:16">
      <c r="A38" s="67" t="s">
        <v>16</v>
      </c>
      <c r="B38" s="68">
        <v>0.54</v>
      </c>
      <c r="C38" s="69" t="s">
        <v>33</v>
      </c>
      <c r="D38" s="70" t="s">
        <v>30</v>
      </c>
      <c r="E38" s="69" t="s">
        <v>31</v>
      </c>
      <c r="F38" s="71" t="s">
        <v>43</v>
      </c>
      <c r="G38" s="72"/>
      <c r="H38" s="72">
        <f t="shared" si="11"/>
        <v>17.1792948237059</v>
      </c>
      <c r="I38" s="73">
        <f t="shared" si="12"/>
        <v>206.1</v>
      </c>
      <c r="J38" s="73">
        <v>229</v>
      </c>
      <c r="K38" s="73">
        <f t="shared" si="7"/>
        <v>240.45</v>
      </c>
      <c r="L38" s="72">
        <f t="shared" si="8"/>
        <v>412.2</v>
      </c>
      <c r="M38" s="72">
        <f t="shared" si="9"/>
        <v>458</v>
      </c>
      <c r="N38" s="72">
        <f t="shared" si="10"/>
        <v>480.9</v>
      </c>
      <c r="O38" s="74"/>
      <c r="P38" s="75"/>
    </row>
    <row r="39" s="1" customFormat="1" ht="22" customHeight="1" spans="1:16">
      <c r="A39" s="67" t="s">
        <v>16</v>
      </c>
      <c r="B39" s="68">
        <v>0.57</v>
      </c>
      <c r="C39" s="69" t="s">
        <v>39</v>
      </c>
      <c r="D39" s="70" t="s">
        <v>30</v>
      </c>
      <c r="E39" s="69" t="s">
        <v>31</v>
      </c>
      <c r="F39" s="71" t="s">
        <v>43</v>
      </c>
      <c r="G39" s="72"/>
      <c r="H39" s="72">
        <f t="shared" si="11"/>
        <v>30.4576144036009</v>
      </c>
      <c r="I39" s="73">
        <f t="shared" si="12"/>
        <v>365.4</v>
      </c>
      <c r="J39" s="73">
        <v>406</v>
      </c>
      <c r="K39" s="73">
        <f t="shared" si="7"/>
        <v>426.3</v>
      </c>
      <c r="L39" s="72">
        <f t="shared" si="8"/>
        <v>730.8</v>
      </c>
      <c r="M39" s="72">
        <f t="shared" si="9"/>
        <v>812</v>
      </c>
      <c r="N39" s="72">
        <f t="shared" si="10"/>
        <v>852.6</v>
      </c>
      <c r="O39" s="74"/>
      <c r="P39" s="75"/>
    </row>
    <row r="40" s="1" customFormat="1" ht="22" customHeight="1" spans="1:16">
      <c r="A40" s="67" t="s">
        <v>16</v>
      </c>
      <c r="B40" s="68">
        <v>0.6</v>
      </c>
      <c r="C40" s="69" t="s">
        <v>33</v>
      </c>
      <c r="D40" s="70" t="s">
        <v>30</v>
      </c>
      <c r="E40" s="69" t="s">
        <v>31</v>
      </c>
      <c r="F40" s="71" t="s">
        <v>43</v>
      </c>
      <c r="G40" s="72"/>
      <c r="H40" s="72">
        <f t="shared" si="11"/>
        <v>17.4043510877719</v>
      </c>
      <c r="I40" s="73">
        <f t="shared" si="12"/>
        <v>208.8</v>
      </c>
      <c r="J40" s="73">
        <v>232</v>
      </c>
      <c r="K40" s="73">
        <f t="shared" si="7"/>
        <v>243.6</v>
      </c>
      <c r="L40" s="72">
        <f t="shared" si="8"/>
        <v>417.6</v>
      </c>
      <c r="M40" s="72">
        <f t="shared" si="9"/>
        <v>464</v>
      </c>
      <c r="N40" s="72">
        <f t="shared" si="10"/>
        <v>487.2</v>
      </c>
      <c r="O40" s="74"/>
      <c r="P40" s="75"/>
    </row>
    <row r="41" s="1" customFormat="1" ht="22" customHeight="1" spans="1:16">
      <c r="A41" s="67" t="s">
        <v>16</v>
      </c>
      <c r="B41" s="68">
        <v>0.61</v>
      </c>
      <c r="C41" s="69" t="s">
        <v>29</v>
      </c>
      <c r="D41" s="70" t="s">
        <v>30</v>
      </c>
      <c r="E41" s="69" t="s">
        <v>31</v>
      </c>
      <c r="F41" s="71" t="s">
        <v>43</v>
      </c>
      <c r="G41" s="72">
        <v>161</v>
      </c>
      <c r="H41" s="72"/>
      <c r="I41" s="73">
        <f t="shared" si="12"/>
        <v>156.6</v>
      </c>
      <c r="J41" s="73">
        <v>174</v>
      </c>
      <c r="K41" s="73">
        <f t="shared" si="7"/>
        <v>182.7</v>
      </c>
      <c r="L41" s="72">
        <f t="shared" si="8"/>
        <v>313.2</v>
      </c>
      <c r="M41" s="72">
        <f t="shared" si="9"/>
        <v>348</v>
      </c>
      <c r="N41" s="72">
        <f t="shared" si="10"/>
        <v>365.4</v>
      </c>
      <c r="O41" s="74">
        <f t="shared" si="6"/>
        <v>0.0807453416149068</v>
      </c>
      <c r="P41" s="75"/>
    </row>
    <row r="42" s="1" customFormat="1" ht="22" customHeight="1" spans="1:16">
      <c r="A42" s="67" t="s">
        <v>16</v>
      </c>
      <c r="B42" s="68">
        <v>0.61</v>
      </c>
      <c r="C42" s="69" t="s">
        <v>39</v>
      </c>
      <c r="D42" s="70" t="s">
        <v>30</v>
      </c>
      <c r="E42" s="69" t="s">
        <v>31</v>
      </c>
      <c r="F42" s="71" t="s">
        <v>43</v>
      </c>
      <c r="G42" s="72">
        <v>358</v>
      </c>
      <c r="H42" s="72">
        <f>J42/13.33</f>
        <v>29.7824456114028</v>
      </c>
      <c r="I42" s="73">
        <f t="shared" si="12"/>
        <v>357.3</v>
      </c>
      <c r="J42" s="73">
        <v>397</v>
      </c>
      <c r="K42" s="73">
        <f t="shared" si="7"/>
        <v>416.85</v>
      </c>
      <c r="L42" s="72">
        <f t="shared" si="8"/>
        <v>714.6</v>
      </c>
      <c r="M42" s="72">
        <f t="shared" si="9"/>
        <v>794</v>
      </c>
      <c r="N42" s="72">
        <f t="shared" si="10"/>
        <v>833.7</v>
      </c>
      <c r="O42" s="74">
        <f t="shared" si="6"/>
        <v>0.108938547486034</v>
      </c>
      <c r="P42" s="75"/>
    </row>
    <row r="43" s="1" customFormat="1" ht="22" customHeight="1" spans="1:16">
      <c r="A43" s="67" t="s">
        <v>16</v>
      </c>
      <c r="B43" s="68">
        <v>0.7</v>
      </c>
      <c r="C43" s="69" t="s">
        <v>29</v>
      </c>
      <c r="D43" s="70" t="s">
        <v>30</v>
      </c>
      <c r="E43" s="69" t="s">
        <v>31</v>
      </c>
      <c r="F43" s="71" t="s">
        <v>44</v>
      </c>
      <c r="G43" s="72"/>
      <c r="H43" s="72">
        <f>J43/13.33</f>
        <v>14.0285071267817</v>
      </c>
      <c r="I43" s="73">
        <f t="shared" si="12"/>
        <v>168.3</v>
      </c>
      <c r="J43" s="73">
        <v>187</v>
      </c>
      <c r="K43" s="73">
        <f t="shared" si="7"/>
        <v>196.35</v>
      </c>
      <c r="L43" s="72">
        <f t="shared" si="8"/>
        <v>336.6</v>
      </c>
      <c r="M43" s="72">
        <f t="shared" si="9"/>
        <v>374</v>
      </c>
      <c r="N43" s="72">
        <f t="shared" si="10"/>
        <v>392.7</v>
      </c>
      <c r="O43" s="74"/>
      <c r="P43" s="75"/>
    </row>
    <row r="44" s="1" customFormat="1" ht="22" customHeight="1" spans="1:16">
      <c r="A44" s="67" t="s">
        <v>16</v>
      </c>
      <c r="B44" s="68">
        <v>0.71</v>
      </c>
      <c r="C44" s="69" t="s">
        <v>29</v>
      </c>
      <c r="D44" s="70" t="s">
        <v>30</v>
      </c>
      <c r="E44" s="69" t="s">
        <v>31</v>
      </c>
      <c r="F44" s="71" t="s">
        <v>44</v>
      </c>
      <c r="G44" s="72">
        <v>178</v>
      </c>
      <c r="H44" s="72">
        <f>J44/13.33</f>
        <v>14.7036759189797</v>
      </c>
      <c r="I44" s="73">
        <f t="shared" si="12"/>
        <v>176.4</v>
      </c>
      <c r="J44" s="73">
        <v>196</v>
      </c>
      <c r="K44" s="73">
        <f t="shared" si="7"/>
        <v>205.8</v>
      </c>
      <c r="L44" s="72">
        <f t="shared" si="8"/>
        <v>352.8</v>
      </c>
      <c r="M44" s="72">
        <f t="shared" si="9"/>
        <v>392</v>
      </c>
      <c r="N44" s="72">
        <f t="shared" si="10"/>
        <v>411.6</v>
      </c>
      <c r="O44" s="74">
        <f t="shared" si="6"/>
        <v>0.101123595505618</v>
      </c>
      <c r="P44" s="75"/>
    </row>
    <row r="45" s="1" customFormat="1" ht="22" customHeight="1" spans="1:16">
      <c r="A45" s="67" t="s">
        <v>16</v>
      </c>
      <c r="B45" s="68">
        <v>0.71</v>
      </c>
      <c r="C45" s="69" t="s">
        <v>33</v>
      </c>
      <c r="D45" s="70" t="s">
        <v>30</v>
      </c>
      <c r="E45" s="69" t="s">
        <v>31</v>
      </c>
      <c r="F45" s="71" t="s">
        <v>44</v>
      </c>
      <c r="G45" s="72"/>
      <c r="H45" s="72">
        <f>J45/13.33</f>
        <v>18.8297074268567</v>
      </c>
      <c r="I45" s="73">
        <f t="shared" si="12"/>
        <v>225.9</v>
      </c>
      <c r="J45" s="73">
        <v>251</v>
      </c>
      <c r="K45" s="73">
        <f t="shared" si="7"/>
        <v>263.55</v>
      </c>
      <c r="L45" s="72">
        <f t="shared" si="8"/>
        <v>451.8</v>
      </c>
      <c r="M45" s="72">
        <f t="shared" si="9"/>
        <v>502</v>
      </c>
      <c r="N45" s="72">
        <f t="shared" si="10"/>
        <v>527.1</v>
      </c>
      <c r="O45" s="74"/>
      <c r="P45" s="75"/>
    </row>
    <row r="46" s="1" customFormat="1" ht="22" customHeight="1" spans="1:16">
      <c r="A46" s="67" t="s">
        <v>16</v>
      </c>
      <c r="B46" s="68">
        <v>0.71</v>
      </c>
      <c r="C46" s="69" t="s">
        <v>39</v>
      </c>
      <c r="D46" s="70" t="s">
        <v>30</v>
      </c>
      <c r="E46" s="69" t="s">
        <v>31</v>
      </c>
      <c r="F46" s="71" t="s">
        <v>44</v>
      </c>
      <c r="G46" s="72">
        <v>376</v>
      </c>
      <c r="H46" s="72"/>
      <c r="I46" s="73">
        <f t="shared" si="12"/>
        <v>371.7</v>
      </c>
      <c r="J46" s="73">
        <v>413</v>
      </c>
      <c r="K46" s="73">
        <f t="shared" si="7"/>
        <v>433.65</v>
      </c>
      <c r="L46" s="72">
        <f t="shared" si="8"/>
        <v>743.4</v>
      </c>
      <c r="M46" s="72">
        <f t="shared" si="9"/>
        <v>826</v>
      </c>
      <c r="N46" s="72">
        <f t="shared" si="10"/>
        <v>867.3</v>
      </c>
      <c r="O46" s="74">
        <f t="shared" si="6"/>
        <v>0.0984042553191489</v>
      </c>
      <c r="P46" s="75"/>
    </row>
    <row r="47" s="1" customFormat="1" ht="22" customHeight="1" spans="1:16">
      <c r="A47" s="67" t="s">
        <v>16</v>
      </c>
      <c r="B47" s="68">
        <v>0.76</v>
      </c>
      <c r="C47" s="69" t="s">
        <v>39</v>
      </c>
      <c r="D47" s="70"/>
      <c r="E47" s="69"/>
      <c r="F47" s="71"/>
      <c r="G47" s="72"/>
      <c r="H47" s="72"/>
      <c r="I47" s="73">
        <f t="shared" ref="I47:I52" si="13">J47*0.9</f>
        <v>388.8</v>
      </c>
      <c r="J47" s="73">
        <v>432</v>
      </c>
      <c r="K47" s="73">
        <f t="shared" ref="K47:K52" si="14">J47*1.05</f>
        <v>453.6</v>
      </c>
      <c r="L47" s="72">
        <f t="shared" ref="L47:L52" si="15">I47*2</f>
        <v>777.6</v>
      </c>
      <c r="M47" s="72">
        <f t="shared" ref="M47:M52" si="16">J47*2</f>
        <v>864</v>
      </c>
      <c r="N47" s="72">
        <f t="shared" ref="N47:N52" si="17">K47*2</f>
        <v>907.2</v>
      </c>
      <c r="O47" s="74"/>
      <c r="P47" s="75"/>
    </row>
    <row r="48" s="1" customFormat="1" ht="22" customHeight="1" spans="1:16">
      <c r="A48" s="67" t="s">
        <v>16</v>
      </c>
      <c r="B48" s="68">
        <v>0.8</v>
      </c>
      <c r="C48" s="76" t="s">
        <v>29</v>
      </c>
      <c r="D48" s="70" t="s">
        <v>30</v>
      </c>
      <c r="E48" s="69" t="s">
        <v>31</v>
      </c>
      <c r="F48" s="71" t="s">
        <v>44</v>
      </c>
      <c r="G48" s="72"/>
      <c r="H48" s="72">
        <f>J48/13.33</f>
        <v>14.178544636159</v>
      </c>
      <c r="I48" s="73">
        <f t="shared" si="13"/>
        <v>170.1</v>
      </c>
      <c r="J48" s="73">
        <v>189</v>
      </c>
      <c r="K48" s="73">
        <f t="shared" si="14"/>
        <v>198.45</v>
      </c>
      <c r="L48" s="72">
        <f t="shared" si="15"/>
        <v>340.2</v>
      </c>
      <c r="M48" s="72">
        <f t="shared" si="16"/>
        <v>378</v>
      </c>
      <c r="N48" s="72">
        <f t="shared" si="17"/>
        <v>396.9</v>
      </c>
      <c r="O48" s="74"/>
      <c r="P48" s="75"/>
    </row>
    <row r="49" s="1" customFormat="1" ht="22" customHeight="1" spans="1:16">
      <c r="A49" s="67" t="s">
        <v>16</v>
      </c>
      <c r="B49" s="68">
        <v>0.8</v>
      </c>
      <c r="C49" s="76" t="s">
        <v>33</v>
      </c>
      <c r="D49" s="70" t="s">
        <v>30</v>
      </c>
      <c r="E49" s="69" t="s">
        <v>31</v>
      </c>
      <c r="F49" s="71" t="s">
        <v>44</v>
      </c>
      <c r="G49" s="72"/>
      <c r="H49" s="72">
        <f>J49/13.33</f>
        <v>20.8552138034509</v>
      </c>
      <c r="I49" s="73">
        <f t="shared" si="13"/>
        <v>250.2</v>
      </c>
      <c r="J49" s="73">
        <v>278</v>
      </c>
      <c r="K49" s="73">
        <f t="shared" si="14"/>
        <v>291.9</v>
      </c>
      <c r="L49" s="72">
        <f t="shared" si="15"/>
        <v>500.4</v>
      </c>
      <c r="M49" s="72">
        <f t="shared" si="16"/>
        <v>556</v>
      </c>
      <c r="N49" s="72">
        <f t="shared" si="17"/>
        <v>583.8</v>
      </c>
      <c r="O49" s="74"/>
      <c r="P49" s="75"/>
    </row>
    <row r="50" s="1" customFormat="1" ht="22" customHeight="1" spans="1:16">
      <c r="A50" s="67" t="s">
        <v>16</v>
      </c>
      <c r="B50" s="68">
        <v>0.9</v>
      </c>
      <c r="C50" s="76" t="s">
        <v>29</v>
      </c>
      <c r="D50" s="70" t="s">
        <v>30</v>
      </c>
      <c r="E50" s="69" t="s">
        <v>31</v>
      </c>
      <c r="F50" s="71" t="s">
        <v>45</v>
      </c>
      <c r="G50" s="72"/>
      <c r="H50" s="72">
        <f>J50/13.33</f>
        <v>15.7539384846212</v>
      </c>
      <c r="I50" s="73">
        <f t="shared" si="13"/>
        <v>189</v>
      </c>
      <c r="J50" s="73">
        <v>210</v>
      </c>
      <c r="K50" s="73">
        <f t="shared" si="14"/>
        <v>220.5</v>
      </c>
      <c r="L50" s="72">
        <f t="shared" si="15"/>
        <v>378</v>
      </c>
      <c r="M50" s="72">
        <f t="shared" si="16"/>
        <v>420</v>
      </c>
      <c r="N50" s="72">
        <f t="shared" si="17"/>
        <v>441</v>
      </c>
      <c r="O50" s="74"/>
      <c r="P50" s="75"/>
    </row>
    <row r="51" s="1" customFormat="1" ht="22" customHeight="1" spans="1:16">
      <c r="A51" s="67" t="s">
        <v>16</v>
      </c>
      <c r="B51" s="68">
        <v>0.9</v>
      </c>
      <c r="C51" s="69" t="s">
        <v>33</v>
      </c>
      <c r="D51" s="70" t="s">
        <v>46</v>
      </c>
      <c r="E51" s="69" t="s">
        <v>31</v>
      </c>
      <c r="F51" s="71" t="s">
        <v>45</v>
      </c>
      <c r="G51" s="72">
        <v>271</v>
      </c>
      <c r="H51" s="72">
        <f>J51/13.33</f>
        <v>21.9804951237809</v>
      </c>
      <c r="I51" s="73">
        <f t="shared" si="13"/>
        <v>263.7</v>
      </c>
      <c r="J51" s="73">
        <v>293</v>
      </c>
      <c r="K51" s="73">
        <f t="shared" si="14"/>
        <v>307.65</v>
      </c>
      <c r="L51" s="72">
        <f t="shared" si="15"/>
        <v>527.4</v>
      </c>
      <c r="M51" s="72">
        <f t="shared" si="16"/>
        <v>586</v>
      </c>
      <c r="N51" s="72">
        <f t="shared" si="17"/>
        <v>615.3</v>
      </c>
      <c r="O51" s="74">
        <f>(J51-G51)/G51</f>
        <v>0.0811808118081181</v>
      </c>
      <c r="P51" s="75"/>
    </row>
    <row r="52" s="1" customFormat="1" ht="22" customHeight="1" spans="1:16">
      <c r="A52" s="67" t="s">
        <v>16</v>
      </c>
      <c r="B52" s="68">
        <v>0.9</v>
      </c>
      <c r="C52" s="69" t="s">
        <v>47</v>
      </c>
      <c r="D52" s="70" t="s">
        <v>46</v>
      </c>
      <c r="E52" s="69" t="s">
        <v>31</v>
      </c>
      <c r="F52" s="71" t="s">
        <v>45</v>
      </c>
      <c r="G52" s="72"/>
      <c r="H52" s="72"/>
      <c r="I52" s="73">
        <f t="shared" si="13"/>
        <v>321.3</v>
      </c>
      <c r="J52" s="73">
        <v>357</v>
      </c>
      <c r="K52" s="73">
        <f t="shared" si="14"/>
        <v>374.85</v>
      </c>
      <c r="L52" s="72">
        <f t="shared" si="15"/>
        <v>642.6</v>
      </c>
      <c r="M52" s="72">
        <f t="shared" si="16"/>
        <v>714</v>
      </c>
      <c r="N52" s="72">
        <f t="shared" si="17"/>
        <v>749.7</v>
      </c>
      <c r="O52" s="74"/>
      <c r="P52" s="75"/>
    </row>
    <row r="53" s="1" customFormat="1" ht="22" customHeight="1" spans="1:16">
      <c r="A53" s="67" t="s">
        <v>16</v>
      </c>
      <c r="B53" s="68">
        <v>0.9</v>
      </c>
      <c r="C53" s="69" t="s">
        <v>39</v>
      </c>
      <c r="D53" s="70" t="s">
        <v>46</v>
      </c>
      <c r="E53" s="69" t="s">
        <v>31</v>
      </c>
      <c r="F53" s="71" t="s">
        <v>44</v>
      </c>
      <c r="G53" s="72">
        <v>408</v>
      </c>
      <c r="H53" s="72">
        <f t="shared" ref="H53:H79" si="18">J53/13.33</f>
        <v>32.4081020255064</v>
      </c>
      <c r="I53" s="73">
        <f t="shared" ref="I53:I79" si="19">J53*0.9</f>
        <v>388.8</v>
      </c>
      <c r="J53" s="73">
        <v>432</v>
      </c>
      <c r="K53" s="73">
        <f t="shared" ref="K53:K79" si="20">J53*1.05</f>
        <v>453.6</v>
      </c>
      <c r="L53" s="72">
        <f t="shared" ref="L53:L79" si="21">I53*2</f>
        <v>777.6</v>
      </c>
      <c r="M53" s="72">
        <f t="shared" ref="M53:M79" si="22">J53*2</f>
        <v>864</v>
      </c>
      <c r="N53" s="72">
        <f t="shared" ref="N53:N79" si="23">K53*2</f>
        <v>907.2</v>
      </c>
      <c r="O53" s="74">
        <f t="shared" ref="O53:O79" si="24">(J53-G53)/G53</f>
        <v>0.0588235294117647</v>
      </c>
      <c r="P53" s="75"/>
    </row>
    <row r="54" s="1" customFormat="1" ht="22" customHeight="1" spans="1:16">
      <c r="A54" s="67" t="s">
        <v>16</v>
      </c>
      <c r="B54" s="68">
        <v>1</v>
      </c>
      <c r="C54" s="69" t="s">
        <v>29</v>
      </c>
      <c r="D54" s="70" t="s">
        <v>46</v>
      </c>
      <c r="E54" s="69" t="s">
        <v>31</v>
      </c>
      <c r="F54" s="71" t="s">
        <v>48</v>
      </c>
      <c r="G54" s="72"/>
      <c r="H54" s="72">
        <f t="shared" si="18"/>
        <v>15.9789947486872</v>
      </c>
      <c r="I54" s="73">
        <f t="shared" si="19"/>
        <v>191.7</v>
      </c>
      <c r="J54" s="73">
        <v>213</v>
      </c>
      <c r="K54" s="73">
        <f t="shared" si="20"/>
        <v>223.65</v>
      </c>
      <c r="L54" s="72">
        <f t="shared" si="21"/>
        <v>383.4</v>
      </c>
      <c r="M54" s="72">
        <f t="shared" si="22"/>
        <v>426</v>
      </c>
      <c r="N54" s="72">
        <f t="shared" si="23"/>
        <v>447.3</v>
      </c>
      <c r="O54" s="74"/>
      <c r="P54" s="75"/>
    </row>
    <row r="55" s="1" customFormat="1" ht="22" customHeight="1" spans="1:16">
      <c r="A55" s="67" t="s">
        <v>16</v>
      </c>
      <c r="B55" s="68">
        <v>1</v>
      </c>
      <c r="C55" s="69" t="s">
        <v>33</v>
      </c>
      <c r="D55" s="70" t="s">
        <v>46</v>
      </c>
      <c r="E55" s="69" t="s">
        <v>31</v>
      </c>
      <c r="F55" s="71" t="s">
        <v>48</v>
      </c>
      <c r="G55" s="72">
        <v>273</v>
      </c>
      <c r="H55" s="72">
        <f t="shared" si="18"/>
        <v>21.6054013503376</v>
      </c>
      <c r="I55" s="73">
        <f t="shared" si="19"/>
        <v>259.2</v>
      </c>
      <c r="J55" s="73">
        <v>288</v>
      </c>
      <c r="K55" s="73">
        <f t="shared" si="20"/>
        <v>302.4</v>
      </c>
      <c r="L55" s="72">
        <f t="shared" si="21"/>
        <v>518.4</v>
      </c>
      <c r="M55" s="72">
        <f t="shared" si="22"/>
        <v>576</v>
      </c>
      <c r="N55" s="72">
        <f t="shared" si="23"/>
        <v>604.8</v>
      </c>
      <c r="O55" s="74">
        <f t="shared" si="24"/>
        <v>0.0549450549450549</v>
      </c>
      <c r="P55" s="75"/>
    </row>
    <row r="56" s="1" customFormat="1" ht="22" customHeight="1" spans="1:16">
      <c r="A56" s="67" t="s">
        <v>16</v>
      </c>
      <c r="B56" s="68">
        <v>1</v>
      </c>
      <c r="C56" s="69" t="s">
        <v>39</v>
      </c>
      <c r="D56" s="70" t="s">
        <v>46</v>
      </c>
      <c r="E56" s="69" t="s">
        <v>31</v>
      </c>
      <c r="F56" s="71" t="s">
        <v>45</v>
      </c>
      <c r="G56" s="72">
        <v>406</v>
      </c>
      <c r="H56" s="72">
        <f t="shared" si="18"/>
        <v>34.4336084021005</v>
      </c>
      <c r="I56" s="73">
        <f t="shared" si="19"/>
        <v>413.1</v>
      </c>
      <c r="J56" s="73">
        <v>459</v>
      </c>
      <c r="K56" s="73">
        <f t="shared" si="20"/>
        <v>481.95</v>
      </c>
      <c r="L56" s="72">
        <f t="shared" si="21"/>
        <v>826.2</v>
      </c>
      <c r="M56" s="72">
        <f t="shared" si="22"/>
        <v>918</v>
      </c>
      <c r="N56" s="72">
        <f t="shared" si="23"/>
        <v>963.9</v>
      </c>
      <c r="O56" s="74">
        <f t="shared" si="24"/>
        <v>0.130541871921182</v>
      </c>
      <c r="P56" s="75"/>
    </row>
    <row r="57" s="1" customFormat="1" ht="22" customHeight="1" spans="1:16">
      <c r="A57" s="67" t="s">
        <v>16</v>
      </c>
      <c r="B57" s="68">
        <v>1.1</v>
      </c>
      <c r="C57" s="69" t="s">
        <v>29</v>
      </c>
      <c r="D57" s="70" t="s">
        <v>46</v>
      </c>
      <c r="E57" s="69" t="s">
        <v>31</v>
      </c>
      <c r="F57" s="71" t="s">
        <v>49</v>
      </c>
      <c r="G57" s="72">
        <v>228</v>
      </c>
      <c r="H57" s="72">
        <f t="shared" si="18"/>
        <v>18.1545386346587</v>
      </c>
      <c r="I57" s="73">
        <f t="shared" si="19"/>
        <v>217.8</v>
      </c>
      <c r="J57" s="73">
        <v>242</v>
      </c>
      <c r="K57" s="73">
        <f t="shared" si="20"/>
        <v>254.1</v>
      </c>
      <c r="L57" s="72">
        <f t="shared" si="21"/>
        <v>435.6</v>
      </c>
      <c r="M57" s="72">
        <f t="shared" si="22"/>
        <v>484</v>
      </c>
      <c r="N57" s="72">
        <f t="shared" si="23"/>
        <v>508.2</v>
      </c>
      <c r="O57" s="74">
        <f t="shared" si="24"/>
        <v>0.0614035087719298</v>
      </c>
      <c r="P57" s="75"/>
    </row>
    <row r="58" s="1" customFormat="1" ht="22" customHeight="1" spans="1:16">
      <c r="A58" s="67" t="s">
        <v>16</v>
      </c>
      <c r="B58" s="68">
        <v>1.1</v>
      </c>
      <c r="C58" s="69" t="s">
        <v>33</v>
      </c>
      <c r="D58" s="70" t="s">
        <v>46</v>
      </c>
      <c r="E58" s="69" t="s">
        <v>31</v>
      </c>
      <c r="F58" s="71" t="s">
        <v>49</v>
      </c>
      <c r="G58" s="72">
        <v>248</v>
      </c>
      <c r="H58" s="72">
        <f t="shared" si="18"/>
        <v>21.9804951237809</v>
      </c>
      <c r="I58" s="73">
        <f t="shared" si="19"/>
        <v>263.7</v>
      </c>
      <c r="J58" s="73">
        <v>293</v>
      </c>
      <c r="K58" s="73">
        <f t="shared" si="20"/>
        <v>307.65</v>
      </c>
      <c r="L58" s="72">
        <f t="shared" si="21"/>
        <v>527.4</v>
      </c>
      <c r="M58" s="72">
        <f t="shared" si="22"/>
        <v>586</v>
      </c>
      <c r="N58" s="72">
        <f t="shared" si="23"/>
        <v>615.3</v>
      </c>
      <c r="O58" s="74">
        <f t="shared" si="24"/>
        <v>0.181451612903226</v>
      </c>
      <c r="P58" s="75"/>
    </row>
    <row r="59" s="1" customFormat="1" ht="22" customHeight="1" spans="1:16">
      <c r="A59" s="67" t="s">
        <v>16</v>
      </c>
      <c r="B59" s="68">
        <v>1.2</v>
      </c>
      <c r="C59" s="76" t="s">
        <v>29</v>
      </c>
      <c r="D59" s="70" t="s">
        <v>46</v>
      </c>
      <c r="E59" s="69" t="s">
        <v>31</v>
      </c>
      <c r="F59" s="71" t="s">
        <v>49</v>
      </c>
      <c r="G59" s="72"/>
      <c r="H59" s="72">
        <f t="shared" si="18"/>
        <v>17.854463615904</v>
      </c>
      <c r="I59" s="73">
        <f t="shared" si="19"/>
        <v>214.2</v>
      </c>
      <c r="J59" s="73">
        <v>238</v>
      </c>
      <c r="K59" s="73">
        <f t="shared" si="20"/>
        <v>249.9</v>
      </c>
      <c r="L59" s="72">
        <f t="shared" si="21"/>
        <v>428.4</v>
      </c>
      <c r="M59" s="72">
        <f t="shared" si="22"/>
        <v>476</v>
      </c>
      <c r="N59" s="72">
        <f t="shared" si="23"/>
        <v>499.8</v>
      </c>
      <c r="O59" s="74"/>
      <c r="P59" s="75"/>
    </row>
    <row r="60" s="1" customFormat="1" ht="22" customHeight="1" spans="1:16">
      <c r="A60" s="67" t="s">
        <v>16</v>
      </c>
      <c r="B60" s="68">
        <v>1.2</v>
      </c>
      <c r="C60" s="76" t="s">
        <v>33</v>
      </c>
      <c r="D60" s="70" t="s">
        <v>46</v>
      </c>
      <c r="E60" s="69" t="s">
        <v>31</v>
      </c>
      <c r="F60" s="71" t="s">
        <v>49</v>
      </c>
      <c r="G60" s="72">
        <v>275</v>
      </c>
      <c r="H60" s="72">
        <f t="shared" si="18"/>
        <v>23.330832708177</v>
      </c>
      <c r="I60" s="73">
        <f t="shared" si="19"/>
        <v>279.9</v>
      </c>
      <c r="J60" s="73">
        <v>311</v>
      </c>
      <c r="K60" s="73">
        <f t="shared" si="20"/>
        <v>326.55</v>
      </c>
      <c r="L60" s="72">
        <f t="shared" si="21"/>
        <v>559.8</v>
      </c>
      <c r="M60" s="72">
        <f t="shared" si="22"/>
        <v>622</v>
      </c>
      <c r="N60" s="72">
        <f t="shared" si="23"/>
        <v>653.1</v>
      </c>
      <c r="O60" s="74">
        <f t="shared" si="24"/>
        <v>0.130909090909091</v>
      </c>
      <c r="P60" s="75"/>
    </row>
    <row r="61" s="1" customFormat="1" ht="22" customHeight="1" spans="1:16">
      <c r="A61" s="67" t="s">
        <v>16</v>
      </c>
      <c r="B61" s="68">
        <v>1.2</v>
      </c>
      <c r="C61" s="76" t="s">
        <v>40</v>
      </c>
      <c r="D61" s="70" t="s">
        <v>46</v>
      </c>
      <c r="E61" s="69" t="s">
        <v>31</v>
      </c>
      <c r="F61" s="71" t="s">
        <v>48</v>
      </c>
      <c r="G61" s="72"/>
      <c r="H61" s="72">
        <f t="shared" si="18"/>
        <v>46.4366091522881</v>
      </c>
      <c r="I61" s="73">
        <f t="shared" si="19"/>
        <v>557.1</v>
      </c>
      <c r="J61" s="73">
        <v>619</v>
      </c>
      <c r="K61" s="73">
        <f t="shared" si="20"/>
        <v>649.95</v>
      </c>
      <c r="L61" s="72">
        <f t="shared" si="21"/>
        <v>1114.2</v>
      </c>
      <c r="M61" s="72">
        <f t="shared" si="22"/>
        <v>1238</v>
      </c>
      <c r="N61" s="72">
        <f t="shared" si="23"/>
        <v>1299.9</v>
      </c>
      <c r="O61" s="74"/>
      <c r="P61" s="75"/>
    </row>
    <row r="62" s="1" customFormat="1" ht="22" customHeight="1" spans="1:16">
      <c r="A62" s="67" t="s">
        <v>16</v>
      </c>
      <c r="B62" s="68">
        <v>1.4</v>
      </c>
      <c r="C62" s="76" t="s">
        <v>29</v>
      </c>
      <c r="D62" s="70" t="s">
        <v>46</v>
      </c>
      <c r="E62" s="69" t="s">
        <v>31</v>
      </c>
      <c r="F62" s="77" t="s">
        <v>50</v>
      </c>
      <c r="G62" s="72">
        <v>231</v>
      </c>
      <c r="H62" s="72">
        <f t="shared" si="18"/>
        <v>20.0300075018755</v>
      </c>
      <c r="I62" s="73">
        <f t="shared" si="19"/>
        <v>240.3</v>
      </c>
      <c r="J62" s="73">
        <v>267</v>
      </c>
      <c r="K62" s="73">
        <f t="shared" si="20"/>
        <v>280.35</v>
      </c>
      <c r="L62" s="72">
        <f t="shared" si="21"/>
        <v>480.6</v>
      </c>
      <c r="M62" s="72">
        <f t="shared" si="22"/>
        <v>534</v>
      </c>
      <c r="N62" s="72">
        <f t="shared" si="23"/>
        <v>560.7</v>
      </c>
      <c r="O62" s="74">
        <f t="shared" si="24"/>
        <v>0.155844155844156</v>
      </c>
      <c r="P62" s="75"/>
    </row>
    <row r="63" s="1" customFormat="1" ht="22" customHeight="1" spans="1:16">
      <c r="A63" s="67" t="s">
        <v>16</v>
      </c>
      <c r="B63" s="68">
        <v>1.4</v>
      </c>
      <c r="C63" s="76" t="s">
        <v>33</v>
      </c>
      <c r="D63" s="70" t="s">
        <v>46</v>
      </c>
      <c r="E63" s="69" t="s">
        <v>31</v>
      </c>
      <c r="F63" s="77" t="s">
        <v>50</v>
      </c>
      <c r="G63" s="72"/>
      <c r="H63" s="72">
        <f t="shared" si="18"/>
        <v>24.6811702925731</v>
      </c>
      <c r="I63" s="73">
        <f t="shared" si="19"/>
        <v>296.1</v>
      </c>
      <c r="J63" s="73">
        <v>329</v>
      </c>
      <c r="K63" s="73">
        <f t="shared" si="20"/>
        <v>345.45</v>
      </c>
      <c r="L63" s="72">
        <f t="shared" si="21"/>
        <v>592.2</v>
      </c>
      <c r="M63" s="72">
        <f t="shared" si="22"/>
        <v>658</v>
      </c>
      <c r="N63" s="72">
        <f t="shared" si="23"/>
        <v>690.9</v>
      </c>
      <c r="O63" s="74"/>
      <c r="P63" s="75"/>
    </row>
    <row r="64" s="1" customFormat="1" ht="22" customHeight="1" spans="1:16">
      <c r="A64" s="67" t="s">
        <v>16</v>
      </c>
      <c r="B64" s="68">
        <v>1.4</v>
      </c>
      <c r="C64" s="76" t="s">
        <v>39</v>
      </c>
      <c r="D64" s="70" t="s">
        <v>46</v>
      </c>
      <c r="E64" s="69" t="s">
        <v>31</v>
      </c>
      <c r="F64" s="77" t="s">
        <v>50</v>
      </c>
      <c r="G64" s="72">
        <v>448</v>
      </c>
      <c r="H64" s="72">
        <f t="shared" si="18"/>
        <v>37.2843210802701</v>
      </c>
      <c r="I64" s="73">
        <f t="shared" si="19"/>
        <v>447.3</v>
      </c>
      <c r="J64" s="73">
        <v>497</v>
      </c>
      <c r="K64" s="73">
        <f t="shared" si="20"/>
        <v>521.85</v>
      </c>
      <c r="L64" s="72">
        <f t="shared" si="21"/>
        <v>894.6</v>
      </c>
      <c r="M64" s="72">
        <f t="shared" si="22"/>
        <v>994</v>
      </c>
      <c r="N64" s="72">
        <f t="shared" si="23"/>
        <v>1043.7</v>
      </c>
      <c r="O64" s="74">
        <f t="shared" si="24"/>
        <v>0.109375</v>
      </c>
      <c r="P64" s="75"/>
    </row>
    <row r="65" s="1" customFormat="1" ht="22" customHeight="1" spans="1:16">
      <c r="A65" s="67" t="s">
        <v>16</v>
      </c>
      <c r="B65" s="68">
        <v>1.5</v>
      </c>
      <c r="C65" s="69" t="s">
        <v>29</v>
      </c>
      <c r="D65" s="70" t="s">
        <v>46</v>
      </c>
      <c r="E65" s="69" t="s">
        <v>31</v>
      </c>
      <c r="F65" s="71" t="s">
        <v>51</v>
      </c>
      <c r="G65" s="72">
        <v>252</v>
      </c>
      <c r="H65" s="72">
        <f t="shared" si="18"/>
        <v>20.8552138034509</v>
      </c>
      <c r="I65" s="73">
        <f t="shared" si="19"/>
        <v>250.2</v>
      </c>
      <c r="J65" s="73">
        <v>278</v>
      </c>
      <c r="K65" s="73">
        <f t="shared" si="20"/>
        <v>291.9</v>
      </c>
      <c r="L65" s="72">
        <f t="shared" si="21"/>
        <v>500.4</v>
      </c>
      <c r="M65" s="72">
        <f t="shared" si="22"/>
        <v>556</v>
      </c>
      <c r="N65" s="72">
        <f t="shared" si="23"/>
        <v>583.8</v>
      </c>
      <c r="O65" s="74">
        <f t="shared" si="24"/>
        <v>0.103174603174603</v>
      </c>
      <c r="P65" s="75"/>
    </row>
    <row r="66" s="1" customFormat="1" ht="22" customHeight="1" spans="1:16">
      <c r="A66" s="67" t="s">
        <v>16</v>
      </c>
      <c r="B66" s="68">
        <v>1.5</v>
      </c>
      <c r="C66" s="69" t="s">
        <v>33</v>
      </c>
      <c r="D66" s="70" t="s">
        <v>46</v>
      </c>
      <c r="E66" s="69" t="s">
        <v>31</v>
      </c>
      <c r="F66" s="71" t="s">
        <v>51</v>
      </c>
      <c r="G66" s="72">
        <v>338</v>
      </c>
      <c r="H66" s="72">
        <f t="shared" si="18"/>
        <v>26.1065266316579</v>
      </c>
      <c r="I66" s="73">
        <f t="shared" si="19"/>
        <v>313.2</v>
      </c>
      <c r="J66" s="73">
        <v>348</v>
      </c>
      <c r="K66" s="73">
        <f t="shared" si="20"/>
        <v>365.4</v>
      </c>
      <c r="L66" s="72">
        <f t="shared" si="21"/>
        <v>626.4</v>
      </c>
      <c r="M66" s="72">
        <f t="shared" si="22"/>
        <v>696</v>
      </c>
      <c r="N66" s="72">
        <f t="shared" si="23"/>
        <v>730.8</v>
      </c>
      <c r="O66" s="74">
        <f t="shared" si="24"/>
        <v>0.029585798816568</v>
      </c>
      <c r="P66" s="75"/>
    </row>
    <row r="67" s="1" customFormat="1" ht="22" customHeight="1" spans="1:16">
      <c r="A67" s="67" t="s">
        <v>16</v>
      </c>
      <c r="B67" s="68">
        <v>1.5</v>
      </c>
      <c r="C67" s="69" t="s">
        <v>47</v>
      </c>
      <c r="D67" s="70" t="s">
        <v>46</v>
      </c>
      <c r="E67" s="69" t="s">
        <v>31</v>
      </c>
      <c r="F67" s="71" t="s">
        <v>51</v>
      </c>
      <c r="G67" s="72">
        <v>457</v>
      </c>
      <c r="H67" s="72">
        <f t="shared" si="18"/>
        <v>34.2835708927232</v>
      </c>
      <c r="I67" s="73">
        <f t="shared" si="19"/>
        <v>411.3</v>
      </c>
      <c r="J67" s="73">
        <v>457</v>
      </c>
      <c r="K67" s="73">
        <f t="shared" si="20"/>
        <v>479.85</v>
      </c>
      <c r="L67" s="72">
        <f t="shared" si="21"/>
        <v>822.6</v>
      </c>
      <c r="M67" s="72">
        <f t="shared" si="22"/>
        <v>914</v>
      </c>
      <c r="N67" s="72">
        <f t="shared" si="23"/>
        <v>959.7</v>
      </c>
      <c r="O67" s="74">
        <f t="shared" si="24"/>
        <v>0</v>
      </c>
      <c r="P67" s="75"/>
    </row>
    <row r="68" s="1" customFormat="1" ht="22" customHeight="1" spans="1:16">
      <c r="A68" s="67" t="s">
        <v>16</v>
      </c>
      <c r="B68" s="68">
        <v>1.5</v>
      </c>
      <c r="C68" s="69" t="s">
        <v>39</v>
      </c>
      <c r="D68" s="70" t="s">
        <v>46</v>
      </c>
      <c r="E68" s="69" t="s">
        <v>31</v>
      </c>
      <c r="F68" s="71" t="s">
        <v>50</v>
      </c>
      <c r="G68" s="72">
        <v>456</v>
      </c>
      <c r="H68" s="72">
        <f t="shared" si="18"/>
        <v>37.6594148537134</v>
      </c>
      <c r="I68" s="73">
        <f t="shared" si="19"/>
        <v>451.8</v>
      </c>
      <c r="J68" s="73">
        <v>502</v>
      </c>
      <c r="K68" s="73">
        <f t="shared" si="20"/>
        <v>527.1</v>
      </c>
      <c r="L68" s="72">
        <f t="shared" si="21"/>
        <v>903.6</v>
      </c>
      <c r="M68" s="72">
        <f t="shared" si="22"/>
        <v>1004</v>
      </c>
      <c r="N68" s="72">
        <f t="shared" si="23"/>
        <v>1054.2</v>
      </c>
      <c r="O68" s="74">
        <f t="shared" si="24"/>
        <v>0.100877192982456</v>
      </c>
      <c r="P68" s="75"/>
    </row>
    <row r="69" s="1" customFormat="1" ht="22" customHeight="1" spans="1:16">
      <c r="A69" s="67" t="s">
        <v>16</v>
      </c>
      <c r="B69" s="68">
        <v>1.5</v>
      </c>
      <c r="C69" s="69" t="s">
        <v>40</v>
      </c>
      <c r="D69" s="70" t="s">
        <v>46</v>
      </c>
      <c r="E69" s="69" t="s">
        <v>31</v>
      </c>
      <c r="F69" s="71" t="s">
        <v>50</v>
      </c>
      <c r="G69" s="72"/>
      <c r="H69" s="72">
        <f t="shared" si="18"/>
        <v>48.6871717929482</v>
      </c>
      <c r="I69" s="73">
        <f t="shared" si="19"/>
        <v>584.1</v>
      </c>
      <c r="J69" s="73">
        <v>649</v>
      </c>
      <c r="K69" s="73">
        <f t="shared" si="20"/>
        <v>681.45</v>
      </c>
      <c r="L69" s="72">
        <f t="shared" si="21"/>
        <v>1168.2</v>
      </c>
      <c r="M69" s="72">
        <f t="shared" si="22"/>
        <v>1298</v>
      </c>
      <c r="N69" s="72">
        <f t="shared" si="23"/>
        <v>1362.9</v>
      </c>
      <c r="O69" s="74"/>
      <c r="P69" s="75"/>
    </row>
    <row r="70" s="1" customFormat="1" ht="22" customHeight="1" spans="1:16">
      <c r="A70" s="67" t="s">
        <v>16</v>
      </c>
      <c r="B70" s="68">
        <v>1.55</v>
      </c>
      <c r="C70" s="69" t="s">
        <v>29</v>
      </c>
      <c r="D70" s="70" t="s">
        <v>46</v>
      </c>
      <c r="E70" s="69" t="s">
        <v>31</v>
      </c>
      <c r="F70" s="71" t="s">
        <v>51</v>
      </c>
      <c r="G70" s="72">
        <v>260</v>
      </c>
      <c r="H70" s="72">
        <f t="shared" si="18"/>
        <v>21.1552888222056</v>
      </c>
      <c r="I70" s="73">
        <f t="shared" si="19"/>
        <v>253.8</v>
      </c>
      <c r="J70" s="73">
        <v>282</v>
      </c>
      <c r="K70" s="73">
        <f t="shared" si="20"/>
        <v>296.1</v>
      </c>
      <c r="L70" s="72">
        <f t="shared" si="21"/>
        <v>507.6</v>
      </c>
      <c r="M70" s="72">
        <f t="shared" si="22"/>
        <v>564</v>
      </c>
      <c r="N70" s="72">
        <f t="shared" si="23"/>
        <v>592.2</v>
      </c>
      <c r="O70" s="74">
        <f t="shared" si="24"/>
        <v>0.0846153846153846</v>
      </c>
      <c r="P70" s="75"/>
    </row>
    <row r="71" s="1" customFormat="1" ht="22" customHeight="1" spans="1:16">
      <c r="A71" s="67" t="s">
        <v>16</v>
      </c>
      <c r="B71" s="68">
        <v>1.6</v>
      </c>
      <c r="C71" s="76" t="s">
        <v>29</v>
      </c>
      <c r="D71" s="70" t="s">
        <v>46</v>
      </c>
      <c r="E71" s="69" t="s">
        <v>31</v>
      </c>
      <c r="F71" s="71" t="s">
        <v>51</v>
      </c>
      <c r="G71" s="72">
        <v>253</v>
      </c>
      <c r="H71" s="72">
        <f t="shared" si="18"/>
        <v>21.1552888222056</v>
      </c>
      <c r="I71" s="73">
        <f t="shared" si="19"/>
        <v>253.8</v>
      </c>
      <c r="J71" s="73">
        <v>282</v>
      </c>
      <c r="K71" s="73">
        <f t="shared" si="20"/>
        <v>296.1</v>
      </c>
      <c r="L71" s="72">
        <f t="shared" si="21"/>
        <v>507.6</v>
      </c>
      <c r="M71" s="72">
        <f t="shared" si="22"/>
        <v>564</v>
      </c>
      <c r="N71" s="72">
        <f t="shared" si="23"/>
        <v>592.2</v>
      </c>
      <c r="O71" s="74">
        <f t="shared" si="24"/>
        <v>0.114624505928854</v>
      </c>
      <c r="P71" s="75"/>
    </row>
    <row r="72" s="1" customFormat="1" ht="22" customHeight="1" spans="1:16">
      <c r="A72" s="67" t="s">
        <v>16</v>
      </c>
      <c r="B72" s="68">
        <v>1.6</v>
      </c>
      <c r="C72" s="69" t="s">
        <v>33</v>
      </c>
      <c r="D72" s="70" t="s">
        <v>46</v>
      </c>
      <c r="E72" s="69" t="s">
        <v>31</v>
      </c>
      <c r="F72" s="71" t="s">
        <v>51</v>
      </c>
      <c r="G72" s="72">
        <v>305</v>
      </c>
      <c r="H72" s="72">
        <f t="shared" si="18"/>
        <v>25.8814703675919</v>
      </c>
      <c r="I72" s="73">
        <f t="shared" si="19"/>
        <v>310.5</v>
      </c>
      <c r="J72" s="73">
        <v>345</v>
      </c>
      <c r="K72" s="73">
        <f t="shared" si="20"/>
        <v>362.25</v>
      </c>
      <c r="L72" s="72">
        <f t="shared" si="21"/>
        <v>621</v>
      </c>
      <c r="M72" s="72">
        <f t="shared" si="22"/>
        <v>690</v>
      </c>
      <c r="N72" s="72">
        <f t="shared" si="23"/>
        <v>724.5</v>
      </c>
      <c r="O72" s="74">
        <f t="shared" si="24"/>
        <v>0.131147540983607</v>
      </c>
      <c r="P72" s="75"/>
    </row>
    <row r="73" s="1" customFormat="1" ht="22" customHeight="1" spans="1:16">
      <c r="A73" s="67" t="s">
        <v>16</v>
      </c>
      <c r="B73" s="68">
        <v>1.6</v>
      </c>
      <c r="C73" s="69" t="s">
        <v>39</v>
      </c>
      <c r="D73" s="70" t="s">
        <v>46</v>
      </c>
      <c r="E73" s="69" t="s">
        <v>31</v>
      </c>
      <c r="F73" s="71" t="s">
        <v>51</v>
      </c>
      <c r="G73" s="72">
        <v>443</v>
      </c>
      <c r="H73" s="72">
        <f t="shared" si="18"/>
        <v>38.2595648912228</v>
      </c>
      <c r="I73" s="73">
        <f t="shared" si="19"/>
        <v>459</v>
      </c>
      <c r="J73" s="73">
        <v>510</v>
      </c>
      <c r="K73" s="73">
        <f t="shared" si="20"/>
        <v>535.5</v>
      </c>
      <c r="L73" s="72">
        <f t="shared" si="21"/>
        <v>918</v>
      </c>
      <c r="M73" s="72">
        <f t="shared" si="22"/>
        <v>1020</v>
      </c>
      <c r="N73" s="72">
        <f t="shared" si="23"/>
        <v>1071</v>
      </c>
      <c r="O73" s="74">
        <f t="shared" si="24"/>
        <v>0.151241534988713</v>
      </c>
      <c r="P73" s="75"/>
    </row>
    <row r="74" s="1" customFormat="1" ht="25" customHeight="1" spans="1:16">
      <c r="A74" s="78"/>
      <c r="B74" s="79"/>
      <c r="C74" s="80"/>
      <c r="D74" s="81"/>
      <c r="E74" s="82"/>
      <c r="F74" s="83"/>
      <c r="G74" s="84"/>
      <c r="H74" s="85"/>
      <c r="I74" s="86"/>
      <c r="J74" s="87"/>
      <c r="K74" s="86"/>
      <c r="L74" s="85"/>
      <c r="M74" s="85"/>
      <c r="N74" s="85"/>
      <c r="O74" s="8"/>
    </row>
    <row r="75" s="1" customFormat="1" ht="25" customHeight="1" spans="1:16">
      <c r="A75" s="78"/>
      <c r="B75" s="79"/>
      <c r="C75" s="80"/>
      <c r="D75" s="81"/>
      <c r="E75" s="82"/>
      <c r="F75" s="83"/>
      <c r="G75" s="84"/>
      <c r="H75" s="85"/>
      <c r="I75" s="86"/>
      <c r="J75" s="87"/>
      <c r="K75" s="86"/>
      <c r="L75" s="85"/>
      <c r="M75" s="85"/>
      <c r="N75" s="85"/>
      <c r="O75" s="8"/>
    </row>
    <row r="76" s="1" customFormat="1" ht="25" customHeight="1" spans="1:16">
      <c r="A76" s="78"/>
      <c r="B76" s="79"/>
      <c r="C76" s="80"/>
      <c r="D76" s="81"/>
      <c r="E76" s="82"/>
      <c r="F76" s="83"/>
      <c r="G76" s="84"/>
      <c r="H76" s="85"/>
      <c r="I76" s="86"/>
      <c r="J76" s="87"/>
      <c r="K76" s="86"/>
      <c r="L76" s="85"/>
      <c r="M76" s="85"/>
      <c r="N76" s="85"/>
      <c r="O76" s="8"/>
    </row>
    <row r="77" s="1" customFormat="1" ht="25" customHeight="1" spans="1:16">
      <c r="A77" s="78"/>
      <c r="B77" s="79"/>
      <c r="C77" s="80"/>
      <c r="D77" s="81"/>
      <c r="E77" s="82"/>
      <c r="F77" s="83"/>
      <c r="G77" s="84"/>
      <c r="H77" s="85"/>
      <c r="I77" s="86"/>
      <c r="J77" s="87"/>
      <c r="K77" s="86"/>
      <c r="L77" s="85"/>
      <c r="M77" s="85"/>
      <c r="N77" s="85"/>
      <c r="O77" s="8"/>
    </row>
    <row r="78" s="1" customFormat="1" ht="25" customHeight="1" spans="1:16">
      <c r="A78" s="78"/>
      <c r="B78" s="79"/>
      <c r="C78" s="80"/>
      <c r="D78" s="81"/>
      <c r="E78" s="82"/>
      <c r="F78" s="83"/>
      <c r="G78" s="84"/>
      <c r="H78" s="85"/>
      <c r="I78" s="86"/>
      <c r="J78" s="87"/>
      <c r="K78" s="86"/>
      <c r="L78" s="85"/>
      <c r="M78" s="85"/>
      <c r="N78" s="85"/>
      <c r="O78" s="8"/>
    </row>
    <row r="79" s="1" customFormat="1" ht="25" customHeight="1" spans="1:16">
      <c r="A79" s="78"/>
      <c r="B79" s="79"/>
      <c r="C79" s="80"/>
      <c r="D79" s="81"/>
      <c r="E79" s="82"/>
      <c r="F79" s="83"/>
      <c r="G79" s="84"/>
      <c r="H79" s="85"/>
      <c r="I79" s="86"/>
      <c r="J79" s="87"/>
      <c r="K79" s="86"/>
      <c r="L79" s="85"/>
      <c r="M79" s="85"/>
      <c r="N79" s="85"/>
      <c r="O79" s="8"/>
    </row>
    <row r="80" s="1" customFormat="1" ht="25" customHeight="1" spans="1:16">
      <c r="A80" s="78"/>
      <c r="B80" s="79"/>
      <c r="C80" s="80"/>
      <c r="D80" s="81"/>
      <c r="E80" s="82"/>
      <c r="F80" s="83"/>
      <c r="G80" s="84"/>
      <c r="H80" s="85"/>
      <c r="I80" s="86"/>
      <c r="J80" s="87"/>
      <c r="K80" s="86"/>
      <c r="L80" s="85"/>
      <c r="M80" s="85"/>
      <c r="N80" s="85"/>
      <c r="O80" s="8"/>
    </row>
    <row r="81" s="1" customFormat="1" ht="25" customHeight="1" spans="1:15">
      <c r="A81" s="78"/>
      <c r="B81" s="79"/>
      <c r="C81" s="80"/>
      <c r="D81" s="81"/>
      <c r="E81" s="82"/>
      <c r="F81" s="83"/>
      <c r="G81" s="84"/>
      <c r="H81" s="85"/>
      <c r="I81" s="86"/>
      <c r="J81" s="87"/>
      <c r="K81" s="86"/>
      <c r="L81" s="85"/>
      <c r="M81" s="85"/>
      <c r="N81" s="85"/>
      <c r="O81" s="8"/>
    </row>
    <row r="82" s="1" customFormat="1" ht="25" customHeight="1" spans="1:15">
      <c r="A82" s="78"/>
      <c r="B82" s="79"/>
      <c r="C82" s="80"/>
      <c r="D82" s="81"/>
      <c r="E82" s="82"/>
      <c r="F82" s="83"/>
      <c r="G82" s="84"/>
      <c r="H82" s="85"/>
      <c r="I82" s="86"/>
      <c r="J82" s="87"/>
      <c r="K82" s="86"/>
      <c r="L82" s="85"/>
      <c r="M82" s="85"/>
      <c r="N82" s="85"/>
      <c r="O82" s="8"/>
    </row>
    <row r="83" s="1" customFormat="1" ht="25" customHeight="1" spans="1:15">
      <c r="A83" s="78"/>
      <c r="B83" s="79"/>
      <c r="C83" s="80"/>
      <c r="D83" s="81"/>
      <c r="E83" s="82"/>
      <c r="F83" s="83"/>
      <c r="G83" s="84"/>
      <c r="H83" s="85"/>
      <c r="I83" s="86"/>
      <c r="J83" s="87"/>
      <c r="K83" s="86"/>
      <c r="L83" s="85"/>
      <c r="M83" s="85"/>
      <c r="N83" s="85"/>
      <c r="O83" s="8"/>
    </row>
    <row r="84" s="1" customFormat="1" ht="25" customHeight="1" spans="1:15">
      <c r="A84" s="78"/>
      <c r="B84" s="79"/>
      <c r="C84" s="80"/>
      <c r="D84" s="81"/>
      <c r="E84" s="82"/>
      <c r="F84" s="83"/>
      <c r="G84" s="84"/>
      <c r="H84" s="85"/>
      <c r="I84" s="86"/>
      <c r="J84" s="87"/>
      <c r="K84" s="86"/>
      <c r="L84" s="85"/>
      <c r="M84" s="85"/>
      <c r="N84" s="85"/>
      <c r="O84" s="8"/>
    </row>
    <row r="85" s="1" customFormat="1" ht="25" customHeight="1" spans="1:15">
      <c r="A85" s="78"/>
      <c r="B85" s="79"/>
      <c r="C85" s="80"/>
      <c r="D85" s="81"/>
      <c r="E85" s="82"/>
      <c r="F85" s="83"/>
      <c r="G85" s="84"/>
      <c r="H85" s="85"/>
      <c r="I85" s="86"/>
      <c r="J85" s="87"/>
      <c r="K85" s="86"/>
      <c r="L85" s="85"/>
      <c r="M85" s="85"/>
      <c r="N85" s="85"/>
      <c r="O85" s="8"/>
    </row>
    <row r="86" s="1" customFormat="1" ht="25" customHeight="1" spans="1:15">
      <c r="A86" s="88" t="s">
        <v>0</v>
      </c>
      <c r="B86" s="89"/>
      <c r="C86" s="90"/>
      <c r="D86" s="90"/>
      <c r="E86" s="88"/>
      <c r="F86" s="91"/>
      <c r="G86" s="13"/>
      <c r="H86" s="13"/>
      <c r="I86" s="15"/>
      <c r="J86" s="15"/>
      <c r="K86" s="15"/>
      <c r="L86" s="13"/>
      <c r="M86" s="13"/>
      <c r="N86" s="13"/>
      <c r="O86" s="92"/>
    </row>
    <row r="87" s="1" customFormat="1" ht="25" customHeight="1" spans="1:15">
      <c r="A87" s="88"/>
      <c r="B87" s="89"/>
      <c r="C87" s="90"/>
      <c r="D87" s="90"/>
      <c r="E87" s="88"/>
      <c r="F87" s="91"/>
      <c r="G87" s="13"/>
      <c r="H87" s="13"/>
      <c r="I87" s="15"/>
      <c r="J87" s="15"/>
      <c r="K87" s="15"/>
      <c r="L87" s="13"/>
      <c r="M87" s="13"/>
      <c r="N87" s="13"/>
      <c r="O87" s="92"/>
    </row>
    <row r="88" s="1" customFormat="1" ht="25" customHeight="1" spans="1:15">
      <c r="A88" s="88"/>
      <c r="B88" s="89"/>
      <c r="C88" s="90"/>
      <c r="D88" s="90"/>
      <c r="E88" s="88"/>
      <c r="F88" s="91"/>
      <c r="G88" s="13"/>
      <c r="H88" s="13"/>
      <c r="I88" s="15"/>
      <c r="J88" s="15"/>
      <c r="K88" s="15"/>
      <c r="L88" s="13"/>
      <c r="M88" s="13"/>
      <c r="N88" s="13"/>
      <c r="O88" s="92"/>
    </row>
    <row r="89" s="1" customFormat="1" ht="18" customHeight="1" spans="1:15">
      <c r="A89" s="93"/>
      <c r="B89" s="94"/>
      <c r="C89" s="95"/>
      <c r="D89" s="95"/>
      <c r="E89" s="93"/>
      <c r="F89" s="96"/>
      <c r="G89" s="21"/>
      <c r="H89" s="21"/>
      <c r="I89" s="23"/>
      <c r="J89" s="23"/>
      <c r="K89" s="23"/>
      <c r="L89" s="21"/>
      <c r="M89" s="21"/>
      <c r="N89" s="21"/>
      <c r="O89" s="97"/>
    </row>
    <row r="90" s="1" customFormat="1" ht="18" customHeight="1" spans="1:15">
      <c r="A90" s="98" t="s">
        <v>1</v>
      </c>
      <c r="B90" s="99"/>
      <c r="C90" s="100"/>
      <c r="D90" s="100"/>
      <c r="E90" s="98"/>
      <c r="F90" s="101"/>
      <c r="G90" s="29"/>
      <c r="H90" s="30"/>
      <c r="I90" s="31"/>
      <c r="J90" s="31"/>
      <c r="K90" s="31"/>
      <c r="L90" s="30"/>
      <c r="M90" s="30"/>
      <c r="N90" s="30"/>
      <c r="O90" s="8"/>
    </row>
    <row r="91" s="1" customFormat="1" ht="18" customHeight="1" spans="1:15">
      <c r="A91" s="102" t="s">
        <v>2</v>
      </c>
      <c r="B91" s="103"/>
      <c r="C91" s="104"/>
      <c r="D91" s="104"/>
      <c r="E91" s="102"/>
      <c r="F91" s="101"/>
      <c r="G91" s="35"/>
      <c r="H91" s="6"/>
      <c r="I91" s="7"/>
      <c r="J91" s="7"/>
      <c r="K91" s="7"/>
      <c r="L91" s="6"/>
      <c r="M91" s="6"/>
      <c r="N91" s="6"/>
      <c r="O91" s="8"/>
    </row>
    <row r="92" s="1" customFormat="1" ht="18" customHeight="1" spans="1:15">
      <c r="A92" s="105" t="s">
        <v>3</v>
      </c>
      <c r="B92" s="106"/>
      <c r="C92" s="107"/>
      <c r="D92" s="108"/>
      <c r="E92" s="109"/>
      <c r="F92" s="110"/>
      <c r="G92" s="42"/>
      <c r="H92" s="6"/>
      <c r="I92" s="7"/>
      <c r="J92" s="7"/>
      <c r="K92" s="7"/>
      <c r="L92" s="6"/>
      <c r="M92" s="6"/>
      <c r="N92" s="6"/>
      <c r="O92" s="8"/>
    </row>
    <row r="93" s="1" customFormat="1" ht="15.6" spans="1:15">
      <c r="A93" s="105" t="s">
        <v>4</v>
      </c>
      <c r="B93" s="111"/>
      <c r="C93" s="108"/>
      <c r="D93" s="108"/>
      <c r="E93" s="109"/>
      <c r="F93" s="110"/>
      <c r="G93" s="42"/>
      <c r="H93" s="6"/>
      <c r="I93" s="7"/>
      <c r="J93" s="7"/>
      <c r="K93" s="7"/>
      <c r="L93" s="6"/>
      <c r="M93" s="6"/>
      <c r="N93" s="6"/>
      <c r="O93" s="8"/>
    </row>
    <row r="94" s="1" customFormat="1" ht="15.6" spans="1:15">
      <c r="A94" s="112" t="s">
        <v>5</v>
      </c>
      <c r="B94" s="113"/>
      <c r="C94" s="114"/>
      <c r="D94" s="114"/>
      <c r="E94" s="109"/>
      <c r="F94" s="110"/>
      <c r="G94" s="42"/>
      <c r="H94" s="6"/>
      <c r="I94" s="7"/>
      <c r="J94" s="7"/>
      <c r="K94" s="7"/>
      <c r="L94" s="6"/>
      <c r="M94" s="6"/>
      <c r="N94" s="6"/>
      <c r="O94" s="8"/>
    </row>
    <row r="95" s="1" customFormat="1" ht="18" customHeight="1" spans="1:15">
      <c r="A95" s="105" t="s">
        <v>6</v>
      </c>
      <c r="B95" s="111"/>
      <c r="C95" s="115"/>
      <c r="D95" s="115"/>
      <c r="E95" s="116"/>
      <c r="F95" s="117"/>
      <c r="G95" s="49"/>
      <c r="H95" s="6"/>
      <c r="I95" s="7"/>
      <c r="J95" s="7"/>
      <c r="K95" s="7"/>
      <c r="L95" s="6"/>
      <c r="M95" s="6"/>
      <c r="N95" s="6"/>
      <c r="O95" s="8"/>
    </row>
    <row r="96" s="2" customFormat="1" ht="22" customHeight="1" spans="1:15">
      <c r="A96" s="118" t="s">
        <v>52</v>
      </c>
      <c r="B96" s="119"/>
      <c r="C96" s="118"/>
      <c r="D96" s="118"/>
      <c r="E96" s="118"/>
      <c r="F96" s="120"/>
      <c r="G96" s="54"/>
      <c r="H96" s="54"/>
      <c r="I96" s="56"/>
      <c r="J96" s="56"/>
      <c r="K96" s="56"/>
      <c r="L96" s="54"/>
      <c r="M96" s="54"/>
      <c r="N96" s="54"/>
      <c r="O96" s="118"/>
    </row>
    <row r="97" s="1" customFormat="1" ht="20" customHeight="1" spans="1:19">
      <c r="A97" s="58" t="s">
        <v>8</v>
      </c>
      <c r="B97" s="59" t="s">
        <v>9</v>
      </c>
      <c r="C97" s="60" t="s">
        <v>10</v>
      </c>
      <c r="D97" s="60" t="s">
        <v>11</v>
      </c>
      <c r="E97" s="61" t="s">
        <v>12</v>
      </c>
      <c r="F97" s="62" t="s">
        <v>13</v>
      </c>
      <c r="G97" s="64"/>
      <c r="H97" s="64" t="s">
        <v>15</v>
      </c>
      <c r="I97" s="65"/>
      <c r="J97" s="65"/>
      <c r="K97" s="65"/>
      <c r="L97" s="64"/>
      <c r="M97" s="64"/>
      <c r="N97" s="64"/>
      <c r="O97" s="66"/>
    </row>
    <row r="98" s="1" customFormat="1" ht="20" customHeight="1" spans="1:19">
      <c r="A98" s="121" t="s">
        <v>53</v>
      </c>
      <c r="B98" s="122" t="s">
        <v>17</v>
      </c>
      <c r="C98" s="69" t="s">
        <v>18</v>
      </c>
      <c r="D98" s="70" t="s">
        <v>19</v>
      </c>
      <c r="E98" s="123" t="s">
        <v>18</v>
      </c>
      <c r="F98" s="62" t="s">
        <v>20</v>
      </c>
      <c r="G98" s="124" t="s">
        <v>21</v>
      </c>
      <c r="H98" s="124" t="s">
        <v>22</v>
      </c>
      <c r="I98" s="73" t="s">
        <v>23</v>
      </c>
      <c r="J98" s="73" t="s">
        <v>21</v>
      </c>
      <c r="K98" s="73" t="s">
        <v>24</v>
      </c>
      <c r="L98" s="124" t="s">
        <v>25</v>
      </c>
      <c r="M98" s="124" t="s">
        <v>26</v>
      </c>
      <c r="N98" s="124" t="s">
        <v>27</v>
      </c>
      <c r="O98" s="125" t="s">
        <v>28</v>
      </c>
    </row>
    <row r="99" s="1" customFormat="1" ht="20" customHeight="1" spans="1:19">
      <c r="A99" s="121" t="s">
        <v>54</v>
      </c>
      <c r="B99" s="122">
        <v>0.1</v>
      </c>
      <c r="C99" s="76" t="s">
        <v>33</v>
      </c>
      <c r="D99" s="70" t="s">
        <v>30</v>
      </c>
      <c r="E99" s="123" t="s">
        <v>31</v>
      </c>
      <c r="F99" s="126" t="s">
        <v>32</v>
      </c>
      <c r="G99" s="72">
        <v>178</v>
      </c>
      <c r="H99" s="124"/>
      <c r="I99" s="73">
        <f t="shared" ref="I99:I110" si="25">J99*0.9</f>
        <v>181.8</v>
      </c>
      <c r="J99" s="73">
        <v>202</v>
      </c>
      <c r="K99" s="73">
        <f t="shared" ref="K99:K110" si="26">J99*1.05</f>
        <v>212.1</v>
      </c>
      <c r="L99" s="124">
        <f t="shared" ref="L99:L110" si="27">I99*2</f>
        <v>363.6</v>
      </c>
      <c r="M99" s="124">
        <f t="shared" ref="M99:M110" si="28">J99*2</f>
        <v>404</v>
      </c>
      <c r="N99" s="124">
        <f t="shared" ref="N99:N110" si="29">K99*2</f>
        <v>424.2</v>
      </c>
      <c r="O99" s="127">
        <f>(J99-G99)/G99</f>
        <v>0.134831460674157</v>
      </c>
      <c r="Q99" s="75"/>
      <c r="S99" s="6"/>
    </row>
    <row r="100" s="1" customFormat="1" ht="20" customHeight="1" spans="1:19">
      <c r="A100" s="121" t="s">
        <v>54</v>
      </c>
      <c r="B100" s="122">
        <v>0.13</v>
      </c>
      <c r="C100" s="76" t="s">
        <v>29</v>
      </c>
      <c r="D100" s="70" t="s">
        <v>30</v>
      </c>
      <c r="E100" s="123" t="s">
        <v>31</v>
      </c>
      <c r="F100" s="126" t="s">
        <v>32</v>
      </c>
      <c r="G100" s="72">
        <v>126</v>
      </c>
      <c r="H100" s="124"/>
      <c r="I100" s="73">
        <f t="shared" si="25"/>
        <v>128.7</v>
      </c>
      <c r="J100" s="73">
        <v>143</v>
      </c>
      <c r="K100" s="73">
        <f t="shared" si="26"/>
        <v>150.15</v>
      </c>
      <c r="L100" s="124">
        <f t="shared" si="27"/>
        <v>257.4</v>
      </c>
      <c r="M100" s="124">
        <f t="shared" si="28"/>
        <v>286</v>
      </c>
      <c r="N100" s="124">
        <f t="shared" si="29"/>
        <v>300.3</v>
      </c>
      <c r="O100" s="127">
        <f>(J100-G100)/G100</f>
        <v>0.134920634920635</v>
      </c>
      <c r="Q100" s="75"/>
      <c r="S100" s="6"/>
    </row>
    <row r="101" s="1" customFormat="1" ht="20" customHeight="1" spans="1:19">
      <c r="A101" s="121" t="s">
        <v>54</v>
      </c>
      <c r="B101" s="122">
        <v>0.13</v>
      </c>
      <c r="C101" s="76" t="s">
        <v>33</v>
      </c>
      <c r="D101" s="70" t="s">
        <v>30</v>
      </c>
      <c r="E101" s="123" t="s">
        <v>31</v>
      </c>
      <c r="F101" s="126" t="s">
        <v>32</v>
      </c>
      <c r="G101" s="72">
        <v>194</v>
      </c>
      <c r="H101" s="124"/>
      <c r="I101" s="73">
        <f t="shared" si="25"/>
        <v>197.1</v>
      </c>
      <c r="J101" s="73">
        <v>219</v>
      </c>
      <c r="K101" s="73">
        <f t="shared" si="26"/>
        <v>229.95</v>
      </c>
      <c r="L101" s="124">
        <f t="shared" si="27"/>
        <v>394.2</v>
      </c>
      <c r="M101" s="124">
        <f t="shared" si="28"/>
        <v>438</v>
      </c>
      <c r="N101" s="124">
        <f t="shared" si="29"/>
        <v>459.9</v>
      </c>
      <c r="O101" s="127">
        <f>(J101-G101)/G101</f>
        <v>0.128865979381443</v>
      </c>
      <c r="Q101" s="75"/>
      <c r="S101" s="6"/>
    </row>
    <row r="102" s="1" customFormat="1" ht="20" customHeight="1" spans="1:19">
      <c r="A102" s="121" t="s">
        <v>54</v>
      </c>
      <c r="B102" s="122">
        <v>0.15</v>
      </c>
      <c r="C102" s="76" t="s">
        <v>33</v>
      </c>
      <c r="D102" s="70" t="s">
        <v>30</v>
      </c>
      <c r="E102" s="123" t="s">
        <v>31</v>
      </c>
      <c r="F102" s="126" t="s">
        <v>34</v>
      </c>
      <c r="G102" s="72">
        <v>198</v>
      </c>
      <c r="H102" s="124"/>
      <c r="I102" s="73">
        <f t="shared" si="25"/>
        <v>202.5</v>
      </c>
      <c r="J102" s="73">
        <v>225</v>
      </c>
      <c r="K102" s="73">
        <f t="shared" si="26"/>
        <v>236.25</v>
      </c>
      <c r="L102" s="124">
        <f t="shared" si="27"/>
        <v>405</v>
      </c>
      <c r="M102" s="124">
        <f t="shared" si="28"/>
        <v>450</v>
      </c>
      <c r="N102" s="124">
        <f t="shared" si="29"/>
        <v>472.5</v>
      </c>
      <c r="O102" s="127">
        <f>(J102-G102)/G102</f>
        <v>0.136363636363636</v>
      </c>
      <c r="Q102" s="75"/>
      <c r="S102" s="6"/>
    </row>
    <row r="103" s="1" customFormat="1" ht="20" customHeight="1" spans="1:19">
      <c r="A103" s="121" t="s">
        <v>54</v>
      </c>
      <c r="B103" s="122">
        <v>0.18</v>
      </c>
      <c r="C103" s="76" t="s">
        <v>33</v>
      </c>
      <c r="D103" s="70" t="s">
        <v>30</v>
      </c>
      <c r="E103" s="123" t="s">
        <v>31</v>
      </c>
      <c r="F103" s="126" t="s">
        <v>35</v>
      </c>
      <c r="G103" s="72"/>
      <c r="H103" s="124"/>
      <c r="I103" s="73">
        <f t="shared" si="25"/>
        <v>190.8</v>
      </c>
      <c r="J103" s="73">
        <v>212</v>
      </c>
      <c r="K103" s="73">
        <f t="shared" si="26"/>
        <v>222.6</v>
      </c>
      <c r="L103" s="124">
        <f t="shared" si="27"/>
        <v>381.6</v>
      </c>
      <c r="M103" s="124">
        <f t="shared" si="28"/>
        <v>424</v>
      </c>
      <c r="N103" s="124">
        <f t="shared" si="29"/>
        <v>445.2</v>
      </c>
      <c r="O103" s="127"/>
      <c r="Q103" s="75"/>
      <c r="S103" s="6"/>
    </row>
    <row r="104" s="1" customFormat="1" ht="20" customHeight="1" spans="1:19">
      <c r="A104" s="121" t="s">
        <v>54</v>
      </c>
      <c r="B104" s="122">
        <v>0.2</v>
      </c>
      <c r="C104" s="76" t="s">
        <v>29</v>
      </c>
      <c r="D104" s="70" t="s">
        <v>30</v>
      </c>
      <c r="E104" s="123" t="s">
        <v>31</v>
      </c>
      <c r="F104" s="126" t="s">
        <v>35</v>
      </c>
      <c r="G104" s="72"/>
      <c r="H104" s="124"/>
      <c r="I104" s="73">
        <f t="shared" si="25"/>
        <v>122.4</v>
      </c>
      <c r="J104" s="73">
        <v>136</v>
      </c>
      <c r="K104" s="73">
        <f t="shared" si="26"/>
        <v>142.8</v>
      </c>
      <c r="L104" s="124">
        <f t="shared" si="27"/>
        <v>244.8</v>
      </c>
      <c r="M104" s="124">
        <f t="shared" si="28"/>
        <v>272</v>
      </c>
      <c r="N104" s="124">
        <f t="shared" si="29"/>
        <v>285.6</v>
      </c>
      <c r="O104" s="127"/>
      <c r="Q104" s="75"/>
      <c r="S104" s="6"/>
    </row>
    <row r="105" s="1" customFormat="1" ht="20" customHeight="1" spans="1:19">
      <c r="A105" s="121" t="s">
        <v>54</v>
      </c>
      <c r="B105" s="122">
        <v>0.21</v>
      </c>
      <c r="C105" s="76" t="s">
        <v>33</v>
      </c>
      <c r="D105" s="70" t="s">
        <v>30</v>
      </c>
      <c r="E105" s="123" t="s">
        <v>31</v>
      </c>
      <c r="F105" s="128" t="s">
        <v>35</v>
      </c>
      <c r="G105" s="72">
        <v>206</v>
      </c>
      <c r="H105" s="124"/>
      <c r="I105" s="73">
        <f t="shared" si="25"/>
        <v>210.6</v>
      </c>
      <c r="J105" s="73">
        <v>234</v>
      </c>
      <c r="K105" s="73">
        <f t="shared" si="26"/>
        <v>245.7</v>
      </c>
      <c r="L105" s="124">
        <f t="shared" si="27"/>
        <v>421.2</v>
      </c>
      <c r="M105" s="124">
        <f t="shared" si="28"/>
        <v>468</v>
      </c>
      <c r="N105" s="124">
        <f t="shared" si="29"/>
        <v>491.4</v>
      </c>
      <c r="O105" s="127">
        <f>(J105-G105)/G105</f>
        <v>0.135922330097087</v>
      </c>
      <c r="Q105" s="75"/>
      <c r="S105" s="6"/>
    </row>
    <row r="106" s="1" customFormat="1" ht="20" customHeight="1" spans="1:19">
      <c r="A106" s="121" t="s">
        <v>54</v>
      </c>
      <c r="B106" s="122">
        <v>0.26</v>
      </c>
      <c r="C106" s="76" t="s">
        <v>33</v>
      </c>
      <c r="D106" s="70" t="s">
        <v>30</v>
      </c>
      <c r="E106" s="123" t="s">
        <v>31</v>
      </c>
      <c r="F106" s="128" t="s">
        <v>36</v>
      </c>
      <c r="G106" s="72"/>
      <c r="H106" s="124"/>
      <c r="I106" s="73">
        <f t="shared" si="25"/>
        <v>215.1</v>
      </c>
      <c r="J106" s="73">
        <v>239</v>
      </c>
      <c r="K106" s="73">
        <f t="shared" si="26"/>
        <v>250.95</v>
      </c>
      <c r="L106" s="124">
        <f t="shared" si="27"/>
        <v>430.2</v>
      </c>
      <c r="M106" s="124">
        <f t="shared" si="28"/>
        <v>478</v>
      </c>
      <c r="N106" s="124">
        <f t="shared" si="29"/>
        <v>501.9</v>
      </c>
      <c r="O106" s="127"/>
      <c r="Q106" s="75"/>
      <c r="S106" s="6"/>
    </row>
    <row r="107" s="1" customFormat="1" ht="20" customHeight="1" spans="1:19">
      <c r="A107" s="121" t="s">
        <v>54</v>
      </c>
      <c r="B107" s="122">
        <v>0.3</v>
      </c>
      <c r="C107" s="76" t="s">
        <v>33</v>
      </c>
      <c r="D107" s="70" t="s">
        <v>30</v>
      </c>
      <c r="E107" s="123" t="s">
        <v>31</v>
      </c>
      <c r="F107" s="128" t="s">
        <v>37</v>
      </c>
      <c r="G107" s="72">
        <v>227</v>
      </c>
      <c r="H107" s="124"/>
      <c r="I107" s="73">
        <f t="shared" si="25"/>
        <v>233.1</v>
      </c>
      <c r="J107" s="73">
        <v>259</v>
      </c>
      <c r="K107" s="73">
        <f t="shared" si="26"/>
        <v>271.95</v>
      </c>
      <c r="L107" s="124">
        <f t="shared" si="27"/>
        <v>466.2</v>
      </c>
      <c r="M107" s="124">
        <f t="shared" si="28"/>
        <v>518</v>
      </c>
      <c r="N107" s="124">
        <f t="shared" si="29"/>
        <v>543.9</v>
      </c>
      <c r="O107" s="127">
        <f>(J107-G107)/G107</f>
        <v>0.140969162995595</v>
      </c>
      <c r="Q107" s="75"/>
      <c r="S107" s="6"/>
    </row>
    <row r="108" s="1" customFormat="1" ht="20" customHeight="1" spans="1:19">
      <c r="A108" s="121" t="s">
        <v>54</v>
      </c>
      <c r="B108" s="122">
        <v>0.3</v>
      </c>
      <c r="C108" s="76" t="s">
        <v>39</v>
      </c>
      <c r="D108" s="70" t="s">
        <v>30</v>
      </c>
      <c r="E108" s="123" t="s">
        <v>31</v>
      </c>
      <c r="F108" s="128" t="s">
        <v>37</v>
      </c>
      <c r="G108" s="72"/>
      <c r="H108" s="124"/>
      <c r="I108" s="73">
        <f t="shared" si="25"/>
        <v>336.6</v>
      </c>
      <c r="J108" s="73">
        <v>374</v>
      </c>
      <c r="K108" s="73">
        <f t="shared" si="26"/>
        <v>392.7</v>
      </c>
      <c r="L108" s="124">
        <f t="shared" si="27"/>
        <v>673.2</v>
      </c>
      <c r="M108" s="124">
        <f t="shared" si="28"/>
        <v>748</v>
      </c>
      <c r="N108" s="124">
        <f t="shared" si="29"/>
        <v>785.4</v>
      </c>
      <c r="O108" s="127"/>
      <c r="Q108" s="75"/>
      <c r="S108" s="6"/>
    </row>
    <row r="109" s="1" customFormat="1" ht="20" customHeight="1" spans="1:19">
      <c r="A109" s="121" t="s">
        <v>54</v>
      </c>
      <c r="B109" s="122">
        <v>0.36</v>
      </c>
      <c r="C109" s="76" t="s">
        <v>33</v>
      </c>
      <c r="D109" s="70" t="s">
        <v>30</v>
      </c>
      <c r="E109" s="123" t="s">
        <v>31</v>
      </c>
      <c r="F109" s="128" t="s">
        <v>38</v>
      </c>
      <c r="G109" s="72"/>
      <c r="H109" s="124"/>
      <c r="I109" s="73">
        <f t="shared" si="25"/>
        <v>217.8</v>
      </c>
      <c r="J109" s="73">
        <v>242</v>
      </c>
      <c r="K109" s="73">
        <f t="shared" si="26"/>
        <v>254.1</v>
      </c>
      <c r="L109" s="124">
        <f t="shared" si="27"/>
        <v>435.6</v>
      </c>
      <c r="M109" s="124">
        <f t="shared" si="28"/>
        <v>484</v>
      </c>
      <c r="N109" s="124">
        <f t="shared" si="29"/>
        <v>508.2</v>
      </c>
      <c r="O109" s="127"/>
      <c r="Q109" s="75"/>
      <c r="S109" s="6"/>
    </row>
    <row r="110" s="1" customFormat="1" ht="20" customHeight="1" spans="1:19">
      <c r="A110" s="121" t="s">
        <v>54</v>
      </c>
      <c r="B110" s="122">
        <v>0.41</v>
      </c>
      <c r="C110" s="76" t="s">
        <v>29</v>
      </c>
      <c r="D110" s="70" t="s">
        <v>30</v>
      </c>
      <c r="E110" s="123" t="s">
        <v>31</v>
      </c>
      <c r="F110" s="128" t="s">
        <v>38</v>
      </c>
      <c r="G110" s="72"/>
      <c r="H110" s="124"/>
      <c r="I110" s="73">
        <f t="shared" si="25"/>
        <v>158.4</v>
      </c>
      <c r="J110" s="73">
        <v>176</v>
      </c>
      <c r="K110" s="73">
        <f t="shared" si="26"/>
        <v>184.8</v>
      </c>
      <c r="L110" s="124">
        <f t="shared" si="27"/>
        <v>316.8</v>
      </c>
      <c r="M110" s="124">
        <f t="shared" si="28"/>
        <v>352</v>
      </c>
      <c r="N110" s="124">
        <f t="shared" si="29"/>
        <v>369.6</v>
      </c>
      <c r="O110" s="127"/>
      <c r="Q110" s="75"/>
      <c r="S110" s="6"/>
    </row>
    <row r="111" s="1" customFormat="1" ht="20" customHeight="1" spans="1:19">
      <c r="A111" s="121" t="s">
        <v>54</v>
      </c>
      <c r="B111" s="122">
        <v>0.5</v>
      </c>
      <c r="C111" s="76" t="s">
        <v>29</v>
      </c>
      <c r="D111" s="70" t="s">
        <v>30</v>
      </c>
      <c r="E111" s="123" t="s">
        <v>31</v>
      </c>
      <c r="F111" s="128" t="s">
        <v>42</v>
      </c>
      <c r="G111" s="72">
        <v>175</v>
      </c>
      <c r="H111" s="124"/>
      <c r="I111" s="73">
        <f t="shared" ref="I111:I126" si="30">J111*0.9</f>
        <v>179.1</v>
      </c>
      <c r="J111" s="73">
        <v>199</v>
      </c>
      <c r="K111" s="73">
        <f t="shared" ref="K111:K126" si="31">J111*1.05</f>
        <v>208.95</v>
      </c>
      <c r="L111" s="124">
        <f t="shared" ref="L111:L126" si="32">I111*2</f>
        <v>358.2</v>
      </c>
      <c r="M111" s="124">
        <f t="shared" ref="M111:M126" si="33">J111*2</f>
        <v>398</v>
      </c>
      <c r="N111" s="124">
        <f t="shared" ref="N111:N126" si="34">K111*2</f>
        <v>417.9</v>
      </c>
      <c r="O111" s="127">
        <f>(J111-G111)/G111</f>
        <v>0.137142857142857</v>
      </c>
      <c r="Q111" s="75"/>
      <c r="S111" s="6"/>
    </row>
    <row r="112" s="1" customFormat="1" ht="20" customHeight="1" spans="1:19">
      <c r="A112" s="121" t="s">
        <v>54</v>
      </c>
      <c r="B112" s="122">
        <v>0.5</v>
      </c>
      <c r="C112" s="76" t="s">
        <v>33</v>
      </c>
      <c r="D112" s="70" t="s">
        <v>30</v>
      </c>
      <c r="E112" s="123" t="s">
        <v>31</v>
      </c>
      <c r="F112" s="128" t="s">
        <v>42</v>
      </c>
      <c r="G112" s="72">
        <v>230</v>
      </c>
      <c r="H112" s="124"/>
      <c r="I112" s="73">
        <f t="shared" si="30"/>
        <v>241.2</v>
      </c>
      <c r="J112" s="73">
        <v>268</v>
      </c>
      <c r="K112" s="73">
        <f t="shared" si="31"/>
        <v>281.4</v>
      </c>
      <c r="L112" s="124">
        <f t="shared" si="32"/>
        <v>482.4</v>
      </c>
      <c r="M112" s="124">
        <f t="shared" si="33"/>
        <v>536</v>
      </c>
      <c r="N112" s="124">
        <f t="shared" si="34"/>
        <v>562.8</v>
      </c>
      <c r="O112" s="127">
        <f>(J112-G112)/G112</f>
        <v>0.165217391304348</v>
      </c>
      <c r="Q112" s="75"/>
      <c r="S112" s="6"/>
    </row>
    <row r="113" s="1" customFormat="1" ht="20" customHeight="1" spans="1:19">
      <c r="A113" s="121" t="s">
        <v>54</v>
      </c>
      <c r="B113" s="122">
        <v>0.51</v>
      </c>
      <c r="C113" s="76" t="s">
        <v>29</v>
      </c>
      <c r="D113" s="70" t="s">
        <v>30</v>
      </c>
      <c r="E113" s="123" t="s">
        <v>31</v>
      </c>
      <c r="F113" s="128" t="s">
        <v>42</v>
      </c>
      <c r="G113" s="72"/>
      <c r="H113" s="124"/>
      <c r="I113" s="73">
        <f t="shared" si="30"/>
        <v>175.5</v>
      </c>
      <c r="J113" s="73">
        <v>195</v>
      </c>
      <c r="K113" s="73">
        <f t="shared" si="31"/>
        <v>204.75</v>
      </c>
      <c r="L113" s="124">
        <f t="shared" si="32"/>
        <v>351</v>
      </c>
      <c r="M113" s="124">
        <f t="shared" si="33"/>
        <v>390</v>
      </c>
      <c r="N113" s="124">
        <f t="shared" si="34"/>
        <v>409.5</v>
      </c>
      <c r="O113" s="127"/>
      <c r="Q113" s="75"/>
      <c r="S113" s="6"/>
    </row>
    <row r="114" s="1" customFormat="1" ht="20" customHeight="1" spans="1:19">
      <c r="A114" s="121" t="s">
        <v>54</v>
      </c>
      <c r="B114" s="122">
        <v>0.51</v>
      </c>
      <c r="C114" s="76" t="s">
        <v>33</v>
      </c>
      <c r="D114" s="70" t="s">
        <v>30</v>
      </c>
      <c r="E114" s="123" t="s">
        <v>31</v>
      </c>
      <c r="F114" s="128" t="s">
        <v>42</v>
      </c>
      <c r="G114" s="72">
        <v>230</v>
      </c>
      <c r="H114" s="124"/>
      <c r="I114" s="73">
        <f t="shared" si="30"/>
        <v>234.9</v>
      </c>
      <c r="J114" s="73">
        <v>261</v>
      </c>
      <c r="K114" s="73">
        <f t="shared" si="31"/>
        <v>274.05</v>
      </c>
      <c r="L114" s="124">
        <f t="shared" si="32"/>
        <v>469.8</v>
      </c>
      <c r="M114" s="124">
        <f t="shared" si="33"/>
        <v>522</v>
      </c>
      <c r="N114" s="124">
        <f t="shared" si="34"/>
        <v>548.1</v>
      </c>
      <c r="O114" s="127">
        <f>(J114-G114)/G114</f>
        <v>0.134782608695652</v>
      </c>
      <c r="Q114" s="75"/>
      <c r="S114" s="6"/>
    </row>
    <row r="115" s="1" customFormat="1" ht="20" customHeight="1" spans="1:19">
      <c r="A115" s="121" t="s">
        <v>54</v>
      </c>
      <c r="B115" s="122">
        <v>0.61</v>
      </c>
      <c r="C115" s="76" t="s">
        <v>29</v>
      </c>
      <c r="D115" s="70" t="s">
        <v>30</v>
      </c>
      <c r="E115" s="123" t="s">
        <v>31</v>
      </c>
      <c r="F115" s="128" t="s">
        <v>43</v>
      </c>
      <c r="G115" s="72">
        <v>176</v>
      </c>
      <c r="H115" s="124"/>
      <c r="I115" s="73">
        <f t="shared" si="30"/>
        <v>180</v>
      </c>
      <c r="J115" s="73">
        <v>200</v>
      </c>
      <c r="K115" s="73">
        <f t="shared" si="31"/>
        <v>210</v>
      </c>
      <c r="L115" s="124">
        <f t="shared" si="32"/>
        <v>360</v>
      </c>
      <c r="M115" s="124">
        <f t="shared" si="33"/>
        <v>400</v>
      </c>
      <c r="N115" s="124">
        <f t="shared" si="34"/>
        <v>420</v>
      </c>
      <c r="O115" s="127">
        <f>(J115-G115)/G115</f>
        <v>0.136363636363636</v>
      </c>
      <c r="Q115" s="75"/>
      <c r="S115" s="6"/>
    </row>
    <row r="116" s="1" customFormat="1" ht="20" customHeight="1" spans="1:19">
      <c r="A116" s="121" t="s">
        <v>54</v>
      </c>
      <c r="B116" s="122">
        <v>0.61</v>
      </c>
      <c r="C116" s="76" t="s">
        <v>33</v>
      </c>
      <c r="D116" s="70" t="s">
        <v>30</v>
      </c>
      <c r="E116" s="123" t="s">
        <v>31</v>
      </c>
      <c r="F116" s="128" t="s">
        <v>43</v>
      </c>
      <c r="G116" s="72"/>
      <c r="H116" s="124"/>
      <c r="I116" s="73">
        <f t="shared" si="30"/>
        <v>237.6</v>
      </c>
      <c r="J116" s="73">
        <v>264</v>
      </c>
      <c r="K116" s="73">
        <f t="shared" si="31"/>
        <v>277.2</v>
      </c>
      <c r="L116" s="124">
        <f t="shared" si="32"/>
        <v>475.2</v>
      </c>
      <c r="M116" s="124">
        <f t="shared" si="33"/>
        <v>528</v>
      </c>
      <c r="N116" s="124">
        <f t="shared" si="34"/>
        <v>554.4</v>
      </c>
      <c r="O116" s="127"/>
      <c r="Q116" s="75"/>
      <c r="S116" s="6"/>
    </row>
    <row r="117" s="1" customFormat="1" ht="20" customHeight="1" spans="1:19">
      <c r="A117" s="121" t="s">
        <v>54</v>
      </c>
      <c r="B117" s="122">
        <v>0.71</v>
      </c>
      <c r="C117" s="76" t="s">
        <v>29</v>
      </c>
      <c r="D117" s="70" t="s">
        <v>30</v>
      </c>
      <c r="E117" s="123" t="s">
        <v>31</v>
      </c>
      <c r="F117" s="128" t="s">
        <v>44</v>
      </c>
      <c r="G117" s="72"/>
      <c r="H117" s="124"/>
      <c r="I117" s="73">
        <f t="shared" si="30"/>
        <v>202.5</v>
      </c>
      <c r="J117" s="73">
        <v>225</v>
      </c>
      <c r="K117" s="73">
        <f t="shared" si="31"/>
        <v>236.25</v>
      </c>
      <c r="L117" s="124">
        <f t="shared" si="32"/>
        <v>405</v>
      </c>
      <c r="M117" s="124">
        <f t="shared" si="33"/>
        <v>450</v>
      </c>
      <c r="N117" s="124">
        <f t="shared" si="34"/>
        <v>472.5</v>
      </c>
      <c r="O117" s="127"/>
      <c r="Q117" s="75"/>
      <c r="S117" s="6"/>
    </row>
    <row r="118" s="1" customFormat="1" ht="20" customHeight="1" spans="1:19">
      <c r="A118" s="121" t="s">
        <v>54</v>
      </c>
      <c r="B118" s="122">
        <v>0.8</v>
      </c>
      <c r="C118" s="76" t="s">
        <v>33</v>
      </c>
      <c r="D118" s="70" t="s">
        <v>30</v>
      </c>
      <c r="E118" s="123" t="s">
        <v>31</v>
      </c>
      <c r="F118" s="128" t="s">
        <v>44</v>
      </c>
      <c r="G118" s="72"/>
      <c r="H118" s="124"/>
      <c r="I118" s="73">
        <f t="shared" si="30"/>
        <v>268.2</v>
      </c>
      <c r="J118" s="73">
        <v>298</v>
      </c>
      <c r="K118" s="73">
        <f t="shared" si="31"/>
        <v>312.9</v>
      </c>
      <c r="L118" s="124">
        <f t="shared" si="32"/>
        <v>536.4</v>
      </c>
      <c r="M118" s="124">
        <f t="shared" si="33"/>
        <v>596</v>
      </c>
      <c r="N118" s="124">
        <f t="shared" si="34"/>
        <v>625.8</v>
      </c>
      <c r="O118" s="127"/>
      <c r="Q118" s="75"/>
      <c r="S118" s="6"/>
    </row>
    <row r="119" s="1" customFormat="1" ht="20" customHeight="1" spans="1:19">
      <c r="A119" s="121" t="s">
        <v>54</v>
      </c>
      <c r="B119" s="122">
        <v>0.9</v>
      </c>
      <c r="C119" s="76" t="s">
        <v>29</v>
      </c>
      <c r="D119" s="70" t="s">
        <v>46</v>
      </c>
      <c r="E119" s="123" t="s">
        <v>31</v>
      </c>
      <c r="F119" s="128" t="s">
        <v>45</v>
      </c>
      <c r="G119" s="72"/>
      <c r="H119" s="124"/>
      <c r="I119" s="73">
        <f t="shared" si="30"/>
        <v>226.8</v>
      </c>
      <c r="J119" s="73">
        <v>252</v>
      </c>
      <c r="K119" s="73">
        <f t="shared" si="31"/>
        <v>264.6</v>
      </c>
      <c r="L119" s="124">
        <f t="shared" si="32"/>
        <v>453.6</v>
      </c>
      <c r="M119" s="124">
        <f t="shared" si="33"/>
        <v>504</v>
      </c>
      <c r="N119" s="124">
        <f t="shared" si="34"/>
        <v>529.2</v>
      </c>
      <c r="O119" s="127"/>
      <c r="Q119" s="75"/>
      <c r="S119" s="6"/>
    </row>
    <row r="120" s="1" customFormat="1" ht="20" customHeight="1" spans="1:19">
      <c r="A120" s="121" t="s">
        <v>54</v>
      </c>
      <c r="B120" s="122">
        <v>0.9</v>
      </c>
      <c r="C120" s="76" t="s">
        <v>33</v>
      </c>
      <c r="D120" s="70" t="s">
        <v>46</v>
      </c>
      <c r="E120" s="123" t="s">
        <v>31</v>
      </c>
      <c r="F120" s="128" t="s">
        <v>45</v>
      </c>
      <c r="G120" s="72"/>
      <c r="H120" s="124"/>
      <c r="I120" s="73">
        <f t="shared" si="30"/>
        <v>290.7</v>
      </c>
      <c r="J120" s="73">
        <v>323</v>
      </c>
      <c r="K120" s="73">
        <f t="shared" si="31"/>
        <v>339.15</v>
      </c>
      <c r="L120" s="124">
        <f t="shared" si="32"/>
        <v>581.4</v>
      </c>
      <c r="M120" s="124">
        <f t="shared" si="33"/>
        <v>646</v>
      </c>
      <c r="N120" s="124">
        <f t="shared" si="34"/>
        <v>678.3</v>
      </c>
      <c r="O120" s="127"/>
      <c r="Q120" s="75"/>
      <c r="S120" s="6"/>
    </row>
    <row r="121" s="1" customFormat="1" ht="20" customHeight="1" spans="1:19">
      <c r="A121" s="121" t="s">
        <v>54</v>
      </c>
      <c r="B121" s="122">
        <v>1.1</v>
      </c>
      <c r="C121" s="76" t="s">
        <v>33</v>
      </c>
      <c r="D121" s="70" t="s">
        <v>46</v>
      </c>
      <c r="E121" s="123" t="s">
        <v>31</v>
      </c>
      <c r="F121" s="128" t="s">
        <v>49</v>
      </c>
      <c r="G121" s="72"/>
      <c r="H121" s="124"/>
      <c r="I121" s="73">
        <f t="shared" si="30"/>
        <v>327.6</v>
      </c>
      <c r="J121" s="73">
        <v>364</v>
      </c>
      <c r="K121" s="73">
        <f t="shared" si="31"/>
        <v>382.2</v>
      </c>
      <c r="L121" s="124">
        <f t="shared" si="32"/>
        <v>655.2</v>
      </c>
      <c r="M121" s="124">
        <f t="shared" si="33"/>
        <v>728</v>
      </c>
      <c r="N121" s="124">
        <f t="shared" si="34"/>
        <v>764.4</v>
      </c>
      <c r="O121" s="127"/>
      <c r="Q121" s="75"/>
      <c r="S121" s="6"/>
    </row>
    <row r="122" s="1" customFormat="1" ht="20" customHeight="1" spans="1:19">
      <c r="A122" s="121" t="s">
        <v>54</v>
      </c>
      <c r="B122" s="122">
        <v>1.2</v>
      </c>
      <c r="C122" s="76" t="s">
        <v>33</v>
      </c>
      <c r="D122" s="70" t="s">
        <v>46</v>
      </c>
      <c r="E122" s="123" t="s">
        <v>31</v>
      </c>
      <c r="F122" s="128" t="s">
        <v>49</v>
      </c>
      <c r="G122" s="72"/>
      <c r="H122" s="124"/>
      <c r="I122" s="73">
        <f t="shared" si="30"/>
        <v>330.3</v>
      </c>
      <c r="J122" s="73">
        <v>367</v>
      </c>
      <c r="K122" s="73">
        <f t="shared" si="31"/>
        <v>385.35</v>
      </c>
      <c r="L122" s="124">
        <f t="shared" si="32"/>
        <v>660.6</v>
      </c>
      <c r="M122" s="124">
        <f t="shared" si="33"/>
        <v>734</v>
      </c>
      <c r="N122" s="124">
        <f t="shared" si="34"/>
        <v>770.7</v>
      </c>
      <c r="O122" s="127"/>
      <c r="Q122" s="75"/>
      <c r="S122" s="6"/>
    </row>
    <row r="123" s="1" customFormat="1" ht="20" customHeight="1" spans="1:19">
      <c r="A123" s="121" t="s">
        <v>54</v>
      </c>
      <c r="B123" s="122">
        <v>1.3</v>
      </c>
      <c r="C123" s="76" t="s">
        <v>33</v>
      </c>
      <c r="D123" s="70" t="s">
        <v>46</v>
      </c>
      <c r="E123" s="123" t="s">
        <v>31</v>
      </c>
      <c r="F123" s="128" t="s">
        <v>50</v>
      </c>
      <c r="G123" s="72"/>
      <c r="H123" s="124"/>
      <c r="I123" s="73">
        <f t="shared" si="30"/>
        <v>350.1</v>
      </c>
      <c r="J123" s="73">
        <v>389</v>
      </c>
      <c r="K123" s="73">
        <f t="shared" si="31"/>
        <v>408.45</v>
      </c>
      <c r="L123" s="124">
        <f t="shared" si="32"/>
        <v>700.2</v>
      </c>
      <c r="M123" s="124">
        <f t="shared" si="33"/>
        <v>778</v>
      </c>
      <c r="N123" s="124">
        <f t="shared" si="34"/>
        <v>816.9</v>
      </c>
      <c r="O123" s="127"/>
      <c r="Q123" s="75"/>
      <c r="S123" s="6"/>
    </row>
    <row r="124" s="1" customFormat="1" ht="20" customHeight="1" spans="1:19">
      <c r="A124" s="121" t="s">
        <v>54</v>
      </c>
      <c r="B124" s="122">
        <v>1.5</v>
      </c>
      <c r="C124" s="76" t="s">
        <v>29</v>
      </c>
      <c r="D124" s="70" t="s">
        <v>46</v>
      </c>
      <c r="E124" s="123" t="s">
        <v>31</v>
      </c>
      <c r="F124" s="128" t="s">
        <v>51</v>
      </c>
      <c r="G124" s="72">
        <v>308</v>
      </c>
      <c r="H124" s="124"/>
      <c r="I124" s="73">
        <f t="shared" si="30"/>
        <v>322.2</v>
      </c>
      <c r="J124" s="73">
        <v>358</v>
      </c>
      <c r="K124" s="73">
        <f t="shared" si="31"/>
        <v>375.9</v>
      </c>
      <c r="L124" s="124">
        <f t="shared" si="32"/>
        <v>644.4</v>
      </c>
      <c r="M124" s="124">
        <f t="shared" si="33"/>
        <v>716</v>
      </c>
      <c r="N124" s="124">
        <f t="shared" si="34"/>
        <v>751.8</v>
      </c>
      <c r="O124" s="127">
        <f>(J124-G124)/G124</f>
        <v>0.162337662337662</v>
      </c>
      <c r="Q124" s="75"/>
      <c r="S124" s="6"/>
    </row>
    <row r="125" s="1" customFormat="1" ht="20" customHeight="1" spans="1:19">
      <c r="A125" s="121" t="s">
        <v>54</v>
      </c>
      <c r="B125" s="122">
        <v>1.5</v>
      </c>
      <c r="C125" s="76" t="s">
        <v>33</v>
      </c>
      <c r="D125" s="70" t="s">
        <v>46</v>
      </c>
      <c r="E125" s="123" t="s">
        <v>31</v>
      </c>
      <c r="F125" s="128" t="s">
        <v>51</v>
      </c>
      <c r="G125" s="72"/>
      <c r="H125" s="124"/>
      <c r="I125" s="73">
        <f t="shared" si="30"/>
        <v>376.2</v>
      </c>
      <c r="J125" s="73">
        <v>418</v>
      </c>
      <c r="K125" s="73">
        <f t="shared" si="31"/>
        <v>438.9</v>
      </c>
      <c r="L125" s="124">
        <f t="shared" si="32"/>
        <v>752.4</v>
      </c>
      <c r="M125" s="124">
        <f t="shared" si="33"/>
        <v>836</v>
      </c>
      <c r="N125" s="124">
        <f t="shared" si="34"/>
        <v>877.8</v>
      </c>
      <c r="O125" s="127"/>
      <c r="Q125" s="75"/>
      <c r="S125" s="6"/>
    </row>
    <row r="126" s="1" customFormat="1" ht="20" customHeight="1" spans="1:19">
      <c r="A126" s="121" t="s">
        <v>54</v>
      </c>
      <c r="B126" s="122">
        <v>1.5</v>
      </c>
      <c r="C126" s="76" t="s">
        <v>39</v>
      </c>
      <c r="D126" s="70" t="s">
        <v>46</v>
      </c>
      <c r="E126" s="123" t="s">
        <v>31</v>
      </c>
      <c r="F126" s="128" t="s">
        <v>50</v>
      </c>
      <c r="G126" s="72"/>
      <c r="H126" s="124"/>
      <c r="I126" s="73">
        <f t="shared" si="30"/>
        <v>526.5</v>
      </c>
      <c r="J126" s="73">
        <v>585</v>
      </c>
      <c r="K126" s="73">
        <f t="shared" si="31"/>
        <v>614.25</v>
      </c>
      <c r="L126" s="124">
        <f t="shared" si="32"/>
        <v>1053</v>
      </c>
      <c r="M126" s="124">
        <f t="shared" si="33"/>
        <v>1170</v>
      </c>
      <c r="N126" s="124">
        <f t="shared" si="34"/>
        <v>1228.5</v>
      </c>
      <c r="O126" s="127"/>
      <c r="Q126" s="75"/>
      <c r="S126" s="6"/>
    </row>
    <row r="127" s="1" customFormat="1" ht="18" customHeight="1" spans="1:19">
      <c r="A127" s="88" t="s">
        <v>0</v>
      </c>
      <c r="B127" s="89"/>
      <c r="C127" s="90"/>
      <c r="D127" s="90"/>
      <c r="E127" s="88"/>
      <c r="F127" s="91"/>
      <c r="G127" s="13"/>
      <c r="H127" s="13"/>
      <c r="I127" s="15"/>
      <c r="J127" s="15"/>
      <c r="K127" s="15"/>
      <c r="L127" s="13"/>
      <c r="M127" s="13"/>
      <c r="N127" s="13"/>
      <c r="O127" s="92"/>
    </row>
    <row r="128" s="1" customFormat="1" ht="18" customHeight="1" spans="1:19">
      <c r="A128" s="88"/>
      <c r="B128" s="89"/>
      <c r="C128" s="90"/>
      <c r="D128" s="90"/>
      <c r="E128" s="88"/>
      <c r="F128" s="91"/>
      <c r="G128" s="13"/>
      <c r="H128" s="13"/>
      <c r="I128" s="15"/>
      <c r="J128" s="15"/>
      <c r="K128" s="15"/>
      <c r="L128" s="13"/>
      <c r="M128" s="13"/>
      <c r="N128" s="13"/>
      <c r="O128" s="92"/>
    </row>
    <row r="129" s="1" customFormat="1" ht="18" customHeight="1" spans="1:17">
      <c r="A129" s="88"/>
      <c r="B129" s="89"/>
      <c r="C129" s="90"/>
      <c r="D129" s="90"/>
      <c r="E129" s="88"/>
      <c r="F129" s="91"/>
      <c r="G129" s="13"/>
      <c r="H129" s="13"/>
      <c r="I129" s="15"/>
      <c r="J129" s="15"/>
      <c r="K129" s="15"/>
      <c r="L129" s="13"/>
      <c r="M129" s="13"/>
      <c r="N129" s="13"/>
      <c r="O129" s="92"/>
    </row>
    <row r="130" s="1" customFormat="1" ht="18" customHeight="1" spans="1:17">
      <c r="A130" s="93"/>
      <c r="B130" s="94"/>
      <c r="C130" s="95"/>
      <c r="D130" s="95"/>
      <c r="E130" s="93"/>
      <c r="F130" s="96"/>
      <c r="G130" s="21"/>
      <c r="H130" s="21"/>
      <c r="I130" s="23"/>
      <c r="J130" s="23"/>
      <c r="K130" s="23"/>
      <c r="L130" s="21"/>
      <c r="M130" s="21"/>
      <c r="N130" s="21"/>
      <c r="O130" s="97"/>
    </row>
    <row r="131" s="1" customFormat="1" ht="18" customHeight="1" spans="1:17">
      <c r="A131" s="98" t="s">
        <v>1</v>
      </c>
      <c r="B131" s="99"/>
      <c r="C131" s="100"/>
      <c r="D131" s="100"/>
      <c r="E131" s="98"/>
      <c r="F131" s="101"/>
      <c r="G131" s="29"/>
      <c r="H131" s="30"/>
      <c r="I131" s="31"/>
      <c r="J131" s="31"/>
      <c r="K131" s="31"/>
      <c r="L131" s="30"/>
      <c r="M131" s="30"/>
      <c r="N131" s="30"/>
      <c r="O131" s="8"/>
    </row>
    <row r="132" s="1" customFormat="1" ht="18" customHeight="1" spans="1:17">
      <c r="A132" s="102" t="s">
        <v>2</v>
      </c>
      <c r="B132" s="103"/>
      <c r="C132" s="104"/>
      <c r="D132" s="104"/>
      <c r="E132" s="102"/>
      <c r="F132" s="101"/>
      <c r="G132" s="35"/>
      <c r="H132" s="6"/>
      <c r="I132" s="7"/>
      <c r="J132" s="7"/>
      <c r="K132" s="7"/>
      <c r="L132" s="6"/>
      <c r="M132" s="6"/>
      <c r="N132" s="6"/>
      <c r="O132" s="8"/>
    </row>
    <row r="133" s="1" customFormat="1" ht="18" customHeight="1" spans="1:17">
      <c r="A133" s="105" t="s">
        <v>3</v>
      </c>
      <c r="B133" s="106"/>
      <c r="C133" s="107"/>
      <c r="D133" s="108"/>
      <c r="E133" s="109"/>
      <c r="F133" s="110"/>
      <c r="G133" s="42"/>
      <c r="H133" s="6"/>
      <c r="I133" s="7"/>
      <c r="J133" s="7"/>
      <c r="K133" s="7"/>
      <c r="L133" s="6"/>
      <c r="M133" s="6"/>
      <c r="N133" s="6"/>
      <c r="O133" s="8"/>
    </row>
    <row r="134" s="1" customFormat="1" ht="18" customHeight="1" spans="1:17">
      <c r="A134" s="105" t="s">
        <v>4</v>
      </c>
      <c r="B134" s="111"/>
      <c r="C134" s="108"/>
      <c r="D134" s="108"/>
      <c r="E134" s="109"/>
      <c r="F134" s="110"/>
      <c r="G134" s="42"/>
      <c r="H134" s="6"/>
      <c r="I134" s="7"/>
      <c r="J134" s="7"/>
      <c r="K134" s="7"/>
      <c r="L134" s="6"/>
      <c r="M134" s="6"/>
      <c r="N134" s="6"/>
      <c r="O134" s="8"/>
    </row>
    <row r="135" s="1" customFormat="1" ht="18" customHeight="1" spans="1:17">
      <c r="A135" s="112" t="s">
        <v>55</v>
      </c>
      <c r="B135" s="113"/>
      <c r="C135" s="114"/>
      <c r="D135" s="114"/>
      <c r="E135" s="109"/>
      <c r="F135" s="110"/>
      <c r="G135" s="42"/>
      <c r="H135" s="6"/>
      <c r="I135" s="7"/>
      <c r="J135" s="7"/>
      <c r="K135" s="7"/>
      <c r="L135" s="6"/>
      <c r="M135" s="6"/>
      <c r="N135" s="6"/>
      <c r="O135" s="8"/>
    </row>
    <row r="136" s="1" customFormat="1" ht="15.6" spans="1:17">
      <c r="A136" s="105" t="s">
        <v>6</v>
      </c>
      <c r="B136" s="111"/>
      <c r="C136" s="115"/>
      <c r="D136" s="115"/>
      <c r="E136" s="116"/>
      <c r="F136" s="117"/>
      <c r="G136" s="49"/>
      <c r="H136" s="6"/>
      <c r="I136" s="7"/>
      <c r="J136" s="7"/>
      <c r="K136" s="7"/>
      <c r="L136" s="6"/>
      <c r="M136" s="6"/>
      <c r="N136" s="6"/>
      <c r="O136" s="8"/>
    </row>
    <row r="137" s="1" customFormat="1" ht="20.4" spans="1:17">
      <c r="A137" s="118" t="s">
        <v>56</v>
      </c>
      <c r="B137" s="119"/>
      <c r="C137" s="118"/>
      <c r="D137" s="118"/>
      <c r="E137" s="118"/>
      <c r="F137" s="120"/>
      <c r="G137" s="54"/>
      <c r="H137" s="54"/>
      <c r="I137" s="56"/>
      <c r="J137" s="56"/>
      <c r="K137" s="56"/>
      <c r="L137" s="54"/>
      <c r="M137" s="54"/>
      <c r="N137" s="54"/>
      <c r="O137" s="118"/>
    </row>
    <row r="138" s="1" customFormat="1" ht="22" customHeight="1" spans="1:17">
      <c r="A138" s="58" t="s">
        <v>8</v>
      </c>
      <c r="B138" s="59" t="s">
        <v>9</v>
      </c>
      <c r="C138" s="60" t="s">
        <v>10</v>
      </c>
      <c r="D138" s="60" t="s">
        <v>11</v>
      </c>
      <c r="E138" s="61" t="s">
        <v>12</v>
      </c>
      <c r="F138" s="62" t="s">
        <v>13</v>
      </c>
      <c r="G138" s="64"/>
      <c r="H138" s="64" t="s">
        <v>15</v>
      </c>
      <c r="I138" s="65"/>
      <c r="J138" s="65"/>
      <c r="K138" s="65"/>
      <c r="L138" s="64"/>
      <c r="M138" s="64"/>
      <c r="N138" s="64"/>
      <c r="O138" s="66"/>
    </row>
    <row r="139" ht="22" customHeight="1" spans="1:17">
      <c r="A139" s="121" t="s">
        <v>53</v>
      </c>
      <c r="B139" s="122" t="s">
        <v>17</v>
      </c>
      <c r="C139" s="69" t="s">
        <v>18</v>
      </c>
      <c r="D139" s="70" t="s">
        <v>19</v>
      </c>
      <c r="E139" s="123" t="s">
        <v>18</v>
      </c>
      <c r="F139" s="62" t="s">
        <v>20</v>
      </c>
      <c r="G139" s="124" t="s">
        <v>21</v>
      </c>
      <c r="H139" s="124" t="s">
        <v>22</v>
      </c>
      <c r="I139" s="73" t="s">
        <v>23</v>
      </c>
      <c r="J139" s="73" t="s">
        <v>21</v>
      </c>
      <c r="K139" s="73" t="s">
        <v>24</v>
      </c>
      <c r="L139" s="124" t="s">
        <v>25</v>
      </c>
      <c r="M139" s="124" t="s">
        <v>26</v>
      </c>
      <c r="N139" s="124" t="s">
        <v>27</v>
      </c>
      <c r="O139" s="125" t="s">
        <v>28</v>
      </c>
    </row>
    <row r="140" ht="22" customHeight="1" spans="1:17">
      <c r="A140" s="121" t="s">
        <v>57</v>
      </c>
      <c r="B140" s="122">
        <v>0.076</v>
      </c>
      <c r="C140" s="76" t="s">
        <v>29</v>
      </c>
      <c r="D140" s="70" t="s">
        <v>30</v>
      </c>
      <c r="E140" s="123" t="s">
        <v>31</v>
      </c>
      <c r="F140" s="126" t="s">
        <v>58</v>
      </c>
      <c r="G140" s="72">
        <v>119</v>
      </c>
      <c r="H140" s="124"/>
      <c r="I140" s="73">
        <f>J140*0.9</f>
        <v>117.9</v>
      </c>
      <c r="J140" s="73">
        <v>131</v>
      </c>
      <c r="K140" s="73">
        <f>J140*1.05</f>
        <v>137.55</v>
      </c>
      <c r="L140" s="124">
        <f>I140*2</f>
        <v>235.8</v>
      </c>
      <c r="M140" s="124">
        <f>J140*2</f>
        <v>262</v>
      </c>
      <c r="N140" s="124">
        <f>J140*2</f>
        <v>262</v>
      </c>
      <c r="O140" s="127">
        <f>(J140-G140)/G140</f>
        <v>0.100840336134454</v>
      </c>
      <c r="Q140" s="75"/>
    </row>
    <row r="141" ht="22" customHeight="1" spans="1:17">
      <c r="A141" s="121" t="s">
        <v>57</v>
      </c>
      <c r="B141" s="122">
        <v>0.076</v>
      </c>
      <c r="C141" s="76" t="s">
        <v>33</v>
      </c>
      <c r="D141" s="70" t="s">
        <v>30</v>
      </c>
      <c r="E141" s="123" t="s">
        <v>31</v>
      </c>
      <c r="F141" s="128" t="s">
        <v>58</v>
      </c>
      <c r="G141" s="72"/>
      <c r="H141" s="124"/>
      <c r="I141" s="73">
        <f t="shared" ref="I141:I178" si="35">J141*0.9</f>
        <v>184.5</v>
      </c>
      <c r="J141" s="73">
        <v>205</v>
      </c>
      <c r="K141" s="73">
        <f t="shared" ref="K141:K178" si="36">J141*1.05</f>
        <v>215.25</v>
      </c>
      <c r="L141" s="124">
        <f t="shared" ref="L141:L178" si="37">I141*2</f>
        <v>369</v>
      </c>
      <c r="M141" s="124">
        <f t="shared" ref="M141:M178" si="38">J141*2</f>
        <v>410</v>
      </c>
      <c r="N141" s="124">
        <f t="shared" ref="N141:N178" si="39">J141*2</f>
        <v>410</v>
      </c>
      <c r="O141" s="127"/>
      <c r="Q141" s="75"/>
    </row>
    <row r="142" ht="22" customHeight="1" spans="1:17">
      <c r="A142" s="121" t="s">
        <v>57</v>
      </c>
      <c r="B142" s="122">
        <v>0.1</v>
      </c>
      <c r="C142" s="76" t="s">
        <v>29</v>
      </c>
      <c r="D142" s="70" t="s">
        <v>30</v>
      </c>
      <c r="E142" s="123" t="s">
        <v>31</v>
      </c>
      <c r="F142" s="126" t="s">
        <v>32</v>
      </c>
      <c r="G142" s="72">
        <v>118</v>
      </c>
      <c r="H142" s="124"/>
      <c r="I142" s="73">
        <f t="shared" si="35"/>
        <v>117</v>
      </c>
      <c r="J142" s="73">
        <v>130</v>
      </c>
      <c r="K142" s="73">
        <f t="shared" si="36"/>
        <v>136.5</v>
      </c>
      <c r="L142" s="124">
        <f t="shared" si="37"/>
        <v>234</v>
      </c>
      <c r="M142" s="124">
        <f t="shared" si="38"/>
        <v>260</v>
      </c>
      <c r="N142" s="124">
        <f t="shared" si="39"/>
        <v>260</v>
      </c>
      <c r="O142" s="127">
        <f t="shared" ref="O141:O177" si="40">(J142-G142)/G142</f>
        <v>0.101694915254237</v>
      </c>
      <c r="Q142" s="75"/>
    </row>
    <row r="143" ht="22" customHeight="1" spans="1:17">
      <c r="A143" s="121" t="s">
        <v>57</v>
      </c>
      <c r="B143" s="122">
        <v>0.1</v>
      </c>
      <c r="C143" s="76" t="s">
        <v>33</v>
      </c>
      <c r="D143" s="70" t="s">
        <v>30</v>
      </c>
      <c r="E143" s="123" t="s">
        <v>31</v>
      </c>
      <c r="F143" s="126" t="s">
        <v>32</v>
      </c>
      <c r="G143" s="72">
        <v>185</v>
      </c>
      <c r="H143" s="124"/>
      <c r="I143" s="73">
        <f t="shared" si="35"/>
        <v>185.4</v>
      </c>
      <c r="J143" s="73">
        <v>206</v>
      </c>
      <c r="K143" s="73">
        <f t="shared" si="36"/>
        <v>216.3</v>
      </c>
      <c r="L143" s="124">
        <f t="shared" si="37"/>
        <v>370.8</v>
      </c>
      <c r="M143" s="124">
        <f t="shared" si="38"/>
        <v>412</v>
      </c>
      <c r="N143" s="124">
        <f t="shared" si="39"/>
        <v>412</v>
      </c>
      <c r="O143" s="127">
        <f t="shared" si="40"/>
        <v>0.113513513513514</v>
      </c>
      <c r="Q143" s="75"/>
    </row>
    <row r="144" ht="22" customHeight="1" spans="1:17">
      <c r="A144" s="121" t="s">
        <v>57</v>
      </c>
      <c r="B144" s="122">
        <v>0.13</v>
      </c>
      <c r="C144" s="76" t="s">
        <v>29</v>
      </c>
      <c r="D144" s="70" t="s">
        <v>30</v>
      </c>
      <c r="E144" s="123" t="s">
        <v>31</v>
      </c>
      <c r="F144" s="126" t="s">
        <v>32</v>
      </c>
      <c r="G144" s="72">
        <v>118</v>
      </c>
      <c r="H144" s="124"/>
      <c r="I144" s="73">
        <f t="shared" si="35"/>
        <v>117.9</v>
      </c>
      <c r="J144" s="73">
        <v>131</v>
      </c>
      <c r="K144" s="73">
        <f t="shared" si="36"/>
        <v>137.55</v>
      </c>
      <c r="L144" s="124">
        <f t="shared" si="37"/>
        <v>235.8</v>
      </c>
      <c r="M144" s="124">
        <f t="shared" si="38"/>
        <v>262</v>
      </c>
      <c r="N144" s="124">
        <f t="shared" si="39"/>
        <v>262</v>
      </c>
      <c r="O144" s="127">
        <f t="shared" si="40"/>
        <v>0.110169491525424</v>
      </c>
      <c r="Q144" s="75"/>
    </row>
    <row r="145" ht="22" customHeight="1" spans="1:17">
      <c r="A145" s="121" t="s">
        <v>57</v>
      </c>
      <c r="B145" s="122">
        <v>0.13</v>
      </c>
      <c r="C145" s="76" t="s">
        <v>33</v>
      </c>
      <c r="D145" s="70" t="s">
        <v>30</v>
      </c>
      <c r="E145" s="123" t="s">
        <v>31</v>
      </c>
      <c r="F145" s="126" t="s">
        <v>32</v>
      </c>
      <c r="G145" s="72">
        <v>184</v>
      </c>
      <c r="H145" s="124"/>
      <c r="I145" s="73">
        <f t="shared" si="35"/>
        <v>185.4</v>
      </c>
      <c r="J145" s="73">
        <v>206</v>
      </c>
      <c r="K145" s="73">
        <f t="shared" si="36"/>
        <v>216.3</v>
      </c>
      <c r="L145" s="124">
        <f t="shared" si="37"/>
        <v>370.8</v>
      </c>
      <c r="M145" s="124">
        <f t="shared" si="38"/>
        <v>412</v>
      </c>
      <c r="N145" s="124">
        <f t="shared" si="39"/>
        <v>412</v>
      </c>
      <c r="O145" s="127">
        <f t="shared" si="40"/>
        <v>0.119565217391304</v>
      </c>
      <c r="Q145" s="75"/>
    </row>
    <row r="146" ht="22" customHeight="1" spans="1:17">
      <c r="A146" s="121" t="s">
        <v>57</v>
      </c>
      <c r="B146" s="122">
        <v>0.13</v>
      </c>
      <c r="C146" s="76" t="s">
        <v>39</v>
      </c>
      <c r="D146" s="70" t="s">
        <v>30</v>
      </c>
      <c r="E146" s="123" t="s">
        <v>31</v>
      </c>
      <c r="F146" s="126" t="s">
        <v>32</v>
      </c>
      <c r="G146" s="72"/>
      <c r="H146" s="124"/>
      <c r="I146" s="73">
        <f t="shared" si="35"/>
        <v>342</v>
      </c>
      <c r="J146" s="73">
        <v>380</v>
      </c>
      <c r="K146" s="73">
        <f t="shared" si="36"/>
        <v>399</v>
      </c>
      <c r="L146" s="124">
        <f t="shared" si="37"/>
        <v>684</v>
      </c>
      <c r="M146" s="124">
        <f t="shared" si="38"/>
        <v>760</v>
      </c>
      <c r="N146" s="124">
        <f t="shared" si="39"/>
        <v>760</v>
      </c>
      <c r="O146" s="127"/>
      <c r="Q146" s="75"/>
    </row>
    <row r="147" ht="22" customHeight="1" spans="1:17">
      <c r="A147" s="121" t="s">
        <v>57</v>
      </c>
      <c r="B147" s="122">
        <v>0.15</v>
      </c>
      <c r="C147" s="76" t="s">
        <v>29</v>
      </c>
      <c r="D147" s="70" t="s">
        <v>30</v>
      </c>
      <c r="E147" s="123" t="s">
        <v>31</v>
      </c>
      <c r="F147" s="77" t="s">
        <v>34</v>
      </c>
      <c r="G147" s="72">
        <v>118</v>
      </c>
      <c r="H147" s="124"/>
      <c r="I147" s="73">
        <f t="shared" si="35"/>
        <v>122.4</v>
      </c>
      <c r="J147" s="73">
        <v>136</v>
      </c>
      <c r="K147" s="73">
        <f t="shared" si="36"/>
        <v>142.8</v>
      </c>
      <c r="L147" s="124">
        <f t="shared" si="37"/>
        <v>244.8</v>
      </c>
      <c r="M147" s="124">
        <f t="shared" si="38"/>
        <v>272</v>
      </c>
      <c r="N147" s="124">
        <f t="shared" si="39"/>
        <v>272</v>
      </c>
      <c r="O147" s="127">
        <f t="shared" si="40"/>
        <v>0.152542372881356</v>
      </c>
      <c r="Q147" s="75"/>
    </row>
    <row r="148" ht="22" customHeight="1" spans="1:17">
      <c r="A148" s="121" t="s">
        <v>57</v>
      </c>
      <c r="B148" s="122">
        <v>0.15</v>
      </c>
      <c r="C148" s="76" t="s">
        <v>33</v>
      </c>
      <c r="D148" s="70" t="s">
        <v>30</v>
      </c>
      <c r="E148" s="123" t="s">
        <v>31</v>
      </c>
      <c r="F148" s="77" t="s">
        <v>34</v>
      </c>
      <c r="G148" s="72">
        <v>184</v>
      </c>
      <c r="H148" s="124"/>
      <c r="I148" s="73">
        <f t="shared" si="35"/>
        <v>190.8</v>
      </c>
      <c r="J148" s="73">
        <v>212</v>
      </c>
      <c r="K148" s="73">
        <f t="shared" si="36"/>
        <v>222.6</v>
      </c>
      <c r="L148" s="124">
        <f t="shared" si="37"/>
        <v>381.6</v>
      </c>
      <c r="M148" s="124">
        <f t="shared" si="38"/>
        <v>424</v>
      </c>
      <c r="N148" s="124">
        <f t="shared" si="39"/>
        <v>424</v>
      </c>
      <c r="O148" s="127">
        <f t="shared" si="40"/>
        <v>0.152173913043478</v>
      </c>
      <c r="Q148" s="75"/>
    </row>
    <row r="149" ht="22" customHeight="1" spans="1:17">
      <c r="A149" s="121" t="s">
        <v>57</v>
      </c>
      <c r="B149" s="122">
        <v>0.15</v>
      </c>
      <c r="C149" s="76" t="s">
        <v>39</v>
      </c>
      <c r="D149" s="70" t="s">
        <v>30</v>
      </c>
      <c r="E149" s="123" t="s">
        <v>31</v>
      </c>
      <c r="F149" s="77" t="s">
        <v>34</v>
      </c>
      <c r="G149" s="72">
        <v>325</v>
      </c>
      <c r="H149" s="124"/>
      <c r="I149" s="73">
        <f t="shared" si="35"/>
        <v>346.5</v>
      </c>
      <c r="J149" s="73">
        <v>385</v>
      </c>
      <c r="K149" s="73">
        <f t="shared" si="36"/>
        <v>404.25</v>
      </c>
      <c r="L149" s="124">
        <f t="shared" si="37"/>
        <v>693</v>
      </c>
      <c r="M149" s="124">
        <f t="shared" si="38"/>
        <v>770</v>
      </c>
      <c r="N149" s="124">
        <f t="shared" si="39"/>
        <v>770</v>
      </c>
      <c r="O149" s="127">
        <f t="shared" si="40"/>
        <v>0.184615384615385</v>
      </c>
      <c r="Q149" s="75"/>
    </row>
    <row r="150" ht="22" customHeight="1" spans="1:17">
      <c r="A150" s="121" t="s">
        <v>57</v>
      </c>
      <c r="B150" s="122">
        <v>0.2</v>
      </c>
      <c r="C150" s="76" t="s">
        <v>29</v>
      </c>
      <c r="D150" s="70" t="s">
        <v>30</v>
      </c>
      <c r="E150" s="123" t="s">
        <v>31</v>
      </c>
      <c r="F150" s="77" t="s">
        <v>35</v>
      </c>
      <c r="G150" s="72">
        <v>119</v>
      </c>
      <c r="H150" s="124"/>
      <c r="I150" s="73">
        <f t="shared" si="35"/>
        <v>119.7</v>
      </c>
      <c r="J150" s="73">
        <v>133</v>
      </c>
      <c r="K150" s="73">
        <f t="shared" si="36"/>
        <v>139.65</v>
      </c>
      <c r="L150" s="124">
        <f t="shared" si="37"/>
        <v>239.4</v>
      </c>
      <c r="M150" s="124">
        <f t="shared" si="38"/>
        <v>266</v>
      </c>
      <c r="N150" s="124">
        <f t="shared" si="39"/>
        <v>266</v>
      </c>
      <c r="O150" s="127">
        <f t="shared" si="40"/>
        <v>0.117647058823529</v>
      </c>
      <c r="Q150" s="75"/>
    </row>
    <row r="151" ht="22" customHeight="1" spans="1:17">
      <c r="A151" s="121" t="s">
        <v>57</v>
      </c>
      <c r="B151" s="122">
        <v>0.2</v>
      </c>
      <c r="C151" s="76" t="s">
        <v>33</v>
      </c>
      <c r="D151" s="70" t="s">
        <v>30</v>
      </c>
      <c r="E151" s="123" t="s">
        <v>31</v>
      </c>
      <c r="F151" s="77" t="s">
        <v>35</v>
      </c>
      <c r="G151" s="72">
        <v>183</v>
      </c>
      <c r="H151" s="124"/>
      <c r="I151" s="73">
        <f t="shared" si="35"/>
        <v>184.5</v>
      </c>
      <c r="J151" s="73">
        <v>205</v>
      </c>
      <c r="K151" s="73">
        <f t="shared" si="36"/>
        <v>215.25</v>
      </c>
      <c r="L151" s="124">
        <f t="shared" si="37"/>
        <v>369</v>
      </c>
      <c r="M151" s="124">
        <f t="shared" si="38"/>
        <v>410</v>
      </c>
      <c r="N151" s="124">
        <f t="shared" si="39"/>
        <v>410</v>
      </c>
      <c r="O151" s="127">
        <f t="shared" si="40"/>
        <v>0.120218579234973</v>
      </c>
      <c r="Q151" s="75"/>
    </row>
    <row r="152" ht="22" customHeight="1" spans="1:17">
      <c r="A152" s="121" t="s">
        <v>57</v>
      </c>
      <c r="B152" s="122">
        <v>0.2</v>
      </c>
      <c r="C152" s="76" t="s">
        <v>39</v>
      </c>
      <c r="D152" s="70" t="s">
        <v>30</v>
      </c>
      <c r="E152" s="123" t="s">
        <v>31</v>
      </c>
      <c r="F152" s="77" t="s">
        <v>35</v>
      </c>
      <c r="G152" s="72">
        <v>318</v>
      </c>
      <c r="H152" s="124"/>
      <c r="I152" s="73">
        <f t="shared" si="35"/>
        <v>343.8</v>
      </c>
      <c r="J152" s="73">
        <v>382</v>
      </c>
      <c r="K152" s="73">
        <f t="shared" si="36"/>
        <v>401.1</v>
      </c>
      <c r="L152" s="124">
        <f t="shared" si="37"/>
        <v>687.6</v>
      </c>
      <c r="M152" s="124">
        <f t="shared" si="38"/>
        <v>764</v>
      </c>
      <c r="N152" s="124">
        <f t="shared" si="39"/>
        <v>764</v>
      </c>
      <c r="O152" s="127">
        <f t="shared" si="40"/>
        <v>0.20125786163522</v>
      </c>
      <c r="Q152" s="75"/>
    </row>
    <row r="153" ht="22" customHeight="1" spans="1:17">
      <c r="A153" s="121" t="s">
        <v>57</v>
      </c>
      <c r="B153" s="122">
        <v>0.25</v>
      </c>
      <c r="C153" s="76" t="s">
        <v>29</v>
      </c>
      <c r="D153" s="70" t="s">
        <v>30</v>
      </c>
      <c r="E153" s="123" t="s">
        <v>31</v>
      </c>
      <c r="F153" s="77" t="s">
        <v>36</v>
      </c>
      <c r="G153" s="72">
        <v>143</v>
      </c>
      <c r="H153" s="124"/>
      <c r="I153" s="73">
        <f t="shared" si="35"/>
        <v>144</v>
      </c>
      <c r="J153" s="73">
        <v>160</v>
      </c>
      <c r="K153" s="73">
        <f t="shared" si="36"/>
        <v>168</v>
      </c>
      <c r="L153" s="124">
        <f t="shared" si="37"/>
        <v>288</v>
      </c>
      <c r="M153" s="124">
        <f t="shared" si="38"/>
        <v>320</v>
      </c>
      <c r="N153" s="124">
        <f t="shared" si="39"/>
        <v>320</v>
      </c>
      <c r="O153" s="127">
        <f t="shared" si="40"/>
        <v>0.118881118881119</v>
      </c>
      <c r="Q153" s="75"/>
    </row>
    <row r="154" ht="22" customHeight="1" spans="1:17">
      <c r="A154" s="121" t="s">
        <v>57</v>
      </c>
      <c r="B154" s="122">
        <v>0.25</v>
      </c>
      <c r="C154" s="76" t="s">
        <v>33</v>
      </c>
      <c r="D154" s="70" t="s">
        <v>30</v>
      </c>
      <c r="E154" s="123" t="s">
        <v>31</v>
      </c>
      <c r="F154" s="77" t="s">
        <v>36</v>
      </c>
      <c r="G154" s="72">
        <v>207</v>
      </c>
      <c r="H154" s="124"/>
      <c r="I154" s="73">
        <f t="shared" si="35"/>
        <v>205.2</v>
      </c>
      <c r="J154" s="73">
        <v>228</v>
      </c>
      <c r="K154" s="73">
        <f t="shared" si="36"/>
        <v>239.4</v>
      </c>
      <c r="L154" s="124">
        <f t="shared" si="37"/>
        <v>410.4</v>
      </c>
      <c r="M154" s="124">
        <f t="shared" si="38"/>
        <v>456</v>
      </c>
      <c r="N154" s="124">
        <f t="shared" si="39"/>
        <v>456</v>
      </c>
      <c r="O154" s="127">
        <f t="shared" si="40"/>
        <v>0.101449275362319</v>
      </c>
      <c r="Q154" s="75"/>
    </row>
    <row r="155" ht="22" customHeight="1" spans="1:17">
      <c r="A155" s="121" t="s">
        <v>57</v>
      </c>
      <c r="B155" s="122">
        <v>0.25</v>
      </c>
      <c r="C155" s="76" t="s">
        <v>39</v>
      </c>
      <c r="D155" s="70" t="s">
        <v>30</v>
      </c>
      <c r="E155" s="123" t="s">
        <v>31</v>
      </c>
      <c r="F155" s="77" t="s">
        <v>36</v>
      </c>
      <c r="G155" s="72"/>
      <c r="H155" s="124"/>
      <c r="I155" s="73">
        <f t="shared" si="35"/>
        <v>364.5</v>
      </c>
      <c r="J155" s="73">
        <v>405</v>
      </c>
      <c r="K155" s="73">
        <f t="shared" si="36"/>
        <v>425.25</v>
      </c>
      <c r="L155" s="124">
        <f t="shared" si="37"/>
        <v>729</v>
      </c>
      <c r="M155" s="124">
        <f t="shared" si="38"/>
        <v>810</v>
      </c>
      <c r="N155" s="124">
        <f t="shared" si="39"/>
        <v>810</v>
      </c>
      <c r="O155" s="127"/>
      <c r="Q155" s="75"/>
    </row>
    <row r="156" ht="22" customHeight="1" spans="1:17">
      <c r="A156" s="121" t="s">
        <v>57</v>
      </c>
      <c r="B156" s="122">
        <v>0.3</v>
      </c>
      <c r="C156" s="76" t="s">
        <v>29</v>
      </c>
      <c r="D156" s="70" t="s">
        <v>30</v>
      </c>
      <c r="E156" s="123" t="s">
        <v>31</v>
      </c>
      <c r="F156" s="77" t="s">
        <v>37</v>
      </c>
      <c r="G156" s="72">
        <v>146</v>
      </c>
      <c r="H156" s="124"/>
      <c r="I156" s="73">
        <f t="shared" si="35"/>
        <v>151.2</v>
      </c>
      <c r="J156" s="73">
        <v>168</v>
      </c>
      <c r="K156" s="73">
        <f t="shared" si="36"/>
        <v>176.4</v>
      </c>
      <c r="L156" s="124">
        <f t="shared" si="37"/>
        <v>302.4</v>
      </c>
      <c r="M156" s="124">
        <f t="shared" si="38"/>
        <v>336</v>
      </c>
      <c r="N156" s="124">
        <f t="shared" si="39"/>
        <v>336</v>
      </c>
      <c r="O156" s="127">
        <f t="shared" si="40"/>
        <v>0.150684931506849</v>
      </c>
      <c r="Q156" s="75"/>
    </row>
    <row r="157" ht="22" customHeight="1" spans="1:17">
      <c r="A157" s="121" t="s">
        <v>57</v>
      </c>
      <c r="B157" s="122">
        <v>0.3</v>
      </c>
      <c r="C157" s="76" t="s">
        <v>33</v>
      </c>
      <c r="D157" s="70" t="s">
        <v>30</v>
      </c>
      <c r="E157" s="123" t="s">
        <v>31</v>
      </c>
      <c r="F157" s="77" t="s">
        <v>37</v>
      </c>
      <c r="G157" s="72">
        <v>212</v>
      </c>
      <c r="H157" s="124"/>
      <c r="I157" s="73">
        <f t="shared" si="35"/>
        <v>219.6</v>
      </c>
      <c r="J157" s="73">
        <v>244</v>
      </c>
      <c r="K157" s="73">
        <f t="shared" si="36"/>
        <v>256.2</v>
      </c>
      <c r="L157" s="124">
        <f t="shared" si="37"/>
        <v>439.2</v>
      </c>
      <c r="M157" s="124">
        <f t="shared" si="38"/>
        <v>488</v>
      </c>
      <c r="N157" s="124">
        <f t="shared" si="39"/>
        <v>488</v>
      </c>
      <c r="O157" s="127">
        <f t="shared" si="40"/>
        <v>0.150943396226415</v>
      </c>
      <c r="Q157" s="75"/>
    </row>
    <row r="158" ht="22" customHeight="1" spans="1:17">
      <c r="A158" s="121" t="s">
        <v>57</v>
      </c>
      <c r="B158" s="122">
        <v>0.3</v>
      </c>
      <c r="C158" s="76" t="s">
        <v>39</v>
      </c>
      <c r="D158" s="70" t="s">
        <v>30</v>
      </c>
      <c r="E158" s="123" t="s">
        <v>31</v>
      </c>
      <c r="F158" s="77" t="s">
        <v>37</v>
      </c>
      <c r="G158" s="72">
        <v>358</v>
      </c>
      <c r="H158" s="124"/>
      <c r="I158" s="73">
        <f t="shared" si="35"/>
        <v>374.4</v>
      </c>
      <c r="J158" s="73">
        <v>416</v>
      </c>
      <c r="K158" s="73">
        <f t="shared" si="36"/>
        <v>436.8</v>
      </c>
      <c r="L158" s="124">
        <f t="shared" si="37"/>
        <v>748.8</v>
      </c>
      <c r="M158" s="124">
        <f t="shared" si="38"/>
        <v>832</v>
      </c>
      <c r="N158" s="124">
        <f t="shared" si="39"/>
        <v>832</v>
      </c>
      <c r="O158" s="127">
        <f t="shared" si="40"/>
        <v>0.162011173184358</v>
      </c>
      <c r="Q158" s="75"/>
    </row>
    <row r="159" ht="22" customHeight="1" spans="1:17">
      <c r="A159" s="121" t="s">
        <v>57</v>
      </c>
      <c r="B159" s="122">
        <v>0.36</v>
      </c>
      <c r="C159" s="76" t="s">
        <v>29</v>
      </c>
      <c r="D159" s="70" t="s">
        <v>30</v>
      </c>
      <c r="E159" s="123" t="s">
        <v>31</v>
      </c>
      <c r="F159" s="77" t="s">
        <v>38</v>
      </c>
      <c r="G159" s="72">
        <v>135</v>
      </c>
      <c r="H159" s="124"/>
      <c r="I159" s="73">
        <f t="shared" si="35"/>
        <v>135.9</v>
      </c>
      <c r="J159" s="73">
        <v>151</v>
      </c>
      <c r="K159" s="73">
        <f t="shared" si="36"/>
        <v>158.55</v>
      </c>
      <c r="L159" s="124">
        <f t="shared" si="37"/>
        <v>271.8</v>
      </c>
      <c r="M159" s="124">
        <f t="shared" si="38"/>
        <v>302</v>
      </c>
      <c r="N159" s="124">
        <f t="shared" si="39"/>
        <v>302</v>
      </c>
      <c r="O159" s="127">
        <f t="shared" si="40"/>
        <v>0.118518518518519</v>
      </c>
      <c r="Q159" s="75"/>
    </row>
    <row r="160" ht="22" customHeight="1" spans="1:17">
      <c r="A160" s="121" t="s">
        <v>57</v>
      </c>
      <c r="B160" s="122">
        <v>0.36</v>
      </c>
      <c r="C160" s="76" t="s">
        <v>33</v>
      </c>
      <c r="D160" s="70" t="s">
        <v>30</v>
      </c>
      <c r="E160" s="123" t="s">
        <v>31</v>
      </c>
      <c r="F160" s="77" t="s">
        <v>38</v>
      </c>
      <c r="G160" s="72">
        <v>204</v>
      </c>
      <c r="H160" s="124"/>
      <c r="I160" s="73">
        <f t="shared" si="35"/>
        <v>205.2</v>
      </c>
      <c r="J160" s="73">
        <v>228</v>
      </c>
      <c r="K160" s="73">
        <f t="shared" si="36"/>
        <v>239.4</v>
      </c>
      <c r="L160" s="124">
        <f t="shared" si="37"/>
        <v>410.4</v>
      </c>
      <c r="M160" s="124">
        <f t="shared" si="38"/>
        <v>456</v>
      </c>
      <c r="N160" s="124">
        <f t="shared" si="39"/>
        <v>456</v>
      </c>
      <c r="O160" s="127">
        <f t="shared" si="40"/>
        <v>0.117647058823529</v>
      </c>
      <c r="Q160" s="75"/>
    </row>
    <row r="161" ht="22" customHeight="1" spans="1:17">
      <c r="A161" s="121" t="s">
        <v>57</v>
      </c>
      <c r="B161" s="122">
        <v>0.36</v>
      </c>
      <c r="C161" s="76" t="s">
        <v>39</v>
      </c>
      <c r="D161" s="70" t="s">
        <v>30</v>
      </c>
      <c r="E161" s="123" t="s">
        <v>31</v>
      </c>
      <c r="F161" s="77" t="s">
        <v>38</v>
      </c>
      <c r="G161" s="72"/>
      <c r="H161" s="124"/>
      <c r="I161" s="73">
        <f t="shared" si="35"/>
        <v>368.1</v>
      </c>
      <c r="J161" s="73">
        <v>409</v>
      </c>
      <c r="K161" s="73">
        <f t="shared" si="36"/>
        <v>429.45</v>
      </c>
      <c r="L161" s="124">
        <f t="shared" si="37"/>
        <v>736.2</v>
      </c>
      <c r="M161" s="124">
        <f t="shared" si="38"/>
        <v>818</v>
      </c>
      <c r="N161" s="124">
        <f t="shared" si="39"/>
        <v>818</v>
      </c>
      <c r="O161" s="127"/>
      <c r="Q161" s="75"/>
    </row>
    <row r="162" ht="22" customHeight="1" spans="1:17">
      <c r="A162" s="121" t="s">
        <v>57</v>
      </c>
      <c r="B162" s="122">
        <v>0.41</v>
      </c>
      <c r="C162" s="76" t="s">
        <v>29</v>
      </c>
      <c r="D162" s="70" t="s">
        <v>30</v>
      </c>
      <c r="E162" s="123" t="s">
        <v>31</v>
      </c>
      <c r="F162" s="77" t="s">
        <v>38</v>
      </c>
      <c r="G162" s="72">
        <v>132</v>
      </c>
      <c r="H162" s="124"/>
      <c r="I162" s="73">
        <f t="shared" si="35"/>
        <v>144</v>
      </c>
      <c r="J162" s="73">
        <v>160</v>
      </c>
      <c r="K162" s="73">
        <f t="shared" si="36"/>
        <v>168</v>
      </c>
      <c r="L162" s="124">
        <f t="shared" si="37"/>
        <v>288</v>
      </c>
      <c r="M162" s="124">
        <f t="shared" si="38"/>
        <v>320</v>
      </c>
      <c r="N162" s="124">
        <f t="shared" si="39"/>
        <v>320</v>
      </c>
      <c r="O162" s="127">
        <f t="shared" si="40"/>
        <v>0.212121212121212</v>
      </c>
      <c r="Q162" s="75"/>
    </row>
    <row r="163" ht="22" customHeight="1" spans="1:17">
      <c r="A163" s="121" t="s">
        <v>57</v>
      </c>
      <c r="B163" s="122">
        <v>0.41</v>
      </c>
      <c r="C163" s="76" t="s">
        <v>33</v>
      </c>
      <c r="D163" s="70" t="s">
        <v>30</v>
      </c>
      <c r="E163" s="123" t="s">
        <v>31</v>
      </c>
      <c r="F163" s="126" t="s">
        <v>38</v>
      </c>
      <c r="G163" s="72">
        <v>207</v>
      </c>
      <c r="H163" s="124"/>
      <c r="I163" s="73">
        <f t="shared" si="35"/>
        <v>205.2</v>
      </c>
      <c r="J163" s="73">
        <v>228</v>
      </c>
      <c r="K163" s="73">
        <f t="shared" si="36"/>
        <v>239.4</v>
      </c>
      <c r="L163" s="124">
        <f t="shared" si="37"/>
        <v>410.4</v>
      </c>
      <c r="M163" s="124">
        <f t="shared" si="38"/>
        <v>456</v>
      </c>
      <c r="N163" s="124">
        <f t="shared" si="39"/>
        <v>456</v>
      </c>
      <c r="O163" s="127">
        <f t="shared" si="40"/>
        <v>0.101449275362319</v>
      </c>
      <c r="Q163" s="75"/>
    </row>
    <row r="164" ht="22" customHeight="1" spans="1:17">
      <c r="A164" s="121" t="s">
        <v>57</v>
      </c>
      <c r="B164" s="122">
        <v>0.46</v>
      </c>
      <c r="C164" s="76" t="s">
        <v>33</v>
      </c>
      <c r="D164" s="70" t="s">
        <v>30</v>
      </c>
      <c r="E164" s="123" t="s">
        <v>31</v>
      </c>
      <c r="F164" s="126" t="s">
        <v>41</v>
      </c>
      <c r="G164" s="72">
        <v>192</v>
      </c>
      <c r="H164" s="124"/>
      <c r="I164" s="73">
        <f t="shared" si="35"/>
        <v>225.9</v>
      </c>
      <c r="J164" s="73">
        <v>251</v>
      </c>
      <c r="K164" s="73">
        <f t="shared" si="36"/>
        <v>263.55</v>
      </c>
      <c r="L164" s="124">
        <f t="shared" si="37"/>
        <v>451.8</v>
      </c>
      <c r="M164" s="124">
        <f t="shared" si="38"/>
        <v>502</v>
      </c>
      <c r="N164" s="124">
        <f t="shared" si="39"/>
        <v>502</v>
      </c>
      <c r="O164" s="127">
        <f t="shared" si="40"/>
        <v>0.307291666666667</v>
      </c>
      <c r="Q164" s="75"/>
    </row>
    <row r="165" ht="22" customHeight="1" spans="1:17">
      <c r="A165" s="121" t="s">
        <v>57</v>
      </c>
      <c r="B165" s="122">
        <v>0.46</v>
      </c>
      <c r="C165" s="76" t="s">
        <v>39</v>
      </c>
      <c r="D165" s="70" t="s">
        <v>30</v>
      </c>
      <c r="E165" s="123" t="s">
        <v>31</v>
      </c>
      <c r="F165" s="77" t="s">
        <v>41</v>
      </c>
      <c r="G165" s="72"/>
      <c r="H165" s="124"/>
      <c r="I165" s="73">
        <f t="shared" si="35"/>
        <v>376.2</v>
      </c>
      <c r="J165" s="73">
        <v>418</v>
      </c>
      <c r="K165" s="73">
        <f t="shared" si="36"/>
        <v>438.9</v>
      </c>
      <c r="L165" s="124">
        <f t="shared" si="37"/>
        <v>752.4</v>
      </c>
      <c r="M165" s="124">
        <f t="shared" si="38"/>
        <v>836</v>
      </c>
      <c r="N165" s="124">
        <f t="shared" si="39"/>
        <v>836</v>
      </c>
      <c r="O165" s="127"/>
      <c r="Q165" s="75"/>
    </row>
    <row r="166" ht="22" customHeight="1" spans="1:17">
      <c r="A166" s="121" t="s">
        <v>57</v>
      </c>
      <c r="B166" s="122">
        <v>0.51</v>
      </c>
      <c r="C166" s="76" t="s">
        <v>39</v>
      </c>
      <c r="D166" s="70" t="s">
        <v>30</v>
      </c>
      <c r="E166" s="123" t="s">
        <v>31</v>
      </c>
      <c r="F166" s="77" t="s">
        <v>42</v>
      </c>
      <c r="G166" s="72"/>
      <c r="H166" s="124"/>
      <c r="I166" s="73">
        <f t="shared" si="35"/>
        <v>377.1</v>
      </c>
      <c r="J166" s="73">
        <v>419</v>
      </c>
      <c r="K166" s="73">
        <f t="shared" si="36"/>
        <v>439.95</v>
      </c>
      <c r="L166" s="124">
        <f t="shared" si="37"/>
        <v>754.2</v>
      </c>
      <c r="M166" s="124">
        <f t="shared" si="38"/>
        <v>838</v>
      </c>
      <c r="N166" s="124">
        <f t="shared" si="39"/>
        <v>838</v>
      </c>
      <c r="O166" s="127"/>
      <c r="Q166" s="75"/>
    </row>
    <row r="167" ht="22" customHeight="1" spans="1:17">
      <c r="A167" s="121" t="s">
        <v>57</v>
      </c>
      <c r="B167" s="122">
        <v>0.61</v>
      </c>
      <c r="C167" s="76" t="s">
        <v>33</v>
      </c>
      <c r="D167" s="70" t="s">
        <v>30</v>
      </c>
      <c r="E167" s="123" t="s">
        <v>31</v>
      </c>
      <c r="F167" s="77" t="s">
        <v>43</v>
      </c>
      <c r="G167" s="72">
        <v>227</v>
      </c>
      <c r="H167" s="124"/>
      <c r="I167" s="73">
        <f t="shared" si="35"/>
        <v>225.9</v>
      </c>
      <c r="J167" s="73">
        <v>251</v>
      </c>
      <c r="K167" s="73">
        <f t="shared" si="36"/>
        <v>263.55</v>
      </c>
      <c r="L167" s="124">
        <f t="shared" si="37"/>
        <v>451.8</v>
      </c>
      <c r="M167" s="124">
        <f t="shared" si="38"/>
        <v>502</v>
      </c>
      <c r="N167" s="124">
        <f t="shared" si="39"/>
        <v>502</v>
      </c>
      <c r="O167" s="127">
        <f t="shared" si="40"/>
        <v>0.105726872246696</v>
      </c>
      <c r="Q167" s="75"/>
    </row>
    <row r="168" ht="22" customHeight="1" spans="1:17">
      <c r="A168" s="121" t="s">
        <v>57</v>
      </c>
      <c r="B168" s="122">
        <v>0.71</v>
      </c>
      <c r="C168" s="76" t="s">
        <v>39</v>
      </c>
      <c r="D168" s="70" t="s">
        <v>30</v>
      </c>
      <c r="E168" s="123" t="s">
        <v>31</v>
      </c>
      <c r="F168" s="77" t="s">
        <v>44</v>
      </c>
      <c r="G168" s="72">
        <v>376</v>
      </c>
      <c r="H168" s="124"/>
      <c r="I168" s="73">
        <f t="shared" si="35"/>
        <v>432</v>
      </c>
      <c r="J168" s="73">
        <v>480</v>
      </c>
      <c r="K168" s="73">
        <f t="shared" si="36"/>
        <v>504</v>
      </c>
      <c r="L168" s="124">
        <f t="shared" si="37"/>
        <v>864</v>
      </c>
      <c r="M168" s="124">
        <f t="shared" si="38"/>
        <v>960</v>
      </c>
      <c r="N168" s="124">
        <f t="shared" si="39"/>
        <v>960</v>
      </c>
      <c r="O168" s="127">
        <f t="shared" si="40"/>
        <v>0.276595744680851</v>
      </c>
      <c r="Q168" s="75"/>
    </row>
    <row r="169" ht="22" customHeight="1" spans="1:17">
      <c r="A169" s="121" t="s">
        <v>57</v>
      </c>
      <c r="B169" s="122">
        <v>0.9</v>
      </c>
      <c r="C169" s="76" t="s">
        <v>29</v>
      </c>
      <c r="D169" s="70" t="s">
        <v>46</v>
      </c>
      <c r="E169" s="123" t="s">
        <v>31</v>
      </c>
      <c r="F169" s="77" t="s">
        <v>45</v>
      </c>
      <c r="G169" s="72"/>
      <c r="H169" s="124"/>
      <c r="I169" s="73">
        <f t="shared" si="35"/>
        <v>220.5</v>
      </c>
      <c r="J169" s="73">
        <v>245</v>
      </c>
      <c r="K169" s="73">
        <f t="shared" si="36"/>
        <v>257.25</v>
      </c>
      <c r="L169" s="124">
        <f t="shared" si="37"/>
        <v>441</v>
      </c>
      <c r="M169" s="124">
        <f t="shared" si="38"/>
        <v>490</v>
      </c>
      <c r="N169" s="124">
        <f t="shared" si="39"/>
        <v>490</v>
      </c>
      <c r="O169" s="127"/>
      <c r="Q169" s="75"/>
    </row>
    <row r="170" ht="22" customHeight="1" spans="1:17">
      <c r="A170" s="121" t="s">
        <v>57</v>
      </c>
      <c r="B170" s="122">
        <v>1</v>
      </c>
      <c r="C170" s="76" t="s">
        <v>33</v>
      </c>
      <c r="D170" s="70" t="s">
        <v>46</v>
      </c>
      <c r="E170" s="123" t="s">
        <v>31</v>
      </c>
      <c r="F170" s="126" t="s">
        <v>48</v>
      </c>
      <c r="G170" s="72">
        <v>288</v>
      </c>
      <c r="H170" s="124"/>
      <c r="I170" s="73">
        <f t="shared" si="35"/>
        <v>283.5</v>
      </c>
      <c r="J170" s="73">
        <v>315</v>
      </c>
      <c r="K170" s="73">
        <f t="shared" si="36"/>
        <v>330.75</v>
      </c>
      <c r="L170" s="124">
        <f t="shared" si="37"/>
        <v>567</v>
      </c>
      <c r="M170" s="124">
        <f t="shared" si="38"/>
        <v>630</v>
      </c>
      <c r="N170" s="124">
        <f t="shared" si="39"/>
        <v>630</v>
      </c>
      <c r="O170" s="127">
        <f t="shared" si="40"/>
        <v>0.09375</v>
      </c>
      <c r="Q170" s="75"/>
    </row>
    <row r="171" ht="22" customHeight="1" spans="1:17">
      <c r="A171" s="121" t="s">
        <v>57</v>
      </c>
      <c r="B171" s="122">
        <v>1.1</v>
      </c>
      <c r="C171" s="76" t="s">
        <v>33</v>
      </c>
      <c r="D171" s="70" t="s">
        <v>46</v>
      </c>
      <c r="E171" s="123" t="s">
        <v>31</v>
      </c>
      <c r="F171" s="126" t="s">
        <v>49</v>
      </c>
      <c r="G171" s="72"/>
      <c r="H171" s="124"/>
      <c r="I171" s="73">
        <f t="shared" si="35"/>
        <v>288</v>
      </c>
      <c r="J171" s="73">
        <v>320</v>
      </c>
      <c r="K171" s="73">
        <f t="shared" si="36"/>
        <v>336</v>
      </c>
      <c r="L171" s="124">
        <f t="shared" si="37"/>
        <v>576</v>
      </c>
      <c r="M171" s="124">
        <f t="shared" si="38"/>
        <v>640</v>
      </c>
      <c r="N171" s="124">
        <f t="shared" si="39"/>
        <v>640</v>
      </c>
      <c r="O171" s="127"/>
      <c r="Q171" s="75"/>
    </row>
    <row r="172" ht="22" customHeight="1" spans="1:17">
      <c r="A172" s="121" t="s">
        <v>57</v>
      </c>
      <c r="B172" s="122">
        <v>1.2</v>
      </c>
      <c r="C172" s="76" t="s">
        <v>29</v>
      </c>
      <c r="D172" s="70" t="s">
        <v>46</v>
      </c>
      <c r="E172" s="123" t="s">
        <v>31</v>
      </c>
      <c r="F172" s="126" t="s">
        <v>49</v>
      </c>
      <c r="G172" s="72">
        <v>242</v>
      </c>
      <c r="H172" s="124"/>
      <c r="I172" s="73">
        <f t="shared" si="35"/>
        <v>239.4</v>
      </c>
      <c r="J172" s="73">
        <v>266</v>
      </c>
      <c r="K172" s="73">
        <f t="shared" si="36"/>
        <v>279.3</v>
      </c>
      <c r="L172" s="124">
        <f t="shared" si="37"/>
        <v>478.8</v>
      </c>
      <c r="M172" s="124">
        <f t="shared" si="38"/>
        <v>532</v>
      </c>
      <c r="N172" s="124">
        <f t="shared" si="39"/>
        <v>532</v>
      </c>
      <c r="O172" s="127">
        <f t="shared" si="40"/>
        <v>0.0991735537190083</v>
      </c>
      <c r="Q172" s="75"/>
    </row>
    <row r="173" ht="22" customHeight="1" spans="1:17">
      <c r="A173" s="121" t="s">
        <v>57</v>
      </c>
      <c r="B173" s="122">
        <v>1.2</v>
      </c>
      <c r="C173" s="76" t="s">
        <v>33</v>
      </c>
      <c r="D173" s="70" t="s">
        <v>46</v>
      </c>
      <c r="E173" s="123" t="s">
        <v>31</v>
      </c>
      <c r="F173" s="126" t="s">
        <v>49</v>
      </c>
      <c r="G173" s="72"/>
      <c r="H173" s="124"/>
      <c r="I173" s="73">
        <f t="shared" si="35"/>
        <v>304.2</v>
      </c>
      <c r="J173" s="73">
        <v>338</v>
      </c>
      <c r="K173" s="73">
        <f t="shared" si="36"/>
        <v>354.9</v>
      </c>
      <c r="L173" s="124">
        <f t="shared" si="37"/>
        <v>608.4</v>
      </c>
      <c r="M173" s="124">
        <f t="shared" si="38"/>
        <v>676</v>
      </c>
      <c r="N173" s="124">
        <f t="shared" si="39"/>
        <v>676</v>
      </c>
      <c r="O173" s="127"/>
      <c r="Q173" s="75"/>
    </row>
    <row r="174" ht="22" customHeight="1" spans="1:17">
      <c r="A174" s="121" t="s">
        <v>57</v>
      </c>
      <c r="B174" s="122">
        <v>1.5</v>
      </c>
      <c r="C174" s="76" t="s">
        <v>29</v>
      </c>
      <c r="D174" s="70" t="s">
        <v>46</v>
      </c>
      <c r="E174" s="123" t="s">
        <v>31</v>
      </c>
      <c r="F174" s="77" t="s">
        <v>51</v>
      </c>
      <c r="G174" s="72">
        <v>274</v>
      </c>
      <c r="H174" s="124"/>
      <c r="I174" s="73">
        <f t="shared" si="35"/>
        <v>281.7</v>
      </c>
      <c r="J174" s="73">
        <v>313</v>
      </c>
      <c r="K174" s="73">
        <f t="shared" si="36"/>
        <v>328.65</v>
      </c>
      <c r="L174" s="124">
        <f t="shared" si="37"/>
        <v>563.4</v>
      </c>
      <c r="M174" s="124">
        <f t="shared" si="38"/>
        <v>626</v>
      </c>
      <c r="N174" s="124">
        <f t="shared" si="39"/>
        <v>626</v>
      </c>
      <c r="O174" s="127">
        <f t="shared" si="40"/>
        <v>0.142335766423358</v>
      </c>
      <c r="Q174" s="75"/>
    </row>
    <row r="175" ht="22" customHeight="1" spans="1:17">
      <c r="A175" s="121" t="s">
        <v>57</v>
      </c>
      <c r="B175" s="122">
        <v>1.6</v>
      </c>
      <c r="C175" s="76" t="s">
        <v>29</v>
      </c>
      <c r="D175" s="70" t="s">
        <v>46</v>
      </c>
      <c r="E175" s="123" t="s">
        <v>31</v>
      </c>
      <c r="F175" s="77" t="s">
        <v>51</v>
      </c>
      <c r="G175" s="72"/>
      <c r="H175" s="124"/>
      <c r="I175" s="73">
        <f t="shared" si="35"/>
        <v>283.5</v>
      </c>
      <c r="J175" s="73">
        <v>315</v>
      </c>
      <c r="K175" s="73">
        <f t="shared" si="36"/>
        <v>330.75</v>
      </c>
      <c r="L175" s="124">
        <f t="shared" si="37"/>
        <v>567</v>
      </c>
      <c r="M175" s="124">
        <f t="shared" si="38"/>
        <v>630</v>
      </c>
      <c r="N175" s="124">
        <f t="shared" si="39"/>
        <v>630</v>
      </c>
      <c r="O175" s="127"/>
      <c r="Q175" s="75"/>
    </row>
    <row r="176" ht="22" customHeight="1" spans="1:17">
      <c r="A176" s="121" t="s">
        <v>57</v>
      </c>
      <c r="B176" s="122">
        <v>1.5</v>
      </c>
      <c r="C176" s="76" t="s">
        <v>40</v>
      </c>
      <c r="D176" s="70" t="s">
        <v>46</v>
      </c>
      <c r="E176" s="123" t="s">
        <v>31</v>
      </c>
      <c r="F176" s="77" t="s">
        <v>50</v>
      </c>
      <c r="G176" s="72"/>
      <c r="H176" s="124"/>
      <c r="I176" s="73">
        <f t="shared" si="35"/>
        <v>638.1</v>
      </c>
      <c r="J176" s="73">
        <v>709</v>
      </c>
      <c r="K176" s="73">
        <f t="shared" si="36"/>
        <v>744.45</v>
      </c>
      <c r="L176" s="124">
        <f t="shared" si="37"/>
        <v>1276.2</v>
      </c>
      <c r="M176" s="124">
        <f t="shared" si="38"/>
        <v>1418</v>
      </c>
      <c r="N176" s="124">
        <f t="shared" si="39"/>
        <v>1418</v>
      </c>
      <c r="O176" s="127"/>
      <c r="Q176" s="75"/>
    </row>
    <row r="177" ht="22" customHeight="1" spans="1:17">
      <c r="A177" s="121" t="s">
        <v>57</v>
      </c>
      <c r="B177" s="122">
        <v>1.9</v>
      </c>
      <c r="C177" s="76" t="s">
        <v>29</v>
      </c>
      <c r="D177" s="70" t="s">
        <v>46</v>
      </c>
      <c r="E177" s="123" t="s">
        <v>31</v>
      </c>
      <c r="F177" s="77" t="s">
        <v>59</v>
      </c>
      <c r="G177" s="72"/>
      <c r="H177" s="124"/>
      <c r="I177" s="73">
        <f t="shared" si="35"/>
        <v>310.5</v>
      </c>
      <c r="J177" s="73">
        <v>345</v>
      </c>
      <c r="K177" s="73">
        <f t="shared" si="36"/>
        <v>362.25</v>
      </c>
      <c r="L177" s="124">
        <f t="shared" si="37"/>
        <v>621</v>
      </c>
      <c r="M177" s="124">
        <f t="shared" si="38"/>
        <v>690</v>
      </c>
      <c r="N177" s="124">
        <f t="shared" si="39"/>
        <v>690</v>
      </c>
      <c r="O177" s="127"/>
      <c r="Q177" s="75"/>
    </row>
    <row r="178" ht="22" customHeight="1" spans="1:17">
      <c r="A178" s="121" t="s">
        <v>57</v>
      </c>
      <c r="B178" s="122">
        <v>1.9</v>
      </c>
      <c r="C178" s="76" t="s">
        <v>33</v>
      </c>
      <c r="D178" s="70" t="s">
        <v>46</v>
      </c>
      <c r="E178" s="123" t="s">
        <v>31</v>
      </c>
      <c r="F178" s="126" t="s">
        <v>59</v>
      </c>
      <c r="G178" s="72"/>
      <c r="H178" s="124"/>
      <c r="I178" s="73">
        <f t="shared" si="35"/>
        <v>374.4</v>
      </c>
      <c r="J178" s="73">
        <v>416</v>
      </c>
      <c r="K178" s="73">
        <f t="shared" si="36"/>
        <v>436.8</v>
      </c>
      <c r="L178" s="124">
        <f t="shared" si="37"/>
        <v>748.8</v>
      </c>
      <c r="M178" s="124">
        <f t="shared" si="38"/>
        <v>832</v>
      </c>
      <c r="N178" s="124">
        <f t="shared" si="39"/>
        <v>832</v>
      </c>
      <c r="O178" s="127"/>
      <c r="Q178" s="75"/>
    </row>
    <row r="179" ht="22" customHeight="1" spans="1:17">
      <c r="A179" s="78"/>
      <c r="B179" s="79"/>
      <c r="C179" s="80"/>
      <c r="D179" s="81"/>
      <c r="E179" s="82"/>
      <c r="F179" s="129"/>
      <c r="G179" s="84"/>
      <c r="H179" s="85"/>
      <c r="I179" s="86"/>
      <c r="J179" s="86"/>
      <c r="K179" s="86"/>
      <c r="L179" s="130"/>
      <c r="M179" s="130"/>
      <c r="N179" s="130"/>
    </row>
    <row r="180" ht="22" customHeight="1" spans="1:17">
      <c r="A180" s="78"/>
      <c r="B180" s="79"/>
      <c r="C180" s="80"/>
      <c r="D180" s="81"/>
      <c r="E180" s="82"/>
      <c r="F180" s="129"/>
      <c r="G180" s="84"/>
      <c r="H180" s="85"/>
      <c r="I180" s="86"/>
      <c r="J180" s="86"/>
      <c r="K180" s="86"/>
      <c r="L180" s="130"/>
      <c r="M180" s="130"/>
      <c r="N180" s="130"/>
    </row>
    <row r="181" ht="22" customHeight="1" spans="1:17">
      <c r="A181" s="78"/>
      <c r="B181" s="79"/>
      <c r="C181" s="80"/>
      <c r="D181" s="81"/>
      <c r="E181" s="82"/>
      <c r="F181" s="129"/>
      <c r="G181" s="84"/>
      <c r="H181" s="85"/>
      <c r="I181" s="86"/>
      <c r="J181" s="86"/>
      <c r="K181" s="86"/>
      <c r="L181" s="130"/>
      <c r="M181" s="130"/>
      <c r="N181" s="130"/>
    </row>
    <row r="182" ht="22" customHeight="1" spans="1:17">
      <c r="A182" s="78"/>
      <c r="B182" s="79"/>
      <c r="C182" s="80"/>
      <c r="D182" s="81"/>
      <c r="E182" s="82"/>
      <c r="F182" s="129"/>
      <c r="G182" s="84"/>
      <c r="H182" s="85"/>
      <c r="I182" s="86"/>
      <c r="J182" s="86"/>
      <c r="K182" s="86"/>
      <c r="L182" s="130"/>
      <c r="M182" s="130"/>
      <c r="N182" s="130"/>
    </row>
    <row r="183" ht="22" customHeight="1" spans="1:17">
      <c r="A183" s="78"/>
      <c r="B183" s="79"/>
      <c r="C183" s="80"/>
      <c r="D183" s="81"/>
      <c r="E183" s="82"/>
      <c r="F183" s="129"/>
      <c r="G183" s="84"/>
      <c r="H183" s="85"/>
      <c r="I183" s="86"/>
      <c r="J183" s="86"/>
      <c r="K183" s="86"/>
      <c r="L183" s="130"/>
      <c r="M183" s="130"/>
      <c r="N183" s="130"/>
    </row>
    <row r="184" ht="22" customHeight="1" spans="1:17">
      <c r="A184" s="78"/>
      <c r="B184" s="79"/>
      <c r="C184" s="80"/>
      <c r="D184" s="81"/>
      <c r="E184" s="82"/>
      <c r="F184" s="129"/>
      <c r="G184" s="84"/>
      <c r="H184" s="85"/>
      <c r="I184" s="86"/>
      <c r="J184" s="86"/>
      <c r="K184" s="86"/>
      <c r="L184" s="130"/>
      <c r="M184" s="130"/>
      <c r="N184" s="130"/>
    </row>
    <row r="185" ht="22" customHeight="1" spans="1:17">
      <c r="A185" s="88" t="s">
        <v>0</v>
      </c>
      <c r="B185" s="89"/>
      <c r="C185" s="90"/>
      <c r="D185" s="90"/>
      <c r="E185" s="88"/>
      <c r="F185" s="91"/>
      <c r="G185" s="13"/>
      <c r="H185" s="13"/>
      <c r="I185" s="15"/>
      <c r="J185" s="15"/>
      <c r="K185" s="15"/>
      <c r="L185" s="13"/>
      <c r="M185" s="13"/>
      <c r="N185" s="13"/>
      <c r="O185" s="92"/>
    </row>
    <row r="186" ht="22" customHeight="1" spans="1:17">
      <c r="A186" s="88"/>
      <c r="B186" s="89"/>
      <c r="C186" s="90"/>
      <c r="D186" s="90"/>
      <c r="E186" s="88"/>
      <c r="F186" s="91"/>
      <c r="G186" s="13"/>
      <c r="H186" s="13"/>
      <c r="I186" s="15"/>
      <c r="J186" s="15"/>
      <c r="K186" s="15"/>
      <c r="L186" s="13"/>
      <c r="M186" s="13"/>
      <c r="N186" s="13"/>
      <c r="O186" s="92"/>
    </row>
    <row r="187" ht="22" customHeight="1" spans="1:17">
      <c r="A187" s="88"/>
      <c r="B187" s="89"/>
      <c r="C187" s="90"/>
      <c r="D187" s="90"/>
      <c r="E187" s="88"/>
      <c r="F187" s="91"/>
      <c r="G187" s="13"/>
      <c r="H187" s="13"/>
      <c r="I187" s="15"/>
      <c r="J187" s="15"/>
      <c r="K187" s="15"/>
      <c r="L187" s="13"/>
      <c r="M187" s="13"/>
      <c r="N187" s="13"/>
      <c r="O187" s="92"/>
    </row>
    <row r="188" ht="22" customHeight="1" spans="1:17">
      <c r="A188" s="93"/>
      <c r="B188" s="94"/>
      <c r="C188" s="95"/>
      <c r="D188" s="95"/>
      <c r="E188" s="93"/>
      <c r="F188" s="96"/>
      <c r="G188" s="21"/>
      <c r="H188" s="21"/>
      <c r="I188" s="23"/>
      <c r="J188" s="23"/>
      <c r="K188" s="23"/>
      <c r="L188" s="21"/>
      <c r="M188" s="21"/>
      <c r="N188" s="21"/>
      <c r="O188" s="97"/>
    </row>
    <row r="189" ht="22" customHeight="1" spans="1:17">
      <c r="A189" s="98" t="s">
        <v>1</v>
      </c>
      <c r="B189" s="99"/>
      <c r="C189" s="100"/>
      <c r="D189" s="100"/>
      <c r="E189" s="98"/>
      <c r="F189" s="101"/>
      <c r="G189" s="29"/>
      <c r="H189" s="30"/>
      <c r="I189" s="31"/>
      <c r="J189" s="31"/>
      <c r="K189" s="31"/>
      <c r="L189" s="30"/>
      <c r="M189" s="30"/>
      <c r="N189" s="30"/>
    </row>
    <row r="190" ht="22" customHeight="1" spans="1:17">
      <c r="A190" s="102" t="s">
        <v>2</v>
      </c>
      <c r="B190" s="103"/>
      <c r="C190" s="104"/>
      <c r="D190" s="104"/>
      <c r="E190" s="102"/>
      <c r="F190" s="101"/>
      <c r="G190" s="35"/>
    </row>
    <row r="191" ht="22" customHeight="1" spans="1:17">
      <c r="A191" s="105" t="s">
        <v>3</v>
      </c>
      <c r="B191" s="106"/>
      <c r="C191" s="107"/>
      <c r="D191" s="108"/>
      <c r="E191" s="109"/>
      <c r="F191" s="110"/>
      <c r="G191" s="42"/>
    </row>
    <row r="192" ht="22" customHeight="1" spans="1:17">
      <c r="A192" s="105" t="s">
        <v>4</v>
      </c>
      <c r="B192" s="111"/>
      <c r="C192" s="108"/>
      <c r="D192" s="108"/>
      <c r="E192" s="109"/>
      <c r="F192" s="110"/>
      <c r="G192" s="42"/>
    </row>
    <row r="193" ht="22" customHeight="1" spans="1:16">
      <c r="A193" s="112" t="s">
        <v>5</v>
      </c>
      <c r="B193" s="113"/>
      <c r="C193" s="114"/>
      <c r="D193" s="114"/>
      <c r="E193" s="109"/>
      <c r="F193" s="110"/>
      <c r="G193" s="42"/>
    </row>
    <row r="194" ht="22" customHeight="1" spans="1:16">
      <c r="A194" s="105" t="s">
        <v>6</v>
      </c>
      <c r="B194" s="111"/>
      <c r="C194" s="115"/>
      <c r="D194" s="115"/>
      <c r="E194" s="116"/>
      <c r="F194" s="117"/>
      <c r="G194" s="49"/>
    </row>
    <row r="195" ht="22" customHeight="1" spans="1:16">
      <c r="A195" s="118" t="s">
        <v>60</v>
      </c>
      <c r="B195" s="119"/>
      <c r="C195" s="118"/>
      <c r="D195" s="118"/>
      <c r="E195" s="118"/>
      <c r="F195" s="120"/>
      <c r="G195" s="54"/>
      <c r="H195" s="54"/>
      <c r="I195" s="56"/>
      <c r="J195" s="56"/>
      <c r="K195" s="56"/>
      <c r="L195" s="54"/>
      <c r="M195" s="54"/>
      <c r="N195" s="54"/>
      <c r="O195" s="118"/>
    </row>
    <row r="196" ht="22" customHeight="1" spans="1:16">
      <c r="A196" s="58" t="s">
        <v>8</v>
      </c>
      <c r="B196" s="59" t="s">
        <v>9</v>
      </c>
      <c r="C196" s="60" t="s">
        <v>10</v>
      </c>
      <c r="D196" s="60" t="s">
        <v>11</v>
      </c>
      <c r="E196" s="61" t="s">
        <v>12</v>
      </c>
      <c r="F196" s="62" t="s">
        <v>13</v>
      </c>
      <c r="G196" s="64"/>
      <c r="H196" s="64" t="s">
        <v>15</v>
      </c>
      <c r="I196" s="65"/>
      <c r="J196" s="65"/>
      <c r="K196" s="65"/>
      <c r="L196" s="64"/>
      <c r="M196" s="64"/>
      <c r="N196" s="64"/>
      <c r="O196" s="66"/>
    </row>
    <row r="197" ht="22" customHeight="1" spans="1:16">
      <c r="A197" s="121" t="s">
        <v>53</v>
      </c>
      <c r="B197" s="122" t="s">
        <v>17</v>
      </c>
      <c r="C197" s="69" t="s">
        <v>18</v>
      </c>
      <c r="D197" s="70" t="s">
        <v>19</v>
      </c>
      <c r="E197" s="123" t="s">
        <v>18</v>
      </c>
      <c r="F197" s="62" t="s">
        <v>20</v>
      </c>
      <c r="G197" s="124" t="s">
        <v>21</v>
      </c>
      <c r="H197" s="124" t="s">
        <v>22</v>
      </c>
      <c r="I197" s="73" t="s">
        <v>61</v>
      </c>
      <c r="J197" s="73" t="s">
        <v>21</v>
      </c>
      <c r="K197" s="73" t="s">
        <v>62</v>
      </c>
      <c r="L197" s="124" t="s">
        <v>25</v>
      </c>
      <c r="M197" s="124" t="s">
        <v>26</v>
      </c>
      <c r="N197" s="124" t="s">
        <v>27</v>
      </c>
      <c r="O197" s="125" t="s">
        <v>28</v>
      </c>
    </row>
    <row r="198" ht="22" customHeight="1" spans="1:16">
      <c r="A198" s="121" t="s">
        <v>63</v>
      </c>
      <c r="B198" s="122">
        <v>0.08</v>
      </c>
      <c r="C198" s="76" t="s">
        <v>33</v>
      </c>
      <c r="D198" s="70" t="s">
        <v>30</v>
      </c>
      <c r="E198" s="123" t="s">
        <v>64</v>
      </c>
      <c r="F198" s="126" t="s">
        <v>65</v>
      </c>
      <c r="G198" s="72">
        <v>216</v>
      </c>
      <c r="H198" s="124"/>
      <c r="I198" s="73">
        <f>J198*0.9</f>
        <v>214.2</v>
      </c>
      <c r="J198" s="73">
        <v>238</v>
      </c>
      <c r="K198" s="73">
        <f>J198*1.05</f>
        <v>249.9</v>
      </c>
      <c r="L198" s="124">
        <f>I198*2</f>
        <v>428.4</v>
      </c>
      <c r="M198" s="124">
        <f>J198*2</f>
        <v>476</v>
      </c>
      <c r="N198" s="124">
        <f>K198*2</f>
        <v>499.8</v>
      </c>
      <c r="O198" s="127">
        <f>(J198-G198)/G198</f>
        <v>0.101851851851852</v>
      </c>
      <c r="P198" s="75"/>
    </row>
    <row r="199" ht="22" customHeight="1" spans="1:16">
      <c r="A199" s="121" t="s">
        <v>63</v>
      </c>
      <c r="B199" s="122">
        <v>0.1</v>
      </c>
      <c r="C199" s="76" t="s">
        <v>33</v>
      </c>
      <c r="D199" s="70" t="s">
        <v>30</v>
      </c>
      <c r="E199" s="123" t="s">
        <v>64</v>
      </c>
      <c r="F199" s="126" t="s">
        <v>32</v>
      </c>
      <c r="G199" s="72">
        <v>216</v>
      </c>
      <c r="H199" s="124"/>
      <c r="I199" s="73">
        <f t="shared" ref="I199:I208" si="41">J199*0.9</f>
        <v>214.2</v>
      </c>
      <c r="J199" s="73">
        <v>238</v>
      </c>
      <c r="K199" s="73">
        <f t="shared" ref="K199:K208" si="42">J199*1.05</f>
        <v>249.9</v>
      </c>
      <c r="L199" s="124">
        <f t="shared" ref="L199:L208" si="43">I199*2</f>
        <v>428.4</v>
      </c>
      <c r="M199" s="124">
        <f t="shared" ref="M199:M208" si="44">J199*2</f>
        <v>476</v>
      </c>
      <c r="N199" s="124">
        <f t="shared" ref="N199:N208" si="45">K199*2</f>
        <v>499.8</v>
      </c>
      <c r="O199" s="127">
        <f>(J199-G199)/G199</f>
        <v>0.101851851851852</v>
      </c>
      <c r="P199" s="75"/>
    </row>
    <row r="200" ht="22" customHeight="1" spans="1:16">
      <c r="A200" s="121" t="s">
        <v>63</v>
      </c>
      <c r="B200" s="122">
        <v>0.13</v>
      </c>
      <c r="C200" s="76" t="s">
        <v>33</v>
      </c>
      <c r="D200" s="70" t="s">
        <v>30</v>
      </c>
      <c r="E200" s="123" t="s">
        <v>64</v>
      </c>
      <c r="F200" s="126" t="s">
        <v>32</v>
      </c>
      <c r="G200" s="72">
        <v>217</v>
      </c>
      <c r="H200" s="124"/>
      <c r="I200" s="73">
        <f t="shared" si="41"/>
        <v>215.1</v>
      </c>
      <c r="J200" s="73">
        <v>239</v>
      </c>
      <c r="K200" s="73">
        <f t="shared" si="42"/>
        <v>250.95</v>
      </c>
      <c r="L200" s="124">
        <f t="shared" si="43"/>
        <v>430.2</v>
      </c>
      <c r="M200" s="124">
        <f t="shared" si="44"/>
        <v>478</v>
      </c>
      <c r="N200" s="124">
        <f t="shared" si="45"/>
        <v>501.9</v>
      </c>
      <c r="O200" s="127">
        <f>(J200-G200)/G200</f>
        <v>0.101382488479263</v>
      </c>
      <c r="P200" s="75"/>
    </row>
    <row r="201" ht="22" customHeight="1" spans="1:16">
      <c r="A201" s="121" t="s">
        <v>63</v>
      </c>
      <c r="B201" s="122">
        <v>0.15</v>
      </c>
      <c r="C201" s="76" t="s">
        <v>33</v>
      </c>
      <c r="D201" s="70" t="s">
        <v>30</v>
      </c>
      <c r="E201" s="123" t="s">
        <v>64</v>
      </c>
      <c r="F201" s="126" t="s">
        <v>34</v>
      </c>
      <c r="G201" s="72"/>
      <c r="H201" s="124"/>
      <c r="I201" s="73">
        <f t="shared" si="41"/>
        <v>220.5</v>
      </c>
      <c r="J201" s="73">
        <v>245</v>
      </c>
      <c r="K201" s="73">
        <f t="shared" si="42"/>
        <v>257.25</v>
      </c>
      <c r="L201" s="124">
        <f t="shared" si="43"/>
        <v>441</v>
      </c>
      <c r="M201" s="124">
        <f t="shared" si="44"/>
        <v>490</v>
      </c>
      <c r="N201" s="124">
        <f t="shared" si="45"/>
        <v>514.5</v>
      </c>
      <c r="O201" s="127"/>
      <c r="P201" s="75"/>
    </row>
    <row r="202" ht="22" customHeight="1" spans="1:16">
      <c r="A202" s="121" t="s">
        <v>63</v>
      </c>
      <c r="B202" s="122">
        <v>0.2</v>
      </c>
      <c r="C202" s="76" t="s">
        <v>29</v>
      </c>
      <c r="D202" s="70" t="s">
        <v>30</v>
      </c>
      <c r="E202" s="123" t="s">
        <v>64</v>
      </c>
      <c r="F202" s="126" t="s">
        <v>35</v>
      </c>
      <c r="G202" s="72"/>
      <c r="H202" s="124"/>
      <c r="I202" s="73">
        <f t="shared" si="41"/>
        <v>150.3</v>
      </c>
      <c r="J202" s="73">
        <v>167</v>
      </c>
      <c r="K202" s="73">
        <f t="shared" si="42"/>
        <v>175.35</v>
      </c>
      <c r="L202" s="124">
        <f t="shared" si="43"/>
        <v>300.6</v>
      </c>
      <c r="M202" s="124">
        <f t="shared" si="44"/>
        <v>334</v>
      </c>
      <c r="N202" s="124">
        <f t="shared" si="45"/>
        <v>350.7</v>
      </c>
      <c r="O202" s="127"/>
      <c r="P202" s="75"/>
    </row>
    <row r="203" ht="22" customHeight="1" spans="1:16">
      <c r="A203" s="121" t="s">
        <v>63</v>
      </c>
      <c r="B203" s="122">
        <v>0.21</v>
      </c>
      <c r="C203" s="76" t="s">
        <v>33</v>
      </c>
      <c r="D203" s="70" t="s">
        <v>30</v>
      </c>
      <c r="E203" s="123" t="s">
        <v>64</v>
      </c>
      <c r="F203" s="126" t="s">
        <v>35</v>
      </c>
      <c r="G203" s="72"/>
      <c r="H203" s="124"/>
      <c r="I203" s="73">
        <f t="shared" si="41"/>
        <v>214.2</v>
      </c>
      <c r="J203" s="73">
        <v>238</v>
      </c>
      <c r="K203" s="73">
        <f t="shared" si="42"/>
        <v>249.9</v>
      </c>
      <c r="L203" s="124">
        <f t="shared" si="43"/>
        <v>428.4</v>
      </c>
      <c r="M203" s="124">
        <f t="shared" si="44"/>
        <v>476</v>
      </c>
      <c r="N203" s="124">
        <f t="shared" si="45"/>
        <v>499.8</v>
      </c>
      <c r="O203" s="127"/>
      <c r="P203" s="75"/>
    </row>
    <row r="204" ht="22" customHeight="1" spans="1:16">
      <c r="A204" s="121" t="s">
        <v>63</v>
      </c>
      <c r="B204" s="122">
        <v>0.3</v>
      </c>
      <c r="C204" s="76" t="s">
        <v>29</v>
      </c>
      <c r="D204" s="70" t="s">
        <v>30</v>
      </c>
      <c r="E204" s="123" t="s">
        <v>64</v>
      </c>
      <c r="F204" s="126" t="s">
        <v>37</v>
      </c>
      <c r="G204" s="72"/>
      <c r="H204" s="124"/>
      <c r="I204" s="73">
        <f t="shared" si="41"/>
        <v>190.8</v>
      </c>
      <c r="J204" s="73">
        <v>212</v>
      </c>
      <c r="K204" s="73">
        <f t="shared" si="42"/>
        <v>222.6</v>
      </c>
      <c r="L204" s="124">
        <f t="shared" si="43"/>
        <v>381.6</v>
      </c>
      <c r="M204" s="124">
        <f t="shared" si="44"/>
        <v>424</v>
      </c>
      <c r="N204" s="124">
        <f t="shared" si="45"/>
        <v>445.2</v>
      </c>
      <c r="O204" s="127"/>
      <c r="P204" s="75"/>
    </row>
    <row r="205" ht="22" customHeight="1" spans="1:16">
      <c r="A205" s="121" t="s">
        <v>63</v>
      </c>
      <c r="B205" s="122">
        <v>0.41</v>
      </c>
      <c r="C205" s="76" t="s">
        <v>29</v>
      </c>
      <c r="D205" s="70" t="s">
        <v>30</v>
      </c>
      <c r="E205" s="123" t="s">
        <v>64</v>
      </c>
      <c r="F205" s="126" t="s">
        <v>38</v>
      </c>
      <c r="G205" s="72"/>
      <c r="H205" s="124"/>
      <c r="I205" s="73">
        <f t="shared" si="41"/>
        <v>168.3</v>
      </c>
      <c r="J205" s="73">
        <v>187</v>
      </c>
      <c r="K205" s="73">
        <f t="shared" si="42"/>
        <v>196.35</v>
      </c>
      <c r="L205" s="124">
        <f t="shared" si="43"/>
        <v>336.6</v>
      </c>
      <c r="M205" s="124">
        <f t="shared" si="44"/>
        <v>374</v>
      </c>
      <c r="N205" s="124">
        <f t="shared" si="45"/>
        <v>392.7</v>
      </c>
      <c r="O205" s="127"/>
      <c r="P205" s="75"/>
    </row>
    <row r="206" ht="22" customHeight="1" spans="1:16">
      <c r="A206" s="121" t="s">
        <v>63</v>
      </c>
      <c r="B206" s="122">
        <v>0.61</v>
      </c>
      <c r="C206" s="76" t="s">
        <v>33</v>
      </c>
      <c r="D206" s="70" t="s">
        <v>30</v>
      </c>
      <c r="E206" s="123" t="s">
        <v>64</v>
      </c>
      <c r="F206" s="126" t="s">
        <v>43</v>
      </c>
      <c r="G206" s="72"/>
      <c r="H206" s="124"/>
      <c r="I206" s="73">
        <f t="shared" si="41"/>
        <v>301.5</v>
      </c>
      <c r="J206" s="73">
        <v>335</v>
      </c>
      <c r="K206" s="73">
        <f t="shared" si="42"/>
        <v>351.75</v>
      </c>
      <c r="L206" s="124">
        <f t="shared" si="43"/>
        <v>603</v>
      </c>
      <c r="M206" s="124">
        <f t="shared" si="44"/>
        <v>670</v>
      </c>
      <c r="N206" s="124">
        <f t="shared" si="45"/>
        <v>703.5</v>
      </c>
      <c r="O206" s="127"/>
      <c r="P206" s="75"/>
    </row>
    <row r="207" ht="22" customHeight="1" spans="1:16">
      <c r="A207" s="121" t="s">
        <v>63</v>
      </c>
      <c r="B207" s="122">
        <v>1</v>
      </c>
      <c r="C207" s="76" t="s">
        <v>33</v>
      </c>
      <c r="D207" s="70" t="s">
        <v>46</v>
      </c>
      <c r="E207" s="123" t="s">
        <v>64</v>
      </c>
      <c r="F207" s="126" t="s">
        <v>48</v>
      </c>
      <c r="G207" s="72">
        <v>380</v>
      </c>
      <c r="H207" s="124"/>
      <c r="I207" s="73">
        <f t="shared" si="41"/>
        <v>386.1</v>
      </c>
      <c r="J207" s="73">
        <v>429</v>
      </c>
      <c r="K207" s="73">
        <f t="shared" si="42"/>
        <v>450.45</v>
      </c>
      <c r="L207" s="124">
        <f t="shared" si="43"/>
        <v>772.2</v>
      </c>
      <c r="M207" s="124">
        <f t="shared" si="44"/>
        <v>858</v>
      </c>
      <c r="N207" s="124">
        <f t="shared" si="45"/>
        <v>900.9</v>
      </c>
      <c r="O207" s="127">
        <f>(J207-G207)/G207</f>
        <v>0.128947368421053</v>
      </c>
      <c r="P207" s="75"/>
    </row>
    <row r="208" ht="22" customHeight="1" spans="1:16">
      <c r="A208" s="121" t="s">
        <v>63</v>
      </c>
      <c r="B208" s="122">
        <v>1.5</v>
      </c>
      <c r="C208" s="76" t="s">
        <v>47</v>
      </c>
      <c r="D208" s="70" t="s">
        <v>46</v>
      </c>
      <c r="E208" s="123" t="s">
        <v>64</v>
      </c>
      <c r="F208" s="77" t="s">
        <v>51</v>
      </c>
      <c r="G208" s="72">
        <v>576</v>
      </c>
      <c r="H208" s="124"/>
      <c r="I208" s="73">
        <f t="shared" si="41"/>
        <v>595.8</v>
      </c>
      <c r="J208" s="73">
        <v>662</v>
      </c>
      <c r="K208" s="73">
        <f t="shared" si="42"/>
        <v>695.1</v>
      </c>
      <c r="L208" s="124">
        <f t="shared" si="43"/>
        <v>1191.6</v>
      </c>
      <c r="M208" s="124">
        <f t="shared" si="44"/>
        <v>1324</v>
      </c>
      <c r="N208" s="124">
        <f t="shared" si="45"/>
        <v>1390.2</v>
      </c>
      <c r="O208" s="127">
        <f>(J208-G208)/G208</f>
        <v>0.149305555555556</v>
      </c>
      <c r="P208" s="75"/>
    </row>
    <row r="211" ht="15.6" spans="1:10">
      <c r="A211" s="131" t="s">
        <v>66</v>
      </c>
      <c r="B211" s="132"/>
      <c r="C211" s="133"/>
      <c r="D211" s="131"/>
      <c r="E211" s="131"/>
      <c r="F211" s="134"/>
      <c r="G211" s="135"/>
      <c r="H211" s="135"/>
      <c r="I211" s="136"/>
      <c r="J211" s="136"/>
    </row>
    <row r="212" ht="15.6" spans="1:10">
      <c r="A212" s="131" t="s">
        <v>67</v>
      </c>
      <c r="B212" s="132"/>
      <c r="C212" s="133"/>
      <c r="D212" s="131"/>
      <c r="E212" s="131"/>
      <c r="F212" s="134"/>
      <c r="G212" s="135"/>
      <c r="H212" s="135"/>
      <c r="I212" s="136"/>
      <c r="J212" s="136"/>
    </row>
    <row r="213" ht="15.6" spans="1:10">
      <c r="A213" s="131" t="s">
        <v>68</v>
      </c>
      <c r="B213" s="132"/>
      <c r="C213" s="133"/>
      <c r="D213" s="131"/>
      <c r="E213" s="131"/>
      <c r="F213" s="134"/>
      <c r="G213" s="135"/>
      <c r="H213" s="135"/>
      <c r="I213" s="136"/>
      <c r="J213" s="136"/>
    </row>
  </sheetData>
  <mergeCells count="27">
    <mergeCell ref="A5:G5"/>
    <mergeCell ref="A6:G6"/>
    <mergeCell ref="A7:C7"/>
    <mergeCell ref="A11:O11"/>
    <mergeCell ref="H12:O12"/>
    <mergeCell ref="A90:G90"/>
    <mergeCell ref="A91:G91"/>
    <mergeCell ref="A92:C92"/>
    <mergeCell ref="A96:O96"/>
    <mergeCell ref="H97:O97"/>
    <mergeCell ref="A131:G131"/>
    <mergeCell ref="A132:G132"/>
    <mergeCell ref="A133:C133"/>
    <mergeCell ref="A137:O137"/>
    <mergeCell ref="H138:O138"/>
    <mergeCell ref="A189:G189"/>
    <mergeCell ref="A190:G190"/>
    <mergeCell ref="A191:C191"/>
    <mergeCell ref="A195:O195"/>
    <mergeCell ref="H196:O196"/>
    <mergeCell ref="A211:J211"/>
    <mergeCell ref="A212:J212"/>
    <mergeCell ref="A213:J213"/>
    <mergeCell ref="A1:O3"/>
    <mergeCell ref="A86:O88"/>
    <mergeCell ref="A127:O129"/>
    <mergeCell ref="A185:O187"/>
  </mergeCells>
  <pageMargins left="0.66875" right="0.472222222222222" top="0.275" bottom="0.275" header="1.29861111111111" footer="0.275"/>
  <pageSetup paperSize="9" scale="80" orientation="landscape" horizontalDpi="600"/>
  <headerFooter/>
  <rowBreaks count="1" manualBreakCount="1">
    <brk id="126" max="14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26" sqref="D26"/>
    </sheetView>
  </sheetViews>
  <sheetFormatPr defaultColWidth="8.88888888888889" defaultRowHeight="14.4"/>
  <cols>
    <col min="1" max="1" width="13.5555555555556" customWidth="1"/>
    <col min="2" max="2" width="9.22222222222222" customWidth="1"/>
    <col min="3" max="3" width="25.5555555555556" customWidth="1"/>
    <col min="4" max="4" width="25.6666666666667" customWidth="1"/>
    <col min="5" max="5" width="66.1111111111111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CCL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22197</dc:creator>
  <cp:lastModifiedBy>叶落</cp:lastModifiedBy>
  <dcterms:created xsi:type="dcterms:W3CDTF">2026-02-01T12:37:00Z</dcterms:created>
  <dcterms:modified xsi:type="dcterms:W3CDTF">2026-08-01T10:14:05Z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BD133327416143BFAF548EEC204E8EC9_13</vt:lpwstr>
  </property>
  <property fmtid="{D5CDD505-2E9C-101B-9397-08002B2CF9AE}" pid="3" name="KSOReadingLayout">
    <vt:bool>false</vt:bool>
  </property>
  <property fmtid="{D5CDD505-2E9C-101B-9397-08002B2CF9AE}" pid="4" name="KSOProductBuildVer">
    <vt:lpwstr>2052-12.1.0.26895</vt:lpwstr>
  </property>
  <property fmtid="{D5CDD505-2E9C-101B-9397-08002B2CF9AE}" pid="5" name="CalculationRule">
    <vt:i4>1</vt:i4>
  </property>
  <property fmtid="{D5CDD505-2E9C-101B-9397-08002B2CF9AE}" pid="6" name="5B77E7CEEC58BC6AFAE8886BEB80DBEB">
    <vt:lpwstr>otCYQxs9Dbw2bUEn/Soxv9pYAoWsCRIsU8+gIbxzzmNcJN13+qHIPyWmbF9hFzPHyi2m8DLwi54E5OVVM5pJ0yGmgAiYTaR6oYUdYZxdjep6I9xviFUFZ9aTScfBW9OGCsuao0F9RSrrvmzA5xJ+8yPV1gjdfaJfhkV6Mgo3PpKoRsQSi7tWHJxmXLR0Ihz9rYtUKEaWhTckqESDrhWu5WK2jy/pyIdmphn+duPrtQJqzie77MLTb48jC71WqatogaIZAbfqXsXHhFN4NgVrKYPVuyJ+iNHQqxzkFg+ByvJ7aijKrCoJAwsIGY0advGon/JTtYdkT5nUqY5fz4/iymWmy0yfVezq8xfDobQCvE6Bokqw/mjJh66JBLTrimrt/DezcNLAS/eAXsZGlInupCmkVmZazlrhXwldWRzPoGtNWAPGYRJ6b23stIi/AQE5l0qiWtKx4HHJUlo/5OfTLuewUs5d1RZf+3CpBJyU7TyOYZaPd4+flL/DaihpokHtttzAH4JCOA1NVhZB7Rx6Vfe1mLV7NUC0VSqAty7I8tM6dFTZDWMYmTep+sB4YCMicNQ6QNiVmBHzKRtdu83Mdct5/sMkj0afSGKWUGAU4VdBQ22YB5LpqBKYKSDTSyj7gdAXJzdIOW/Nra29lkzks+TWB6tVronT3EJcZXx9IextFzZCL7PT9GZZ/tAYtiFvhv+yaAQKEqcmOSZpJUtd2OM3jDxswnpEdbBFtSTZTmoiVgFWmOEuqaTJ1fUTD4RR+tQfvxCbsNE3Velc5sXBSGz1lWNqqRiTnToZaapDdhIfSW3JlSoqD3rCqskp3aSL2l2WEyHhNKmqIsHuG2LC2Mh4CF0y/eMenHBIcxji/YsFrIcqfAWppFqMGRfdUxxsgI9rO/3fJoqZqDovvbblxKDR7QNn8LbKrKxbuFNHhHKW4/077tl35BO/5aDPs6O14dPeYvSoVeCg+JIq9AuRvV+vsWvW58LPQ+p2Kkh0ajwvxYh3i3X5IcEEJSG0ogil3WnqrPpLAJhNIYWX3TCxqeMP1dCtmhdtUz63IMZ4BP7Zb7vQSzlIqdQ7FlvTiBoJGcOQWYoWPfFjUUoOVAf8GJvigi3QTIUn6SdPvGAzpyI=</vt:lpwstr>
  </property>
</Properties>
</file>