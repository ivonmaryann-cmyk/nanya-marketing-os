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tabRatio="949"/>
  </bookViews>
  <sheets>
    <sheet name="NY2150H 20260701出货起调" sheetId="21" r:id="rId1"/>
    <sheet name="NY2150HP 20260701出货起调" sheetId="20" r:id="rId2"/>
    <sheet name="NY2170H0618报价" sheetId="22" r:id="rId3"/>
    <sheet name="NY2170HP0618报价" sheetId="23" r:id="rId4"/>
    <sheet name="其他物料报价" sheetId="24" r:id="rId5"/>
  </sheets>
  <definedNames>
    <definedName name="_xlnm._FilterDatabase" localSheetId="0" hidden="1">'NY2150H 20260701出货起调'!$A$2:$K$280</definedName>
    <definedName name="_xlnm._FilterDatabase" localSheetId="2" hidden="1">NY2170H0618报价!$B$1:$I$111</definedName>
    <definedName name="_xlnm._FilterDatabase" localSheetId="1" hidden="1">'NY2150HP 20260701出货起调'!$A$2:$K$22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张鹏伟</author>
  </authors>
  <commentList>
    <comment ref="B5" authorId="0">
      <text>
        <r>
          <rPr>
            <sz val="9"/>
            <rFont val="宋体"/>
            <charset val="134"/>
          </rPr>
          <t>3176H我司规格为3176HF</t>
        </r>
      </text>
    </comment>
    <comment ref="J9" authorId="0">
      <text>
        <r>
          <rPr>
            <sz val="9"/>
            <rFont val="宋体"/>
            <charset val="134"/>
          </rPr>
          <t>我司规格RFF2，不是RTF</t>
        </r>
      </text>
    </comment>
  </commentList>
</comments>
</file>

<file path=xl/sharedStrings.xml><?xml version="1.0" encoding="utf-8"?>
<sst xmlns="http://schemas.openxmlformats.org/spreadsheetml/2006/main" count="1428" uniqueCount="149">
  <si>
    <t>南亚新材 NY-2150H</t>
  </si>
  <si>
    <t>公制(mm)</t>
  </si>
  <si>
    <t>铜厚</t>
  </si>
  <si>
    <t>是否含铜</t>
  </si>
  <si>
    <t>配本</t>
  </si>
  <si>
    <t>37*49</t>
  </si>
  <si>
    <t>41*49</t>
  </si>
  <si>
    <t>43*49</t>
  </si>
  <si>
    <t>原价</t>
  </si>
  <si>
    <t>6月涨价</t>
  </si>
  <si>
    <t>H/H</t>
  </si>
  <si>
    <t>否</t>
  </si>
  <si>
    <t>1X1067</t>
  </si>
  <si>
    <t>3/3</t>
  </si>
  <si>
    <t>1X106</t>
  </si>
  <si>
    <t>1X1078</t>
  </si>
  <si>
    <t>1X1080</t>
  </si>
  <si>
    <t>1/1</t>
  </si>
  <si>
    <t>W/W</t>
  </si>
  <si>
    <t>2/2</t>
  </si>
  <si>
    <t>2X106</t>
  </si>
  <si>
    <t>1X2116</t>
  </si>
  <si>
    <t>H/1</t>
  </si>
  <si>
    <t>1*2313</t>
  </si>
  <si>
    <t>2/3</t>
  </si>
  <si>
    <t>1/2</t>
  </si>
  <si>
    <t>1/H</t>
  </si>
  <si>
    <t>2X1080</t>
  </si>
  <si>
    <t>1X1506</t>
  </si>
  <si>
    <t>3X106</t>
  </si>
  <si>
    <t>1X7628</t>
  </si>
  <si>
    <t>2X2313</t>
  </si>
  <si>
    <t>1/W</t>
  </si>
  <si>
    <t>2X2116</t>
  </si>
  <si>
    <t>2/1</t>
  </si>
  <si>
    <t>1X2116+2X1080</t>
  </si>
  <si>
    <t>2X1506</t>
  </si>
  <si>
    <t>3*2116</t>
  </si>
  <si>
    <t>新增</t>
  </si>
  <si>
    <t>AC</t>
  </si>
  <si>
    <t>2X7628</t>
  </si>
  <si>
    <t>1X1080+2X7628</t>
  </si>
  <si>
    <t>4X2116</t>
  </si>
  <si>
    <t>1X2116+2X7628</t>
  </si>
  <si>
    <t>4/4</t>
  </si>
  <si>
    <t>3X7628</t>
  </si>
  <si>
    <t>2.5/2.5</t>
  </si>
  <si>
    <t>1/0</t>
  </si>
  <si>
    <t>1.5/1.5</t>
  </si>
  <si>
    <t>2X2116+2X7628</t>
  </si>
  <si>
    <t>2X1506+2X7628</t>
  </si>
  <si>
    <t>4X7628</t>
  </si>
  <si>
    <t>是</t>
  </si>
  <si>
    <t>1X1080+4X7628</t>
  </si>
  <si>
    <t>1X2116+4X7628</t>
  </si>
  <si>
    <t>5X7628</t>
  </si>
  <si>
    <t>6X7628</t>
  </si>
  <si>
    <t>7X1506</t>
  </si>
  <si>
    <t>5*7628</t>
  </si>
  <si>
    <t>7X7628</t>
  </si>
  <si>
    <t>13X2116</t>
  </si>
  <si>
    <t>P/P（2.5/2.5)</t>
  </si>
  <si>
    <t>8X7628</t>
  </si>
  <si>
    <t>W/H</t>
  </si>
  <si>
    <t>9X7628</t>
  </si>
  <si>
    <t>10X7628</t>
  </si>
  <si>
    <t>11X7628</t>
  </si>
  <si>
    <t>13X7628</t>
  </si>
  <si>
    <t>12X7628</t>
  </si>
  <si>
    <t>16X7628</t>
  </si>
  <si>
    <t>15X7628</t>
  </si>
  <si>
    <t>17X7628</t>
  </si>
  <si>
    <t>NY2150H PP价格表</t>
  </si>
  <si>
    <t>中TG型号</t>
  </si>
  <si>
    <t>布种</t>
  </si>
  <si>
    <t>含胶量</t>
  </si>
  <si>
    <t>标准卷装宽度/inch</t>
  </si>
  <si>
    <t>标准卷装长度/M</t>
  </si>
  <si>
    <t>价格/米</t>
  </si>
  <si>
    <t>ROLL/RMB</t>
  </si>
  <si>
    <t>对应厚度(mm)</t>
  </si>
  <si>
    <t>上一次单价</t>
  </si>
  <si>
    <t>6月涨幅</t>
  </si>
  <si>
    <t>NY2150HP</t>
  </si>
  <si>
    <t>106</t>
  </si>
  <si>
    <t xml:space="preserve">49.5" </t>
  </si>
  <si>
    <t>1080</t>
  </si>
  <si>
    <t>2116</t>
  </si>
  <si>
    <t>7628</t>
  </si>
  <si>
    <t>报价0622（37*49）</t>
  </si>
  <si>
    <t>报价0622（41*49）</t>
  </si>
  <si>
    <t>报价0622（43*49）</t>
  </si>
  <si>
    <t>备注</t>
  </si>
  <si>
    <t>新增0625</t>
  </si>
  <si>
    <t>5/6</t>
  </si>
  <si>
    <t>新增0630</t>
  </si>
  <si>
    <t>6/6</t>
  </si>
  <si>
    <t>1X3313</t>
  </si>
  <si>
    <t>1*2116</t>
  </si>
  <si>
    <t>新增0626</t>
  </si>
  <si>
    <t>新增0624</t>
  </si>
  <si>
    <t>1*1506</t>
  </si>
  <si>
    <t>新增0627</t>
  </si>
  <si>
    <t>1*7628</t>
  </si>
  <si>
    <t>3*1080</t>
  </si>
  <si>
    <t>1506*2</t>
  </si>
  <si>
    <t>P/P</t>
  </si>
  <si>
    <t>3X2116</t>
  </si>
  <si>
    <t>新增0624（OK）</t>
  </si>
  <si>
    <t>3*7628</t>
  </si>
  <si>
    <t>P/P(2.5/2.5)</t>
  </si>
  <si>
    <t>4*7628</t>
  </si>
  <si>
    <t>12*7628</t>
  </si>
  <si>
    <t>RC含量从</t>
  </si>
  <si>
    <t>RC含量到</t>
  </si>
  <si>
    <t>压合厚度（mm）</t>
  </si>
  <si>
    <t>卷状宽度</t>
  </si>
  <si>
    <t>每卷长度（米）</t>
  </si>
  <si>
    <t>报价（0618）</t>
  </si>
  <si>
    <t>7628A</t>
  </si>
  <si>
    <t>R</t>
  </si>
  <si>
    <t>NA</t>
  </si>
  <si>
    <t>0106A</t>
  </si>
  <si>
    <t>2116A</t>
  </si>
  <si>
    <t>1080A</t>
  </si>
  <si>
    <t>2313A</t>
  </si>
  <si>
    <t>供应商</t>
  </si>
  <si>
    <t>型号</t>
  </si>
  <si>
    <r>
      <rPr>
        <b/>
        <sz val="10"/>
        <color theme="1"/>
        <rFont val="微软雅黑"/>
        <charset val="134"/>
      </rPr>
      <t>厚度</t>
    </r>
    <r>
      <rPr>
        <b/>
        <sz val="10"/>
        <color theme="1"/>
        <rFont val="Arial"/>
        <charset val="134"/>
      </rPr>
      <t>(mm)</t>
    </r>
  </si>
  <si>
    <t>厚度(mil)</t>
  </si>
  <si>
    <t>含税37*49</t>
  </si>
  <si>
    <t>含税41*49</t>
  </si>
  <si>
    <t>含税43*49</t>
  </si>
  <si>
    <t>标配铜箔</t>
  </si>
  <si>
    <t>南亚新材</t>
  </si>
  <si>
    <t>NY3150HF</t>
  </si>
  <si>
    <t>8*7628</t>
  </si>
  <si>
    <t>NY3176HF</t>
  </si>
  <si>
    <t>NY6300SL</t>
  </si>
  <si>
    <t>1078*1</t>
  </si>
  <si>
    <t>RTF</t>
  </si>
  <si>
    <t>1035*2</t>
  </si>
  <si>
    <t>3313*1</t>
  </si>
  <si>
    <t>NY6300S</t>
  </si>
  <si>
    <t>2*1080</t>
  </si>
  <si>
    <t>RTF2</t>
  </si>
  <si>
    <t>5*2116</t>
  </si>
  <si>
    <t>2116*5</t>
  </si>
  <si>
    <t>2116*7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</si>
</sst>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_ "/>
    <numFmt numFmtId="179" formatCode="_ * #,##0.0000_ ;_ * \-#,##0.0000_ ;_ * &quot;-&quot;????_ ;_ @_ "/>
    <numFmt numFmtId="180" formatCode="0.00_);[Red]\(0.00\)"/>
    <numFmt numFmtId="181" formatCode="0_);[Red]\(0\)"/>
    <numFmt numFmtId="182" formatCode="0.0_ "/>
    <numFmt numFmtId="183" formatCode="0.0%"/>
  </numFmts>
  <fonts count="52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b/>
      <sz val="10"/>
      <color theme="1"/>
      <name val="微软雅黑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b/>
      <sz val="8"/>
      <name val="微软雅黑"/>
      <charset val="134"/>
    </font>
    <font>
      <sz val="8"/>
      <name val="微软雅黑"/>
      <charset val="134"/>
    </font>
    <font>
      <sz val="11"/>
      <color rgb="FFFF0000"/>
      <name val="宋体"/>
      <charset val="134"/>
      <scheme val="minor"/>
    </font>
    <font>
      <sz val="16"/>
      <color theme="1"/>
      <name val="微软雅黑"/>
      <charset val="134"/>
    </font>
    <font>
      <sz val="11"/>
      <name val="Arial"/>
      <charset val="0"/>
    </font>
    <font>
      <sz val="12"/>
      <color theme="1"/>
      <name val="微软雅黑"/>
      <charset val="134"/>
    </font>
    <font>
      <sz val="12"/>
      <name val="微软雅黑"/>
      <charset val="134"/>
    </font>
    <font>
      <sz val="12"/>
      <name val="微软雅黑"/>
      <charset val="0"/>
    </font>
    <font>
      <sz val="12"/>
      <color rgb="FF000000"/>
      <name val="微软雅黑"/>
      <charset val="134"/>
    </font>
    <font>
      <sz val="11"/>
      <name val="宋体"/>
      <charset val="134"/>
    </font>
    <font>
      <sz val="11"/>
      <name val="Arial"/>
      <charset val="134"/>
    </font>
    <font>
      <sz val="10"/>
      <name val="Arial"/>
      <charset val="0"/>
    </font>
    <font>
      <sz val="11"/>
      <color theme="1"/>
      <name val="Times New Roman"/>
      <charset val="134"/>
    </font>
    <font>
      <sz val="10"/>
      <color theme="1"/>
      <name val="Arial"/>
      <charset val="0"/>
    </font>
    <font>
      <b/>
      <sz val="11"/>
      <name val="微软雅黑"/>
      <charset val="134"/>
    </font>
    <font>
      <sz val="11"/>
      <color rgb="FFFF0000"/>
      <name val="微软雅黑"/>
      <charset val="134"/>
    </font>
    <font>
      <sz val="11"/>
      <name val="宋体"/>
      <charset val="134"/>
      <scheme val="minor"/>
    </font>
    <font>
      <b/>
      <sz val="16"/>
      <name val="微软雅黑"/>
      <charset val="134"/>
    </font>
    <font>
      <b/>
      <sz val="16"/>
      <color rgb="FFFF0000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indexed="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1" borderId="9" applyNumberFormat="0" applyAlignment="0" applyProtection="0">
      <alignment vertical="center"/>
    </xf>
    <xf numFmtId="0" fontId="41" fillId="12" borderId="10" applyNumberFormat="0" applyAlignment="0" applyProtection="0">
      <alignment vertical="center"/>
    </xf>
    <xf numFmtId="0" fontId="42" fillId="12" borderId="9" applyNumberFormat="0" applyAlignment="0" applyProtection="0">
      <alignment vertical="center"/>
    </xf>
    <xf numFmtId="0" fontId="43" fillId="13" borderId="11" applyNumberFormat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5" fillId="0" borderId="13" applyNumberFormat="0" applyFill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0" borderId="0"/>
    <xf numFmtId="0" fontId="3" fillId="0" borderId="0" applyProtection="0"/>
    <xf numFmtId="0" fontId="0" fillId="0" borderId="0">
      <alignment vertical="center"/>
    </xf>
  </cellStyleXfs>
  <cellXfs count="16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5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6" fillId="0" borderId="1" xfId="5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0" fontId="6" fillId="3" borderId="1" xfId="50" applyFont="1" applyFill="1" applyBorder="1" applyAlignment="1">
      <alignment horizontal="center" vertical="center"/>
    </xf>
    <xf numFmtId="177" fontId="6" fillId="3" borderId="1" xfId="50" applyNumberFormat="1" applyFont="1" applyFill="1" applyBorder="1" applyAlignment="1">
      <alignment horizontal="center" vertical="center"/>
    </xf>
    <xf numFmtId="0" fontId="6" fillId="4" borderId="1" xfId="50" applyFont="1" applyFill="1" applyBorder="1" applyAlignment="1">
      <alignment horizontal="center" vertical="center"/>
    </xf>
    <xf numFmtId="177" fontId="6" fillId="4" borderId="1" xfId="5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vertical="center"/>
    </xf>
    <xf numFmtId="0" fontId="6" fillId="0" borderId="1" xfId="50" applyFont="1" applyFill="1" applyBorder="1" applyAlignment="1">
      <alignment horizontal="center"/>
    </xf>
    <xf numFmtId="0" fontId="0" fillId="5" borderId="0" xfId="0" applyFill="1" applyAlignment="1">
      <alignment vertical="center"/>
    </xf>
    <xf numFmtId="9" fontId="9" fillId="0" borderId="0" xfId="0" applyNumberFormat="1" applyFont="1" applyFill="1" applyAlignment="1" applyProtection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</xf>
    <xf numFmtId="49" fontId="9" fillId="5" borderId="1" xfId="0" applyNumberFormat="1" applyFont="1" applyFill="1" applyBorder="1" applyAlignment="1" applyProtection="1">
      <alignment horizontal="center" vertical="center"/>
    </xf>
    <xf numFmtId="0" fontId="9" fillId="5" borderId="2" xfId="0" applyFont="1" applyFill="1" applyBorder="1" applyAlignment="1" applyProtection="1">
      <alignment horizontal="center" vertical="center" wrapText="1"/>
    </xf>
    <xf numFmtId="0" fontId="9" fillId="5" borderId="5" xfId="0" applyFont="1" applyFill="1" applyBorder="1" applyAlignment="1" applyProtection="1">
      <alignment horizontal="center" vertical="center" wrapText="1"/>
    </xf>
    <xf numFmtId="0" fontId="9" fillId="5" borderId="1" xfId="0" applyFont="1" applyFill="1" applyBorder="1" applyAlignment="1" applyProtection="1">
      <alignment horizontal="center" vertical="center" wrapText="1"/>
    </xf>
    <xf numFmtId="178" fontId="10" fillId="0" borderId="1" xfId="50" applyNumberFormat="1" applyFont="1" applyFill="1" applyBorder="1" applyAlignment="1">
      <alignment horizontal="center" vertical="center"/>
    </xf>
    <xf numFmtId="49" fontId="10" fillId="0" borderId="1" xfId="50" applyNumberFormat="1" applyFont="1" applyFill="1" applyBorder="1" applyAlignment="1">
      <alignment horizontal="center"/>
    </xf>
    <xf numFmtId="0" fontId="10" fillId="0" borderId="1" xfId="50" applyFont="1" applyFill="1" applyBorder="1" applyAlignment="1">
      <alignment horizontal="center"/>
    </xf>
    <xf numFmtId="0" fontId="10" fillId="0" borderId="2" xfId="0" applyFont="1" applyFill="1" applyBorder="1" applyAlignment="1" applyProtection="1">
      <alignment horizontal="center"/>
    </xf>
    <xf numFmtId="0" fontId="0" fillId="0" borderId="1" xfId="0" applyFill="1" applyBorder="1" applyAlignment="1">
      <alignment vertical="center"/>
    </xf>
    <xf numFmtId="178" fontId="10" fillId="3" borderId="1" xfId="50" applyNumberFormat="1" applyFont="1" applyFill="1" applyBorder="1" applyAlignment="1">
      <alignment horizontal="center" vertical="center"/>
    </xf>
    <xf numFmtId="49" fontId="10" fillId="3" borderId="1" xfId="50" applyNumberFormat="1" applyFont="1" applyFill="1" applyBorder="1" applyAlignment="1">
      <alignment horizontal="center"/>
    </xf>
    <xf numFmtId="0" fontId="10" fillId="3" borderId="1" xfId="50" applyFont="1" applyFill="1" applyBorder="1" applyAlignment="1">
      <alignment horizontal="center"/>
    </xf>
    <xf numFmtId="0" fontId="10" fillId="3" borderId="2" xfId="0" applyFont="1" applyFill="1" applyBorder="1" applyAlignment="1" applyProtection="1">
      <alignment horizontal="center"/>
    </xf>
    <xf numFmtId="178" fontId="10" fillId="6" borderId="1" xfId="50" applyNumberFormat="1" applyFont="1" applyFill="1" applyBorder="1" applyAlignment="1">
      <alignment horizontal="center" vertical="center"/>
    </xf>
    <xf numFmtId="49" fontId="10" fillId="6" borderId="1" xfId="50" applyNumberFormat="1" applyFont="1" applyFill="1" applyBorder="1" applyAlignment="1">
      <alignment horizontal="center"/>
    </xf>
    <xf numFmtId="0" fontId="10" fillId="6" borderId="1" xfId="50" applyFont="1" applyFill="1" applyBorder="1" applyAlignment="1">
      <alignment horizontal="center"/>
    </xf>
    <xf numFmtId="0" fontId="10" fillId="6" borderId="2" xfId="0" applyFont="1" applyFill="1" applyBorder="1" applyAlignment="1" applyProtection="1">
      <alignment horizontal="center"/>
    </xf>
    <xf numFmtId="176" fontId="0" fillId="6" borderId="1" xfId="0" applyNumberFormat="1" applyFill="1" applyBorder="1" applyAlignment="1">
      <alignment vertical="center"/>
    </xf>
    <xf numFmtId="178" fontId="10" fillId="7" borderId="1" xfId="50" applyNumberFormat="1" applyFont="1" applyFill="1" applyBorder="1" applyAlignment="1">
      <alignment horizontal="center" vertical="center"/>
    </xf>
    <xf numFmtId="49" fontId="10" fillId="7" borderId="1" xfId="50" applyNumberFormat="1" applyFont="1" applyFill="1" applyBorder="1" applyAlignment="1">
      <alignment horizontal="center"/>
    </xf>
    <xf numFmtId="0" fontId="10" fillId="7" borderId="1" xfId="50" applyFont="1" applyFill="1" applyBorder="1" applyAlignment="1">
      <alignment horizontal="center"/>
    </xf>
    <xf numFmtId="0" fontId="10" fillId="7" borderId="2" xfId="0" applyFont="1" applyFill="1" applyBorder="1" applyAlignment="1" applyProtection="1">
      <alignment horizontal="center"/>
    </xf>
    <xf numFmtId="176" fontId="0" fillId="7" borderId="1" xfId="0" applyNumberForma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176" fontId="0" fillId="0" borderId="1" xfId="3" applyNumberFormat="1" applyFont="1" applyFill="1" applyBorder="1" applyAlignment="1" applyProtection="1">
      <alignment vertical="center"/>
    </xf>
    <xf numFmtId="179" fontId="10" fillId="0" borderId="2" xfId="5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78" fontId="10" fillId="5" borderId="1" xfId="50" applyNumberFormat="1" applyFont="1" applyFill="1" applyBorder="1" applyAlignment="1">
      <alignment horizontal="center" vertical="center"/>
    </xf>
    <xf numFmtId="49" fontId="10" fillId="5" borderId="1" xfId="50" applyNumberFormat="1" applyFont="1" applyFill="1" applyBorder="1" applyAlignment="1">
      <alignment horizontal="center"/>
    </xf>
    <xf numFmtId="0" fontId="10" fillId="5" borderId="1" xfId="5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</xf>
    <xf numFmtId="176" fontId="0" fillId="5" borderId="1" xfId="0" applyNumberFormat="1" applyFill="1" applyBorder="1" applyAlignment="1">
      <alignment vertical="center"/>
    </xf>
    <xf numFmtId="9" fontId="9" fillId="0" borderId="0" xfId="0" applyNumberFormat="1" applyFont="1" applyFill="1" applyBorder="1" applyAlignment="1" applyProtection="1">
      <alignment horizontal="center" vertical="center"/>
    </xf>
    <xf numFmtId="0" fontId="11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12" fillId="0" borderId="0" xfId="0" applyFont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 applyProtection="1">
      <alignment horizontal="center" vertical="center"/>
    </xf>
    <xf numFmtId="0" fontId="15" fillId="0" borderId="1" xfId="0" applyFont="1" applyFill="1" applyBorder="1" applyAlignment="1" applyProtection="1">
      <alignment horizontal="center" vertical="center" wrapText="1"/>
    </xf>
    <xf numFmtId="0" fontId="16" fillId="0" borderId="1" xfId="50" applyFont="1" applyFill="1" applyBorder="1" applyAlignment="1">
      <alignment horizontal="center" vertical="center" wrapText="1"/>
    </xf>
    <xf numFmtId="180" fontId="17" fillId="0" borderId="1" xfId="50" applyNumberFormat="1" applyFont="1" applyFill="1" applyBorder="1" applyAlignment="1">
      <alignment horizontal="center" vertical="center"/>
    </xf>
    <xf numFmtId="181" fontId="14" fillId="0" borderId="1" xfId="0" applyNumberFormat="1" applyFont="1" applyFill="1" applyBorder="1" applyAlignment="1">
      <alignment horizontal="center" vertical="center"/>
    </xf>
    <xf numFmtId="178" fontId="14" fillId="0" borderId="1" xfId="0" applyNumberFormat="1" applyFont="1" applyFill="1" applyBorder="1" applyAlignment="1">
      <alignment horizontal="center" vertical="center"/>
    </xf>
    <xf numFmtId="178" fontId="18" fillId="0" borderId="1" xfId="0" applyNumberFormat="1" applyFont="1" applyFill="1" applyBorder="1" applyAlignment="1">
      <alignment horizontal="center" vertical="center"/>
    </xf>
    <xf numFmtId="178" fontId="18" fillId="0" borderId="0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 applyProtection="1">
      <alignment horizontal="center" vertical="center"/>
    </xf>
    <xf numFmtId="0" fontId="15" fillId="0" borderId="1" xfId="50" applyFont="1" applyFill="1" applyBorder="1" applyAlignment="1">
      <alignment horizontal="center" vertical="center"/>
    </xf>
    <xf numFmtId="10" fontId="16" fillId="0" borderId="1" xfId="50" applyNumberFormat="1" applyFont="1" applyFill="1" applyBorder="1" applyAlignment="1">
      <alignment horizontal="center" vertical="center" wrapText="1"/>
    </xf>
    <xf numFmtId="180" fontId="14" fillId="0" borderId="1" xfId="0" applyNumberFormat="1" applyFont="1" applyFill="1" applyBorder="1" applyAlignment="1">
      <alignment horizontal="center" vertical="center"/>
    </xf>
    <xf numFmtId="181" fontId="15" fillId="0" borderId="1" xfId="0" applyNumberFormat="1" applyFont="1" applyFill="1" applyBorder="1" applyAlignment="1">
      <alignment horizontal="center" vertical="center"/>
    </xf>
    <xf numFmtId="178" fontId="19" fillId="0" borderId="1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9" fontId="20" fillId="0" borderId="0" xfId="3" applyNumberFormat="1" applyFont="1" applyFill="1" applyBorder="1" applyAlignment="1" applyProtection="1">
      <alignment horizontal="center" vertical="center"/>
    </xf>
    <xf numFmtId="176" fontId="14" fillId="0" borderId="1" xfId="0" applyNumberFormat="1" applyFont="1" applyFill="1" applyBorder="1" applyAlignment="1" applyProtection="1">
      <alignment horizontal="center" vertical="center"/>
    </xf>
    <xf numFmtId="0" fontId="0" fillId="0" borderId="0" xfId="0" applyFill="1">
      <alignment vertical="center"/>
    </xf>
    <xf numFmtId="176" fontId="2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6" fontId="22" fillId="0" borderId="0" xfId="50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23" fillId="8" borderId="0" xfId="0" applyFont="1" applyFill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4" fillId="0" borderId="0" xfId="0" applyNumberFormat="1" applyFont="1" applyFill="1" applyAlignment="1">
      <alignment horizontal="center" vertical="center"/>
    </xf>
    <xf numFmtId="176" fontId="24" fillId="0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182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182" fontId="29" fillId="0" borderId="1" xfId="0" applyNumberFormat="1" applyFont="1" applyFill="1" applyBorder="1" applyAlignment="1">
      <alignment horizontal="center" vertical="center"/>
    </xf>
    <xf numFmtId="176" fontId="30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178" fontId="28" fillId="9" borderId="1" xfId="0" applyNumberFormat="1" applyFont="1" applyFill="1" applyBorder="1" applyAlignment="1">
      <alignment horizontal="center" vertical="center"/>
    </xf>
    <xf numFmtId="49" fontId="28" fillId="9" borderId="1" xfId="0" applyNumberFormat="1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176" fontId="28" fillId="9" borderId="1" xfId="0" applyNumberFormat="1" applyFont="1" applyFill="1" applyBorder="1" applyAlignment="1">
      <alignment horizontal="center" vertical="center"/>
    </xf>
    <xf numFmtId="176" fontId="31" fillId="0" borderId="1" xfId="0" applyNumberFormat="1" applyFont="1" applyBorder="1" applyAlignment="1">
      <alignment horizontal="center" vertical="center"/>
    </xf>
    <xf numFmtId="183" fontId="0" fillId="0" borderId="0" xfId="3" applyNumberFormat="1" applyAlignment="1">
      <alignment horizontal="center" vertical="center"/>
    </xf>
    <xf numFmtId="178" fontId="28" fillId="9" borderId="1" xfId="0" applyNumberFormat="1" applyFont="1" applyFill="1" applyBorder="1" applyAlignment="1">
      <alignment horizontal="center"/>
    </xf>
    <xf numFmtId="49" fontId="28" fillId="9" borderId="1" xfId="0" applyNumberFormat="1" applyFont="1" applyFill="1" applyBorder="1" applyAlignment="1">
      <alignment horizontal="center"/>
    </xf>
    <xf numFmtId="0" fontId="31" fillId="9" borderId="1" xfId="0" applyFont="1" applyFill="1" applyBorder="1" applyAlignment="1">
      <alignment horizontal="center"/>
    </xf>
    <xf numFmtId="176" fontId="28" fillId="9" borderId="1" xfId="0" applyNumberFormat="1" applyFont="1" applyFill="1" applyBorder="1" applyAlignment="1">
      <alignment horizontal="center"/>
    </xf>
    <xf numFmtId="178" fontId="28" fillId="2" borderId="1" xfId="0" applyNumberFormat="1" applyFont="1" applyFill="1" applyBorder="1" applyAlignment="1">
      <alignment horizontal="center"/>
    </xf>
    <xf numFmtId="49" fontId="28" fillId="2" borderId="1" xfId="0" applyNumberFormat="1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176" fontId="28" fillId="2" borderId="1" xfId="0" applyNumberFormat="1" applyFont="1" applyFill="1" applyBorder="1" applyAlignment="1">
      <alignment horizontal="center"/>
    </xf>
    <xf numFmtId="10" fontId="0" fillId="0" borderId="0" xfId="3" applyNumberFormat="1">
      <alignment vertical="center"/>
    </xf>
    <xf numFmtId="178" fontId="28" fillId="0" borderId="1" xfId="0" applyNumberFormat="1" applyFont="1" applyFill="1" applyBorder="1" applyAlignment="1">
      <alignment horizontal="center"/>
    </xf>
    <xf numFmtId="49" fontId="28" fillId="0" borderId="1" xfId="0" applyNumberFormat="1" applyFont="1" applyFill="1" applyBorder="1" applyAlignment="1">
      <alignment horizontal="center"/>
    </xf>
    <xf numFmtId="0" fontId="31" fillId="0" borderId="1" xfId="0" applyFont="1" applyFill="1" applyBorder="1" applyAlignment="1">
      <alignment horizontal="center"/>
    </xf>
    <xf numFmtId="176" fontId="28" fillId="0" borderId="1" xfId="0" applyNumberFormat="1" applyFont="1" applyFill="1" applyBorder="1" applyAlignment="1">
      <alignment horizontal="center"/>
    </xf>
    <xf numFmtId="176" fontId="28" fillId="0" borderId="1" xfId="0" applyNumberFormat="1" applyFont="1" applyFill="1" applyBorder="1" applyAlignment="1">
      <alignment horizontal="center" vertical="center"/>
    </xf>
    <xf numFmtId="176" fontId="31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>
      <alignment vertical="center"/>
    </xf>
    <xf numFmtId="183" fontId="0" fillId="0" borderId="0" xfId="3" applyNumberFormat="1" applyFill="1" applyAlignment="1">
      <alignment horizontal="center" vertical="center"/>
    </xf>
    <xf numFmtId="9" fontId="0" fillId="0" borderId="0" xfId="3" applyFill="1">
      <alignment vertical="center"/>
    </xf>
    <xf numFmtId="176" fontId="28" fillId="2" borderId="1" xfId="0" applyNumberFormat="1" applyFont="1" applyFill="1" applyBorder="1" applyAlignment="1">
      <alignment horizontal="center" vertical="center"/>
    </xf>
    <xf numFmtId="176" fontId="31" fillId="2" borderId="1" xfId="0" applyNumberFormat="1" applyFont="1" applyFill="1" applyBorder="1" applyAlignment="1">
      <alignment horizontal="center" vertical="center"/>
    </xf>
    <xf numFmtId="183" fontId="0" fillId="2" borderId="0" xfId="3" applyNumberFormat="1" applyFill="1" applyAlignment="1">
      <alignment horizontal="center" vertical="center"/>
    </xf>
    <xf numFmtId="178" fontId="28" fillId="5" borderId="1" xfId="0" applyNumberFormat="1" applyFont="1" applyFill="1" applyBorder="1" applyAlignment="1">
      <alignment horizontal="center"/>
    </xf>
    <xf numFmtId="49" fontId="28" fillId="5" borderId="1" xfId="0" applyNumberFormat="1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176" fontId="28" fillId="5" borderId="1" xfId="0" applyNumberFormat="1" applyFont="1" applyFill="1" applyBorder="1" applyAlignment="1">
      <alignment horizontal="center"/>
    </xf>
    <xf numFmtId="176" fontId="28" fillId="5" borderId="1" xfId="0" applyNumberFormat="1" applyFont="1" applyFill="1" applyBorder="1" applyAlignment="1">
      <alignment horizontal="center" vertical="center"/>
    </xf>
    <xf numFmtId="176" fontId="31" fillId="5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183" fontId="0" fillId="5" borderId="0" xfId="3" applyNumberFormat="1" applyFill="1" applyAlignment="1">
      <alignment horizontal="center" vertical="center"/>
    </xf>
    <xf numFmtId="178" fontId="24" fillId="2" borderId="1" xfId="0" applyNumberFormat="1" applyFont="1" applyFill="1" applyBorder="1" applyAlignment="1">
      <alignment horizontal="center"/>
    </xf>
    <xf numFmtId="49" fontId="24" fillId="2" borderId="1" xfId="0" applyNumberFormat="1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176" fontId="24" fillId="2" borderId="1" xfId="0" applyNumberFormat="1" applyFont="1" applyFill="1" applyBorder="1" applyAlignment="1">
      <alignment horizontal="center"/>
    </xf>
    <xf numFmtId="176" fontId="24" fillId="9" borderId="1" xfId="0" applyNumberFormat="1" applyFont="1" applyFill="1" applyBorder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/>
    </xf>
    <xf numFmtId="0" fontId="11" fillId="2" borderId="0" xfId="0" applyFont="1" applyFill="1">
      <alignment vertical="center"/>
    </xf>
    <xf numFmtId="176" fontId="24" fillId="2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/>
    </xf>
    <xf numFmtId="176" fontId="28" fillId="0" borderId="1" xfId="0" applyNumberFormat="1" applyFont="1" applyBorder="1" applyAlignment="1">
      <alignment horizontal="center" vertical="center"/>
    </xf>
    <xf numFmtId="0" fontId="25" fillId="2" borderId="0" xfId="0" applyFont="1" applyFill="1">
      <alignment vertical="center"/>
    </xf>
    <xf numFmtId="49" fontId="23" fillId="0" borderId="0" xfId="51" applyNumberFormat="1" applyFont="1" applyAlignment="1" applyProtection="1">
      <alignment vertical="center"/>
    </xf>
    <xf numFmtId="0" fontId="23" fillId="0" borderId="0" xfId="51" applyFont="1" applyAlignment="1" applyProtection="1">
      <alignment vertical="center"/>
    </xf>
    <xf numFmtId="9" fontId="28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8" fillId="0" borderId="0" xfId="51" applyNumberFormat="1" applyFont="1" applyAlignment="1" applyProtection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_x001E_" xfId="50"/>
    <cellStyle name="常规_Sheet1" xfId="51"/>
    <cellStyle name="常规 2" xfId="52"/>
  </cellStyles>
  <dxfs count="2">
    <dxf>
      <font>
        <b val="1"/>
        <i val="0"/>
      </font>
      <fill>
        <patternFill patternType="solid">
          <bgColor theme="7" tint="0.599993896298105"/>
        </patternFill>
      </fill>
    </dxf>
    <dxf>
      <font>
        <b val="0"/>
        <i val="1"/>
        <color theme="1" tint="0.499984740745262"/>
      </font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455"/>
  <sheetViews>
    <sheetView tabSelected="1" zoomScale="80" zoomScaleNormal="80" workbookViewId="0">
      <pane ySplit="2" topLeftCell="A3" activePane="bottomLeft" state="frozen"/>
      <selection/>
      <selection pane="bottomLeft" activeCell="N10" sqref="N10"/>
    </sheetView>
  </sheetViews>
  <sheetFormatPr defaultColWidth="9" defaultRowHeight="16.5"/>
  <cols>
    <col min="1" max="1" width="10.7272727272727" style="101" customWidth="1"/>
    <col min="2" max="2" width="12.9090909090909" style="101" customWidth="1"/>
    <col min="3" max="3" width="11" style="101" customWidth="1"/>
    <col min="4" max="4" width="18.4090909090909" style="102" customWidth="1"/>
    <col min="5" max="5" width="12.1272727272727" style="102" customWidth="1"/>
    <col min="6" max="6" width="13.3636363636364" style="103" customWidth="1"/>
    <col min="7" max="7" width="13.3636363636364" style="104" customWidth="1"/>
    <col min="8" max="8" width="9.54545454545454" customWidth="1"/>
    <col min="9" max="9" width="15.4454545454545" style="105" customWidth="1"/>
    <col min="10" max="10" width="11.5" style="73"/>
    <col min="11" max="11" width="12.0272727272727" customWidth="1"/>
    <col min="12" max="14" width="12.8181818181818"/>
  </cols>
  <sheetData>
    <row r="1" ht="51" customHeight="1" spans="1:21">
      <c r="A1" s="106" t="s">
        <v>0</v>
      </c>
      <c r="B1" s="106"/>
      <c r="C1" s="106"/>
      <c r="D1" s="106"/>
      <c r="E1" s="106"/>
      <c r="F1" s="107"/>
      <c r="G1" s="108"/>
      <c r="H1" s="96"/>
      <c r="I1" s="109"/>
      <c r="J1" s="110"/>
    </row>
    <row r="2" s="73" customFormat="1" ht="35" customHeight="1" spans="1:21">
      <c r="A2" s="111" t="s">
        <v>1</v>
      </c>
      <c r="B2" s="111" t="s">
        <v>2</v>
      </c>
      <c r="C2" s="111" t="s">
        <v>3</v>
      </c>
      <c r="D2" s="111" t="s">
        <v>4</v>
      </c>
      <c r="E2" s="111" t="s">
        <v>5</v>
      </c>
      <c r="F2" s="112" t="s">
        <v>6</v>
      </c>
      <c r="G2" s="113" t="s">
        <v>7</v>
      </c>
      <c r="H2" s="110"/>
      <c r="I2" s="114" t="s">
        <v>8</v>
      </c>
      <c r="J2" s="110" t="s">
        <v>9</v>
      </c>
    </row>
    <row r="3" ht="17" customHeight="1" spans="1:21">
      <c r="A3" s="115">
        <v>0.05</v>
      </c>
      <c r="B3" s="116" t="s">
        <v>10</v>
      </c>
      <c r="C3" s="117" t="s">
        <v>11</v>
      </c>
      <c r="D3" s="118" t="s">
        <v>12</v>
      </c>
      <c r="E3" s="118">
        <f t="shared" ref="E3:E66" si="0">F3*0.9</f>
        <v>93.970230919488</v>
      </c>
      <c r="F3" s="119">
        <f>I3*J3</f>
        <v>104.41136768832</v>
      </c>
      <c r="G3" s="119">
        <f t="shared" ref="G3:G66" si="1">F3*1.05</f>
        <v>109.631936072736</v>
      </c>
      <c r="I3" s="119">
        <v>94.9194251712</v>
      </c>
      <c r="J3" s="120">
        <v>1.1</v>
      </c>
    </row>
    <row r="4" spans="1:21">
      <c r="A4" s="121">
        <v>0.05</v>
      </c>
      <c r="B4" s="122" t="s">
        <v>13</v>
      </c>
      <c r="C4" s="123" t="s">
        <v>11</v>
      </c>
      <c r="D4" s="124" t="s">
        <v>14</v>
      </c>
      <c r="E4" s="118">
        <f t="shared" si="0"/>
        <v>405.802701570816</v>
      </c>
      <c r="F4" s="119">
        <f t="shared" ref="F3:F66" si="2">I4*J4</f>
        <v>450.89189063424</v>
      </c>
      <c r="G4" s="119">
        <f t="shared" si="1"/>
        <v>473.436485165952</v>
      </c>
      <c r="I4" s="119">
        <v>409.9017187584</v>
      </c>
      <c r="J4" s="120">
        <v>1.1</v>
      </c>
    </row>
    <row r="5" spans="1:21">
      <c r="A5" s="121">
        <v>0.064</v>
      </c>
      <c r="B5" s="122" t="s">
        <v>10</v>
      </c>
      <c r="C5" s="123" t="s">
        <v>11</v>
      </c>
      <c r="D5" s="124" t="s">
        <v>15</v>
      </c>
      <c r="E5" s="118">
        <f t="shared" si="0"/>
        <v>102.71487574656</v>
      </c>
      <c r="F5" s="119">
        <f t="shared" si="2"/>
        <v>114.1276397184</v>
      </c>
      <c r="G5" s="119">
        <f t="shared" si="1"/>
        <v>119.83402170432</v>
      </c>
      <c r="I5" s="119">
        <v>103.752399744</v>
      </c>
      <c r="J5" s="120">
        <v>1.1</v>
      </c>
    </row>
    <row r="6" s="100" customFormat="1" spans="1:21">
      <c r="A6" s="125">
        <v>0.08</v>
      </c>
      <c r="B6" s="126" t="s">
        <v>10</v>
      </c>
      <c r="C6" s="127" t="s">
        <v>11</v>
      </c>
      <c r="D6" s="128" t="s">
        <v>16</v>
      </c>
      <c r="E6" s="118">
        <f t="shared" si="0"/>
        <v>86.9077836</v>
      </c>
      <c r="F6" s="119">
        <f t="shared" si="2"/>
        <v>96.564204</v>
      </c>
      <c r="G6" s="119">
        <f t="shared" si="1"/>
        <v>101.3924142</v>
      </c>
      <c r="I6" s="119">
        <v>87.78564</v>
      </c>
      <c r="J6" s="120">
        <v>1.1</v>
      </c>
      <c r="K6"/>
      <c r="L6"/>
      <c r="M6" s="129"/>
      <c r="N6"/>
      <c r="O6"/>
      <c r="P6"/>
      <c r="Q6"/>
      <c r="R6"/>
      <c r="S6"/>
      <c r="T6"/>
      <c r="U6"/>
    </row>
    <row r="7" spans="1:21">
      <c r="A7" s="121">
        <v>0.08</v>
      </c>
      <c r="B7" s="122" t="s">
        <v>17</v>
      </c>
      <c r="C7" s="123" t="s">
        <v>11</v>
      </c>
      <c r="D7" s="124" t="s">
        <v>16</v>
      </c>
      <c r="E7" s="118">
        <f t="shared" si="0"/>
        <v>140.608336663872</v>
      </c>
      <c r="F7" s="119">
        <f t="shared" si="2"/>
        <v>156.23148518208</v>
      </c>
      <c r="G7" s="119">
        <f t="shared" si="1"/>
        <v>164.043059441184</v>
      </c>
      <c r="I7" s="119">
        <v>142.0286228928</v>
      </c>
      <c r="J7" s="120">
        <v>1.1</v>
      </c>
    </row>
    <row r="8" spans="1:21">
      <c r="A8" s="121">
        <v>0.08</v>
      </c>
      <c r="B8" s="122" t="s">
        <v>18</v>
      </c>
      <c r="C8" s="123" t="s">
        <v>11</v>
      </c>
      <c r="D8" s="124" t="s">
        <v>16</v>
      </c>
      <c r="E8" s="118">
        <f t="shared" si="0"/>
        <v>205.345945373184</v>
      </c>
      <c r="F8" s="119">
        <f t="shared" si="2"/>
        <v>228.16216152576</v>
      </c>
      <c r="G8" s="119">
        <f t="shared" si="1"/>
        <v>239.570269602048</v>
      </c>
      <c r="I8" s="119">
        <v>207.4201468416</v>
      </c>
      <c r="J8" s="120">
        <v>1.1</v>
      </c>
    </row>
    <row r="9" spans="1:21">
      <c r="A9" s="121">
        <v>0.08</v>
      </c>
      <c r="B9" s="122" t="s">
        <v>19</v>
      </c>
      <c r="C9" s="123" t="s">
        <v>11</v>
      </c>
      <c r="D9" s="124" t="s">
        <v>20</v>
      </c>
      <c r="E9" s="118">
        <f t="shared" si="0"/>
        <v>295.277394753792</v>
      </c>
      <c r="F9" s="119">
        <f t="shared" si="2"/>
        <v>328.08599417088</v>
      </c>
      <c r="G9" s="119">
        <f t="shared" si="1"/>
        <v>344.490293879424</v>
      </c>
      <c r="I9" s="119">
        <v>298.2599947008</v>
      </c>
      <c r="J9" s="120">
        <v>1.1</v>
      </c>
    </row>
    <row r="10" spans="1:21">
      <c r="A10" s="121">
        <v>0.08</v>
      </c>
      <c r="B10" s="122" t="s">
        <v>13</v>
      </c>
      <c r="C10" s="123" t="s">
        <v>11</v>
      </c>
      <c r="D10" s="124" t="s">
        <v>16</v>
      </c>
      <c r="E10" s="118">
        <f t="shared" si="0"/>
        <v>412.173463223808</v>
      </c>
      <c r="F10" s="119">
        <f t="shared" si="2"/>
        <v>457.97051469312</v>
      </c>
      <c r="G10" s="119">
        <f t="shared" si="1"/>
        <v>480.869040427776</v>
      </c>
      <c r="I10" s="119">
        <v>416.3368315392</v>
      </c>
      <c r="J10" s="120">
        <v>1.1</v>
      </c>
    </row>
    <row r="11" spans="1:21">
      <c r="A11" s="121">
        <v>0.1</v>
      </c>
      <c r="B11" s="122" t="s">
        <v>10</v>
      </c>
      <c r="C11" s="123" t="s">
        <v>11</v>
      </c>
      <c r="D11" s="124" t="s">
        <v>21</v>
      </c>
      <c r="E11" s="118">
        <f t="shared" si="0"/>
        <v>88.14046770144</v>
      </c>
      <c r="F11" s="119">
        <f t="shared" si="2"/>
        <v>97.9338530016</v>
      </c>
      <c r="G11" s="119">
        <f t="shared" si="1"/>
        <v>102.83054565168</v>
      </c>
      <c r="I11" s="119">
        <v>89.030775456</v>
      </c>
      <c r="J11" s="120">
        <v>1.1</v>
      </c>
    </row>
    <row r="12" spans="1:21">
      <c r="A12" s="121">
        <v>0.1</v>
      </c>
      <c r="B12" s="122" t="s">
        <v>10</v>
      </c>
      <c r="C12" s="123" t="s">
        <v>11</v>
      </c>
      <c r="D12" s="124" t="s">
        <v>20</v>
      </c>
      <c r="E12" s="118">
        <f t="shared" si="0"/>
        <v>111.459520573632</v>
      </c>
      <c r="F12" s="119">
        <f t="shared" si="2"/>
        <v>123.84391174848</v>
      </c>
      <c r="G12" s="119">
        <f t="shared" si="1"/>
        <v>130.036107335904</v>
      </c>
      <c r="I12" s="119">
        <v>112.5853743168</v>
      </c>
      <c r="J12" s="120">
        <v>1.1</v>
      </c>
    </row>
    <row r="13" spans="1:21">
      <c r="A13" s="121">
        <v>0.1</v>
      </c>
      <c r="B13" s="122" t="s">
        <v>22</v>
      </c>
      <c r="C13" s="123" t="s">
        <v>11</v>
      </c>
      <c r="D13" s="124" t="s">
        <v>21</v>
      </c>
      <c r="E13" s="118">
        <f t="shared" si="0"/>
        <v>116.59526436096</v>
      </c>
      <c r="F13" s="119">
        <f t="shared" si="2"/>
        <v>129.5502937344</v>
      </c>
      <c r="G13" s="119">
        <f t="shared" si="1"/>
        <v>136.02780842112</v>
      </c>
      <c r="I13" s="119">
        <v>117.772994304</v>
      </c>
      <c r="J13" s="120">
        <v>1.1</v>
      </c>
    </row>
    <row r="14" s="100" customFormat="1" spans="1:21">
      <c r="A14" s="125">
        <v>0.1</v>
      </c>
      <c r="B14" s="126" t="s">
        <v>17</v>
      </c>
      <c r="C14" s="127" t="s">
        <v>11</v>
      </c>
      <c r="D14" s="128" t="s">
        <v>23</v>
      </c>
      <c r="E14" s="118">
        <f t="shared" si="0"/>
        <v>143.523218272896</v>
      </c>
      <c r="F14" s="119">
        <f t="shared" si="2"/>
        <v>159.47024252544</v>
      </c>
      <c r="G14" s="119">
        <f t="shared" si="1"/>
        <v>167.443754651712</v>
      </c>
      <c r="H14" s="100" t="s">
        <v>23</v>
      </c>
      <c r="I14" s="119">
        <v>144.9729477504</v>
      </c>
      <c r="J14" s="120">
        <v>1.1</v>
      </c>
      <c r="K14"/>
      <c r="L14"/>
      <c r="M14" s="129"/>
      <c r="N14"/>
      <c r="O14"/>
      <c r="P14"/>
      <c r="Q14"/>
      <c r="R14"/>
      <c r="S14"/>
      <c r="T14"/>
      <c r="U14"/>
    </row>
    <row r="15" spans="1:21">
      <c r="A15" s="121">
        <v>0.1</v>
      </c>
      <c r="B15" s="122" t="s">
        <v>17</v>
      </c>
      <c r="C15" s="123" t="s">
        <v>11</v>
      </c>
      <c r="D15" s="124" t="s">
        <v>20</v>
      </c>
      <c r="E15" s="118">
        <f t="shared" si="0"/>
        <v>158.097626318016</v>
      </c>
      <c r="F15" s="119">
        <f t="shared" si="2"/>
        <v>175.66402924224</v>
      </c>
      <c r="G15" s="119">
        <f t="shared" si="1"/>
        <v>184.447230704352</v>
      </c>
      <c r="I15" s="119">
        <v>159.6945720384</v>
      </c>
      <c r="J15" s="120">
        <v>1.1</v>
      </c>
    </row>
    <row r="16" spans="1:21">
      <c r="A16" s="121">
        <v>0.1</v>
      </c>
      <c r="B16" s="122" t="s">
        <v>19</v>
      </c>
      <c r="C16" s="123" t="s">
        <v>11</v>
      </c>
      <c r="D16" s="124" t="s">
        <v>20</v>
      </c>
      <c r="E16" s="118">
        <f t="shared" si="0"/>
        <v>298.388696956416</v>
      </c>
      <c r="F16" s="119">
        <f t="shared" si="2"/>
        <v>331.54299661824</v>
      </c>
      <c r="G16" s="119">
        <f t="shared" si="1"/>
        <v>348.120146449152</v>
      </c>
      <c r="I16" s="119">
        <v>301.4027241984</v>
      </c>
      <c r="J16" s="120">
        <v>1.1</v>
      </c>
    </row>
    <row r="17" spans="1:13">
      <c r="A17" s="121">
        <v>0.1</v>
      </c>
      <c r="B17" s="122" t="s">
        <v>24</v>
      </c>
      <c r="C17" s="123" t="s">
        <v>11</v>
      </c>
      <c r="D17" s="124" t="s">
        <v>20</v>
      </c>
      <c r="E17" s="118">
        <f t="shared" si="0"/>
        <v>410.543733498624</v>
      </c>
      <c r="F17" s="119">
        <f t="shared" si="2"/>
        <v>456.15970388736</v>
      </c>
      <c r="G17" s="119">
        <f t="shared" si="1"/>
        <v>478.967689081728</v>
      </c>
      <c r="I17" s="119">
        <v>414.6906398976</v>
      </c>
      <c r="J17" s="120">
        <v>1.1</v>
      </c>
    </row>
    <row r="18" spans="1:13">
      <c r="A18" s="121">
        <v>0.1</v>
      </c>
      <c r="B18" s="122" t="s">
        <v>13</v>
      </c>
      <c r="C18" s="123" t="s">
        <v>11</v>
      </c>
      <c r="D18" s="124" t="s">
        <v>20</v>
      </c>
      <c r="E18" s="118">
        <f t="shared" si="0"/>
        <v>439.138082313216</v>
      </c>
      <c r="F18" s="119">
        <f t="shared" si="2"/>
        <v>487.93120257024</v>
      </c>
      <c r="G18" s="119">
        <f t="shared" si="1"/>
        <v>512.327762698752</v>
      </c>
      <c r="I18" s="119">
        <v>443.5738205184</v>
      </c>
      <c r="J18" s="120">
        <v>1.1</v>
      </c>
    </row>
    <row r="19" spans="1:13">
      <c r="A19" s="121">
        <v>0.11</v>
      </c>
      <c r="B19" s="122" t="s">
        <v>10</v>
      </c>
      <c r="C19" s="123" t="s">
        <v>11</v>
      </c>
      <c r="D19" s="124" t="s">
        <v>21</v>
      </c>
      <c r="E19" s="118">
        <f t="shared" si="0"/>
        <v>95.497073667072</v>
      </c>
      <c r="F19" s="119">
        <f t="shared" si="2"/>
        <v>106.10785963008</v>
      </c>
      <c r="G19" s="119">
        <f t="shared" si="1"/>
        <v>111.413252611584</v>
      </c>
      <c r="I19" s="119">
        <v>96.4616905728</v>
      </c>
      <c r="J19" s="120">
        <v>1.1</v>
      </c>
    </row>
    <row r="20" spans="1:13">
      <c r="A20" s="121">
        <v>0.11</v>
      </c>
      <c r="B20" s="122" t="s">
        <v>10</v>
      </c>
      <c r="C20" s="123" t="s">
        <v>11</v>
      </c>
      <c r="D20" s="124" t="s">
        <v>20</v>
      </c>
      <c r="E20" s="118">
        <f t="shared" si="0"/>
        <v>120.204165400704</v>
      </c>
      <c r="F20" s="119">
        <f t="shared" si="2"/>
        <v>133.56018377856</v>
      </c>
      <c r="G20" s="119">
        <f t="shared" si="1"/>
        <v>140.238192967488</v>
      </c>
      <c r="I20" s="119">
        <v>121.4183488896</v>
      </c>
      <c r="J20" s="120">
        <v>1.1</v>
      </c>
    </row>
    <row r="21" spans="1:13">
      <c r="A21" s="121">
        <v>0.11</v>
      </c>
      <c r="B21" s="122" t="s">
        <v>17</v>
      </c>
      <c r="C21" s="123" t="s">
        <v>11</v>
      </c>
      <c r="D21" s="124" t="s">
        <v>21</v>
      </c>
      <c r="E21" s="118">
        <f t="shared" si="0"/>
        <v>145.05006102048</v>
      </c>
      <c r="F21" s="119">
        <f t="shared" si="2"/>
        <v>161.1667344672</v>
      </c>
      <c r="G21" s="119">
        <f t="shared" si="1"/>
        <v>169.22507119056</v>
      </c>
      <c r="I21" s="119">
        <v>146.515213152</v>
      </c>
      <c r="J21" s="120">
        <v>1.1</v>
      </c>
    </row>
    <row r="22" spans="1:13">
      <c r="A22" s="121">
        <v>0.11</v>
      </c>
      <c r="B22" s="122" t="s">
        <v>17</v>
      </c>
      <c r="C22" s="123" t="s">
        <v>11</v>
      </c>
      <c r="D22" s="124" t="s">
        <v>20</v>
      </c>
      <c r="E22" s="118">
        <f t="shared" si="0"/>
        <v>162.539350674624</v>
      </c>
      <c r="F22" s="119">
        <f t="shared" si="2"/>
        <v>180.59927852736</v>
      </c>
      <c r="G22" s="119">
        <f t="shared" si="1"/>
        <v>189.629242453728</v>
      </c>
      <c r="I22" s="119">
        <v>164.1811622976</v>
      </c>
      <c r="J22" s="120">
        <v>1.1</v>
      </c>
    </row>
    <row r="23" spans="1:13">
      <c r="A23" s="121">
        <v>0.11</v>
      </c>
      <c r="B23" s="122" t="s">
        <v>25</v>
      </c>
      <c r="C23" s="123" t="s">
        <v>11</v>
      </c>
      <c r="D23" s="124" t="s">
        <v>21</v>
      </c>
      <c r="E23" s="118">
        <f t="shared" si="0"/>
        <v>182.085257477376</v>
      </c>
      <c r="F23" s="119">
        <f t="shared" si="2"/>
        <v>202.31695275264</v>
      </c>
      <c r="G23" s="119">
        <f t="shared" si="1"/>
        <v>212.432800390272</v>
      </c>
      <c r="I23" s="119">
        <v>183.9245025024</v>
      </c>
      <c r="J23" s="120">
        <v>1.1</v>
      </c>
    </row>
    <row r="24" spans="1:13">
      <c r="A24" s="121">
        <v>0.11</v>
      </c>
      <c r="B24" s="122" t="s">
        <v>19</v>
      </c>
      <c r="C24" s="123" t="s">
        <v>11</v>
      </c>
      <c r="D24" s="124" t="s">
        <v>20</v>
      </c>
      <c r="E24" s="118">
        <f t="shared" si="0"/>
        <v>292.166092551168</v>
      </c>
      <c r="F24" s="119">
        <f t="shared" si="2"/>
        <v>324.62899172352</v>
      </c>
      <c r="G24" s="119">
        <f t="shared" si="1"/>
        <v>340.860441309696</v>
      </c>
      <c r="I24" s="119">
        <v>295.1172652032</v>
      </c>
      <c r="J24" s="120">
        <v>1.1</v>
      </c>
    </row>
    <row r="25" spans="1:13">
      <c r="A25" s="121">
        <v>0.11</v>
      </c>
      <c r="B25" s="122" t="s">
        <v>13</v>
      </c>
      <c r="C25" s="123" t="s">
        <v>11</v>
      </c>
      <c r="D25" s="124" t="s">
        <v>20</v>
      </c>
      <c r="E25" s="118">
        <f t="shared" si="0"/>
        <v>442.24938451584</v>
      </c>
      <c r="F25" s="119">
        <f t="shared" si="2"/>
        <v>491.3882050176</v>
      </c>
      <c r="G25" s="119">
        <f t="shared" si="1"/>
        <v>515.95761526848</v>
      </c>
      <c r="I25" s="119">
        <v>446.716550016</v>
      </c>
      <c r="J25" s="120">
        <v>1.1</v>
      </c>
    </row>
    <row r="26" spans="1:13">
      <c r="A26" s="121">
        <v>0.12</v>
      </c>
      <c r="B26" s="122" t="s">
        <v>25</v>
      </c>
      <c r="C26" s="123" t="s">
        <v>11</v>
      </c>
      <c r="D26" s="124" t="s">
        <v>20</v>
      </c>
      <c r="E26" s="118">
        <f t="shared" si="0"/>
        <v>182.085257477376</v>
      </c>
      <c r="F26" s="119">
        <f t="shared" si="2"/>
        <v>202.31695275264</v>
      </c>
      <c r="G26" s="119">
        <f t="shared" si="1"/>
        <v>212.432800390272</v>
      </c>
      <c r="I26" s="119">
        <v>183.9245025024</v>
      </c>
      <c r="J26" s="120">
        <v>1.1</v>
      </c>
    </row>
    <row r="27" spans="1:13">
      <c r="A27" s="121">
        <v>0.13</v>
      </c>
      <c r="B27" s="122" t="s">
        <v>10</v>
      </c>
      <c r="C27" s="123" t="s">
        <v>11</v>
      </c>
      <c r="D27" s="124" t="s">
        <v>21</v>
      </c>
      <c r="E27" s="118">
        <f t="shared" si="0"/>
        <v>98.411955276096</v>
      </c>
      <c r="F27" s="119">
        <f t="shared" si="2"/>
        <v>109.34661697344</v>
      </c>
      <c r="G27" s="119">
        <f t="shared" si="1"/>
        <v>114.813947822112</v>
      </c>
      <c r="I27" s="119">
        <v>99.4060154304</v>
      </c>
      <c r="J27" s="120">
        <v>1.1</v>
      </c>
    </row>
    <row r="28" spans="1:13">
      <c r="A28" s="121">
        <v>0.13</v>
      </c>
      <c r="B28" s="122" t="s">
        <v>10</v>
      </c>
      <c r="C28" s="123" t="s">
        <v>11</v>
      </c>
      <c r="D28" s="124" t="s">
        <v>20</v>
      </c>
      <c r="E28" s="118">
        <f t="shared" si="0"/>
        <v>110.071481712192</v>
      </c>
      <c r="F28" s="119">
        <f t="shared" si="2"/>
        <v>122.30164634688</v>
      </c>
      <c r="G28" s="119">
        <f t="shared" si="1"/>
        <v>128.416728664224</v>
      </c>
      <c r="I28" s="119">
        <v>111.1833148608</v>
      </c>
      <c r="J28" s="120">
        <v>1.1</v>
      </c>
    </row>
    <row r="29" spans="1:13">
      <c r="A29" s="121">
        <v>0.13</v>
      </c>
      <c r="B29" s="122" t="s">
        <v>26</v>
      </c>
      <c r="C29" s="123" t="s">
        <v>11</v>
      </c>
      <c r="D29" s="124" t="s">
        <v>21</v>
      </c>
      <c r="E29" s="118">
        <f t="shared" si="0"/>
        <v>109.377462281472</v>
      </c>
      <c r="F29" s="119">
        <f t="shared" si="2"/>
        <v>121.53051364608</v>
      </c>
      <c r="G29" s="119">
        <f t="shared" si="1"/>
        <v>127.607039328384</v>
      </c>
      <c r="I29" s="119">
        <v>110.4822851328</v>
      </c>
      <c r="J29" s="120">
        <v>1.1</v>
      </c>
    </row>
    <row r="30" spans="1:13">
      <c r="A30" s="121">
        <v>0.13</v>
      </c>
      <c r="B30" s="122" t="s">
        <v>17</v>
      </c>
      <c r="C30" s="123" t="s">
        <v>11</v>
      </c>
      <c r="D30" s="124" t="s">
        <v>21</v>
      </c>
      <c r="E30" s="118">
        <f t="shared" si="0"/>
        <v>136.305416193408</v>
      </c>
      <c r="F30" s="119">
        <f t="shared" si="2"/>
        <v>151.45046243712</v>
      </c>
      <c r="G30" s="119">
        <f t="shared" si="1"/>
        <v>159.022985558976</v>
      </c>
      <c r="I30" s="119">
        <v>137.6822385792</v>
      </c>
      <c r="J30" s="120">
        <v>1.1</v>
      </c>
    </row>
    <row r="31" spans="1:13">
      <c r="A31" s="121">
        <v>0.13</v>
      </c>
      <c r="B31" s="122" t="s">
        <v>17</v>
      </c>
      <c r="C31" s="123" t="s">
        <v>11</v>
      </c>
      <c r="D31" s="124" t="s">
        <v>20</v>
      </c>
      <c r="E31" s="118">
        <f t="shared" si="0"/>
        <v>162.539350674624</v>
      </c>
      <c r="F31" s="119">
        <f t="shared" si="2"/>
        <v>180.59927852736</v>
      </c>
      <c r="G31" s="119">
        <f t="shared" si="1"/>
        <v>189.629242453728</v>
      </c>
      <c r="I31" s="119">
        <v>164.1811622976</v>
      </c>
      <c r="J31" s="120">
        <v>1.1</v>
      </c>
    </row>
    <row r="32" s="96" customFormat="1" spans="1:13">
      <c r="A32" s="130">
        <v>0.13</v>
      </c>
      <c r="B32" s="131" t="s">
        <v>19</v>
      </c>
      <c r="C32" s="132" t="s">
        <v>11</v>
      </c>
      <c r="D32" s="133" t="s">
        <v>27</v>
      </c>
      <c r="E32" s="134">
        <f t="shared" si="0"/>
        <v>296.758967231232</v>
      </c>
      <c r="F32" s="135">
        <f t="shared" si="2"/>
        <v>329.73218581248</v>
      </c>
      <c r="G32" s="135">
        <f t="shared" si="1"/>
        <v>346.218795103104</v>
      </c>
      <c r="H32" s="136"/>
      <c r="I32" s="135">
        <v>299.7565325568</v>
      </c>
      <c r="J32" s="137">
        <v>1.1</v>
      </c>
      <c r="K32" s="96"/>
      <c r="L32" s="96"/>
      <c r="M32" s="138"/>
    </row>
    <row r="33" spans="1:21">
      <c r="A33" s="121">
        <v>0.13</v>
      </c>
      <c r="B33" s="122" t="s">
        <v>13</v>
      </c>
      <c r="C33" s="123" t="s">
        <v>11</v>
      </c>
      <c r="D33" s="124" t="s">
        <v>20</v>
      </c>
      <c r="E33" s="118">
        <f t="shared" si="0"/>
        <v>441.383762077632</v>
      </c>
      <c r="F33" s="119">
        <f t="shared" si="2"/>
        <v>490.42640230848</v>
      </c>
      <c r="G33" s="119">
        <f t="shared" si="1"/>
        <v>514.947722423904</v>
      </c>
      <c r="I33" s="119">
        <v>445.8421839168</v>
      </c>
      <c r="J33" s="120">
        <v>1.1</v>
      </c>
    </row>
    <row r="34" spans="1:21">
      <c r="A34" s="121">
        <v>0.15</v>
      </c>
      <c r="B34" s="122" t="s">
        <v>10</v>
      </c>
      <c r="C34" s="123" t="s">
        <v>11</v>
      </c>
      <c r="D34" s="124" t="s">
        <v>28</v>
      </c>
      <c r="E34" s="118">
        <f t="shared" si="0"/>
        <v>88.14046770144</v>
      </c>
      <c r="F34" s="119">
        <f t="shared" si="2"/>
        <v>97.9338530016</v>
      </c>
      <c r="G34" s="119">
        <f t="shared" si="1"/>
        <v>102.83054565168</v>
      </c>
      <c r="I34" s="119">
        <v>89.030775456</v>
      </c>
      <c r="J34" s="120">
        <v>1.1</v>
      </c>
    </row>
    <row r="35" spans="1:21">
      <c r="A35" s="121">
        <v>0.15</v>
      </c>
      <c r="B35" s="122" t="s">
        <v>10</v>
      </c>
      <c r="C35" s="123" t="s">
        <v>11</v>
      </c>
      <c r="D35" s="124" t="s">
        <v>27</v>
      </c>
      <c r="E35" s="118">
        <f t="shared" si="0"/>
        <v>110.071481712192</v>
      </c>
      <c r="F35" s="119">
        <f t="shared" si="2"/>
        <v>122.30164634688</v>
      </c>
      <c r="G35" s="119">
        <f t="shared" si="1"/>
        <v>128.416728664224</v>
      </c>
      <c r="I35" s="119">
        <v>111.1833148608</v>
      </c>
      <c r="J35" s="120">
        <v>1.1</v>
      </c>
    </row>
    <row r="36" spans="1:21">
      <c r="A36" s="121">
        <v>0.15</v>
      </c>
      <c r="B36" s="122" t="s">
        <v>22</v>
      </c>
      <c r="C36" s="123" t="s">
        <v>11</v>
      </c>
      <c r="D36" s="124" t="s">
        <v>28</v>
      </c>
      <c r="E36" s="118">
        <f t="shared" si="0"/>
        <v>125.339909188032</v>
      </c>
      <c r="F36" s="119">
        <f t="shared" si="2"/>
        <v>139.26656576448</v>
      </c>
      <c r="G36" s="119">
        <f t="shared" si="1"/>
        <v>146.229894052704</v>
      </c>
      <c r="I36" s="119">
        <v>126.6059688768</v>
      </c>
      <c r="J36" s="120">
        <v>1.1</v>
      </c>
    </row>
    <row r="37" spans="1:21">
      <c r="A37" s="121">
        <v>0.15</v>
      </c>
      <c r="B37" s="122" t="s">
        <v>17</v>
      </c>
      <c r="C37" s="123" t="s">
        <v>11</v>
      </c>
      <c r="D37" s="124" t="s">
        <v>28</v>
      </c>
      <c r="E37" s="118">
        <f t="shared" si="0"/>
        <v>147.964942629504</v>
      </c>
      <c r="F37" s="119">
        <f t="shared" si="2"/>
        <v>164.40549181056</v>
      </c>
      <c r="G37" s="119">
        <f t="shared" si="1"/>
        <v>172.625766401088</v>
      </c>
      <c r="I37" s="119">
        <v>149.4595380096</v>
      </c>
      <c r="J37" s="120">
        <v>1.1</v>
      </c>
    </row>
    <row r="38" spans="1:21">
      <c r="A38" s="121">
        <v>0.15</v>
      </c>
      <c r="B38" s="122" t="s">
        <v>17</v>
      </c>
      <c r="C38" s="123" t="s">
        <v>11</v>
      </c>
      <c r="D38" s="124" t="s">
        <v>27</v>
      </c>
      <c r="E38" s="118">
        <f t="shared" si="0"/>
        <v>159.6244690656</v>
      </c>
      <c r="F38" s="119">
        <f t="shared" si="2"/>
        <v>177.360521184</v>
      </c>
      <c r="G38" s="119">
        <f t="shared" si="1"/>
        <v>186.2285472432</v>
      </c>
      <c r="I38" s="119">
        <v>161.23683744</v>
      </c>
      <c r="J38" s="120">
        <v>1.1</v>
      </c>
    </row>
    <row r="39" spans="1:21">
      <c r="A39" s="121">
        <v>0.15</v>
      </c>
      <c r="B39" s="122" t="s">
        <v>19</v>
      </c>
      <c r="C39" s="123" t="s">
        <v>11</v>
      </c>
      <c r="D39" s="124" t="s">
        <v>27</v>
      </c>
      <c r="E39" s="118">
        <f t="shared" si="0"/>
        <v>294.011199016128</v>
      </c>
      <c r="F39" s="119">
        <f t="shared" si="2"/>
        <v>326.67911001792</v>
      </c>
      <c r="G39" s="119">
        <f t="shared" si="1"/>
        <v>343.013065518816</v>
      </c>
      <c r="I39" s="119">
        <v>296.9810091072</v>
      </c>
      <c r="J39" s="120">
        <v>1.1</v>
      </c>
    </row>
    <row r="40" spans="1:21">
      <c r="A40" s="121">
        <v>0.15</v>
      </c>
      <c r="B40" s="122" t="s">
        <v>19</v>
      </c>
      <c r="C40" s="123" t="s">
        <v>11</v>
      </c>
      <c r="D40" s="124" t="s">
        <v>29</v>
      </c>
      <c r="E40" s="118">
        <f t="shared" si="0"/>
        <v>323.66185413408</v>
      </c>
      <c r="F40" s="119">
        <f t="shared" si="2"/>
        <v>359.6242823712</v>
      </c>
      <c r="G40" s="119">
        <f t="shared" si="1"/>
        <v>377.60549648976</v>
      </c>
      <c r="I40" s="119">
        <v>326.931165792</v>
      </c>
      <c r="J40" s="120">
        <v>1.1</v>
      </c>
    </row>
    <row r="41" s="100" customFormat="1" spans="1:21">
      <c r="A41" s="125">
        <v>0.15</v>
      </c>
      <c r="B41" s="126" t="s">
        <v>13</v>
      </c>
      <c r="C41" s="127" t="s">
        <v>11</v>
      </c>
      <c r="D41" s="128" t="s">
        <v>27</v>
      </c>
      <c r="E41" s="139">
        <f t="shared" si="0"/>
        <v>426.3636351744</v>
      </c>
      <c r="F41" s="119">
        <f t="shared" si="2"/>
        <v>473.737372416</v>
      </c>
      <c r="G41" s="140">
        <f t="shared" si="1"/>
        <v>497.4242410368</v>
      </c>
      <c r="I41" s="119">
        <v>430.67033856</v>
      </c>
      <c r="J41" s="120">
        <v>1.1</v>
      </c>
      <c r="K41"/>
      <c r="L41"/>
      <c r="M41" s="129"/>
      <c r="N41"/>
      <c r="O41"/>
      <c r="P41"/>
      <c r="Q41"/>
      <c r="R41"/>
      <c r="S41"/>
      <c r="T41"/>
      <c r="U41"/>
    </row>
    <row r="42" spans="1:21">
      <c r="A42" s="121">
        <v>0.16</v>
      </c>
      <c r="B42" s="122" t="s">
        <v>10</v>
      </c>
      <c r="C42" s="123" t="s">
        <v>11</v>
      </c>
      <c r="D42" s="124" t="s">
        <v>28</v>
      </c>
      <c r="E42" s="118">
        <f t="shared" si="0"/>
        <v>101.32683688512</v>
      </c>
      <c r="F42" s="119">
        <f t="shared" si="2"/>
        <v>112.5853743168</v>
      </c>
      <c r="G42" s="119">
        <f t="shared" si="1"/>
        <v>118.21464303264</v>
      </c>
      <c r="I42" s="119">
        <v>102.350340288</v>
      </c>
      <c r="J42" s="120">
        <v>1.1</v>
      </c>
    </row>
    <row r="43" spans="1:21">
      <c r="A43" s="121">
        <v>0.16</v>
      </c>
      <c r="B43" s="122" t="s">
        <v>10</v>
      </c>
      <c r="C43" s="123" t="s">
        <v>11</v>
      </c>
      <c r="D43" s="124" t="s">
        <v>27</v>
      </c>
      <c r="E43" s="118">
        <f t="shared" si="0"/>
        <v>110.071481712192</v>
      </c>
      <c r="F43" s="119">
        <f t="shared" si="2"/>
        <v>122.30164634688</v>
      </c>
      <c r="G43" s="119">
        <f t="shared" si="1"/>
        <v>128.416728664224</v>
      </c>
      <c r="I43" s="119">
        <v>111.1833148608</v>
      </c>
      <c r="J43" s="120">
        <v>1.1</v>
      </c>
    </row>
    <row r="44" spans="1:21">
      <c r="A44" s="121">
        <v>0.16</v>
      </c>
      <c r="B44" s="122" t="s">
        <v>19</v>
      </c>
      <c r="C44" s="123" t="s">
        <v>11</v>
      </c>
      <c r="D44" s="124" t="s">
        <v>27</v>
      </c>
      <c r="E44" s="118">
        <f t="shared" si="0"/>
        <v>294.011199016128</v>
      </c>
      <c r="F44" s="119">
        <f t="shared" si="2"/>
        <v>326.67911001792</v>
      </c>
      <c r="G44" s="119">
        <f t="shared" si="1"/>
        <v>343.013065518816</v>
      </c>
      <c r="I44" s="119">
        <v>296.9810091072</v>
      </c>
      <c r="J44" s="120">
        <v>1.1</v>
      </c>
    </row>
    <row r="45" spans="1:21">
      <c r="A45" s="121">
        <v>0.18</v>
      </c>
      <c r="B45" s="122" t="s">
        <v>10</v>
      </c>
      <c r="C45" s="123" t="s">
        <v>11</v>
      </c>
      <c r="D45" s="124" t="s">
        <v>30</v>
      </c>
      <c r="E45" s="118">
        <f t="shared" si="0"/>
        <v>101.32683688512</v>
      </c>
      <c r="F45" s="119">
        <f t="shared" si="2"/>
        <v>112.5853743168</v>
      </c>
      <c r="G45" s="119">
        <f t="shared" si="1"/>
        <v>118.21464303264</v>
      </c>
      <c r="I45" s="119">
        <v>102.350340288</v>
      </c>
      <c r="J45" s="120">
        <v>1.1</v>
      </c>
    </row>
    <row r="46" spans="1:21">
      <c r="A46" s="121">
        <v>0.18</v>
      </c>
      <c r="B46" s="122" t="s">
        <v>10</v>
      </c>
      <c r="C46" s="123" t="s">
        <v>11</v>
      </c>
      <c r="D46" s="124" t="s">
        <v>31</v>
      </c>
      <c r="E46" s="118">
        <f t="shared" si="0"/>
        <v>107.156600103168</v>
      </c>
      <c r="F46" s="119">
        <f t="shared" si="2"/>
        <v>119.06288900352</v>
      </c>
      <c r="G46" s="119">
        <f t="shared" si="1"/>
        <v>125.016033453696</v>
      </c>
      <c r="I46" s="119">
        <v>108.2389900032</v>
      </c>
      <c r="J46" s="120">
        <v>1.1</v>
      </c>
    </row>
    <row r="47" spans="1:21">
      <c r="A47" s="121">
        <v>0.18</v>
      </c>
      <c r="B47" s="122" t="s">
        <v>17</v>
      </c>
      <c r="C47" s="123" t="s">
        <v>11</v>
      </c>
      <c r="D47" s="124" t="s">
        <v>30</v>
      </c>
      <c r="E47" s="118">
        <f t="shared" si="0"/>
        <v>131.8636918368</v>
      </c>
      <c r="F47" s="119">
        <f t="shared" si="2"/>
        <v>146.515213152</v>
      </c>
      <c r="G47" s="119">
        <f t="shared" si="1"/>
        <v>153.8409738096</v>
      </c>
      <c r="I47" s="119">
        <v>133.19564832</v>
      </c>
      <c r="J47" s="120">
        <v>1.1</v>
      </c>
    </row>
    <row r="48" spans="1:21">
      <c r="A48" s="121">
        <v>0.18</v>
      </c>
      <c r="B48" s="122" t="s">
        <v>17</v>
      </c>
      <c r="C48" s="123" t="s">
        <v>11</v>
      </c>
      <c r="D48" s="124" t="s">
        <v>31</v>
      </c>
      <c r="E48" s="118">
        <f t="shared" si="0"/>
        <v>152.267863099968</v>
      </c>
      <c r="F48" s="119">
        <f t="shared" si="2"/>
        <v>169.18651455552</v>
      </c>
      <c r="G48" s="119">
        <f t="shared" si="1"/>
        <v>177.645840283296</v>
      </c>
      <c r="I48" s="119">
        <v>153.8059223232</v>
      </c>
      <c r="J48" s="120">
        <v>1.1</v>
      </c>
    </row>
    <row r="49" spans="1:21">
      <c r="A49" s="121">
        <v>0.18</v>
      </c>
      <c r="B49" s="122" t="s">
        <v>32</v>
      </c>
      <c r="C49" s="123" t="s">
        <v>11</v>
      </c>
      <c r="D49" s="124" t="s">
        <v>31</v>
      </c>
      <c r="E49" s="118">
        <f t="shared" si="0"/>
        <v>178.774616432333</v>
      </c>
      <c r="F49" s="119">
        <f t="shared" si="2"/>
        <v>198.638462702592</v>
      </c>
      <c r="G49" s="119">
        <f t="shared" si="1"/>
        <v>208.570385837722</v>
      </c>
      <c r="I49" s="119">
        <v>180.58042063872</v>
      </c>
      <c r="J49" s="120">
        <v>1.1</v>
      </c>
    </row>
    <row r="50" spans="1:21">
      <c r="A50" s="121">
        <v>0.18</v>
      </c>
      <c r="B50" s="122" t="s">
        <v>19</v>
      </c>
      <c r="C50" s="123" t="s">
        <v>11</v>
      </c>
      <c r="D50" s="124" t="s">
        <v>31</v>
      </c>
      <c r="E50" s="118">
        <f t="shared" si="0"/>
        <v>286.2315716832</v>
      </c>
      <c r="F50" s="119">
        <f t="shared" si="2"/>
        <v>318.035079648</v>
      </c>
      <c r="G50" s="119">
        <f t="shared" si="1"/>
        <v>333.9368336304</v>
      </c>
      <c r="I50" s="119">
        <v>289.12279968</v>
      </c>
      <c r="J50" s="120">
        <v>1.1</v>
      </c>
    </row>
    <row r="51" spans="1:21">
      <c r="A51" s="121">
        <v>0.18</v>
      </c>
      <c r="B51" s="122" t="s">
        <v>13</v>
      </c>
      <c r="C51" s="123" t="s">
        <v>11</v>
      </c>
      <c r="D51" s="124" t="s">
        <v>31</v>
      </c>
      <c r="E51" s="118">
        <f t="shared" si="0"/>
        <v>402.045269148864</v>
      </c>
      <c r="F51" s="119">
        <f t="shared" si="2"/>
        <v>446.71696572096</v>
      </c>
      <c r="G51" s="119">
        <f t="shared" si="1"/>
        <v>469.052814007008</v>
      </c>
      <c r="I51" s="119">
        <v>406.1063324736</v>
      </c>
      <c r="J51" s="120">
        <v>1.1</v>
      </c>
    </row>
    <row r="52" spans="1:21">
      <c r="A52" s="121">
        <v>0.2</v>
      </c>
      <c r="B52" s="122" t="s">
        <v>10</v>
      </c>
      <c r="C52" s="123" t="s">
        <v>11</v>
      </c>
      <c r="D52" s="124" t="s">
        <v>30</v>
      </c>
      <c r="E52" s="118">
        <f t="shared" si="0"/>
        <v>99.799994137536</v>
      </c>
      <c r="F52" s="119">
        <f t="shared" si="2"/>
        <v>110.88888237504</v>
      </c>
      <c r="G52" s="119">
        <f t="shared" si="1"/>
        <v>116.433326493792</v>
      </c>
      <c r="I52" s="119">
        <v>100.8080748864</v>
      </c>
      <c r="J52" s="120">
        <v>1.1</v>
      </c>
    </row>
    <row r="53" spans="1:21">
      <c r="A53" s="121">
        <v>0.2</v>
      </c>
      <c r="B53" s="122" t="s">
        <v>10</v>
      </c>
      <c r="C53" s="123" t="s">
        <v>11</v>
      </c>
      <c r="D53" s="124" t="s">
        <v>31</v>
      </c>
      <c r="E53" s="118">
        <f t="shared" si="0"/>
        <v>110.071481712192</v>
      </c>
      <c r="F53" s="119">
        <f t="shared" si="2"/>
        <v>122.30164634688</v>
      </c>
      <c r="G53" s="119">
        <f t="shared" si="1"/>
        <v>128.416728664224</v>
      </c>
      <c r="I53" s="119">
        <v>111.1833148608</v>
      </c>
      <c r="J53" s="120">
        <v>1.1</v>
      </c>
    </row>
    <row r="54" spans="1:21">
      <c r="A54" s="121">
        <v>0.2</v>
      </c>
      <c r="B54" s="122" t="s">
        <v>22</v>
      </c>
      <c r="C54" s="123" t="s">
        <v>11</v>
      </c>
      <c r="D54" s="124" t="s">
        <v>31</v>
      </c>
      <c r="E54" s="118">
        <f t="shared" si="0"/>
        <v>131.16967240608</v>
      </c>
      <c r="F54" s="119">
        <f t="shared" si="2"/>
        <v>145.7440804512</v>
      </c>
      <c r="G54" s="119">
        <f t="shared" si="1"/>
        <v>153.03128447376</v>
      </c>
      <c r="I54" s="119">
        <v>132.494618592</v>
      </c>
      <c r="J54" s="120">
        <v>1.1</v>
      </c>
    </row>
    <row r="55" spans="1:21">
      <c r="A55" s="121">
        <v>0.2</v>
      </c>
      <c r="B55" s="122" t="s">
        <v>17</v>
      </c>
      <c r="C55" s="123" t="s">
        <v>11</v>
      </c>
      <c r="D55" s="124" t="s">
        <v>30</v>
      </c>
      <c r="E55" s="118">
        <f t="shared" si="0"/>
        <v>134.778573445824</v>
      </c>
      <c r="F55" s="119">
        <f t="shared" si="2"/>
        <v>149.75397049536</v>
      </c>
      <c r="G55" s="119">
        <f t="shared" si="1"/>
        <v>157.241669020128</v>
      </c>
      <c r="I55" s="119">
        <v>136.1399731776</v>
      </c>
      <c r="J55" s="120">
        <v>1.1</v>
      </c>
    </row>
    <row r="56" spans="1:21">
      <c r="A56" s="121">
        <v>0.2</v>
      </c>
      <c r="B56" s="122" t="s">
        <v>17</v>
      </c>
      <c r="C56" s="123" t="s">
        <v>11</v>
      </c>
      <c r="D56" s="124" t="s">
        <v>31</v>
      </c>
      <c r="E56" s="118">
        <f t="shared" si="0"/>
        <v>156.709587456576</v>
      </c>
      <c r="F56" s="119">
        <f t="shared" si="2"/>
        <v>174.12176384064</v>
      </c>
      <c r="G56" s="119">
        <f t="shared" si="1"/>
        <v>182.827852032672</v>
      </c>
      <c r="I56" s="119">
        <v>158.2925125824</v>
      </c>
      <c r="J56" s="120">
        <v>1.1</v>
      </c>
    </row>
    <row r="57" spans="1:21">
      <c r="A57" s="121">
        <v>0.2</v>
      </c>
      <c r="B57" s="122" t="s">
        <v>18</v>
      </c>
      <c r="C57" s="123" t="s">
        <v>11</v>
      </c>
      <c r="D57" s="124" t="s">
        <v>30</v>
      </c>
      <c r="E57" s="118">
        <f t="shared" si="0"/>
        <v>194.530466287872</v>
      </c>
      <c r="F57" s="119">
        <f t="shared" si="2"/>
        <v>216.14496254208</v>
      </c>
      <c r="G57" s="119">
        <f t="shared" si="1"/>
        <v>226.952210669184</v>
      </c>
      <c r="I57" s="119">
        <v>196.4954204928</v>
      </c>
      <c r="J57" s="120">
        <v>1.1</v>
      </c>
    </row>
    <row r="58" spans="1:21">
      <c r="A58" s="121">
        <v>0.2</v>
      </c>
      <c r="B58" s="122" t="s">
        <v>18</v>
      </c>
      <c r="C58" s="123" t="s">
        <v>11</v>
      </c>
      <c r="D58" s="124" t="s">
        <v>31</v>
      </c>
      <c r="E58" s="118">
        <f t="shared" si="0"/>
        <v>219.420883908864</v>
      </c>
      <c r="F58" s="119">
        <f t="shared" si="2"/>
        <v>243.80098212096</v>
      </c>
      <c r="G58" s="119">
        <f t="shared" si="1"/>
        <v>255.991031227008</v>
      </c>
      <c r="I58" s="119">
        <v>221.6372564736</v>
      </c>
      <c r="J58" s="120">
        <v>1.1</v>
      </c>
    </row>
    <row r="59" spans="1:21">
      <c r="A59" s="125">
        <v>0.2</v>
      </c>
      <c r="B59" s="126" t="s">
        <v>19</v>
      </c>
      <c r="C59" s="127" t="s">
        <v>11</v>
      </c>
      <c r="D59" s="128" t="s">
        <v>31</v>
      </c>
      <c r="E59" s="139">
        <f t="shared" si="0"/>
        <v>287.846211318336</v>
      </c>
      <c r="F59" s="140">
        <f t="shared" si="2"/>
        <v>319.82912368704</v>
      </c>
      <c r="G59" s="140">
        <f t="shared" si="1"/>
        <v>335.820579871392</v>
      </c>
      <c r="H59" s="100"/>
      <c r="I59" s="140">
        <v>290.7537488064</v>
      </c>
      <c r="J59" s="141">
        <v>1.1</v>
      </c>
      <c r="K59">
        <v>1</v>
      </c>
      <c r="M59" s="129"/>
    </row>
    <row r="60" spans="1:21">
      <c r="A60" s="121">
        <v>0.2</v>
      </c>
      <c r="B60" s="122" t="s">
        <v>13</v>
      </c>
      <c r="C60" s="123" t="s">
        <v>11</v>
      </c>
      <c r="D60" s="124" t="s">
        <v>31</v>
      </c>
      <c r="E60" s="118">
        <f t="shared" si="0"/>
        <v>405.274548419136</v>
      </c>
      <c r="F60" s="119">
        <f t="shared" si="2"/>
        <v>450.30505379904</v>
      </c>
      <c r="G60" s="119">
        <f t="shared" si="1"/>
        <v>472.820306488992</v>
      </c>
      <c r="I60" s="119">
        <v>409.3682307264</v>
      </c>
      <c r="J60" s="120">
        <v>1.1</v>
      </c>
    </row>
    <row r="61" spans="1:21">
      <c r="A61" s="121">
        <v>0.23</v>
      </c>
      <c r="B61" s="122" t="s">
        <v>10</v>
      </c>
      <c r="C61" s="123" t="s">
        <v>11</v>
      </c>
      <c r="D61" s="124" t="s">
        <v>33</v>
      </c>
      <c r="E61" s="118">
        <f t="shared" si="0"/>
        <v>110.071481712192</v>
      </c>
      <c r="F61" s="119">
        <f t="shared" si="2"/>
        <v>122.30164634688</v>
      </c>
      <c r="G61" s="119">
        <f t="shared" si="1"/>
        <v>128.416728664224</v>
      </c>
      <c r="I61" s="119">
        <v>111.1833148608</v>
      </c>
      <c r="J61" s="120">
        <v>1.1</v>
      </c>
    </row>
    <row r="62" spans="1:21">
      <c r="A62" s="121">
        <v>0.23</v>
      </c>
      <c r="B62" s="122" t="s">
        <v>17</v>
      </c>
      <c r="C62" s="123" t="s">
        <v>11</v>
      </c>
      <c r="D62" s="124" t="s">
        <v>33</v>
      </c>
      <c r="E62" s="118">
        <f t="shared" si="0"/>
        <v>150.879824238528</v>
      </c>
      <c r="F62" s="119">
        <f t="shared" si="2"/>
        <v>167.64424915392</v>
      </c>
      <c r="G62" s="119">
        <f t="shared" si="1"/>
        <v>176.026461611616</v>
      </c>
      <c r="I62" s="119">
        <v>152.4038628672</v>
      </c>
      <c r="J62" s="120">
        <v>1.1</v>
      </c>
    </row>
    <row r="63" spans="1:21">
      <c r="A63" s="121">
        <v>0.23</v>
      </c>
      <c r="B63" s="122" t="s">
        <v>34</v>
      </c>
      <c r="C63" s="123" t="s">
        <v>11</v>
      </c>
      <c r="D63" s="124" t="s">
        <v>33</v>
      </c>
      <c r="E63" s="118">
        <f t="shared" si="0"/>
        <v>188.032124782656</v>
      </c>
      <c r="F63" s="119">
        <f t="shared" si="2"/>
        <v>208.92458309184</v>
      </c>
      <c r="G63" s="119">
        <f t="shared" si="1"/>
        <v>219.370812246432</v>
      </c>
      <c r="I63" s="119">
        <v>189.9314391744</v>
      </c>
      <c r="J63" s="120">
        <v>1.1</v>
      </c>
    </row>
    <row r="64" s="96" customFormat="1" spans="1:21">
      <c r="A64" s="125">
        <v>0.23</v>
      </c>
      <c r="B64" s="126" t="s">
        <v>19</v>
      </c>
      <c r="C64" s="127" t="s">
        <v>11</v>
      </c>
      <c r="D64" s="128" t="s">
        <v>33</v>
      </c>
      <c r="E64" s="139">
        <f t="shared" si="0"/>
        <v>278.451944350272</v>
      </c>
      <c r="F64" s="140">
        <f t="shared" si="2"/>
        <v>309.39104927808</v>
      </c>
      <c r="G64" s="140">
        <f t="shared" si="1"/>
        <v>324.860601741984</v>
      </c>
      <c r="H64" s="100"/>
      <c r="I64" s="140">
        <v>281.2645902528</v>
      </c>
      <c r="J64" s="141">
        <v>1.1</v>
      </c>
      <c r="K64">
        <v>1</v>
      </c>
      <c r="L64"/>
      <c r="M64" s="129"/>
      <c r="N64"/>
      <c r="O64"/>
      <c r="P64"/>
      <c r="Q64"/>
      <c r="R64"/>
      <c r="S64"/>
      <c r="T64"/>
      <c r="U64"/>
    </row>
    <row r="65" s="96" customFormat="1" spans="1:21">
      <c r="A65" s="130">
        <v>0.23</v>
      </c>
      <c r="B65" s="131" t="s">
        <v>13</v>
      </c>
      <c r="C65" s="132" t="s">
        <v>11</v>
      </c>
      <c r="D65" s="133" t="s">
        <v>33</v>
      </c>
      <c r="E65" s="118">
        <f t="shared" si="0"/>
        <v>414.6688153872</v>
      </c>
      <c r="F65" s="119">
        <f t="shared" si="2"/>
        <v>460.743128208</v>
      </c>
      <c r="G65" s="119">
        <f t="shared" si="1"/>
        <v>483.7802846184</v>
      </c>
      <c r="I65" s="119">
        <v>418.85738928</v>
      </c>
      <c r="J65" s="120">
        <v>1.1</v>
      </c>
      <c r="K65"/>
      <c r="L65"/>
      <c r="M65"/>
      <c r="N65"/>
      <c r="O65"/>
      <c r="P65"/>
      <c r="Q65"/>
      <c r="R65"/>
      <c r="S65"/>
      <c r="T65"/>
      <c r="U65"/>
    </row>
    <row r="66" spans="1:21">
      <c r="A66" s="121">
        <v>0.25</v>
      </c>
      <c r="B66" s="122" t="s">
        <v>10</v>
      </c>
      <c r="C66" s="123" t="s">
        <v>11</v>
      </c>
      <c r="D66" s="124" t="s">
        <v>33</v>
      </c>
      <c r="E66" s="118">
        <f t="shared" si="0"/>
        <v>110.071481712192</v>
      </c>
      <c r="F66" s="119">
        <f t="shared" si="2"/>
        <v>122.30164634688</v>
      </c>
      <c r="G66" s="119">
        <f t="shared" si="1"/>
        <v>128.416728664224</v>
      </c>
      <c r="I66" s="119">
        <v>111.1833148608</v>
      </c>
      <c r="J66" s="120">
        <v>1.1</v>
      </c>
    </row>
    <row r="67" spans="1:21">
      <c r="A67" s="121">
        <v>0.25</v>
      </c>
      <c r="B67" s="122" t="s">
        <v>26</v>
      </c>
      <c r="C67" s="123" t="s">
        <v>11</v>
      </c>
      <c r="D67" s="124" t="s">
        <v>33</v>
      </c>
      <c r="E67" s="118">
        <f t="shared" ref="E67:E130" si="3">F67*0.9</f>
        <v>134.084554015104</v>
      </c>
      <c r="F67" s="119">
        <f t="shared" ref="F67:F130" si="4">I67*J67</f>
        <v>148.98283779456</v>
      </c>
      <c r="G67" s="119">
        <f t="shared" ref="G67:G130" si="5">F67*1.05</f>
        <v>156.431979684288</v>
      </c>
      <c r="I67" s="119">
        <v>135.4389434496</v>
      </c>
      <c r="J67" s="120">
        <v>1.1</v>
      </c>
    </row>
    <row r="68" spans="1:21">
      <c r="A68" s="121">
        <v>0.25</v>
      </c>
      <c r="B68" s="122" t="s">
        <v>17</v>
      </c>
      <c r="C68" s="123" t="s">
        <v>11</v>
      </c>
      <c r="D68" s="124" t="s">
        <v>33</v>
      </c>
      <c r="E68" s="118">
        <f t="shared" si="3"/>
        <v>150.879824238528</v>
      </c>
      <c r="F68" s="119">
        <f t="shared" si="4"/>
        <v>167.64424915392</v>
      </c>
      <c r="G68" s="119">
        <f t="shared" si="5"/>
        <v>176.026461611616</v>
      </c>
      <c r="I68" s="119">
        <v>152.4038628672</v>
      </c>
      <c r="J68" s="120">
        <v>1.1</v>
      </c>
    </row>
    <row r="69" spans="1:21">
      <c r="A69" s="121">
        <v>0.25</v>
      </c>
      <c r="B69" s="122" t="s">
        <v>19</v>
      </c>
      <c r="C69" s="123" t="s">
        <v>11</v>
      </c>
      <c r="D69" s="124" t="s">
        <v>33</v>
      </c>
      <c r="E69" s="118">
        <f t="shared" si="3"/>
        <v>294.011199016128</v>
      </c>
      <c r="F69" s="119">
        <f t="shared" si="4"/>
        <v>326.67911001792</v>
      </c>
      <c r="G69" s="119">
        <f t="shared" si="5"/>
        <v>343.013065518816</v>
      </c>
      <c r="I69" s="119">
        <v>296.9810091072</v>
      </c>
      <c r="J69" s="120">
        <v>1.1</v>
      </c>
    </row>
    <row r="70" spans="1:21">
      <c r="A70" s="121">
        <v>0.25</v>
      </c>
      <c r="B70" s="122" t="s">
        <v>13</v>
      </c>
      <c r="C70" s="123" t="s">
        <v>11</v>
      </c>
      <c r="D70" s="124" t="s">
        <v>33</v>
      </c>
      <c r="E70" s="118">
        <f t="shared" si="3"/>
        <v>422.448442720128</v>
      </c>
      <c r="F70" s="119">
        <f t="shared" si="4"/>
        <v>469.38715857792</v>
      </c>
      <c r="G70" s="119">
        <f t="shared" si="5"/>
        <v>492.856516506816</v>
      </c>
      <c r="I70" s="119">
        <v>426.7155987072</v>
      </c>
      <c r="J70" s="120">
        <v>1.1</v>
      </c>
    </row>
    <row r="71" s="100" customFormat="1" spans="1:21">
      <c r="A71" s="125">
        <v>0.26</v>
      </c>
      <c r="B71" s="126" t="s">
        <v>10</v>
      </c>
      <c r="C71" s="127" t="s">
        <v>11</v>
      </c>
      <c r="D71" s="128" t="s">
        <v>33</v>
      </c>
      <c r="E71" s="118">
        <f t="shared" si="3"/>
        <v>108.5654988</v>
      </c>
      <c r="F71" s="119">
        <f t="shared" si="4"/>
        <v>120.628332</v>
      </c>
      <c r="G71" s="119">
        <f t="shared" si="5"/>
        <v>126.6597486</v>
      </c>
      <c r="I71" s="119">
        <v>109.66212</v>
      </c>
      <c r="J71" s="120">
        <v>1.1</v>
      </c>
      <c r="K71"/>
      <c r="L71"/>
      <c r="M71" s="129"/>
      <c r="N71"/>
      <c r="O71"/>
      <c r="P71"/>
      <c r="Q71"/>
      <c r="R71"/>
      <c r="S71"/>
      <c r="T71"/>
      <c r="U71"/>
    </row>
    <row r="72" spans="1:21">
      <c r="A72" s="121">
        <v>0.26</v>
      </c>
      <c r="B72" s="122" t="s">
        <v>17</v>
      </c>
      <c r="C72" s="123" t="s">
        <v>11</v>
      </c>
      <c r="D72" s="124" t="s">
        <v>33</v>
      </c>
      <c r="E72" s="118">
        <f t="shared" si="3"/>
        <v>161.01250792704</v>
      </c>
      <c r="F72" s="119">
        <f t="shared" si="4"/>
        <v>178.9027865856</v>
      </c>
      <c r="G72" s="119">
        <f t="shared" si="5"/>
        <v>187.84792591488</v>
      </c>
      <c r="I72" s="119">
        <v>162.638896896</v>
      </c>
      <c r="J72" s="120">
        <v>1.1</v>
      </c>
    </row>
    <row r="73" spans="1:21">
      <c r="A73" s="121">
        <v>0.26</v>
      </c>
      <c r="B73" s="122" t="s">
        <v>19</v>
      </c>
      <c r="C73" s="123" t="s">
        <v>11</v>
      </c>
      <c r="D73" s="124" t="s">
        <v>33</v>
      </c>
      <c r="E73" s="118">
        <f t="shared" si="3"/>
        <v>294.011199016128</v>
      </c>
      <c r="F73" s="119">
        <f t="shared" si="4"/>
        <v>326.67911001792</v>
      </c>
      <c r="G73" s="119">
        <f t="shared" si="5"/>
        <v>343.013065518816</v>
      </c>
      <c r="I73" s="119">
        <v>296.9810091072</v>
      </c>
      <c r="J73" s="120">
        <v>1.1</v>
      </c>
    </row>
    <row r="74" spans="1:21">
      <c r="A74" s="121">
        <v>0.26</v>
      </c>
      <c r="B74" s="122" t="s">
        <v>13</v>
      </c>
      <c r="C74" s="123" t="s">
        <v>11</v>
      </c>
      <c r="D74" s="124" t="s">
        <v>33</v>
      </c>
      <c r="E74" s="118">
        <f t="shared" si="3"/>
        <v>422.448442720128</v>
      </c>
      <c r="F74" s="119">
        <f t="shared" si="4"/>
        <v>469.38715857792</v>
      </c>
      <c r="G74" s="119">
        <f t="shared" si="5"/>
        <v>492.856516506816</v>
      </c>
      <c r="I74" s="119">
        <v>426.7155987072</v>
      </c>
      <c r="J74" s="120">
        <v>1.1</v>
      </c>
    </row>
    <row r="75" spans="1:21">
      <c r="A75" s="121">
        <v>0.28</v>
      </c>
      <c r="B75" s="122" t="s">
        <v>10</v>
      </c>
      <c r="C75" s="123" t="s">
        <v>11</v>
      </c>
      <c r="D75" s="124" t="s">
        <v>35</v>
      </c>
      <c r="E75" s="118">
        <f t="shared" si="3"/>
        <v>123.119047009728</v>
      </c>
      <c r="F75" s="119">
        <f t="shared" si="4"/>
        <v>136.79894112192</v>
      </c>
      <c r="G75" s="119">
        <f t="shared" si="5"/>
        <v>143.638888178016</v>
      </c>
      <c r="I75" s="119">
        <v>124.3626737472</v>
      </c>
      <c r="J75" s="120">
        <v>1.1</v>
      </c>
    </row>
    <row r="76" spans="1:21">
      <c r="A76" s="121">
        <v>0.28</v>
      </c>
      <c r="B76" s="122" t="s">
        <v>17</v>
      </c>
      <c r="C76" s="123" t="s">
        <v>11</v>
      </c>
      <c r="D76" s="124" t="s">
        <v>35</v>
      </c>
      <c r="E76" s="118">
        <f t="shared" si="3"/>
        <v>222.225021716544</v>
      </c>
      <c r="F76" s="119">
        <f t="shared" si="4"/>
        <v>246.91669079616</v>
      </c>
      <c r="G76" s="119">
        <f t="shared" si="5"/>
        <v>259.262525335968</v>
      </c>
      <c r="I76" s="119">
        <v>224.4697189056</v>
      </c>
      <c r="J76" s="120">
        <v>1.1</v>
      </c>
    </row>
    <row r="77" spans="1:21">
      <c r="A77" s="121">
        <v>0.28</v>
      </c>
      <c r="B77" s="122" t="s">
        <v>25</v>
      </c>
      <c r="C77" s="123" t="s">
        <v>11</v>
      </c>
      <c r="D77" s="124" t="s">
        <v>35</v>
      </c>
      <c r="E77" s="118">
        <f t="shared" si="3"/>
        <v>282.121579884672</v>
      </c>
      <c r="F77" s="119">
        <f t="shared" si="4"/>
        <v>313.46842209408</v>
      </c>
      <c r="G77" s="119">
        <f t="shared" si="5"/>
        <v>329.141843198784</v>
      </c>
      <c r="I77" s="119">
        <v>284.9712928128</v>
      </c>
      <c r="J77" s="120">
        <v>1.1</v>
      </c>
    </row>
    <row r="78" spans="1:21">
      <c r="A78" s="121">
        <v>0.3</v>
      </c>
      <c r="B78" s="122" t="s">
        <v>10</v>
      </c>
      <c r="C78" s="123" t="s">
        <v>11</v>
      </c>
      <c r="D78" s="124" t="s">
        <v>36</v>
      </c>
      <c r="E78" s="118">
        <f t="shared" si="3"/>
        <v>107.156600103168</v>
      </c>
      <c r="F78" s="119">
        <f t="shared" si="4"/>
        <v>119.06288900352</v>
      </c>
      <c r="G78" s="119">
        <f t="shared" si="5"/>
        <v>125.016033453696</v>
      </c>
      <c r="I78" s="119">
        <v>108.2389900032</v>
      </c>
      <c r="J78" s="120">
        <v>1.1</v>
      </c>
    </row>
    <row r="79" spans="1:21">
      <c r="A79" s="121">
        <v>0.3</v>
      </c>
      <c r="B79" s="122" t="s">
        <v>26</v>
      </c>
      <c r="C79" s="123" t="s">
        <v>11</v>
      </c>
      <c r="D79" s="124" t="s">
        <v>36</v>
      </c>
      <c r="E79" s="118">
        <f t="shared" si="3"/>
        <v>132.696515153664</v>
      </c>
      <c r="F79" s="119">
        <f t="shared" si="4"/>
        <v>147.44057239296</v>
      </c>
      <c r="G79" s="119">
        <f t="shared" si="5"/>
        <v>154.812601012608</v>
      </c>
      <c r="I79" s="119">
        <v>134.0368839936</v>
      </c>
      <c r="J79" s="120">
        <v>1.1</v>
      </c>
    </row>
    <row r="80" spans="1:21">
      <c r="A80" s="121">
        <v>0.3</v>
      </c>
      <c r="B80" s="122" t="s">
        <v>17</v>
      </c>
      <c r="C80" s="123" t="s">
        <v>11</v>
      </c>
      <c r="D80" s="124" t="s">
        <v>36</v>
      </c>
      <c r="E80" s="118">
        <f t="shared" si="3"/>
        <v>150.879824238528</v>
      </c>
      <c r="F80" s="119">
        <f t="shared" si="4"/>
        <v>167.64424915392</v>
      </c>
      <c r="G80" s="119">
        <f t="shared" si="5"/>
        <v>176.026461611616</v>
      </c>
      <c r="I80" s="119">
        <v>152.4038628672</v>
      </c>
      <c r="J80" s="120">
        <v>1.1</v>
      </c>
    </row>
    <row r="81" spans="1:21">
      <c r="A81" s="121">
        <v>0.3</v>
      </c>
      <c r="B81" s="122" t="s">
        <v>18</v>
      </c>
      <c r="C81" s="123" t="s">
        <v>11</v>
      </c>
      <c r="D81" s="124" t="s">
        <v>36</v>
      </c>
      <c r="E81" s="118">
        <f t="shared" si="3"/>
        <v>216.30958170624</v>
      </c>
      <c r="F81" s="119">
        <f t="shared" si="4"/>
        <v>240.3439796736</v>
      </c>
      <c r="G81" s="119">
        <f t="shared" si="5"/>
        <v>252.36117865728</v>
      </c>
      <c r="I81" s="119">
        <v>218.494526976</v>
      </c>
      <c r="J81" s="120">
        <v>1.1</v>
      </c>
    </row>
    <row r="82" spans="1:21">
      <c r="A82" s="121">
        <v>0.3</v>
      </c>
      <c r="B82" s="122" t="s">
        <v>19</v>
      </c>
      <c r="C82" s="123" t="s">
        <v>11</v>
      </c>
      <c r="D82" s="124" t="s">
        <v>36</v>
      </c>
      <c r="E82" s="118">
        <f t="shared" si="3"/>
        <v>269.204462803584</v>
      </c>
      <c r="F82" s="119">
        <f t="shared" si="4"/>
        <v>299.11606978176</v>
      </c>
      <c r="G82" s="119">
        <f t="shared" si="5"/>
        <v>314.071873270848</v>
      </c>
      <c r="I82" s="119">
        <v>271.9236998016</v>
      </c>
      <c r="J82" s="120">
        <v>1.1</v>
      </c>
    </row>
    <row r="83" s="100" customFormat="1" spans="1:21">
      <c r="A83" s="125">
        <v>0.3</v>
      </c>
      <c r="B83" s="126" t="s">
        <v>13</v>
      </c>
      <c r="C83" s="127" t="s">
        <v>11</v>
      </c>
      <c r="D83" s="128" t="s">
        <v>36</v>
      </c>
      <c r="E83" s="118">
        <f t="shared" si="3"/>
        <v>412.534428154675</v>
      </c>
      <c r="F83" s="119">
        <f t="shared" si="4"/>
        <v>458.371586838528</v>
      </c>
      <c r="G83" s="119">
        <f t="shared" si="5"/>
        <v>481.290166180454</v>
      </c>
      <c r="I83" s="119">
        <v>416.70144258048</v>
      </c>
      <c r="J83" s="120">
        <v>1.1</v>
      </c>
      <c r="K83"/>
      <c r="L83"/>
      <c r="M83" s="129"/>
      <c r="N83"/>
      <c r="O83"/>
      <c r="P83"/>
      <c r="Q83"/>
      <c r="R83"/>
      <c r="S83"/>
      <c r="T83"/>
      <c r="U83"/>
    </row>
    <row r="84" spans="1:21">
      <c r="A84" s="121">
        <v>0.33</v>
      </c>
      <c r="B84" s="122" t="s">
        <v>10</v>
      </c>
      <c r="C84" s="123" t="s">
        <v>11</v>
      </c>
      <c r="D84" s="124" t="s">
        <v>36</v>
      </c>
      <c r="E84" s="118">
        <f t="shared" si="3"/>
        <v>105.629757355584</v>
      </c>
      <c r="F84" s="119">
        <f t="shared" si="4"/>
        <v>117.36639706176</v>
      </c>
      <c r="G84" s="119">
        <f t="shared" si="5"/>
        <v>123.234716914848</v>
      </c>
      <c r="I84" s="119">
        <v>106.6967246016</v>
      </c>
      <c r="J84" s="120">
        <v>1.1</v>
      </c>
    </row>
    <row r="85" spans="1:21">
      <c r="A85" s="121">
        <v>0.33</v>
      </c>
      <c r="B85" s="122" t="s">
        <v>17</v>
      </c>
      <c r="C85" s="123" t="s">
        <v>11</v>
      </c>
      <c r="D85" s="124" t="s">
        <v>36</v>
      </c>
      <c r="E85" s="118">
        <f t="shared" si="3"/>
        <v>156.709587456576</v>
      </c>
      <c r="F85" s="119">
        <f t="shared" si="4"/>
        <v>174.12176384064</v>
      </c>
      <c r="G85" s="119">
        <f t="shared" si="5"/>
        <v>182.827852032672</v>
      </c>
      <c r="I85" s="119">
        <v>158.2925125824</v>
      </c>
      <c r="J85" s="120">
        <v>1.1</v>
      </c>
    </row>
    <row r="86" spans="1:21">
      <c r="A86" s="121">
        <v>0.33</v>
      </c>
      <c r="B86" s="122" t="s">
        <v>34</v>
      </c>
      <c r="C86" s="123" t="s">
        <v>11</v>
      </c>
      <c r="D86" s="124" t="s">
        <v>36</v>
      </c>
      <c r="E86" s="118">
        <f t="shared" si="3"/>
        <v>209.609581724928</v>
      </c>
      <c r="F86" s="119">
        <f t="shared" si="4"/>
        <v>232.89953524992</v>
      </c>
      <c r="G86" s="119">
        <f t="shared" si="5"/>
        <v>244.544512012416</v>
      </c>
      <c r="I86" s="119">
        <v>211.7268502272</v>
      </c>
      <c r="J86" s="120">
        <v>1.1</v>
      </c>
    </row>
    <row r="87" spans="1:21">
      <c r="A87" s="121">
        <v>0.33</v>
      </c>
      <c r="B87" s="122" t="s">
        <v>19</v>
      </c>
      <c r="C87" s="123" t="s">
        <v>11</v>
      </c>
      <c r="D87" s="124" t="s">
        <v>36</v>
      </c>
      <c r="E87" s="118">
        <f t="shared" si="3"/>
        <v>273.201964839936</v>
      </c>
      <c r="F87" s="119">
        <f t="shared" si="4"/>
        <v>303.55773871104</v>
      </c>
      <c r="G87" s="119">
        <f t="shared" si="5"/>
        <v>318.735625646592</v>
      </c>
      <c r="I87" s="119">
        <v>275.9615806464</v>
      </c>
      <c r="J87" s="120">
        <v>1.1</v>
      </c>
    </row>
    <row r="88" spans="1:21">
      <c r="A88" s="125">
        <v>0.33</v>
      </c>
      <c r="B88" s="126" t="s">
        <v>13</v>
      </c>
      <c r="C88" s="127" t="s">
        <v>11</v>
      </c>
      <c r="D88" s="128" t="s">
        <v>36</v>
      </c>
      <c r="E88" s="139">
        <f t="shared" si="3"/>
        <v>444.466255926528</v>
      </c>
      <c r="F88" s="140">
        <f t="shared" si="4"/>
        <v>493.85139547392</v>
      </c>
      <c r="G88" s="140">
        <f t="shared" si="5"/>
        <v>518.543965247616</v>
      </c>
      <c r="H88" s="100" t="s">
        <v>37</v>
      </c>
      <c r="I88" s="140">
        <v>448.9558140672</v>
      </c>
      <c r="J88" s="137">
        <v>1.1</v>
      </c>
      <c r="K88" t="s">
        <v>38</v>
      </c>
      <c r="M88" s="129"/>
      <c r="N88" t="s">
        <v>39</v>
      </c>
    </row>
    <row r="89" spans="1:21">
      <c r="A89" s="121">
        <v>0.35</v>
      </c>
      <c r="B89" s="122" t="s">
        <v>17</v>
      </c>
      <c r="C89" s="123" t="s">
        <v>11</v>
      </c>
      <c r="D89" s="124" t="s">
        <v>40</v>
      </c>
      <c r="E89" s="118">
        <f t="shared" si="3"/>
        <v>159.6244690656</v>
      </c>
      <c r="F89" s="119">
        <f t="shared" si="4"/>
        <v>177.360521184</v>
      </c>
      <c r="G89" s="119">
        <f t="shared" si="5"/>
        <v>186.2285472432</v>
      </c>
      <c r="I89" s="119">
        <v>161.23683744</v>
      </c>
      <c r="J89" s="120">
        <v>1.1</v>
      </c>
    </row>
    <row r="90" spans="1:21">
      <c r="A90" s="121">
        <v>0.35</v>
      </c>
      <c r="B90" s="122" t="s">
        <v>19</v>
      </c>
      <c r="C90" s="123" t="s">
        <v>11</v>
      </c>
      <c r="D90" s="124" t="s">
        <v>40</v>
      </c>
      <c r="E90" s="118">
        <f t="shared" si="3"/>
        <v>275.369450501376</v>
      </c>
      <c r="F90" s="119">
        <f t="shared" si="4"/>
        <v>305.96605611264</v>
      </c>
      <c r="G90" s="119">
        <f t="shared" si="5"/>
        <v>321.264358918272</v>
      </c>
      <c r="I90" s="119">
        <v>278.1509601024</v>
      </c>
      <c r="J90" s="120">
        <v>1.1</v>
      </c>
    </row>
    <row r="91" spans="1:21">
      <c r="A91" s="121">
        <v>0.35</v>
      </c>
      <c r="B91" s="122" t="s">
        <v>13</v>
      </c>
      <c r="C91" s="123" t="s">
        <v>11</v>
      </c>
      <c r="D91" s="124" t="s">
        <v>40</v>
      </c>
      <c r="E91" s="118">
        <f t="shared" si="3"/>
        <v>449.16338941056</v>
      </c>
      <c r="F91" s="119">
        <f t="shared" si="4"/>
        <v>499.0704326784</v>
      </c>
      <c r="G91" s="119">
        <f t="shared" si="5"/>
        <v>524.02395431232</v>
      </c>
      <c r="I91" s="119">
        <v>453.700393344</v>
      </c>
      <c r="J91" s="120">
        <v>1.1</v>
      </c>
    </row>
    <row r="92" spans="1:21">
      <c r="A92" s="121">
        <v>0.36</v>
      </c>
      <c r="B92" s="122" t="s">
        <v>10</v>
      </c>
      <c r="C92" s="123" t="s">
        <v>11</v>
      </c>
      <c r="D92" s="124" t="s">
        <v>40</v>
      </c>
      <c r="E92" s="118">
        <f t="shared" si="3"/>
        <v>107.156600103168</v>
      </c>
      <c r="F92" s="119">
        <f t="shared" si="4"/>
        <v>119.06288900352</v>
      </c>
      <c r="G92" s="119">
        <f t="shared" si="5"/>
        <v>125.016033453696</v>
      </c>
      <c r="I92" s="119">
        <v>108.2389900032</v>
      </c>
      <c r="J92" s="120">
        <v>1.1</v>
      </c>
    </row>
    <row r="93" spans="1:21">
      <c r="A93" s="121">
        <v>0.36</v>
      </c>
      <c r="B93" s="122" t="s">
        <v>17</v>
      </c>
      <c r="C93" s="123" t="s">
        <v>11</v>
      </c>
      <c r="D93" s="124" t="s">
        <v>40</v>
      </c>
      <c r="E93" s="118">
        <f t="shared" si="3"/>
        <v>159.6244690656</v>
      </c>
      <c r="F93" s="119">
        <f t="shared" si="4"/>
        <v>177.360521184</v>
      </c>
      <c r="G93" s="119">
        <f t="shared" si="5"/>
        <v>186.2285472432</v>
      </c>
      <c r="I93" s="119">
        <v>161.23683744</v>
      </c>
      <c r="J93" s="120">
        <v>1.1</v>
      </c>
    </row>
    <row r="94" spans="1:21">
      <c r="A94" s="121">
        <v>0.36</v>
      </c>
      <c r="B94" s="122" t="s">
        <v>18</v>
      </c>
      <c r="C94" s="123" t="s">
        <v>11</v>
      </c>
      <c r="D94" s="124" t="s">
        <v>40</v>
      </c>
      <c r="E94" s="118">
        <f t="shared" si="3"/>
        <v>219.420883908864</v>
      </c>
      <c r="F94" s="119">
        <f t="shared" si="4"/>
        <v>243.80098212096</v>
      </c>
      <c r="G94" s="119">
        <f t="shared" si="5"/>
        <v>255.991031227008</v>
      </c>
      <c r="I94" s="119">
        <v>221.6372564736</v>
      </c>
      <c r="J94" s="120">
        <v>1.1</v>
      </c>
    </row>
    <row r="95" s="100" customFormat="1" spans="1:21">
      <c r="A95" s="125">
        <v>0.36</v>
      </c>
      <c r="B95" s="126" t="s">
        <v>19</v>
      </c>
      <c r="C95" s="127" t="s">
        <v>11</v>
      </c>
      <c r="D95" s="128" t="s">
        <v>40</v>
      </c>
      <c r="E95" s="118">
        <f t="shared" si="3"/>
        <v>261.814533928358</v>
      </c>
      <c r="F95" s="119">
        <f t="shared" si="4"/>
        <v>290.905037698176</v>
      </c>
      <c r="G95" s="119">
        <f t="shared" si="5"/>
        <v>305.450289583085</v>
      </c>
      <c r="I95" s="119">
        <v>264.45912518016</v>
      </c>
      <c r="J95" s="120">
        <v>1.1</v>
      </c>
      <c r="K95"/>
      <c r="L95"/>
      <c r="M95" s="129"/>
      <c r="N95"/>
      <c r="O95"/>
      <c r="P95"/>
      <c r="Q95"/>
      <c r="R95"/>
      <c r="S95"/>
      <c r="T95"/>
      <c r="U95"/>
    </row>
    <row r="96" s="96" customFormat="1" spans="1:21">
      <c r="A96" s="130">
        <v>0.36</v>
      </c>
      <c r="B96" s="131" t="s">
        <v>13</v>
      </c>
      <c r="C96" s="132" t="s">
        <v>11</v>
      </c>
      <c r="D96" s="133" t="s">
        <v>40</v>
      </c>
      <c r="E96" s="134">
        <f t="shared" si="3"/>
        <v>411.26606243712</v>
      </c>
      <c r="F96" s="135">
        <f t="shared" si="4"/>
        <v>456.9622915968</v>
      </c>
      <c r="G96" s="135">
        <f t="shared" si="5"/>
        <v>479.81040617664</v>
      </c>
      <c r="I96" s="135">
        <v>456.9622915968</v>
      </c>
      <c r="J96" s="137">
        <v>1</v>
      </c>
      <c r="K96" s="96">
        <v>1</v>
      </c>
      <c r="L96"/>
      <c r="M96"/>
      <c r="N96"/>
      <c r="O96"/>
      <c r="P96"/>
      <c r="Q96"/>
      <c r="R96"/>
      <c r="S96"/>
      <c r="T96"/>
      <c r="U96"/>
    </row>
    <row r="97" spans="1:21">
      <c r="A97" s="121">
        <v>0.38</v>
      </c>
      <c r="B97" s="122" t="s">
        <v>10</v>
      </c>
      <c r="C97" s="123" t="s">
        <v>11</v>
      </c>
      <c r="D97" s="124" t="s">
        <v>40</v>
      </c>
      <c r="E97" s="118">
        <f t="shared" si="3"/>
        <v>110.071481712192</v>
      </c>
      <c r="F97" s="119">
        <f t="shared" si="4"/>
        <v>122.30164634688</v>
      </c>
      <c r="G97" s="119">
        <f t="shared" si="5"/>
        <v>128.416728664224</v>
      </c>
      <c r="I97" s="119">
        <v>111.1833148608</v>
      </c>
      <c r="J97" s="120">
        <v>1.1</v>
      </c>
    </row>
    <row r="98" spans="1:21">
      <c r="A98" s="121">
        <v>0.38</v>
      </c>
      <c r="B98" s="122" t="s">
        <v>17</v>
      </c>
      <c r="C98" s="123" t="s">
        <v>11</v>
      </c>
      <c r="D98" s="124" t="s">
        <v>40</v>
      </c>
      <c r="E98" s="118">
        <f t="shared" si="3"/>
        <v>162.539350674624</v>
      </c>
      <c r="F98" s="119">
        <f t="shared" si="4"/>
        <v>180.59927852736</v>
      </c>
      <c r="G98" s="119">
        <f t="shared" si="5"/>
        <v>189.629242453728</v>
      </c>
      <c r="I98" s="119">
        <v>164.1811622976</v>
      </c>
      <c r="J98" s="120">
        <v>1.1</v>
      </c>
    </row>
    <row r="99" spans="1:21">
      <c r="A99" s="121">
        <v>0.4</v>
      </c>
      <c r="B99" s="122" t="s">
        <v>10</v>
      </c>
      <c r="C99" s="123" t="s">
        <v>11</v>
      </c>
      <c r="D99" s="124" t="s">
        <v>40</v>
      </c>
      <c r="E99" s="118">
        <f t="shared" si="3"/>
        <v>112.986363321216</v>
      </c>
      <c r="F99" s="119">
        <f t="shared" si="4"/>
        <v>125.54040369024</v>
      </c>
      <c r="G99" s="119">
        <f t="shared" si="5"/>
        <v>131.817423874752</v>
      </c>
      <c r="I99" s="119">
        <v>114.1276397184</v>
      </c>
      <c r="J99" s="120">
        <v>1.1</v>
      </c>
    </row>
    <row r="100" spans="1:21">
      <c r="A100" s="121">
        <v>0.4</v>
      </c>
      <c r="B100" s="122" t="s">
        <v>26</v>
      </c>
      <c r="C100" s="123" t="s">
        <v>11</v>
      </c>
      <c r="D100" s="124" t="s">
        <v>40</v>
      </c>
      <c r="E100" s="118">
        <f t="shared" si="3"/>
        <v>132.696515153664</v>
      </c>
      <c r="F100" s="119">
        <f t="shared" si="4"/>
        <v>147.44057239296</v>
      </c>
      <c r="G100" s="119">
        <f t="shared" si="5"/>
        <v>154.812601012608</v>
      </c>
      <c r="I100" s="119">
        <v>134.0368839936</v>
      </c>
      <c r="J100" s="120">
        <v>1.1</v>
      </c>
    </row>
    <row r="101" spans="1:21">
      <c r="A101" s="121">
        <v>0.4</v>
      </c>
      <c r="B101" s="122" t="s">
        <v>17</v>
      </c>
      <c r="C101" s="123" t="s">
        <v>11</v>
      </c>
      <c r="D101" s="124" t="s">
        <v>40</v>
      </c>
      <c r="E101" s="118">
        <f t="shared" si="3"/>
        <v>165.454232283648</v>
      </c>
      <c r="F101" s="119">
        <f t="shared" si="4"/>
        <v>183.83803587072</v>
      </c>
      <c r="G101" s="119">
        <f t="shared" si="5"/>
        <v>193.029937664256</v>
      </c>
      <c r="I101" s="119">
        <v>167.1254871552</v>
      </c>
      <c r="J101" s="120">
        <v>1.1</v>
      </c>
    </row>
    <row r="102" spans="1:21">
      <c r="A102" s="121">
        <v>0.4</v>
      </c>
      <c r="B102" s="122" t="s">
        <v>18</v>
      </c>
      <c r="C102" s="123" t="s">
        <v>11</v>
      </c>
      <c r="D102" s="124" t="s">
        <v>40</v>
      </c>
      <c r="E102" s="118">
        <f t="shared" si="3"/>
        <v>222.532186111488</v>
      </c>
      <c r="F102" s="119">
        <f t="shared" si="4"/>
        <v>247.25798456832</v>
      </c>
      <c r="G102" s="119">
        <f t="shared" si="5"/>
        <v>259.620883796736</v>
      </c>
      <c r="I102" s="119">
        <v>224.7799859712</v>
      </c>
      <c r="J102" s="120">
        <v>1.1</v>
      </c>
    </row>
    <row r="103" spans="1:21">
      <c r="A103" s="121">
        <v>0.4</v>
      </c>
      <c r="B103" s="122" t="s">
        <v>19</v>
      </c>
      <c r="C103" s="123" t="s">
        <v>11</v>
      </c>
      <c r="D103" s="124" t="s">
        <v>40</v>
      </c>
      <c r="E103" s="118">
        <f t="shared" si="3"/>
        <v>283.149077834304</v>
      </c>
      <c r="F103" s="119">
        <f t="shared" si="4"/>
        <v>314.61008648256</v>
      </c>
      <c r="G103" s="119">
        <f t="shared" si="5"/>
        <v>330.340590806688</v>
      </c>
      <c r="I103" s="119">
        <v>286.0091695296</v>
      </c>
      <c r="J103" s="120">
        <v>1.1</v>
      </c>
    </row>
    <row r="104" spans="1:21">
      <c r="A104" s="121">
        <v>0.4</v>
      </c>
      <c r="B104" s="122" t="s">
        <v>13</v>
      </c>
      <c r="C104" s="123" t="s">
        <v>11</v>
      </c>
      <c r="D104" s="124" t="s">
        <v>40</v>
      </c>
      <c r="E104" s="118">
        <f t="shared" si="3"/>
        <v>458.557656378624</v>
      </c>
      <c r="F104" s="119">
        <f t="shared" si="4"/>
        <v>509.50850708736</v>
      </c>
      <c r="G104" s="119">
        <f t="shared" si="5"/>
        <v>534.983932441728</v>
      </c>
      <c r="I104" s="119">
        <v>463.1895518976</v>
      </c>
      <c r="J104" s="120">
        <v>1.1</v>
      </c>
    </row>
    <row r="105" spans="1:21">
      <c r="A105" s="121">
        <v>0.41</v>
      </c>
      <c r="B105" s="122" t="s">
        <v>10</v>
      </c>
      <c r="C105" s="123" t="s">
        <v>11</v>
      </c>
      <c r="D105" s="124" t="s">
        <v>40</v>
      </c>
      <c r="E105" s="118">
        <f t="shared" si="3"/>
        <v>115.90124493024</v>
      </c>
      <c r="F105" s="119">
        <f t="shared" si="4"/>
        <v>128.7791610336</v>
      </c>
      <c r="G105" s="119">
        <f t="shared" si="5"/>
        <v>135.21811908528</v>
      </c>
      <c r="I105" s="119">
        <v>117.071964576</v>
      </c>
      <c r="J105" s="120">
        <v>1.1</v>
      </c>
    </row>
    <row r="106" spans="1:21">
      <c r="A106" s="121">
        <v>0.41</v>
      </c>
      <c r="B106" s="122" t="s">
        <v>26</v>
      </c>
      <c r="C106" s="123" t="s">
        <v>11</v>
      </c>
      <c r="D106" s="124" t="s">
        <v>40</v>
      </c>
      <c r="E106" s="118">
        <f t="shared" si="3"/>
        <v>135.611396762688</v>
      </c>
      <c r="F106" s="119">
        <f t="shared" si="4"/>
        <v>150.67932973632</v>
      </c>
      <c r="G106" s="119">
        <f t="shared" si="5"/>
        <v>158.213296223136</v>
      </c>
      <c r="I106" s="119">
        <v>136.9812088512</v>
      </c>
      <c r="J106" s="120">
        <v>1.1</v>
      </c>
    </row>
    <row r="107" spans="1:21">
      <c r="A107" s="121">
        <v>0.41</v>
      </c>
      <c r="B107" s="122" t="s">
        <v>17</v>
      </c>
      <c r="C107" s="123" t="s">
        <v>11</v>
      </c>
      <c r="D107" s="124" t="s">
        <v>40</v>
      </c>
      <c r="E107" s="118">
        <f t="shared" si="3"/>
        <v>163.927389536064</v>
      </c>
      <c r="F107" s="119">
        <f t="shared" si="4"/>
        <v>182.14154392896</v>
      </c>
      <c r="G107" s="119">
        <f t="shared" si="5"/>
        <v>191.248621125408</v>
      </c>
      <c r="I107" s="119">
        <v>165.5832217536</v>
      </c>
      <c r="J107" s="120">
        <v>1.1</v>
      </c>
    </row>
    <row r="108" spans="1:21">
      <c r="A108" s="121">
        <v>0.41</v>
      </c>
      <c r="B108" s="122" t="s">
        <v>18</v>
      </c>
      <c r="C108" s="123" t="s">
        <v>11</v>
      </c>
      <c r="D108" s="124" t="s">
        <v>40</v>
      </c>
      <c r="E108" s="118">
        <f t="shared" si="3"/>
        <v>228.754790516736</v>
      </c>
      <c r="F108" s="119">
        <f t="shared" si="4"/>
        <v>254.17198946304</v>
      </c>
      <c r="G108" s="119">
        <f t="shared" si="5"/>
        <v>266.880588936192</v>
      </c>
      <c r="I108" s="119">
        <v>231.0654449664</v>
      </c>
      <c r="J108" s="120">
        <v>1.1</v>
      </c>
    </row>
    <row r="109" spans="1:21">
      <c r="A109" s="121">
        <v>0.41</v>
      </c>
      <c r="B109" s="122" t="s">
        <v>34</v>
      </c>
      <c r="C109" s="123" t="s">
        <v>11</v>
      </c>
      <c r="D109" s="124" t="s">
        <v>40</v>
      </c>
      <c r="E109" s="118">
        <f t="shared" si="3"/>
        <v>229.71918445344</v>
      </c>
      <c r="F109" s="119">
        <f t="shared" si="4"/>
        <v>255.2435382816</v>
      </c>
      <c r="G109" s="119">
        <f t="shared" si="5"/>
        <v>268.00571519568</v>
      </c>
      <c r="I109" s="119">
        <v>232.039580256</v>
      </c>
      <c r="J109" s="120">
        <v>1.1</v>
      </c>
    </row>
    <row r="110" s="100" customFormat="1" spans="1:21">
      <c r="A110" s="125">
        <v>0.41</v>
      </c>
      <c r="B110" s="126" t="s">
        <v>19</v>
      </c>
      <c r="C110" s="127" t="s">
        <v>11</v>
      </c>
      <c r="D110" s="128" t="s">
        <v>40</v>
      </c>
      <c r="E110" s="118">
        <f t="shared" si="3"/>
        <v>261.839650822042</v>
      </c>
      <c r="F110" s="119">
        <f t="shared" si="4"/>
        <v>290.932945357824</v>
      </c>
      <c r="G110" s="119">
        <f t="shared" si="5"/>
        <v>305.479592625715</v>
      </c>
      <c r="I110" s="119">
        <v>264.48449577984</v>
      </c>
      <c r="J110" s="120">
        <v>1.1</v>
      </c>
      <c r="K110"/>
      <c r="L110"/>
      <c r="M110" s="129"/>
      <c r="N110"/>
      <c r="O110"/>
      <c r="P110"/>
      <c r="Q110"/>
      <c r="R110"/>
      <c r="S110"/>
      <c r="T110"/>
      <c r="U110"/>
    </row>
    <row r="111" s="100" customFormat="1" spans="1:21">
      <c r="A111" s="125">
        <v>0.41</v>
      </c>
      <c r="B111" s="126" t="s">
        <v>13</v>
      </c>
      <c r="C111" s="127" t="s">
        <v>11</v>
      </c>
      <c r="D111" s="128" t="s">
        <v>40</v>
      </c>
      <c r="E111" s="139">
        <f t="shared" si="3"/>
        <v>397.260566474112</v>
      </c>
      <c r="F111" s="135">
        <f t="shared" si="4"/>
        <v>441.40062941568</v>
      </c>
      <c r="G111" s="140">
        <f t="shared" si="5"/>
        <v>463.470660886464</v>
      </c>
      <c r="I111" s="119">
        <v>401.2732994688</v>
      </c>
      <c r="J111" s="120">
        <v>1.1</v>
      </c>
      <c r="K111"/>
      <c r="L111"/>
      <c r="M111" s="129"/>
      <c r="N111"/>
      <c r="O111"/>
      <c r="P111"/>
      <c r="Q111"/>
      <c r="R111"/>
      <c r="S111"/>
      <c r="T111"/>
      <c r="U111"/>
    </row>
    <row r="112" spans="1:21">
      <c r="A112" s="121">
        <v>0.43</v>
      </c>
      <c r="B112" s="122" t="s">
        <v>10</v>
      </c>
      <c r="C112" s="123" t="s">
        <v>11</v>
      </c>
      <c r="D112" s="124" t="s">
        <v>41</v>
      </c>
      <c r="E112" s="118">
        <f t="shared" si="3"/>
        <v>124.645889757312</v>
      </c>
      <c r="F112" s="119">
        <f t="shared" si="4"/>
        <v>138.49543306368</v>
      </c>
      <c r="G112" s="119">
        <f t="shared" si="5"/>
        <v>145.420204716864</v>
      </c>
      <c r="I112" s="119">
        <v>125.9049391488</v>
      </c>
      <c r="J112" s="120">
        <v>1.1</v>
      </c>
    </row>
    <row r="113" spans="1:11">
      <c r="A113" s="121">
        <v>0.43</v>
      </c>
      <c r="B113" s="122" t="s">
        <v>17</v>
      </c>
      <c r="C113" s="123" t="s">
        <v>11</v>
      </c>
      <c r="D113" s="124" t="s">
        <v>41</v>
      </c>
      <c r="E113" s="118">
        <f t="shared" si="3"/>
        <v>166.842271145088</v>
      </c>
      <c r="F113" s="119">
        <f t="shared" si="4"/>
        <v>185.38030127232</v>
      </c>
      <c r="G113" s="119">
        <f t="shared" si="5"/>
        <v>194.649316335936</v>
      </c>
      <c r="I113" s="119">
        <v>168.5275466112</v>
      </c>
      <c r="J113" s="120">
        <v>1.1</v>
      </c>
    </row>
    <row r="114" spans="1:11">
      <c r="A114" s="121">
        <v>0.43</v>
      </c>
      <c r="B114" s="122" t="s">
        <v>17</v>
      </c>
      <c r="C114" s="123" t="s">
        <v>11</v>
      </c>
      <c r="D114" s="124" t="s">
        <v>42</v>
      </c>
      <c r="E114" s="118">
        <f t="shared" si="3"/>
        <v>198.905968844352</v>
      </c>
      <c r="F114" s="119">
        <f t="shared" si="4"/>
        <v>221.00663204928</v>
      </c>
      <c r="G114" s="119">
        <f t="shared" si="5"/>
        <v>232.056963651744</v>
      </c>
      <c r="I114" s="119">
        <v>200.9151200448</v>
      </c>
      <c r="J114" s="120">
        <v>1.1</v>
      </c>
    </row>
    <row r="115" spans="1:11">
      <c r="A115" s="121">
        <v>0.43</v>
      </c>
      <c r="B115" s="122" t="s">
        <v>19</v>
      </c>
      <c r="C115" s="123" t="s">
        <v>11</v>
      </c>
      <c r="D115" s="124" t="s">
        <v>41</v>
      </c>
      <c r="E115" s="118">
        <f t="shared" si="3"/>
        <v>293.647665028608</v>
      </c>
      <c r="F115" s="119">
        <f t="shared" si="4"/>
        <v>326.27518336512</v>
      </c>
      <c r="G115" s="119">
        <f t="shared" si="5"/>
        <v>342.588942533376</v>
      </c>
      <c r="I115" s="119">
        <v>296.6138030592</v>
      </c>
      <c r="J115" s="120">
        <v>1.1</v>
      </c>
    </row>
    <row r="116" spans="1:11">
      <c r="A116" s="121">
        <v>0.43</v>
      </c>
      <c r="B116" s="122" t="s">
        <v>13</v>
      </c>
      <c r="C116" s="123" t="s">
        <v>11</v>
      </c>
      <c r="D116" s="124" t="s">
        <v>41</v>
      </c>
      <c r="E116" s="118">
        <f t="shared" si="3"/>
        <v>469.214003605248</v>
      </c>
      <c r="F116" s="119">
        <f t="shared" si="4"/>
        <v>521.34889289472</v>
      </c>
      <c r="G116" s="119">
        <f t="shared" si="5"/>
        <v>547.416337539456</v>
      </c>
      <c r="I116" s="119">
        <v>473.9535389952</v>
      </c>
      <c r="J116" s="120">
        <v>1.1</v>
      </c>
    </row>
    <row r="117" spans="1:11">
      <c r="A117" s="121">
        <v>0.46</v>
      </c>
      <c r="B117" s="122" t="s">
        <v>10</v>
      </c>
      <c r="C117" s="123" t="s">
        <v>11</v>
      </c>
      <c r="D117" s="124" t="s">
        <v>41</v>
      </c>
      <c r="E117" s="118">
        <f t="shared" si="3"/>
        <v>124.645889757312</v>
      </c>
      <c r="F117" s="119">
        <f t="shared" si="4"/>
        <v>138.49543306368</v>
      </c>
      <c r="G117" s="119">
        <f t="shared" si="5"/>
        <v>145.420204716864</v>
      </c>
      <c r="I117" s="119">
        <v>125.9049391488</v>
      </c>
      <c r="J117" s="120">
        <v>1.1</v>
      </c>
    </row>
    <row r="118" spans="1:11">
      <c r="A118" s="121">
        <v>0.46</v>
      </c>
      <c r="B118" s="122" t="s">
        <v>17</v>
      </c>
      <c r="C118" s="123" t="s">
        <v>11</v>
      </c>
      <c r="D118" s="124" t="s">
        <v>41</v>
      </c>
      <c r="E118" s="118">
        <f t="shared" si="3"/>
        <v>175.58691597216</v>
      </c>
      <c r="F118" s="119">
        <f t="shared" si="4"/>
        <v>195.0965733024</v>
      </c>
      <c r="G118" s="119">
        <f t="shared" si="5"/>
        <v>204.85140196752</v>
      </c>
      <c r="I118" s="119">
        <v>177.360521184</v>
      </c>
      <c r="J118" s="120">
        <v>1.1</v>
      </c>
    </row>
    <row r="119" spans="1:11">
      <c r="A119" s="121">
        <v>0.46</v>
      </c>
      <c r="B119" s="122" t="s">
        <v>18</v>
      </c>
      <c r="C119" s="123" t="s">
        <v>11</v>
      </c>
      <c r="D119" s="124" t="s">
        <v>41</v>
      </c>
      <c r="E119" s="118">
        <f t="shared" si="3"/>
        <v>234.977394921984</v>
      </c>
      <c r="F119" s="119">
        <f t="shared" si="4"/>
        <v>261.08599435776</v>
      </c>
      <c r="G119" s="119">
        <f t="shared" si="5"/>
        <v>274.140294075648</v>
      </c>
      <c r="I119" s="119">
        <v>237.3509039616</v>
      </c>
      <c r="J119" s="120">
        <v>1.1</v>
      </c>
    </row>
    <row r="120" spans="1:11">
      <c r="A120" s="121">
        <v>0.46</v>
      </c>
      <c r="B120" s="122" t="s">
        <v>19</v>
      </c>
      <c r="C120" s="123" t="s">
        <v>11</v>
      </c>
      <c r="D120" s="124" t="s">
        <v>41</v>
      </c>
      <c r="E120" s="118">
        <f t="shared" si="3"/>
        <v>303.129728884224</v>
      </c>
      <c r="F120" s="119">
        <f t="shared" si="4"/>
        <v>336.81080987136</v>
      </c>
      <c r="G120" s="119">
        <f t="shared" si="5"/>
        <v>353.651350364928</v>
      </c>
      <c r="I120" s="119">
        <v>306.1916453376</v>
      </c>
      <c r="J120" s="120">
        <v>1.1</v>
      </c>
    </row>
    <row r="121" spans="1:11">
      <c r="A121" s="121">
        <v>0.46</v>
      </c>
      <c r="B121" s="122" t="s">
        <v>13</v>
      </c>
      <c r="C121" s="123" t="s">
        <v>11</v>
      </c>
      <c r="D121" s="124" t="s">
        <v>41</v>
      </c>
      <c r="E121" s="118">
        <f t="shared" si="3"/>
        <v>429.52133005056</v>
      </c>
      <c r="F121" s="119">
        <f t="shared" si="4"/>
        <v>477.2459222784</v>
      </c>
      <c r="G121" s="119">
        <f t="shared" si="5"/>
        <v>501.10821839232</v>
      </c>
      <c r="I121" s="119">
        <v>477.2459222784</v>
      </c>
      <c r="J121" s="120">
        <v>1</v>
      </c>
      <c r="K121">
        <v>1</v>
      </c>
    </row>
    <row r="122" spans="1:11">
      <c r="A122" s="121">
        <v>0.51</v>
      </c>
      <c r="B122" s="122" t="s">
        <v>10</v>
      </c>
      <c r="C122" s="123" t="s">
        <v>11</v>
      </c>
      <c r="D122" s="124" t="s">
        <v>43</v>
      </c>
      <c r="E122" s="118">
        <f t="shared" si="3"/>
        <v>123.119047009728</v>
      </c>
      <c r="F122" s="119">
        <f t="shared" si="4"/>
        <v>136.79894112192</v>
      </c>
      <c r="G122" s="119">
        <f t="shared" si="5"/>
        <v>143.638888178016</v>
      </c>
      <c r="I122" s="119">
        <v>124.3626737472</v>
      </c>
      <c r="J122" s="120">
        <v>1.1</v>
      </c>
    </row>
    <row r="123" spans="1:11">
      <c r="A123" s="121">
        <v>0.51</v>
      </c>
      <c r="B123" s="122" t="s">
        <v>26</v>
      </c>
      <c r="C123" s="123" t="s">
        <v>11</v>
      </c>
      <c r="D123" s="124" t="s">
        <v>43</v>
      </c>
      <c r="E123" s="118">
        <f t="shared" si="3"/>
        <v>148.658962060224</v>
      </c>
      <c r="F123" s="119">
        <f t="shared" si="4"/>
        <v>165.17662451136</v>
      </c>
      <c r="G123" s="119">
        <f t="shared" si="5"/>
        <v>173.435455736928</v>
      </c>
      <c r="I123" s="119">
        <v>150.1605677376</v>
      </c>
      <c r="J123" s="120">
        <v>1.1</v>
      </c>
    </row>
    <row r="124" spans="1:11">
      <c r="A124" s="121">
        <v>0.51</v>
      </c>
      <c r="B124" s="122" t="s">
        <v>17</v>
      </c>
      <c r="C124" s="123" t="s">
        <v>11</v>
      </c>
      <c r="D124" s="124" t="s">
        <v>43</v>
      </c>
      <c r="E124" s="118">
        <f t="shared" si="3"/>
        <v>178.501797581184</v>
      </c>
      <c r="F124" s="119">
        <f t="shared" si="4"/>
        <v>198.33533064576</v>
      </c>
      <c r="G124" s="119">
        <f t="shared" si="5"/>
        <v>208.252097178048</v>
      </c>
      <c r="I124" s="119">
        <v>180.3048460416</v>
      </c>
      <c r="J124" s="120">
        <v>1.1</v>
      </c>
    </row>
    <row r="125" spans="1:11">
      <c r="A125" s="121">
        <v>0.51</v>
      </c>
      <c r="B125" s="122" t="s">
        <v>18</v>
      </c>
      <c r="C125" s="123" t="s">
        <v>11</v>
      </c>
      <c r="D125" s="124" t="s">
        <v>43</v>
      </c>
      <c r="E125" s="118">
        <f t="shared" si="3"/>
        <v>252.015478412544</v>
      </c>
      <c r="F125" s="119">
        <f t="shared" si="4"/>
        <v>280.01719823616</v>
      </c>
      <c r="G125" s="119">
        <f t="shared" si="5"/>
        <v>294.018058147968</v>
      </c>
      <c r="I125" s="119">
        <v>254.5610893056</v>
      </c>
      <c r="J125" s="120">
        <v>1.1</v>
      </c>
    </row>
    <row r="126" spans="1:11">
      <c r="A126" s="121">
        <v>0.51</v>
      </c>
      <c r="B126" s="122" t="s">
        <v>34</v>
      </c>
      <c r="C126" s="123" t="s">
        <v>11</v>
      </c>
      <c r="D126" s="124" t="s">
        <v>43</v>
      </c>
      <c r="E126" s="118">
        <f t="shared" si="3"/>
        <v>244.311301529856</v>
      </c>
      <c r="F126" s="119">
        <f t="shared" si="4"/>
        <v>271.45700169984</v>
      </c>
      <c r="G126" s="119">
        <f t="shared" si="5"/>
        <v>285.029851784832</v>
      </c>
      <c r="I126" s="119">
        <v>246.7790924544</v>
      </c>
      <c r="J126" s="120">
        <v>1.1</v>
      </c>
    </row>
    <row r="127" spans="1:11">
      <c r="A127" s="121">
        <v>0.51</v>
      </c>
      <c r="B127" s="122" t="s">
        <v>19</v>
      </c>
      <c r="C127" s="123" t="s">
        <v>11</v>
      </c>
      <c r="D127" s="124" t="s">
        <v>43</v>
      </c>
      <c r="E127" s="118">
        <f t="shared" si="3"/>
        <v>310.982063014656</v>
      </c>
      <c r="F127" s="119">
        <f t="shared" si="4"/>
        <v>345.53562557184</v>
      </c>
      <c r="G127" s="119">
        <f t="shared" si="5"/>
        <v>362.812406850432</v>
      </c>
      <c r="I127" s="119">
        <v>314.1232959744</v>
      </c>
      <c r="J127" s="120">
        <v>1.1</v>
      </c>
    </row>
    <row r="128" spans="1:11">
      <c r="A128" s="121">
        <v>0.51</v>
      </c>
      <c r="B128" s="122" t="s">
        <v>13</v>
      </c>
      <c r="C128" s="123" t="s">
        <v>11</v>
      </c>
      <c r="D128" s="124" t="s">
        <v>43</v>
      </c>
      <c r="E128" s="118">
        <f t="shared" si="3"/>
        <v>475.58476525824</v>
      </c>
      <c r="F128" s="119">
        <f t="shared" si="4"/>
        <v>528.4275169536</v>
      </c>
      <c r="G128" s="119">
        <f t="shared" si="5"/>
        <v>554.84889280128</v>
      </c>
      <c r="I128" s="119">
        <v>480.388651776</v>
      </c>
      <c r="J128" s="120">
        <v>1.1</v>
      </c>
    </row>
    <row r="129" spans="1:10">
      <c r="A129" s="121">
        <v>0.51</v>
      </c>
      <c r="B129" s="122" t="s">
        <v>44</v>
      </c>
      <c r="C129" s="123" t="s">
        <v>11</v>
      </c>
      <c r="D129" s="124" t="s">
        <v>43</v>
      </c>
      <c r="E129" s="118">
        <f t="shared" si="3"/>
        <v>592.925305471488</v>
      </c>
      <c r="F129" s="119">
        <f t="shared" si="4"/>
        <v>658.80589496832</v>
      </c>
      <c r="G129" s="119">
        <f t="shared" si="5"/>
        <v>691.746189716736</v>
      </c>
      <c r="I129" s="119">
        <v>598.9144499712</v>
      </c>
      <c r="J129" s="120">
        <v>1.1</v>
      </c>
    </row>
    <row r="130" spans="1:10">
      <c r="A130" s="121">
        <v>0.53</v>
      </c>
      <c r="B130" s="122" t="s">
        <v>10</v>
      </c>
      <c r="C130" s="123" t="s">
        <v>11</v>
      </c>
      <c r="D130" s="124" t="s">
        <v>45</v>
      </c>
      <c r="E130" s="118">
        <f t="shared" si="3"/>
        <v>124.645889757312</v>
      </c>
      <c r="F130" s="119">
        <f t="shared" si="4"/>
        <v>138.49543306368</v>
      </c>
      <c r="G130" s="119">
        <f t="shared" si="5"/>
        <v>145.420204716864</v>
      </c>
      <c r="I130" s="119">
        <v>125.9049391488</v>
      </c>
      <c r="J130" s="120">
        <v>1.1</v>
      </c>
    </row>
    <row r="131" spans="1:10">
      <c r="A131" s="121">
        <v>0.53</v>
      </c>
      <c r="B131" s="122" t="s">
        <v>17</v>
      </c>
      <c r="C131" s="123" t="s">
        <v>11</v>
      </c>
      <c r="D131" s="124" t="s">
        <v>45</v>
      </c>
      <c r="E131" s="118">
        <f t="shared" ref="E131:E194" si="6">F131*0.9</f>
        <v>169.757152754112</v>
      </c>
      <c r="F131" s="119">
        <f t="shared" ref="F131:F194" si="7">I131*J131</f>
        <v>188.61905861568</v>
      </c>
      <c r="G131" s="119">
        <f t="shared" ref="G131:G194" si="8">F131*1.05</f>
        <v>198.050011546464</v>
      </c>
      <c r="I131" s="119">
        <v>171.4718714688</v>
      </c>
      <c r="J131" s="120">
        <v>1.1</v>
      </c>
    </row>
    <row r="132" spans="1:10">
      <c r="A132" s="121">
        <v>0.53</v>
      </c>
      <c r="B132" s="122" t="s">
        <v>32</v>
      </c>
      <c r="C132" s="123" t="s">
        <v>11</v>
      </c>
      <c r="D132" s="124" t="s">
        <v>45</v>
      </c>
      <c r="E132" s="118">
        <f t="shared" si="6"/>
        <v>212.376680220672</v>
      </c>
      <c r="F132" s="119">
        <f t="shared" si="7"/>
        <v>235.97408913408</v>
      </c>
      <c r="G132" s="119">
        <f t="shared" si="8"/>
        <v>247.772793590784</v>
      </c>
      <c r="I132" s="119">
        <v>214.5218992128</v>
      </c>
      <c r="J132" s="120">
        <v>1.1</v>
      </c>
    </row>
    <row r="133" spans="1:10">
      <c r="A133" s="121">
        <v>0.53</v>
      </c>
      <c r="B133" s="122" t="s">
        <v>18</v>
      </c>
      <c r="C133" s="123" t="s">
        <v>11</v>
      </c>
      <c r="D133" s="124" t="s">
        <v>45</v>
      </c>
      <c r="E133" s="118">
        <f t="shared" si="6"/>
        <v>247.42260373248</v>
      </c>
      <c r="F133" s="119">
        <f t="shared" si="7"/>
        <v>274.9140041472</v>
      </c>
      <c r="G133" s="119">
        <f t="shared" si="8"/>
        <v>288.65970435456</v>
      </c>
      <c r="I133" s="119">
        <v>249.921821952</v>
      </c>
      <c r="J133" s="120">
        <v>1.1</v>
      </c>
    </row>
    <row r="134" spans="1:10">
      <c r="A134" s="121">
        <v>0.53</v>
      </c>
      <c r="B134" s="122" t="s">
        <v>19</v>
      </c>
      <c r="C134" s="123" t="s">
        <v>11</v>
      </c>
      <c r="D134" s="124" t="s">
        <v>45</v>
      </c>
      <c r="E134" s="118">
        <f t="shared" si="6"/>
        <v>309.352333289472</v>
      </c>
      <c r="F134" s="119">
        <f t="shared" si="7"/>
        <v>343.72481476608</v>
      </c>
      <c r="G134" s="119">
        <f t="shared" si="8"/>
        <v>360.911055504384</v>
      </c>
      <c r="I134" s="119">
        <v>312.4771043328</v>
      </c>
      <c r="J134" s="120">
        <v>1.1</v>
      </c>
    </row>
    <row r="135" spans="1:10">
      <c r="A135" s="121">
        <v>0.53</v>
      </c>
      <c r="B135" s="122" t="s">
        <v>46</v>
      </c>
      <c r="C135" s="123" t="s">
        <v>11</v>
      </c>
      <c r="D135" s="124" t="s">
        <v>45</v>
      </c>
      <c r="E135" s="118">
        <f t="shared" si="6"/>
        <v>358.244225044992</v>
      </c>
      <c r="F135" s="119">
        <f t="shared" si="7"/>
        <v>398.04913893888</v>
      </c>
      <c r="G135" s="119">
        <f t="shared" si="8"/>
        <v>417.951595885824</v>
      </c>
      <c r="I135" s="119">
        <v>361.8628535808</v>
      </c>
      <c r="J135" s="120">
        <v>1.1</v>
      </c>
    </row>
    <row r="136" spans="1:10">
      <c r="A136" s="121">
        <v>0.53</v>
      </c>
      <c r="B136" s="122" t="s">
        <v>13</v>
      </c>
      <c r="C136" s="123" t="s">
        <v>11</v>
      </c>
      <c r="D136" s="124" t="s">
        <v>45</v>
      </c>
      <c r="E136" s="118">
        <f t="shared" si="6"/>
        <v>480.325797186048</v>
      </c>
      <c r="F136" s="119">
        <f t="shared" si="7"/>
        <v>533.69533020672</v>
      </c>
      <c r="G136" s="119">
        <f t="shared" si="8"/>
        <v>560.380096717056</v>
      </c>
      <c r="I136" s="119">
        <v>485.1775729152</v>
      </c>
      <c r="J136" s="120">
        <v>1.1</v>
      </c>
    </row>
    <row r="137" spans="1:10">
      <c r="A137" s="121">
        <v>0.56</v>
      </c>
      <c r="B137" s="122" t="s">
        <v>10</v>
      </c>
      <c r="C137" s="123" t="s">
        <v>11</v>
      </c>
      <c r="D137" s="124" t="s">
        <v>45</v>
      </c>
      <c r="E137" s="118">
        <f t="shared" si="6"/>
        <v>127.560771366336</v>
      </c>
      <c r="F137" s="119">
        <f t="shared" si="7"/>
        <v>141.73419040704</v>
      </c>
      <c r="G137" s="119">
        <f t="shared" si="8"/>
        <v>148.820899927392</v>
      </c>
      <c r="I137" s="119">
        <v>128.8492640064</v>
      </c>
      <c r="J137" s="120">
        <v>1.1</v>
      </c>
    </row>
    <row r="138" spans="1:10">
      <c r="A138" s="121">
        <v>0.56</v>
      </c>
      <c r="B138" s="122" t="s">
        <v>47</v>
      </c>
      <c r="C138" s="123" t="s">
        <v>11</v>
      </c>
      <c r="D138" s="124"/>
      <c r="E138" s="118">
        <f t="shared" si="6"/>
        <v>145.7440804512</v>
      </c>
      <c r="F138" s="119">
        <f t="shared" si="7"/>
        <v>161.937867168</v>
      </c>
      <c r="G138" s="119">
        <f t="shared" si="8"/>
        <v>170.0347605264</v>
      </c>
      <c r="I138" s="119">
        <v>147.21624288</v>
      </c>
      <c r="J138" s="120">
        <v>1.1</v>
      </c>
    </row>
    <row r="139" spans="1:10">
      <c r="A139" s="121">
        <v>0.56</v>
      </c>
      <c r="B139" s="122" t="s">
        <v>17</v>
      </c>
      <c r="C139" s="123" t="s">
        <v>11</v>
      </c>
      <c r="D139" s="124" t="s">
        <v>45</v>
      </c>
      <c r="E139" s="118">
        <f t="shared" si="6"/>
        <v>180.028640328768</v>
      </c>
      <c r="F139" s="119">
        <f t="shared" si="7"/>
        <v>200.03182258752</v>
      </c>
      <c r="G139" s="119">
        <f t="shared" si="8"/>
        <v>210.033413716896</v>
      </c>
      <c r="I139" s="119">
        <v>181.8471114432</v>
      </c>
      <c r="J139" s="120">
        <v>1.1</v>
      </c>
    </row>
    <row r="140" spans="1:10">
      <c r="A140" s="121">
        <v>0.56</v>
      </c>
      <c r="B140" s="122" t="s">
        <v>25</v>
      </c>
      <c r="C140" s="123" t="s">
        <v>11</v>
      </c>
      <c r="D140" s="124" t="s">
        <v>45</v>
      </c>
      <c r="E140" s="118">
        <f t="shared" si="6"/>
        <v>242.681571804672</v>
      </c>
      <c r="F140" s="119">
        <f t="shared" si="7"/>
        <v>269.64619089408</v>
      </c>
      <c r="G140" s="119">
        <f t="shared" si="8"/>
        <v>283.128500438784</v>
      </c>
      <c r="I140" s="119">
        <v>245.1329008128</v>
      </c>
      <c r="J140" s="120">
        <v>1.1</v>
      </c>
    </row>
    <row r="141" spans="1:10">
      <c r="A141" s="121">
        <v>0.56</v>
      </c>
      <c r="B141" s="122" t="s">
        <v>19</v>
      </c>
      <c r="C141" s="123" t="s">
        <v>11</v>
      </c>
      <c r="D141" s="124" t="s">
        <v>45</v>
      </c>
      <c r="E141" s="118">
        <f t="shared" si="6"/>
        <v>315.723094942464</v>
      </c>
      <c r="F141" s="119">
        <f t="shared" si="7"/>
        <v>350.80343882496</v>
      </c>
      <c r="G141" s="119">
        <f t="shared" si="8"/>
        <v>368.343610766208</v>
      </c>
      <c r="I141" s="119">
        <v>318.9122171136</v>
      </c>
      <c r="J141" s="120">
        <v>1.1</v>
      </c>
    </row>
    <row r="142" spans="1:10">
      <c r="A142" s="121">
        <v>0.56</v>
      </c>
      <c r="B142" s="122" t="s">
        <v>13</v>
      </c>
      <c r="C142" s="123" t="s">
        <v>11</v>
      </c>
      <c r="D142" s="124" t="s">
        <v>45</v>
      </c>
      <c r="E142" s="118">
        <f t="shared" si="6"/>
        <v>483.585256636416</v>
      </c>
      <c r="F142" s="119">
        <f t="shared" si="7"/>
        <v>537.31695181824</v>
      </c>
      <c r="G142" s="119">
        <f t="shared" si="8"/>
        <v>564.182799409152</v>
      </c>
      <c r="I142" s="119">
        <v>488.4699561984</v>
      </c>
      <c r="J142" s="120">
        <v>1.1</v>
      </c>
    </row>
    <row r="143" spans="1:10">
      <c r="A143" s="121">
        <v>0.6</v>
      </c>
      <c r="B143" s="122" t="s">
        <v>17</v>
      </c>
      <c r="C143" s="123" t="s">
        <v>11</v>
      </c>
      <c r="D143" s="124" t="s">
        <v>45</v>
      </c>
      <c r="E143" s="118">
        <f t="shared" si="6"/>
        <v>184.331560799232</v>
      </c>
      <c r="F143" s="119">
        <f t="shared" si="7"/>
        <v>204.81284533248</v>
      </c>
      <c r="G143" s="119">
        <f t="shared" si="8"/>
        <v>215.053487599104</v>
      </c>
      <c r="I143" s="119">
        <v>186.1934957568</v>
      </c>
      <c r="J143" s="120">
        <v>1.1</v>
      </c>
    </row>
    <row r="144" spans="1:10">
      <c r="A144" s="121">
        <v>0.6</v>
      </c>
      <c r="B144" s="122" t="s">
        <v>18</v>
      </c>
      <c r="C144" s="123" t="s">
        <v>11</v>
      </c>
      <c r="D144" s="124" t="s">
        <v>45</v>
      </c>
      <c r="E144" s="118">
        <f t="shared" si="6"/>
        <v>255.126780615168</v>
      </c>
      <c r="F144" s="119">
        <f t="shared" si="7"/>
        <v>283.47420068352</v>
      </c>
      <c r="G144" s="119">
        <f t="shared" si="8"/>
        <v>297.647910717696</v>
      </c>
      <c r="I144" s="119">
        <v>257.7038188032</v>
      </c>
      <c r="J144" s="120">
        <v>1.1</v>
      </c>
    </row>
    <row r="145" spans="1:10">
      <c r="A145" s="121">
        <v>0.61</v>
      </c>
      <c r="B145" s="122" t="s">
        <v>10</v>
      </c>
      <c r="C145" s="123" t="s">
        <v>11</v>
      </c>
      <c r="D145" s="124" t="s">
        <v>45</v>
      </c>
      <c r="E145" s="118">
        <f t="shared" si="6"/>
        <v>130.47565297536</v>
      </c>
      <c r="F145" s="119">
        <f t="shared" si="7"/>
        <v>144.9729477504</v>
      </c>
      <c r="G145" s="119">
        <f t="shared" si="8"/>
        <v>152.22159513792</v>
      </c>
      <c r="I145" s="119">
        <v>131.793588864</v>
      </c>
      <c r="J145" s="120">
        <v>1.1</v>
      </c>
    </row>
    <row r="146" spans="1:10">
      <c r="A146" s="142">
        <v>0.61</v>
      </c>
      <c r="B146" s="143" t="s">
        <v>17</v>
      </c>
      <c r="C146" s="144" t="s">
        <v>11</v>
      </c>
      <c r="D146" s="145" t="s">
        <v>45</v>
      </c>
      <c r="E146" s="146">
        <f t="shared" si="6"/>
        <v>185.858403546816</v>
      </c>
      <c r="F146" s="147">
        <f t="shared" si="7"/>
        <v>206.50933727424</v>
      </c>
      <c r="G146" s="147">
        <f t="shared" si="8"/>
        <v>216.834804137952</v>
      </c>
      <c r="H146" s="148"/>
      <c r="I146" s="147">
        <v>187.7357611584</v>
      </c>
      <c r="J146" s="149">
        <v>1.1</v>
      </c>
    </row>
    <row r="147" spans="1:10">
      <c r="A147" s="121">
        <v>0.61</v>
      </c>
      <c r="B147" s="122" t="s">
        <v>48</v>
      </c>
      <c r="C147" s="123" t="s">
        <v>11</v>
      </c>
      <c r="D147" s="124" t="s">
        <v>45</v>
      </c>
      <c r="E147" s="118">
        <f t="shared" si="6"/>
        <v>256.756510340352</v>
      </c>
      <c r="F147" s="119">
        <f t="shared" si="7"/>
        <v>285.28501148928</v>
      </c>
      <c r="G147" s="119">
        <f t="shared" si="8"/>
        <v>299.549262063744</v>
      </c>
      <c r="I147" s="119">
        <v>259.3500104448</v>
      </c>
      <c r="J147" s="120">
        <v>1.1</v>
      </c>
    </row>
    <row r="148" spans="1:10">
      <c r="A148" s="121">
        <v>0.61</v>
      </c>
      <c r="B148" s="122" t="s">
        <v>19</v>
      </c>
      <c r="C148" s="123" t="s">
        <v>11</v>
      </c>
      <c r="D148" s="124" t="s">
        <v>45</v>
      </c>
      <c r="E148" s="118">
        <f t="shared" si="6"/>
        <v>318.834397145088</v>
      </c>
      <c r="F148" s="119">
        <f t="shared" si="7"/>
        <v>354.26044127232</v>
      </c>
      <c r="G148" s="119">
        <f t="shared" si="8"/>
        <v>371.973463335936</v>
      </c>
      <c r="I148" s="119">
        <v>322.0549466112</v>
      </c>
      <c r="J148" s="120">
        <v>1.1</v>
      </c>
    </row>
    <row r="149" spans="1:10">
      <c r="A149" s="121">
        <v>0.63</v>
      </c>
      <c r="B149" s="122" t="s">
        <v>17</v>
      </c>
      <c r="C149" s="123" t="s">
        <v>11</v>
      </c>
      <c r="D149" s="124" t="s">
        <v>49</v>
      </c>
      <c r="E149" s="118">
        <f t="shared" si="6"/>
        <v>191.688166764864</v>
      </c>
      <c r="F149" s="119">
        <f t="shared" si="7"/>
        <v>212.98685196096</v>
      </c>
      <c r="G149" s="119">
        <f t="shared" si="8"/>
        <v>223.636194559008</v>
      </c>
      <c r="I149" s="119">
        <v>193.6244108736</v>
      </c>
      <c r="J149" s="120">
        <v>1.1</v>
      </c>
    </row>
    <row r="150" spans="1:10">
      <c r="A150" s="121">
        <v>0.66</v>
      </c>
      <c r="B150" s="122" t="s">
        <v>10</v>
      </c>
      <c r="C150" s="123" t="s">
        <v>11</v>
      </c>
      <c r="D150" s="124" t="s">
        <v>50</v>
      </c>
      <c r="E150" s="118">
        <f t="shared" si="6"/>
        <v>140.608336663872</v>
      </c>
      <c r="F150" s="119">
        <f t="shared" si="7"/>
        <v>156.23148518208</v>
      </c>
      <c r="G150" s="119">
        <f t="shared" si="8"/>
        <v>164.043059441184</v>
      </c>
      <c r="I150" s="119">
        <v>142.0286228928</v>
      </c>
      <c r="J150" s="120">
        <v>1.1</v>
      </c>
    </row>
    <row r="151" spans="1:10">
      <c r="A151" s="121">
        <v>0.66</v>
      </c>
      <c r="B151" s="122" t="s">
        <v>26</v>
      </c>
      <c r="C151" s="123" t="s">
        <v>11</v>
      </c>
      <c r="D151" s="124" t="s">
        <v>50</v>
      </c>
      <c r="E151" s="118">
        <f t="shared" si="6"/>
        <v>164.760212852928</v>
      </c>
      <c r="F151" s="119">
        <f t="shared" si="7"/>
        <v>183.06690316992</v>
      </c>
      <c r="G151" s="119">
        <f t="shared" si="8"/>
        <v>192.220248328416</v>
      </c>
      <c r="I151" s="119">
        <v>166.4244574272</v>
      </c>
      <c r="J151" s="120">
        <v>1.1</v>
      </c>
    </row>
    <row r="152" spans="1:10">
      <c r="A152" s="121">
        <v>0.66</v>
      </c>
      <c r="B152" s="122" t="s">
        <v>17</v>
      </c>
      <c r="C152" s="123" t="s">
        <v>11</v>
      </c>
      <c r="D152" s="124" t="s">
        <v>50</v>
      </c>
      <c r="E152" s="118">
        <f t="shared" si="6"/>
        <v>193.076205626304</v>
      </c>
      <c r="F152" s="119">
        <f t="shared" si="7"/>
        <v>214.52911736256</v>
      </c>
      <c r="G152" s="119">
        <f t="shared" si="8"/>
        <v>225.255573230688</v>
      </c>
      <c r="I152" s="119">
        <v>195.0264703296</v>
      </c>
      <c r="J152" s="120">
        <v>1.1</v>
      </c>
    </row>
    <row r="153" spans="1:10">
      <c r="A153" s="121">
        <v>0.66</v>
      </c>
      <c r="B153" s="122" t="s">
        <v>19</v>
      </c>
      <c r="C153" s="123" t="s">
        <v>11</v>
      </c>
      <c r="D153" s="124" t="s">
        <v>50</v>
      </c>
      <c r="E153" s="118">
        <f t="shared" si="6"/>
        <v>331.427763203328</v>
      </c>
      <c r="F153" s="119">
        <f t="shared" si="7"/>
        <v>368.25307022592</v>
      </c>
      <c r="G153" s="119">
        <f t="shared" si="8"/>
        <v>386.665723737216</v>
      </c>
      <c r="I153" s="119">
        <v>334.7755183872</v>
      </c>
      <c r="J153" s="120">
        <v>1.1</v>
      </c>
    </row>
    <row r="154" spans="1:10">
      <c r="A154" s="121">
        <v>0.71</v>
      </c>
      <c r="B154" s="122" t="s">
        <v>10</v>
      </c>
      <c r="C154" s="123" t="s">
        <v>11</v>
      </c>
      <c r="D154" s="124" t="s">
        <v>51</v>
      </c>
      <c r="E154" s="118">
        <f t="shared" si="6"/>
        <v>145.05006102048</v>
      </c>
      <c r="F154" s="119">
        <f t="shared" si="7"/>
        <v>161.1667344672</v>
      </c>
      <c r="G154" s="119">
        <f t="shared" si="8"/>
        <v>169.22507119056</v>
      </c>
      <c r="I154" s="119">
        <v>146.515213152</v>
      </c>
      <c r="J154" s="120">
        <v>1.1</v>
      </c>
    </row>
    <row r="155" spans="1:10">
      <c r="A155" s="121">
        <v>0.71</v>
      </c>
      <c r="B155" s="122" t="s">
        <v>17</v>
      </c>
      <c r="C155" s="123" t="s">
        <v>11</v>
      </c>
      <c r="D155" s="124" t="s">
        <v>51</v>
      </c>
      <c r="E155" s="118">
        <f t="shared" si="6"/>
        <v>187.246442408256</v>
      </c>
      <c r="F155" s="119">
        <f t="shared" si="7"/>
        <v>208.05160267584</v>
      </c>
      <c r="G155" s="119">
        <f t="shared" si="8"/>
        <v>218.454182809632</v>
      </c>
      <c r="I155" s="119">
        <v>189.1378206144</v>
      </c>
      <c r="J155" s="120">
        <v>1.1</v>
      </c>
    </row>
    <row r="156" spans="1:10">
      <c r="A156" s="121">
        <v>0.71</v>
      </c>
      <c r="B156" s="122" t="s">
        <v>18</v>
      </c>
      <c r="C156" s="123" t="s">
        <v>11</v>
      </c>
      <c r="D156" s="124" t="s">
        <v>51</v>
      </c>
      <c r="E156" s="118">
        <f t="shared" si="6"/>
        <v>272.313021353472</v>
      </c>
      <c r="F156" s="119">
        <f t="shared" si="7"/>
        <v>302.57002372608</v>
      </c>
      <c r="G156" s="119">
        <f t="shared" si="8"/>
        <v>317.698524912384</v>
      </c>
      <c r="I156" s="119">
        <v>275.0636579328</v>
      </c>
      <c r="J156" s="120">
        <v>1.1</v>
      </c>
    </row>
    <row r="157" spans="1:10">
      <c r="A157" s="121">
        <v>0.71</v>
      </c>
      <c r="B157" s="122" t="s">
        <v>19</v>
      </c>
      <c r="C157" s="123" t="s">
        <v>11</v>
      </c>
      <c r="D157" s="124" t="s">
        <v>51</v>
      </c>
      <c r="E157" s="118">
        <f t="shared" si="6"/>
        <v>326.68673127552</v>
      </c>
      <c r="F157" s="119">
        <f t="shared" si="7"/>
        <v>362.9852569728</v>
      </c>
      <c r="G157" s="119">
        <f t="shared" si="8"/>
        <v>381.13451982144</v>
      </c>
      <c r="I157" s="119">
        <v>329.986597248</v>
      </c>
      <c r="J157" s="120">
        <v>1.1</v>
      </c>
    </row>
    <row r="158" spans="1:10">
      <c r="A158" s="121">
        <v>0.71</v>
      </c>
      <c r="B158" s="122" t="s">
        <v>13</v>
      </c>
      <c r="C158" s="123" t="s">
        <v>11</v>
      </c>
      <c r="D158" s="124" t="s">
        <v>51</v>
      </c>
      <c r="E158" s="118">
        <f t="shared" si="6"/>
        <v>516.772480131072</v>
      </c>
      <c r="F158" s="119">
        <f t="shared" si="7"/>
        <v>574.19164459008</v>
      </c>
      <c r="G158" s="119">
        <f t="shared" si="8"/>
        <v>602.901226819584</v>
      </c>
      <c r="I158" s="119">
        <v>521.9924041728</v>
      </c>
      <c r="J158" s="120">
        <v>1.1</v>
      </c>
    </row>
    <row r="159" spans="1:10">
      <c r="A159" s="121">
        <v>0.76</v>
      </c>
      <c r="B159" s="122" t="s">
        <v>10</v>
      </c>
      <c r="C159" s="123" t="s">
        <v>11</v>
      </c>
      <c r="D159" s="124" t="s">
        <v>51</v>
      </c>
      <c r="E159" s="118">
        <f t="shared" si="6"/>
        <v>147.964942629504</v>
      </c>
      <c r="F159" s="119">
        <f t="shared" si="7"/>
        <v>164.40549181056</v>
      </c>
      <c r="G159" s="119">
        <f t="shared" si="8"/>
        <v>172.625766401088</v>
      </c>
      <c r="I159" s="119">
        <v>149.4595380096</v>
      </c>
      <c r="J159" s="120">
        <v>1.1</v>
      </c>
    </row>
    <row r="160" spans="1:10">
      <c r="A160" s="121">
        <v>0.76</v>
      </c>
      <c r="B160" s="122" t="s">
        <v>17</v>
      </c>
      <c r="C160" s="123" t="s">
        <v>11</v>
      </c>
      <c r="D160" s="124" t="s">
        <v>51</v>
      </c>
      <c r="E160" s="118">
        <f t="shared" si="6"/>
        <v>195.991087235328</v>
      </c>
      <c r="F160" s="119">
        <f t="shared" si="7"/>
        <v>217.76787470592</v>
      </c>
      <c r="G160" s="119">
        <f t="shared" si="8"/>
        <v>228.656268441216</v>
      </c>
      <c r="I160" s="119">
        <v>197.9707951872</v>
      </c>
      <c r="J160" s="120">
        <v>1.1</v>
      </c>
    </row>
    <row r="161" spans="1:21">
      <c r="A161" s="121">
        <v>0.76</v>
      </c>
      <c r="B161" s="122" t="s">
        <v>18</v>
      </c>
      <c r="C161" s="123" t="s">
        <v>11</v>
      </c>
      <c r="D161" s="124" t="s">
        <v>51</v>
      </c>
      <c r="E161" s="118">
        <f t="shared" si="6"/>
        <v>275.424323556096</v>
      </c>
      <c r="F161" s="119">
        <f t="shared" si="7"/>
        <v>306.02702617344</v>
      </c>
      <c r="G161" s="119">
        <f t="shared" si="8"/>
        <v>321.328377482112</v>
      </c>
      <c r="I161" s="119">
        <v>278.2063874304</v>
      </c>
      <c r="J161" s="120">
        <v>1.1</v>
      </c>
    </row>
    <row r="162" spans="1:21">
      <c r="A162" s="121">
        <v>0.76</v>
      </c>
      <c r="B162" s="122" t="s">
        <v>19</v>
      </c>
      <c r="C162" s="123" t="s">
        <v>11</v>
      </c>
      <c r="D162" s="124" t="s">
        <v>51</v>
      </c>
      <c r="E162" s="118">
        <f t="shared" si="6"/>
        <v>337.650367608576</v>
      </c>
      <c r="F162" s="119">
        <f t="shared" si="7"/>
        <v>375.16707512064</v>
      </c>
      <c r="G162" s="119">
        <f t="shared" si="8"/>
        <v>393.925428876672</v>
      </c>
      <c r="I162" s="119">
        <v>341.0609773824</v>
      </c>
      <c r="J162" s="120">
        <v>1.1</v>
      </c>
    </row>
    <row r="163" spans="1:21">
      <c r="A163" s="121">
        <v>0.78</v>
      </c>
      <c r="B163" s="122" t="s">
        <v>10</v>
      </c>
      <c r="C163" s="123" t="s">
        <v>11</v>
      </c>
      <c r="D163" s="124" t="s">
        <v>51</v>
      </c>
      <c r="E163" s="118">
        <f t="shared" si="6"/>
        <v>150.879824238528</v>
      </c>
      <c r="F163" s="119">
        <f t="shared" si="7"/>
        <v>167.64424915392</v>
      </c>
      <c r="G163" s="119">
        <f t="shared" si="8"/>
        <v>176.026461611616</v>
      </c>
      <c r="I163" s="119">
        <v>152.4038628672</v>
      </c>
      <c r="J163" s="120">
        <v>1.1</v>
      </c>
    </row>
    <row r="164" spans="1:21">
      <c r="A164" s="121">
        <v>0.8</v>
      </c>
      <c r="B164" s="122" t="s">
        <v>10</v>
      </c>
      <c r="C164" s="123" t="s">
        <v>11</v>
      </c>
      <c r="D164" s="124" t="s">
        <v>51</v>
      </c>
      <c r="E164" s="118">
        <f t="shared" si="6"/>
        <v>160.65907210584</v>
      </c>
      <c r="F164" s="135">
        <f t="shared" si="7"/>
        <v>178.5100801176</v>
      </c>
      <c r="G164" s="119">
        <f t="shared" si="8"/>
        <v>187.43558412348</v>
      </c>
      <c r="I164" s="119">
        <v>155.226156624</v>
      </c>
      <c r="J164" s="120">
        <v>1.15</v>
      </c>
    </row>
    <row r="165" spans="1:21">
      <c r="A165" s="121">
        <v>0.8</v>
      </c>
      <c r="B165" s="122" t="s">
        <v>17</v>
      </c>
      <c r="C165" s="123" t="s">
        <v>11</v>
      </c>
      <c r="D165" s="124" t="s">
        <v>51</v>
      </c>
      <c r="E165" s="118">
        <f t="shared" si="6"/>
        <v>202.4865950184</v>
      </c>
      <c r="F165" s="135">
        <f t="shared" si="7"/>
        <v>224.985105576</v>
      </c>
      <c r="G165" s="119">
        <f t="shared" si="8"/>
        <v>236.2343608548</v>
      </c>
      <c r="I165" s="119">
        <v>195.63922224</v>
      </c>
      <c r="J165" s="120">
        <v>1.15</v>
      </c>
    </row>
    <row r="166" spans="1:21">
      <c r="A166" s="121">
        <v>0.8</v>
      </c>
      <c r="B166" s="122" t="s">
        <v>19</v>
      </c>
      <c r="C166" s="123" t="s">
        <v>11</v>
      </c>
      <c r="D166" s="124" t="s">
        <v>51</v>
      </c>
      <c r="E166" s="118">
        <f t="shared" si="6"/>
        <v>354.48679262304</v>
      </c>
      <c r="F166" s="135">
        <f t="shared" si="7"/>
        <v>393.8742140256</v>
      </c>
      <c r="G166" s="119">
        <f t="shared" si="8"/>
        <v>413.56792472688</v>
      </c>
      <c r="I166" s="119">
        <v>342.499316544</v>
      </c>
      <c r="J166" s="120">
        <v>1.15</v>
      </c>
    </row>
    <row r="167" spans="1:21">
      <c r="A167" s="121">
        <v>0.8</v>
      </c>
      <c r="B167" s="122" t="s">
        <v>10</v>
      </c>
      <c r="C167" s="123" t="s">
        <v>52</v>
      </c>
      <c r="D167" s="124" t="s">
        <v>51</v>
      </c>
      <c r="E167" s="118">
        <f t="shared" si="6"/>
        <v>160.51127167152</v>
      </c>
      <c r="F167" s="135">
        <f t="shared" si="7"/>
        <v>178.3458574128</v>
      </c>
      <c r="G167" s="119">
        <f t="shared" si="8"/>
        <v>187.26315028344</v>
      </c>
      <c r="I167" s="119">
        <v>155.083354272</v>
      </c>
      <c r="J167" s="120">
        <v>1.15</v>
      </c>
    </row>
    <row r="168" s="100" customFormat="1" spans="1:21">
      <c r="A168" s="121">
        <v>0.8</v>
      </c>
      <c r="B168" s="122" t="s">
        <v>47</v>
      </c>
      <c r="C168" s="123" t="s">
        <v>52</v>
      </c>
      <c r="D168" s="124" t="s">
        <v>51</v>
      </c>
      <c r="E168" s="118">
        <f t="shared" si="6"/>
        <v>158.1464647224</v>
      </c>
      <c r="F168" s="135">
        <f t="shared" si="7"/>
        <v>175.718294136</v>
      </c>
      <c r="G168" s="119">
        <f t="shared" si="8"/>
        <v>184.5042088428</v>
      </c>
      <c r="H168"/>
      <c r="I168" s="119">
        <v>152.79851664</v>
      </c>
      <c r="J168" s="120">
        <v>1.15</v>
      </c>
      <c r="K168"/>
      <c r="L168"/>
      <c r="M168"/>
      <c r="N168"/>
      <c r="O168"/>
      <c r="P168"/>
      <c r="Q168"/>
      <c r="R168"/>
      <c r="S168"/>
      <c r="T168"/>
      <c r="U168"/>
    </row>
    <row r="169" spans="1:21">
      <c r="A169" s="121">
        <v>0.8</v>
      </c>
      <c r="B169" s="122" t="s">
        <v>17</v>
      </c>
      <c r="C169" s="123" t="s">
        <v>52</v>
      </c>
      <c r="D169" s="124" t="s">
        <v>51</v>
      </c>
      <c r="E169" s="118">
        <f t="shared" si="6"/>
        <v>206.32940631072</v>
      </c>
      <c r="F169" s="135">
        <f t="shared" si="7"/>
        <v>229.2548959008</v>
      </c>
      <c r="G169" s="119">
        <f t="shared" si="8"/>
        <v>240.71764069584</v>
      </c>
      <c r="I169" s="119">
        <v>199.352083392</v>
      </c>
      <c r="J169" s="120">
        <v>1.15</v>
      </c>
    </row>
    <row r="170" s="100" customFormat="1" spans="1:21">
      <c r="A170" s="121">
        <v>0.8</v>
      </c>
      <c r="B170" s="122" t="s">
        <v>19</v>
      </c>
      <c r="C170" s="123" t="s">
        <v>52</v>
      </c>
      <c r="D170" s="124" t="s">
        <v>50</v>
      </c>
      <c r="E170" s="118">
        <f t="shared" si="6"/>
        <v>346.492661530752</v>
      </c>
      <c r="F170" s="135">
        <f t="shared" si="7"/>
        <v>384.99184614528</v>
      </c>
      <c r="G170" s="119">
        <f t="shared" si="8"/>
        <v>404.241438452544</v>
      </c>
      <c r="H170"/>
      <c r="I170" s="119">
        <v>334.7755183872</v>
      </c>
      <c r="J170" s="120">
        <v>1.15</v>
      </c>
      <c r="K170"/>
      <c r="L170"/>
      <c r="M170"/>
      <c r="N170"/>
      <c r="O170"/>
      <c r="P170"/>
      <c r="Q170"/>
      <c r="R170"/>
      <c r="S170"/>
      <c r="T170"/>
      <c r="U170"/>
    </row>
    <row r="171" spans="1:21">
      <c r="A171" s="121">
        <v>0.8</v>
      </c>
      <c r="B171" s="122" t="s">
        <v>13</v>
      </c>
      <c r="C171" s="123" t="s">
        <v>52</v>
      </c>
      <c r="D171" s="124" t="s">
        <v>45</v>
      </c>
      <c r="E171" s="118">
        <f t="shared" si="6"/>
        <v>489.52938028896</v>
      </c>
      <c r="F171" s="135">
        <f t="shared" si="7"/>
        <v>543.9215336544</v>
      </c>
      <c r="G171" s="119">
        <f t="shared" si="8"/>
        <v>571.11761033712</v>
      </c>
      <c r="I171" s="119">
        <v>472.975246656</v>
      </c>
      <c r="J171" s="120">
        <v>1.15</v>
      </c>
    </row>
    <row r="172" spans="1:21">
      <c r="A172" s="121">
        <v>0.83</v>
      </c>
      <c r="B172" s="122" t="s">
        <v>22</v>
      </c>
      <c r="C172" s="123" t="s">
        <v>11</v>
      </c>
      <c r="D172" s="124" t="s">
        <v>53</v>
      </c>
      <c r="E172" s="118">
        <f t="shared" si="6"/>
        <v>189.77575766688</v>
      </c>
      <c r="F172" s="135">
        <f t="shared" si="7"/>
        <v>210.8619529632</v>
      </c>
      <c r="G172" s="119">
        <f t="shared" si="8"/>
        <v>221.40505061136</v>
      </c>
      <c r="I172" s="119">
        <v>183.358219968</v>
      </c>
      <c r="J172" s="120">
        <v>1.15</v>
      </c>
    </row>
    <row r="173" s="100" customFormat="1" ht="18" customHeight="1" spans="1:21">
      <c r="A173" s="150">
        <v>0.9</v>
      </c>
      <c r="B173" s="151" t="s">
        <v>10</v>
      </c>
      <c r="C173" s="152" t="s">
        <v>11</v>
      </c>
      <c r="D173" s="153" t="s">
        <v>54</v>
      </c>
      <c r="E173" s="154">
        <f t="shared" si="6"/>
        <v>176.10695453736</v>
      </c>
      <c r="F173" s="135">
        <f t="shared" si="7"/>
        <v>195.6743939304</v>
      </c>
      <c r="G173" s="155">
        <f t="shared" si="8"/>
        <v>205.45811362692</v>
      </c>
      <c r="H173" s="156"/>
      <c r="I173" s="155">
        <v>170.151646896</v>
      </c>
      <c r="J173" s="120">
        <v>1.15</v>
      </c>
      <c r="K173"/>
      <c r="L173"/>
      <c r="M173" s="129"/>
      <c r="N173"/>
      <c r="O173"/>
      <c r="P173"/>
      <c r="Q173"/>
      <c r="R173"/>
      <c r="S173"/>
      <c r="T173"/>
      <c r="U173"/>
    </row>
    <row r="174" spans="1:21">
      <c r="A174" s="121">
        <v>0.9</v>
      </c>
      <c r="B174" s="122" t="s">
        <v>26</v>
      </c>
      <c r="C174" s="123" t="s">
        <v>11</v>
      </c>
      <c r="D174" s="124" t="s">
        <v>55</v>
      </c>
      <c r="E174" s="118">
        <f t="shared" si="6"/>
        <v>205.59040413912</v>
      </c>
      <c r="F174" s="135">
        <f t="shared" si="7"/>
        <v>228.4337823768</v>
      </c>
      <c r="G174" s="119">
        <f t="shared" si="8"/>
        <v>239.85547149564</v>
      </c>
      <c r="I174" s="119">
        <v>198.638071632</v>
      </c>
      <c r="J174" s="120">
        <v>1.15</v>
      </c>
    </row>
    <row r="175" spans="1:21">
      <c r="A175" s="150">
        <v>0.9</v>
      </c>
      <c r="B175" s="151" t="s">
        <v>17</v>
      </c>
      <c r="C175" s="152" t="s">
        <v>11</v>
      </c>
      <c r="D175" s="153" t="s">
        <v>54</v>
      </c>
      <c r="E175" s="154">
        <f t="shared" si="6"/>
        <v>230.04316488384</v>
      </c>
      <c r="F175" s="135">
        <f t="shared" si="7"/>
        <v>255.6035165376</v>
      </c>
      <c r="G175" s="155">
        <f t="shared" si="8"/>
        <v>268.38369236448</v>
      </c>
      <c r="H175" s="156"/>
      <c r="I175" s="155">
        <v>222.263927424</v>
      </c>
      <c r="J175" s="120">
        <v>1.15</v>
      </c>
      <c r="M175" s="129"/>
    </row>
    <row r="176" s="100" customFormat="1" spans="1:21">
      <c r="A176" s="121">
        <v>0.9</v>
      </c>
      <c r="B176" s="122" t="s">
        <v>19</v>
      </c>
      <c r="C176" s="123" t="s">
        <v>11</v>
      </c>
      <c r="D176" s="124" t="s">
        <v>54</v>
      </c>
      <c r="E176" s="118">
        <f t="shared" si="6"/>
        <v>369.63175572576</v>
      </c>
      <c r="F176" s="135">
        <f t="shared" si="7"/>
        <v>410.7019508064</v>
      </c>
      <c r="G176" s="119">
        <f t="shared" si="8"/>
        <v>431.23704834672</v>
      </c>
      <c r="H176"/>
      <c r="I176" s="119">
        <v>357.132131136</v>
      </c>
      <c r="J176" s="120">
        <v>1.15</v>
      </c>
      <c r="K176"/>
      <c r="L176"/>
      <c r="M176"/>
      <c r="N176"/>
      <c r="O176"/>
      <c r="P176"/>
      <c r="Q176"/>
      <c r="R176"/>
      <c r="S176"/>
      <c r="T176"/>
      <c r="U176"/>
    </row>
    <row r="177" spans="1:21">
      <c r="A177" s="121">
        <v>0.9</v>
      </c>
      <c r="B177" s="122" t="s">
        <v>10</v>
      </c>
      <c r="C177" s="123" t="s">
        <v>52</v>
      </c>
      <c r="D177" s="124" t="s">
        <v>54</v>
      </c>
      <c r="E177" s="118">
        <f t="shared" si="6"/>
        <v>169.970499468</v>
      </c>
      <c r="F177" s="135">
        <f t="shared" si="7"/>
        <v>188.85611052</v>
      </c>
      <c r="G177" s="119">
        <f t="shared" si="8"/>
        <v>198.298916046</v>
      </c>
      <c r="I177" s="119">
        <v>164.2227048</v>
      </c>
      <c r="J177" s="120">
        <v>1.15</v>
      </c>
    </row>
    <row r="178" spans="1:21">
      <c r="A178" s="121">
        <v>0.9</v>
      </c>
      <c r="B178" s="122" t="s">
        <v>17</v>
      </c>
      <c r="C178" s="123" t="s">
        <v>52</v>
      </c>
      <c r="D178" s="124" t="s">
        <v>53</v>
      </c>
      <c r="E178" s="118">
        <f t="shared" si="6"/>
        <v>226.8736666812</v>
      </c>
      <c r="F178" s="135">
        <f t="shared" si="7"/>
        <v>252.081851868</v>
      </c>
      <c r="G178" s="119">
        <f t="shared" si="8"/>
        <v>264.6859444614</v>
      </c>
      <c r="I178" s="119">
        <v>219.20161032</v>
      </c>
      <c r="J178" s="120">
        <v>1.15</v>
      </c>
    </row>
    <row r="179" spans="1:21">
      <c r="A179" s="121">
        <v>0.9</v>
      </c>
      <c r="B179" s="122" t="s">
        <v>18</v>
      </c>
      <c r="C179" s="123" t="s">
        <v>52</v>
      </c>
      <c r="D179" s="124" t="s">
        <v>51</v>
      </c>
      <c r="E179" s="118">
        <f t="shared" si="6"/>
        <v>302.1104618928</v>
      </c>
      <c r="F179" s="135">
        <f t="shared" si="7"/>
        <v>335.678290992</v>
      </c>
      <c r="G179" s="119">
        <f t="shared" si="8"/>
        <v>352.4622055416</v>
      </c>
      <c r="I179" s="119">
        <v>291.89416608</v>
      </c>
      <c r="J179" s="120">
        <v>1.15</v>
      </c>
    </row>
    <row r="180" s="100" customFormat="1" spans="1:21">
      <c r="A180" s="121">
        <v>0.9</v>
      </c>
      <c r="B180" s="122" t="s">
        <v>19</v>
      </c>
      <c r="C180" s="123" t="s">
        <v>52</v>
      </c>
      <c r="D180" s="124" t="s">
        <v>51</v>
      </c>
      <c r="E180" s="118">
        <f t="shared" si="6"/>
        <v>342.81255023136</v>
      </c>
      <c r="F180" s="135">
        <f t="shared" si="7"/>
        <v>380.9028335904</v>
      </c>
      <c r="G180" s="119">
        <f t="shared" si="8"/>
        <v>399.94797526992</v>
      </c>
      <c r="H180"/>
      <c r="I180" s="119">
        <v>331.219855296</v>
      </c>
      <c r="J180" s="120">
        <v>1.15</v>
      </c>
      <c r="K180"/>
      <c r="L180"/>
      <c r="M180"/>
      <c r="N180"/>
      <c r="O180"/>
      <c r="P180"/>
      <c r="Q180"/>
      <c r="R180"/>
      <c r="S180"/>
      <c r="T180"/>
      <c r="U180"/>
    </row>
    <row r="181" spans="1:21">
      <c r="A181" s="121">
        <v>0.9</v>
      </c>
      <c r="B181" s="122" t="s">
        <v>13</v>
      </c>
      <c r="C181" s="123" t="s">
        <v>52</v>
      </c>
      <c r="D181" s="124" t="s">
        <v>50</v>
      </c>
      <c r="E181" s="118">
        <f t="shared" si="6"/>
        <v>531.80906895072</v>
      </c>
      <c r="F181" s="135">
        <f t="shared" si="7"/>
        <v>590.8989655008</v>
      </c>
      <c r="G181" s="119">
        <f t="shared" si="8"/>
        <v>620.44391377584</v>
      </c>
      <c r="I181" s="119">
        <v>513.825187392</v>
      </c>
      <c r="J181" s="120">
        <v>1.15</v>
      </c>
    </row>
    <row r="182" spans="1:21">
      <c r="A182" s="121">
        <v>1</v>
      </c>
      <c r="B182" s="122" t="s">
        <v>10</v>
      </c>
      <c r="C182" s="123" t="s">
        <v>11</v>
      </c>
      <c r="D182" s="124" t="s">
        <v>55</v>
      </c>
      <c r="E182" s="118">
        <f t="shared" si="6"/>
        <v>169.970499468</v>
      </c>
      <c r="F182" s="135">
        <f t="shared" si="7"/>
        <v>188.85611052</v>
      </c>
      <c r="G182" s="119">
        <f t="shared" si="8"/>
        <v>198.298916046</v>
      </c>
      <c r="I182" s="119">
        <v>164.2227048</v>
      </c>
      <c r="J182" s="120">
        <v>1.15</v>
      </c>
    </row>
    <row r="183" s="96" customFormat="1" spans="1:21">
      <c r="A183" s="130">
        <v>1</v>
      </c>
      <c r="B183" s="131" t="s">
        <v>17</v>
      </c>
      <c r="C183" s="132" t="s">
        <v>11</v>
      </c>
      <c r="D183" s="133" t="s">
        <v>55</v>
      </c>
      <c r="E183" s="134">
        <f t="shared" si="6"/>
        <v>225.08662506624</v>
      </c>
      <c r="F183" s="135">
        <f t="shared" si="7"/>
        <v>250.0962500736</v>
      </c>
      <c r="G183" s="135">
        <f t="shared" si="8"/>
        <v>262.60106257728</v>
      </c>
      <c r="I183" s="135">
        <v>217.475000064</v>
      </c>
      <c r="J183" s="120">
        <v>1.15</v>
      </c>
      <c r="K183"/>
      <c r="L183"/>
      <c r="M183"/>
      <c r="N183"/>
      <c r="O183"/>
      <c r="P183"/>
      <c r="Q183"/>
      <c r="R183"/>
      <c r="S183"/>
      <c r="T183"/>
      <c r="U183"/>
    </row>
    <row r="184" s="100" customFormat="1" spans="1:21">
      <c r="A184" s="121">
        <v>1</v>
      </c>
      <c r="B184" s="122" t="s">
        <v>19</v>
      </c>
      <c r="C184" s="123" t="s">
        <v>11</v>
      </c>
      <c r="D184" s="124" t="s">
        <v>55</v>
      </c>
      <c r="E184" s="118">
        <f t="shared" si="6"/>
        <v>370.36318860288</v>
      </c>
      <c r="F184" s="135">
        <f t="shared" si="7"/>
        <v>411.5146540032</v>
      </c>
      <c r="G184" s="119">
        <f t="shared" si="8"/>
        <v>432.09038670336</v>
      </c>
      <c r="H184"/>
      <c r="I184" s="119">
        <v>357.838829568</v>
      </c>
      <c r="J184" s="120">
        <v>1.15</v>
      </c>
      <c r="K184"/>
      <c r="L184"/>
      <c r="M184"/>
      <c r="N184"/>
      <c r="O184"/>
      <c r="P184"/>
      <c r="Q184"/>
      <c r="R184"/>
      <c r="S184"/>
      <c r="T184"/>
      <c r="U184"/>
    </row>
    <row r="185" s="100" customFormat="1" spans="1:21">
      <c r="A185" s="121">
        <v>1</v>
      </c>
      <c r="B185" s="122" t="s">
        <v>13</v>
      </c>
      <c r="C185" s="123" t="s">
        <v>11</v>
      </c>
      <c r="D185" s="124" t="s">
        <v>55</v>
      </c>
      <c r="E185" s="118">
        <f t="shared" si="6"/>
        <v>565.199696882304</v>
      </c>
      <c r="F185" s="135">
        <f t="shared" si="7"/>
        <v>627.99966320256</v>
      </c>
      <c r="G185" s="119">
        <f t="shared" si="8"/>
        <v>659.399646362688</v>
      </c>
      <c r="H185"/>
      <c r="I185" s="119">
        <v>546.0866636544</v>
      </c>
      <c r="J185" s="120">
        <v>1.15</v>
      </c>
      <c r="K185"/>
      <c r="L185"/>
      <c r="M185"/>
      <c r="N185"/>
      <c r="O185"/>
      <c r="P185"/>
      <c r="Q185"/>
      <c r="R185"/>
      <c r="S185"/>
      <c r="T185"/>
      <c r="U185"/>
    </row>
    <row r="186" spans="1:21">
      <c r="A186" s="121">
        <v>1</v>
      </c>
      <c r="B186" s="122" t="s">
        <v>10</v>
      </c>
      <c r="C186" s="123" t="s">
        <v>52</v>
      </c>
      <c r="D186" s="124" t="s">
        <v>55</v>
      </c>
      <c r="E186" s="118">
        <f t="shared" si="6"/>
        <v>169.970499468</v>
      </c>
      <c r="F186" s="135">
        <f t="shared" si="7"/>
        <v>188.85611052</v>
      </c>
      <c r="G186" s="119">
        <f t="shared" si="8"/>
        <v>198.298916046</v>
      </c>
      <c r="I186" s="119">
        <v>164.2227048</v>
      </c>
      <c r="J186" s="120">
        <v>1.15</v>
      </c>
    </row>
    <row r="187" spans="1:21">
      <c r="A187" s="121">
        <v>1</v>
      </c>
      <c r="B187" s="122" t="s">
        <v>17</v>
      </c>
      <c r="C187" s="123" t="s">
        <v>52</v>
      </c>
      <c r="D187" s="124" t="s">
        <v>55</v>
      </c>
      <c r="E187" s="118">
        <f t="shared" si="6"/>
        <v>206.32940631072</v>
      </c>
      <c r="F187" s="135">
        <f t="shared" si="7"/>
        <v>229.2548959008</v>
      </c>
      <c r="G187" s="119">
        <f t="shared" si="8"/>
        <v>240.71764069584</v>
      </c>
      <c r="I187" s="119">
        <v>199.352083392</v>
      </c>
      <c r="J187" s="120">
        <v>1.15</v>
      </c>
    </row>
    <row r="188" spans="1:21">
      <c r="A188" s="121">
        <v>1</v>
      </c>
      <c r="B188" s="122" t="s">
        <v>19</v>
      </c>
      <c r="C188" s="123" t="s">
        <v>52</v>
      </c>
      <c r="D188" s="124" t="s">
        <v>54</v>
      </c>
      <c r="E188" s="118">
        <f t="shared" si="6"/>
        <v>366.16103501472</v>
      </c>
      <c r="F188" s="135">
        <f t="shared" si="7"/>
        <v>406.8455944608</v>
      </c>
      <c r="G188" s="119">
        <f t="shared" si="8"/>
        <v>427.18787418384</v>
      </c>
      <c r="I188" s="119">
        <v>353.778777792</v>
      </c>
      <c r="J188" s="120">
        <v>1.15</v>
      </c>
    </row>
    <row r="189" spans="1:21">
      <c r="A189" s="121">
        <v>1</v>
      </c>
      <c r="B189" s="122" t="s">
        <v>13</v>
      </c>
      <c r="C189" s="123" t="s">
        <v>52</v>
      </c>
      <c r="D189" s="124" t="s">
        <v>51</v>
      </c>
      <c r="E189" s="118">
        <f t="shared" si="6"/>
        <v>550.26699273216</v>
      </c>
      <c r="F189" s="135">
        <f t="shared" si="7"/>
        <v>611.4077697024</v>
      </c>
      <c r="G189" s="119">
        <f t="shared" si="8"/>
        <v>641.97815818752</v>
      </c>
      <c r="I189" s="119">
        <v>531.658930176</v>
      </c>
      <c r="J189" s="120">
        <v>1.15</v>
      </c>
    </row>
    <row r="190" spans="1:21">
      <c r="A190" s="150">
        <v>1.1</v>
      </c>
      <c r="B190" s="151" t="s">
        <v>17</v>
      </c>
      <c r="C190" s="152" t="s">
        <v>11</v>
      </c>
      <c r="D190" s="153" t="s">
        <v>56</v>
      </c>
      <c r="E190" s="154">
        <f t="shared" si="6"/>
        <v>243.7064939232</v>
      </c>
      <c r="F190" s="135">
        <f t="shared" si="7"/>
        <v>270.784993248</v>
      </c>
      <c r="G190" s="155">
        <f t="shared" si="8"/>
        <v>284.3242429104</v>
      </c>
      <c r="H190" s="156"/>
      <c r="I190" s="155">
        <v>235.46521152</v>
      </c>
      <c r="J190" s="120">
        <v>1.15</v>
      </c>
      <c r="M190" s="129"/>
    </row>
    <row r="191" spans="1:21">
      <c r="A191" s="121">
        <v>1.1</v>
      </c>
      <c r="B191" s="122" t="s">
        <v>19</v>
      </c>
      <c r="C191" s="123" t="s">
        <v>11</v>
      </c>
      <c r="D191" s="124" t="s">
        <v>56</v>
      </c>
      <c r="E191" s="118">
        <f t="shared" si="6"/>
        <v>387.40605270048</v>
      </c>
      <c r="F191" s="135">
        <f t="shared" si="7"/>
        <v>430.4511696672</v>
      </c>
      <c r="G191" s="119">
        <f t="shared" si="8"/>
        <v>451.97372815056</v>
      </c>
      <c r="I191" s="119">
        <v>374.305364928</v>
      </c>
      <c r="J191" s="120">
        <v>1.15</v>
      </c>
    </row>
    <row r="192" spans="1:21">
      <c r="A192" s="121">
        <v>1.1</v>
      </c>
      <c r="B192" s="122" t="s">
        <v>13</v>
      </c>
      <c r="C192" s="123" t="s">
        <v>11</v>
      </c>
      <c r="D192" s="124" t="s">
        <v>56</v>
      </c>
      <c r="E192" s="118">
        <f t="shared" si="6"/>
        <v>585.76300000416</v>
      </c>
      <c r="F192" s="135">
        <f t="shared" si="7"/>
        <v>650.8477777824</v>
      </c>
      <c r="G192" s="119">
        <f t="shared" si="8"/>
        <v>683.39016667152</v>
      </c>
      <c r="I192" s="119">
        <v>565.954589376</v>
      </c>
      <c r="J192" s="120">
        <v>1.15</v>
      </c>
    </row>
    <row r="193" spans="1:21">
      <c r="A193" s="121">
        <v>1.1</v>
      </c>
      <c r="B193" s="122" t="s">
        <v>10</v>
      </c>
      <c r="C193" s="123" t="s">
        <v>52</v>
      </c>
      <c r="D193" s="124" t="s">
        <v>56</v>
      </c>
      <c r="E193" s="118">
        <f t="shared" si="6"/>
        <v>182.2050909756</v>
      </c>
      <c r="F193" s="135">
        <f t="shared" si="7"/>
        <v>202.450101084</v>
      </c>
      <c r="G193" s="119">
        <f t="shared" si="8"/>
        <v>212.5726061382</v>
      </c>
      <c r="I193" s="119">
        <v>176.04356616</v>
      </c>
      <c r="J193" s="120">
        <v>1.15</v>
      </c>
    </row>
    <row r="194" spans="1:21">
      <c r="A194" s="121">
        <v>1.1</v>
      </c>
      <c r="B194" s="122" t="s">
        <v>10</v>
      </c>
      <c r="C194" s="123" t="s">
        <v>52</v>
      </c>
      <c r="D194" s="124" t="s">
        <v>57</v>
      </c>
      <c r="E194" s="118">
        <f t="shared" si="6"/>
        <v>206.7769131813</v>
      </c>
      <c r="F194" s="135">
        <f t="shared" si="7"/>
        <v>229.752125757</v>
      </c>
      <c r="G194" s="119">
        <f t="shared" si="8"/>
        <v>241.23973204485</v>
      </c>
      <c r="I194" s="119">
        <v>199.78445718</v>
      </c>
      <c r="J194" s="120">
        <v>1.15</v>
      </c>
    </row>
    <row r="195" spans="1:21">
      <c r="A195" s="121">
        <v>1.1</v>
      </c>
      <c r="B195" s="122" t="s">
        <v>18</v>
      </c>
      <c r="C195" s="123" t="s">
        <v>52</v>
      </c>
      <c r="D195" s="124" t="s">
        <v>56</v>
      </c>
      <c r="E195" s="118">
        <f t="shared" ref="E195:E258" si="9">F195*0.9</f>
        <v>280.18181740032</v>
      </c>
      <c r="F195" s="135">
        <f t="shared" ref="F195:F258" si="10">I195*J195</f>
        <v>311.3131304448</v>
      </c>
      <c r="G195" s="119">
        <f t="shared" ref="G195:G258" si="11">F195*1.05</f>
        <v>326.87878696704</v>
      </c>
      <c r="I195" s="119">
        <v>270.707069952</v>
      </c>
      <c r="J195" s="120">
        <v>1.15</v>
      </c>
    </row>
    <row r="196" s="100" customFormat="1" spans="1:21">
      <c r="A196" s="125">
        <v>1.1</v>
      </c>
      <c r="B196" s="126" t="s">
        <v>19</v>
      </c>
      <c r="C196" s="127" t="s">
        <v>52</v>
      </c>
      <c r="D196" s="128" t="s">
        <v>55</v>
      </c>
      <c r="E196" s="139">
        <f t="shared" si="9"/>
        <v>352.498200615274</v>
      </c>
      <c r="F196" s="135">
        <f t="shared" si="10"/>
        <v>391.664667350304</v>
      </c>
      <c r="G196" s="140">
        <f t="shared" si="11"/>
        <v>411.247900717819</v>
      </c>
      <c r="H196" s="136" t="s">
        <v>58</v>
      </c>
      <c r="I196" s="140">
        <v>340.57797160896</v>
      </c>
      <c r="J196" s="120">
        <v>1.15</v>
      </c>
      <c r="K196"/>
      <c r="L196"/>
      <c r="M196" s="129"/>
      <c r="N196"/>
      <c r="O196"/>
      <c r="P196"/>
      <c r="Q196"/>
      <c r="R196"/>
      <c r="S196"/>
      <c r="T196"/>
      <c r="U196"/>
    </row>
    <row r="197" spans="1:21">
      <c r="A197" s="121">
        <v>1.1</v>
      </c>
      <c r="B197" s="122" t="s">
        <v>13</v>
      </c>
      <c r="C197" s="123" t="s">
        <v>52</v>
      </c>
      <c r="D197" s="124" t="s">
        <v>56</v>
      </c>
      <c r="E197" s="118">
        <f t="shared" si="9"/>
        <v>567.1473161904</v>
      </c>
      <c r="F197" s="135">
        <f t="shared" si="10"/>
        <v>630.163684656</v>
      </c>
      <c r="G197" s="119">
        <f t="shared" si="11"/>
        <v>661.6718688888</v>
      </c>
      <c r="I197" s="119">
        <v>547.96842144</v>
      </c>
      <c r="J197" s="120">
        <v>1.15</v>
      </c>
    </row>
    <row r="198" spans="1:21">
      <c r="A198" s="121">
        <v>1.2</v>
      </c>
      <c r="B198" s="122" t="s">
        <v>10</v>
      </c>
      <c r="C198" s="123" t="s">
        <v>11</v>
      </c>
      <c r="D198" s="124" t="s">
        <v>56</v>
      </c>
      <c r="E198" s="118">
        <f t="shared" si="9"/>
        <v>188.3839702437</v>
      </c>
      <c r="F198" s="135">
        <f t="shared" si="10"/>
        <v>209.315522493</v>
      </c>
      <c r="G198" s="119">
        <f t="shared" si="11"/>
        <v>219.78129861765</v>
      </c>
      <c r="I198" s="119">
        <v>182.01349782</v>
      </c>
      <c r="J198" s="120">
        <v>1.15</v>
      </c>
    </row>
    <row r="199" spans="1:21">
      <c r="A199" s="150">
        <v>1.2</v>
      </c>
      <c r="B199" s="151" t="s">
        <v>17</v>
      </c>
      <c r="C199" s="152" t="s">
        <v>11</v>
      </c>
      <c r="D199" s="153" t="s">
        <v>56</v>
      </c>
      <c r="E199" s="154">
        <f t="shared" si="9"/>
        <v>240.6889017225</v>
      </c>
      <c r="F199" s="135">
        <f t="shared" si="10"/>
        <v>267.432113025</v>
      </c>
      <c r="G199" s="155">
        <f t="shared" si="11"/>
        <v>280.80371867625</v>
      </c>
      <c r="H199" s="156"/>
      <c r="I199" s="155">
        <v>232.5496635</v>
      </c>
      <c r="J199" s="120">
        <v>1.15</v>
      </c>
      <c r="M199" s="129"/>
    </row>
    <row r="200" s="100" customFormat="1" spans="1:21">
      <c r="A200" s="150">
        <v>1.2</v>
      </c>
      <c r="B200" s="151" t="s">
        <v>19</v>
      </c>
      <c r="C200" s="152" t="s">
        <v>11</v>
      </c>
      <c r="D200" s="153" t="s">
        <v>56</v>
      </c>
      <c r="E200" s="157">
        <f t="shared" si="9"/>
        <v>373.094210332627</v>
      </c>
      <c r="F200" s="135">
        <f t="shared" si="10"/>
        <v>414.549122591808</v>
      </c>
      <c r="G200" s="157">
        <f t="shared" si="11"/>
        <v>435.276578721398</v>
      </c>
      <c r="H200" s="156"/>
      <c r="I200" s="157">
        <v>360.47749790592</v>
      </c>
      <c r="J200" s="120">
        <v>1.15</v>
      </c>
      <c r="K200"/>
      <c r="L200"/>
      <c r="M200" s="129"/>
      <c r="N200"/>
      <c r="O200"/>
      <c r="P200"/>
      <c r="Q200"/>
      <c r="R200"/>
      <c r="S200"/>
      <c r="T200"/>
      <c r="U200"/>
    </row>
    <row r="201" spans="1:21">
      <c r="A201" s="121">
        <v>1.2</v>
      </c>
      <c r="B201" s="122" t="s">
        <v>10</v>
      </c>
      <c r="C201" s="123" t="s">
        <v>52</v>
      </c>
      <c r="D201" s="124" t="s">
        <v>56</v>
      </c>
      <c r="E201" s="118">
        <f t="shared" si="9"/>
        <v>188.3839702437</v>
      </c>
      <c r="F201" s="135">
        <f t="shared" si="10"/>
        <v>209.315522493</v>
      </c>
      <c r="G201" s="119">
        <f t="shared" si="11"/>
        <v>219.78129861765</v>
      </c>
      <c r="I201" s="119">
        <v>182.01349782</v>
      </c>
      <c r="J201" s="120">
        <v>1.15</v>
      </c>
    </row>
    <row r="202" spans="1:21">
      <c r="A202" s="121">
        <v>1.2</v>
      </c>
      <c r="B202" s="122" t="s">
        <v>17</v>
      </c>
      <c r="C202" s="123" t="s">
        <v>52</v>
      </c>
      <c r="D202" s="124" t="s">
        <v>56</v>
      </c>
      <c r="E202" s="118">
        <f t="shared" si="9"/>
        <v>243.7064939232</v>
      </c>
      <c r="F202" s="135">
        <f t="shared" si="10"/>
        <v>270.784993248</v>
      </c>
      <c r="G202" s="119">
        <f t="shared" si="11"/>
        <v>284.3242429104</v>
      </c>
      <c r="I202" s="119">
        <v>235.46521152</v>
      </c>
      <c r="J202" s="120">
        <v>1.15</v>
      </c>
    </row>
    <row r="203" spans="1:21">
      <c r="A203" s="121">
        <v>1.2</v>
      </c>
      <c r="B203" s="122" t="s">
        <v>19</v>
      </c>
      <c r="C203" s="123" t="s">
        <v>52</v>
      </c>
      <c r="D203" s="124" t="s">
        <v>56</v>
      </c>
      <c r="E203" s="118">
        <f t="shared" si="9"/>
        <v>367.201029517344</v>
      </c>
      <c r="F203" s="135">
        <f t="shared" si="10"/>
        <v>408.00114390816</v>
      </c>
      <c r="G203" s="119">
        <f t="shared" si="11"/>
        <v>428.401201103568</v>
      </c>
      <c r="I203" s="119">
        <v>354.7836033984</v>
      </c>
      <c r="J203" s="120">
        <v>1.15</v>
      </c>
    </row>
    <row r="204" s="100" customFormat="1" spans="1:21">
      <c r="A204" s="125">
        <v>1.2</v>
      </c>
      <c r="B204" s="126" t="s">
        <v>13</v>
      </c>
      <c r="C204" s="127" t="s">
        <v>52</v>
      </c>
      <c r="D204" s="128" t="s">
        <v>55</v>
      </c>
      <c r="E204" s="139">
        <f t="shared" si="9"/>
        <v>486.04727808</v>
      </c>
      <c r="F204" s="135">
        <f t="shared" si="10"/>
        <v>540.0525312</v>
      </c>
      <c r="G204" s="140">
        <f t="shared" si="11"/>
        <v>567.05515776</v>
      </c>
      <c r="I204" s="119">
        <v>500.04864</v>
      </c>
      <c r="J204" s="120">
        <v>1.08</v>
      </c>
      <c r="K204"/>
      <c r="L204"/>
      <c r="M204" s="129"/>
      <c r="N204"/>
      <c r="O204"/>
      <c r="P204"/>
      <c r="Q204"/>
      <c r="R204"/>
      <c r="S204"/>
      <c r="T204"/>
      <c r="U204"/>
    </row>
    <row r="205" spans="1:21">
      <c r="A205" s="121">
        <v>1.3</v>
      </c>
      <c r="B205" s="122" t="s">
        <v>10</v>
      </c>
      <c r="C205" s="123" t="s">
        <v>52</v>
      </c>
      <c r="D205" s="124" t="s">
        <v>59</v>
      </c>
      <c r="E205" s="118">
        <f t="shared" si="9"/>
        <v>206.7769131813</v>
      </c>
      <c r="F205" s="135">
        <f t="shared" si="10"/>
        <v>229.752125757</v>
      </c>
      <c r="G205" s="119">
        <f t="shared" si="11"/>
        <v>241.23973204485</v>
      </c>
      <c r="I205" s="119">
        <v>199.78445718</v>
      </c>
      <c r="J205" s="120">
        <v>1.15</v>
      </c>
    </row>
    <row r="206" spans="1:21">
      <c r="A206" s="121">
        <v>1.3</v>
      </c>
      <c r="B206" s="122" t="s">
        <v>17</v>
      </c>
      <c r="C206" s="123" t="s">
        <v>52</v>
      </c>
      <c r="D206" s="124" t="s">
        <v>59</v>
      </c>
      <c r="E206" s="118">
        <f t="shared" si="9"/>
        <v>257.5012011264</v>
      </c>
      <c r="F206" s="135">
        <f t="shared" si="10"/>
        <v>286.112445696</v>
      </c>
      <c r="G206" s="119">
        <f t="shared" si="11"/>
        <v>300.4180679808</v>
      </c>
      <c r="I206" s="119">
        <v>248.79343104</v>
      </c>
      <c r="J206" s="120">
        <v>1.15</v>
      </c>
    </row>
    <row r="207" s="100" customFormat="1" spans="1:21">
      <c r="A207" s="125">
        <v>1.3</v>
      </c>
      <c r="B207" s="126" t="s">
        <v>19</v>
      </c>
      <c r="C207" s="127" t="s">
        <v>52</v>
      </c>
      <c r="D207" s="128" t="s">
        <v>56</v>
      </c>
      <c r="E207" s="139">
        <f t="shared" si="9"/>
        <v>380.419506975312</v>
      </c>
      <c r="F207" s="135">
        <f t="shared" si="10"/>
        <v>422.68834108368</v>
      </c>
      <c r="G207" s="140">
        <f t="shared" si="11"/>
        <v>443.822758137864</v>
      </c>
      <c r="I207" s="119">
        <v>367.5550792032</v>
      </c>
      <c r="J207" s="120">
        <v>1.15</v>
      </c>
      <c r="K207"/>
      <c r="L207"/>
      <c r="M207" s="129"/>
      <c r="N207"/>
      <c r="O207"/>
      <c r="P207"/>
      <c r="Q207"/>
      <c r="R207"/>
      <c r="S207"/>
      <c r="T207"/>
      <c r="U207"/>
    </row>
    <row r="208" spans="1:21">
      <c r="A208" s="121">
        <v>1.3</v>
      </c>
      <c r="B208" s="122" t="s">
        <v>13</v>
      </c>
      <c r="C208" s="123" t="s">
        <v>52</v>
      </c>
      <c r="D208" s="124" t="s">
        <v>56</v>
      </c>
      <c r="E208" s="118">
        <f t="shared" si="9"/>
        <v>595.85964207264</v>
      </c>
      <c r="F208" s="135">
        <f t="shared" si="10"/>
        <v>662.0662689696</v>
      </c>
      <c r="G208" s="119">
        <f t="shared" si="11"/>
        <v>695.16958241808</v>
      </c>
      <c r="I208" s="119">
        <v>575.709799104</v>
      </c>
      <c r="J208" s="120">
        <v>1.15</v>
      </c>
    </row>
    <row r="209" spans="1:13">
      <c r="A209" s="121">
        <v>1.31</v>
      </c>
      <c r="B209" s="122" t="s">
        <v>13</v>
      </c>
      <c r="C209" s="123" t="s">
        <v>52</v>
      </c>
      <c r="D209" s="124" t="s">
        <v>56</v>
      </c>
      <c r="E209" s="118">
        <f t="shared" si="9"/>
        <v>605.95628414112</v>
      </c>
      <c r="F209" s="135">
        <f t="shared" si="10"/>
        <v>673.2847601568</v>
      </c>
      <c r="G209" s="119">
        <f t="shared" si="11"/>
        <v>706.94899816464</v>
      </c>
      <c r="I209" s="119">
        <v>585.465008832</v>
      </c>
      <c r="J209" s="120">
        <v>1.15</v>
      </c>
    </row>
    <row r="210" spans="1:13">
      <c r="A210" s="121">
        <v>1.33</v>
      </c>
      <c r="B210" s="122" t="s">
        <v>10</v>
      </c>
      <c r="C210" s="123" t="s">
        <v>11</v>
      </c>
      <c r="D210" s="124" t="s">
        <v>59</v>
      </c>
      <c r="E210" s="118">
        <f t="shared" si="9"/>
        <v>211.3751489157</v>
      </c>
      <c r="F210" s="135">
        <f t="shared" si="10"/>
        <v>234.861276573</v>
      </c>
      <c r="G210" s="119">
        <f t="shared" si="11"/>
        <v>246.60434040165</v>
      </c>
      <c r="I210" s="119">
        <v>204.22719702</v>
      </c>
      <c r="J210" s="120">
        <v>1.15</v>
      </c>
    </row>
    <row r="211" spans="1:13">
      <c r="A211" s="121">
        <v>1.33</v>
      </c>
      <c r="B211" s="122" t="s">
        <v>10</v>
      </c>
      <c r="C211" s="123" t="s">
        <v>11</v>
      </c>
      <c r="D211" s="124" t="s">
        <v>60</v>
      </c>
      <c r="E211" s="118">
        <f t="shared" si="9"/>
        <v>375.9057712872</v>
      </c>
      <c r="F211" s="135">
        <f t="shared" si="10"/>
        <v>417.673079208</v>
      </c>
      <c r="G211" s="119">
        <f t="shared" si="11"/>
        <v>438.5567331684</v>
      </c>
      <c r="I211" s="119">
        <v>363.19398192</v>
      </c>
      <c r="J211" s="120">
        <v>1.15</v>
      </c>
    </row>
    <row r="212" spans="1:13">
      <c r="A212" s="121">
        <v>1.4</v>
      </c>
      <c r="B212" s="122" t="s">
        <v>10</v>
      </c>
      <c r="C212" s="123" t="s">
        <v>52</v>
      </c>
      <c r="D212" s="124" t="s">
        <v>59</v>
      </c>
      <c r="E212" s="118">
        <f t="shared" si="9"/>
        <v>212.9557924494</v>
      </c>
      <c r="F212" s="135">
        <f t="shared" si="10"/>
        <v>236.617547166</v>
      </c>
      <c r="G212" s="119">
        <f t="shared" si="11"/>
        <v>248.4484245243</v>
      </c>
      <c r="I212" s="119">
        <v>205.75438884</v>
      </c>
      <c r="J212" s="120">
        <v>1.15</v>
      </c>
    </row>
    <row r="213" spans="1:13">
      <c r="A213" s="121">
        <v>1.4</v>
      </c>
      <c r="B213" s="122" t="s">
        <v>10</v>
      </c>
      <c r="C213" s="123" t="s">
        <v>52</v>
      </c>
      <c r="D213" s="124" t="s">
        <v>60</v>
      </c>
      <c r="E213" s="118">
        <f t="shared" si="9"/>
        <v>383.665294089</v>
      </c>
      <c r="F213" s="135">
        <f t="shared" si="10"/>
        <v>426.29477121</v>
      </c>
      <c r="G213" s="119">
        <f t="shared" si="11"/>
        <v>447.6095097705</v>
      </c>
      <c r="I213" s="119">
        <v>370.6911054</v>
      </c>
      <c r="J213" s="120">
        <v>1.15</v>
      </c>
    </row>
    <row r="214" spans="1:13">
      <c r="A214" s="121">
        <v>1.4</v>
      </c>
      <c r="B214" s="122" t="s">
        <v>17</v>
      </c>
      <c r="C214" s="123" t="s">
        <v>52</v>
      </c>
      <c r="D214" s="124" t="s">
        <v>59</v>
      </c>
      <c r="E214" s="118">
        <f t="shared" si="9"/>
        <v>265.2607239282</v>
      </c>
      <c r="F214" s="135">
        <f t="shared" si="10"/>
        <v>294.734137698</v>
      </c>
      <c r="G214" s="119">
        <f t="shared" si="11"/>
        <v>309.4708445829</v>
      </c>
      <c r="I214" s="119">
        <v>256.29055452</v>
      </c>
      <c r="J214" s="120">
        <v>1.15</v>
      </c>
    </row>
    <row r="215" spans="1:13">
      <c r="A215" s="121">
        <v>1.4</v>
      </c>
      <c r="B215" s="122" t="s">
        <v>18</v>
      </c>
      <c r="C215" s="123" t="s">
        <v>52</v>
      </c>
      <c r="D215" s="124" t="s">
        <v>59</v>
      </c>
      <c r="E215" s="118">
        <f t="shared" si="9"/>
        <v>330.82278777504</v>
      </c>
      <c r="F215" s="135">
        <f t="shared" si="10"/>
        <v>367.5808753056</v>
      </c>
      <c r="G215" s="119">
        <f t="shared" si="11"/>
        <v>385.95991907088</v>
      </c>
      <c r="I215" s="119">
        <v>319.635543744</v>
      </c>
      <c r="J215" s="120">
        <v>1.15</v>
      </c>
    </row>
    <row r="216" spans="1:13">
      <c r="A216" s="121">
        <v>1.4</v>
      </c>
      <c r="B216" s="122" t="s">
        <v>19</v>
      </c>
      <c r="C216" s="123" t="s">
        <v>52</v>
      </c>
      <c r="D216" s="124" t="s">
        <v>59</v>
      </c>
      <c r="E216" s="118">
        <f t="shared" si="9"/>
        <v>428.16072771648</v>
      </c>
      <c r="F216" s="135">
        <f t="shared" si="10"/>
        <v>475.7341419072</v>
      </c>
      <c r="G216" s="119">
        <f t="shared" si="11"/>
        <v>499.52084900256</v>
      </c>
      <c r="I216" s="119">
        <v>413.681862528</v>
      </c>
      <c r="J216" s="120">
        <v>1.15</v>
      </c>
    </row>
    <row r="217" spans="1:13">
      <c r="A217" s="121">
        <v>1.4</v>
      </c>
      <c r="B217" s="122" t="s">
        <v>61</v>
      </c>
      <c r="C217" s="123" t="s">
        <v>52</v>
      </c>
      <c r="D217" s="124" t="s">
        <v>59</v>
      </c>
      <c r="E217" s="118">
        <f t="shared" si="9"/>
        <v>481.168098576</v>
      </c>
      <c r="F217" s="135">
        <f t="shared" si="10"/>
        <v>534.63122064</v>
      </c>
      <c r="G217" s="119">
        <f t="shared" si="11"/>
        <v>561.362781672</v>
      </c>
      <c r="I217" s="119">
        <v>464.8967136</v>
      </c>
      <c r="J217" s="120">
        <v>1.15</v>
      </c>
    </row>
    <row r="218" spans="1:13">
      <c r="A218" s="121">
        <v>1.4</v>
      </c>
      <c r="B218" s="122" t="s">
        <v>13</v>
      </c>
      <c r="C218" s="123" t="s">
        <v>52</v>
      </c>
      <c r="D218" s="124" t="s">
        <v>56</v>
      </c>
      <c r="E218" s="118">
        <f t="shared" si="9"/>
        <v>585.76300000416</v>
      </c>
      <c r="F218" s="135">
        <f t="shared" si="10"/>
        <v>650.8477777824</v>
      </c>
      <c r="G218" s="119">
        <f t="shared" si="11"/>
        <v>683.39016667152</v>
      </c>
      <c r="I218" s="119">
        <v>565.954589376</v>
      </c>
      <c r="J218" s="120">
        <v>1.15</v>
      </c>
    </row>
    <row r="219" spans="1:13">
      <c r="A219" s="121">
        <v>1.43</v>
      </c>
      <c r="B219" s="122" t="s">
        <v>18</v>
      </c>
      <c r="C219" s="123" t="s">
        <v>52</v>
      </c>
      <c r="D219" s="124" t="s">
        <v>59</v>
      </c>
      <c r="E219" s="118">
        <f t="shared" si="9"/>
        <v>346.12551091008</v>
      </c>
      <c r="F219" s="135">
        <f t="shared" si="10"/>
        <v>384.5839010112</v>
      </c>
      <c r="G219" s="119">
        <f t="shared" si="11"/>
        <v>403.81309606176</v>
      </c>
      <c r="I219" s="119">
        <v>334.420783488</v>
      </c>
      <c r="J219" s="120">
        <v>1.15</v>
      </c>
    </row>
    <row r="220" spans="1:13">
      <c r="A220" s="150">
        <v>1.5</v>
      </c>
      <c r="B220" s="151" t="s">
        <v>10</v>
      </c>
      <c r="C220" s="152" t="s">
        <v>11</v>
      </c>
      <c r="D220" s="153" t="s">
        <v>62</v>
      </c>
      <c r="E220" s="154">
        <f t="shared" si="9"/>
        <v>241.21030881024</v>
      </c>
      <c r="F220" s="135">
        <f t="shared" si="10"/>
        <v>268.0114542336</v>
      </c>
      <c r="G220" s="155">
        <f t="shared" si="11"/>
        <v>281.41202694528</v>
      </c>
      <c r="H220" s="156"/>
      <c r="I220" s="155">
        <v>233.053438464</v>
      </c>
      <c r="J220" s="120">
        <v>1.15</v>
      </c>
      <c r="M220" s="129"/>
    </row>
    <row r="221" spans="1:13">
      <c r="A221" s="150">
        <v>1.5</v>
      </c>
      <c r="B221" s="151" t="s">
        <v>17</v>
      </c>
      <c r="C221" s="152" t="s">
        <v>11</v>
      </c>
      <c r="D221" s="153" t="s">
        <v>62</v>
      </c>
      <c r="E221" s="154">
        <f t="shared" si="9"/>
        <v>293.3838621252</v>
      </c>
      <c r="F221" s="135">
        <f t="shared" si="10"/>
        <v>325.982069028</v>
      </c>
      <c r="G221" s="155">
        <f t="shared" si="11"/>
        <v>342.2811724794</v>
      </c>
      <c r="H221" s="156"/>
      <c r="I221" s="155">
        <v>283.46266872</v>
      </c>
      <c r="J221" s="120">
        <v>1.15</v>
      </c>
      <c r="M221" s="129"/>
    </row>
    <row r="222" spans="1:13">
      <c r="A222" s="121">
        <v>1.5</v>
      </c>
      <c r="B222" s="122" t="s">
        <v>18</v>
      </c>
      <c r="C222" s="123" t="s">
        <v>11</v>
      </c>
      <c r="D222" s="124" t="s">
        <v>62</v>
      </c>
      <c r="E222" s="118">
        <f t="shared" si="9"/>
        <v>369.63175572576</v>
      </c>
      <c r="F222" s="135">
        <f t="shared" si="10"/>
        <v>410.7019508064</v>
      </c>
      <c r="G222" s="119">
        <f t="shared" si="11"/>
        <v>431.23704834672</v>
      </c>
      <c r="I222" s="119">
        <v>357.132131136</v>
      </c>
      <c r="J222" s="120">
        <v>1.15</v>
      </c>
    </row>
    <row r="223" spans="1:13">
      <c r="A223" s="125">
        <v>1.5</v>
      </c>
      <c r="B223" s="126" t="s">
        <v>10</v>
      </c>
      <c r="C223" s="158" t="s">
        <v>52</v>
      </c>
      <c r="D223" s="128" t="s">
        <v>62</v>
      </c>
      <c r="E223" s="118">
        <f t="shared" si="9"/>
        <v>213.0926447034</v>
      </c>
      <c r="F223" s="135">
        <f t="shared" si="10"/>
        <v>236.769605226</v>
      </c>
      <c r="G223" s="159">
        <f t="shared" si="11"/>
        <v>248.6080854873</v>
      </c>
      <c r="H223" s="160"/>
      <c r="I223" s="159">
        <v>205.88661324</v>
      </c>
      <c r="J223" s="120">
        <v>1.15</v>
      </c>
      <c r="M223" s="129"/>
    </row>
    <row r="224" spans="1:13">
      <c r="A224" s="125">
        <v>1.5</v>
      </c>
      <c r="B224" s="126" t="s">
        <v>47</v>
      </c>
      <c r="C224" s="158" t="s">
        <v>52</v>
      </c>
      <c r="D224" s="128" t="s">
        <v>62</v>
      </c>
      <c r="E224" s="118">
        <f t="shared" si="9"/>
        <v>226.1346645096</v>
      </c>
      <c r="F224" s="135">
        <f t="shared" si="10"/>
        <v>251.260738344</v>
      </c>
      <c r="G224" s="159">
        <f t="shared" si="11"/>
        <v>263.8237752612</v>
      </c>
      <c r="H224" s="160"/>
      <c r="I224" s="159">
        <v>218.48759856</v>
      </c>
      <c r="J224" s="120">
        <v>1.15</v>
      </c>
      <c r="M224" s="129"/>
    </row>
    <row r="225" spans="1:13">
      <c r="A225" s="125">
        <v>1.5</v>
      </c>
      <c r="B225" s="126" t="s">
        <v>17</v>
      </c>
      <c r="C225" s="158" t="s">
        <v>52</v>
      </c>
      <c r="D225" s="128" t="s">
        <v>62</v>
      </c>
      <c r="E225" s="118">
        <f t="shared" si="9"/>
        <v>250.66953660672</v>
      </c>
      <c r="F225" s="135">
        <f t="shared" si="10"/>
        <v>278.5217073408</v>
      </c>
      <c r="G225" s="159">
        <f t="shared" si="11"/>
        <v>292.44779270784</v>
      </c>
      <c r="H225" s="160"/>
      <c r="I225" s="159">
        <v>242.192788992</v>
      </c>
      <c r="J225" s="120">
        <v>1.15</v>
      </c>
      <c r="M225" s="129"/>
    </row>
    <row r="226" spans="1:13">
      <c r="A226" s="121">
        <v>1.5</v>
      </c>
      <c r="B226" s="122" t="s">
        <v>18</v>
      </c>
      <c r="C226" s="123" t="s">
        <v>52</v>
      </c>
      <c r="D226" s="124" t="s">
        <v>59</v>
      </c>
      <c r="E226" s="118">
        <f t="shared" si="9"/>
        <v>361.2704740128</v>
      </c>
      <c r="F226" s="135">
        <f t="shared" si="10"/>
        <v>401.411637792</v>
      </c>
      <c r="G226" s="119">
        <f t="shared" si="11"/>
        <v>421.4822196816</v>
      </c>
      <c r="I226" s="119">
        <v>349.05359808</v>
      </c>
      <c r="J226" s="120">
        <v>1.15</v>
      </c>
    </row>
    <row r="227" spans="1:13">
      <c r="A227" s="121">
        <v>1.5</v>
      </c>
      <c r="B227" s="122" t="s">
        <v>19</v>
      </c>
      <c r="C227" s="123" t="s">
        <v>52</v>
      </c>
      <c r="D227" s="124" t="s">
        <v>59</v>
      </c>
      <c r="E227" s="118">
        <f t="shared" si="9"/>
        <v>429.0415545636</v>
      </c>
      <c r="F227" s="135">
        <f t="shared" si="10"/>
        <v>476.712838404</v>
      </c>
      <c r="G227" s="119">
        <f t="shared" si="11"/>
        <v>500.5484803242</v>
      </c>
      <c r="I227" s="119">
        <v>414.53290296</v>
      </c>
      <c r="J227" s="120">
        <v>1.15</v>
      </c>
    </row>
    <row r="228" spans="1:13">
      <c r="A228" s="121">
        <v>1.5</v>
      </c>
      <c r="B228" s="122" t="s">
        <v>61</v>
      </c>
      <c r="C228" s="123" t="s">
        <v>52</v>
      </c>
      <c r="D228" s="124" t="s">
        <v>59</v>
      </c>
      <c r="E228" s="118">
        <f t="shared" si="9"/>
        <v>525.1656187008</v>
      </c>
      <c r="F228" s="135">
        <f t="shared" si="10"/>
        <v>583.517354112</v>
      </c>
      <c r="G228" s="119">
        <f t="shared" si="11"/>
        <v>612.6932218176</v>
      </c>
      <c r="I228" s="119">
        <v>507.40639488</v>
      </c>
      <c r="J228" s="120">
        <v>1.15</v>
      </c>
    </row>
    <row r="229" spans="1:13">
      <c r="A229" s="121">
        <v>1.5</v>
      </c>
      <c r="B229" s="122" t="s">
        <v>13</v>
      </c>
      <c r="C229" s="123" t="s">
        <v>52</v>
      </c>
      <c r="D229" s="124" t="s">
        <v>59</v>
      </c>
      <c r="E229" s="118">
        <f t="shared" si="9"/>
        <v>598.78258489368</v>
      </c>
      <c r="F229" s="135">
        <f t="shared" si="10"/>
        <v>665.3139832152</v>
      </c>
      <c r="G229" s="119">
        <f t="shared" si="11"/>
        <v>698.57968237596</v>
      </c>
      <c r="I229" s="119">
        <v>578.533898448</v>
      </c>
      <c r="J229" s="120">
        <v>1.15</v>
      </c>
    </row>
    <row r="230" spans="1:13">
      <c r="A230" s="121">
        <v>1.6</v>
      </c>
      <c r="B230" s="122" t="s">
        <v>10</v>
      </c>
      <c r="C230" s="123" t="s">
        <v>11</v>
      </c>
      <c r="D230" s="124" t="s">
        <v>62</v>
      </c>
      <c r="E230" s="118">
        <f t="shared" si="9"/>
        <v>252.26523388836</v>
      </c>
      <c r="F230" s="135">
        <f t="shared" si="10"/>
        <v>280.2947043204</v>
      </c>
      <c r="G230" s="119">
        <f t="shared" si="11"/>
        <v>294.30943953642</v>
      </c>
      <c r="I230" s="119">
        <v>243.734525496</v>
      </c>
      <c r="J230" s="120">
        <v>1.15</v>
      </c>
    </row>
    <row r="231" spans="1:13">
      <c r="A231" s="121">
        <v>1.6</v>
      </c>
      <c r="B231" s="122" t="s">
        <v>17</v>
      </c>
      <c r="C231" s="123" t="s">
        <v>11</v>
      </c>
      <c r="D231" s="124" t="s">
        <v>62</v>
      </c>
      <c r="E231" s="118">
        <f t="shared" si="9"/>
        <v>309.7103360274</v>
      </c>
      <c r="F231" s="135">
        <f t="shared" si="10"/>
        <v>344.122595586</v>
      </c>
      <c r="G231" s="119">
        <f t="shared" si="11"/>
        <v>361.3287253653</v>
      </c>
      <c r="I231" s="119">
        <v>299.23703964</v>
      </c>
      <c r="J231" s="120">
        <v>1.15</v>
      </c>
    </row>
    <row r="232" spans="1:13">
      <c r="A232" s="121">
        <v>1.6</v>
      </c>
      <c r="B232" s="122" t="s">
        <v>10</v>
      </c>
      <c r="C232" s="123" t="s">
        <v>52</v>
      </c>
      <c r="D232" s="124" t="s">
        <v>62</v>
      </c>
      <c r="E232" s="118">
        <f t="shared" si="9"/>
        <v>232.101422784</v>
      </c>
      <c r="F232" s="135">
        <f t="shared" si="10"/>
        <v>257.89046976</v>
      </c>
      <c r="G232" s="119">
        <f t="shared" si="11"/>
        <v>270.784993248</v>
      </c>
      <c r="I232" s="119">
        <v>224.2525824</v>
      </c>
      <c r="J232" s="120">
        <v>1.15</v>
      </c>
    </row>
    <row r="233" spans="1:13">
      <c r="A233" s="121">
        <v>1.6</v>
      </c>
      <c r="B233" s="122" t="s">
        <v>47</v>
      </c>
      <c r="C233" s="123" t="s">
        <v>52</v>
      </c>
      <c r="D233" s="124" t="s">
        <v>62</v>
      </c>
      <c r="E233" s="118">
        <f t="shared" si="9"/>
        <v>229.78040855616</v>
      </c>
      <c r="F233" s="135">
        <f t="shared" si="10"/>
        <v>255.3115650624</v>
      </c>
      <c r="G233" s="119">
        <f t="shared" si="11"/>
        <v>268.07714331552</v>
      </c>
      <c r="I233" s="119">
        <v>222.010056576</v>
      </c>
      <c r="J233" s="120">
        <v>1.15</v>
      </c>
    </row>
    <row r="234" spans="1:13">
      <c r="A234" s="121">
        <v>1.6</v>
      </c>
      <c r="B234" s="122" t="s">
        <v>63</v>
      </c>
      <c r="C234" s="123" t="s">
        <v>52</v>
      </c>
      <c r="D234" s="124" t="s">
        <v>64</v>
      </c>
      <c r="E234" s="118">
        <f t="shared" si="9"/>
        <v>298.321352752896</v>
      </c>
      <c r="F234" s="135">
        <f t="shared" si="10"/>
        <v>331.46816972544</v>
      </c>
      <c r="G234" s="119">
        <f t="shared" si="11"/>
        <v>348.041578211712</v>
      </c>
      <c r="I234" s="119">
        <v>288.2331910656</v>
      </c>
      <c r="J234" s="120">
        <v>1.15</v>
      </c>
    </row>
    <row r="235" spans="1:13">
      <c r="A235" s="121">
        <v>1.6</v>
      </c>
      <c r="B235" s="122" t="s">
        <v>17</v>
      </c>
      <c r="C235" s="123" t="s">
        <v>52</v>
      </c>
      <c r="D235" s="124" t="s">
        <v>62</v>
      </c>
      <c r="E235" s="118">
        <f t="shared" si="9"/>
        <v>284.75943307812</v>
      </c>
      <c r="F235" s="135">
        <f t="shared" si="10"/>
        <v>316.3993700868</v>
      </c>
      <c r="G235" s="119">
        <f t="shared" si="11"/>
        <v>332.21933859114</v>
      </c>
      <c r="I235" s="119">
        <v>275.129887032</v>
      </c>
      <c r="J235" s="120">
        <v>1.15</v>
      </c>
    </row>
    <row r="236" spans="1:13">
      <c r="A236" s="121">
        <v>1.6</v>
      </c>
      <c r="B236" s="122" t="s">
        <v>18</v>
      </c>
      <c r="C236" s="123" t="s">
        <v>52</v>
      </c>
      <c r="D236" s="124" t="s">
        <v>62</v>
      </c>
      <c r="E236" s="118">
        <f t="shared" si="9"/>
        <v>373.1024764368</v>
      </c>
      <c r="F236" s="135">
        <f t="shared" si="10"/>
        <v>414.558307152</v>
      </c>
      <c r="G236" s="119">
        <f t="shared" si="11"/>
        <v>435.2862225096</v>
      </c>
      <c r="I236" s="119">
        <v>360.48548448</v>
      </c>
      <c r="J236" s="120">
        <v>1.15</v>
      </c>
    </row>
    <row r="237" spans="1:13">
      <c r="A237" s="121">
        <v>1.6</v>
      </c>
      <c r="B237" s="122" t="s">
        <v>19</v>
      </c>
      <c r="C237" s="123" t="s">
        <v>52</v>
      </c>
      <c r="D237" s="124" t="s">
        <v>62</v>
      </c>
      <c r="E237" s="118">
        <f t="shared" si="9"/>
        <v>434.04313188456</v>
      </c>
      <c r="F237" s="135">
        <f t="shared" si="10"/>
        <v>482.2701465384</v>
      </c>
      <c r="G237" s="119">
        <f t="shared" si="11"/>
        <v>506.38365386532</v>
      </c>
      <c r="I237" s="119">
        <v>419.365344816</v>
      </c>
      <c r="J237" s="120">
        <v>1.15</v>
      </c>
    </row>
    <row r="238" spans="1:13">
      <c r="A238" s="121">
        <v>1.7</v>
      </c>
      <c r="B238" s="122" t="s">
        <v>17</v>
      </c>
      <c r="C238" s="123" t="s">
        <v>11</v>
      </c>
      <c r="D238" s="124" t="s">
        <v>64</v>
      </c>
      <c r="E238" s="118">
        <f t="shared" si="9"/>
        <v>306.51894146412</v>
      </c>
      <c r="F238" s="135">
        <f t="shared" si="10"/>
        <v>340.5766016268</v>
      </c>
      <c r="G238" s="119">
        <f t="shared" si="11"/>
        <v>357.60543170814</v>
      </c>
      <c r="I238" s="119">
        <v>296.153566632</v>
      </c>
      <c r="J238" s="120">
        <v>1.15</v>
      </c>
    </row>
    <row r="239" spans="1:13">
      <c r="A239" s="121">
        <v>1.7</v>
      </c>
      <c r="B239" s="122" t="s">
        <v>17</v>
      </c>
      <c r="C239" s="123" t="s">
        <v>52</v>
      </c>
      <c r="D239" s="124" t="s">
        <v>64</v>
      </c>
      <c r="E239" s="118">
        <f t="shared" si="9"/>
        <v>314.35236448308</v>
      </c>
      <c r="F239" s="135">
        <f t="shared" si="10"/>
        <v>349.2804049812</v>
      </c>
      <c r="G239" s="119">
        <f t="shared" si="11"/>
        <v>366.74442523026</v>
      </c>
      <c r="I239" s="119">
        <v>303.722091288</v>
      </c>
      <c r="J239" s="120">
        <v>1.15</v>
      </c>
    </row>
    <row r="240" spans="1:13">
      <c r="A240" s="121">
        <v>1.7</v>
      </c>
      <c r="B240" s="122" t="s">
        <v>19</v>
      </c>
      <c r="C240" s="123" t="s">
        <v>52</v>
      </c>
      <c r="D240" s="124" t="s">
        <v>62</v>
      </c>
      <c r="E240" s="118">
        <f t="shared" si="9"/>
        <v>447.32857164336</v>
      </c>
      <c r="F240" s="135">
        <f t="shared" si="10"/>
        <v>497.0317462704</v>
      </c>
      <c r="G240" s="119">
        <f t="shared" si="11"/>
        <v>521.88333358392</v>
      </c>
      <c r="I240" s="119">
        <v>432.201518496</v>
      </c>
      <c r="J240" s="120">
        <v>1.15</v>
      </c>
    </row>
    <row r="241" spans="1:10">
      <c r="A241" s="121">
        <v>1.8</v>
      </c>
      <c r="B241" s="122" t="s">
        <v>17</v>
      </c>
      <c r="C241" s="123" t="s">
        <v>52</v>
      </c>
      <c r="D241" s="124" t="s">
        <v>65</v>
      </c>
      <c r="E241" s="118">
        <f t="shared" si="9"/>
        <v>326.68275256848</v>
      </c>
      <c r="F241" s="135">
        <f t="shared" si="10"/>
        <v>362.9808361872</v>
      </c>
      <c r="G241" s="119">
        <f t="shared" si="11"/>
        <v>381.12987799656</v>
      </c>
      <c r="I241" s="119">
        <v>315.635509728</v>
      </c>
      <c r="J241" s="120">
        <v>1.15</v>
      </c>
    </row>
    <row r="242" spans="1:10">
      <c r="A242" s="121">
        <v>1.9</v>
      </c>
      <c r="B242" s="122" t="s">
        <v>10</v>
      </c>
      <c r="C242" s="123" t="s">
        <v>52</v>
      </c>
      <c r="D242" s="124" t="s">
        <v>65</v>
      </c>
      <c r="E242" s="118">
        <f t="shared" si="9"/>
        <v>261.54929079972</v>
      </c>
      <c r="F242" s="135">
        <f t="shared" si="10"/>
        <v>290.6103231108</v>
      </c>
      <c r="G242" s="119">
        <f t="shared" si="11"/>
        <v>305.14083926634</v>
      </c>
      <c r="I242" s="119">
        <v>252.704628792</v>
      </c>
      <c r="J242" s="120">
        <v>1.15</v>
      </c>
    </row>
    <row r="243" spans="1:10">
      <c r="A243" s="121">
        <v>1.9</v>
      </c>
      <c r="B243" s="122" t="s">
        <v>17</v>
      </c>
      <c r="C243" s="123" t="s">
        <v>52</v>
      </c>
      <c r="D243" s="124" t="s">
        <v>65</v>
      </c>
      <c r="E243" s="118">
        <f t="shared" si="9"/>
        <v>331.32478102416</v>
      </c>
      <c r="F243" s="135">
        <f t="shared" si="10"/>
        <v>368.1386455824</v>
      </c>
      <c r="G243" s="119">
        <f t="shared" si="11"/>
        <v>386.54557786152</v>
      </c>
      <c r="I243" s="119">
        <v>320.120561376</v>
      </c>
      <c r="J243" s="120">
        <v>1.15</v>
      </c>
    </row>
    <row r="244" spans="1:10">
      <c r="A244" s="121">
        <v>1.9</v>
      </c>
      <c r="B244" s="122" t="s">
        <v>18</v>
      </c>
      <c r="C244" s="123" t="s">
        <v>52</v>
      </c>
      <c r="D244" s="124" t="s">
        <v>65</v>
      </c>
      <c r="E244" s="118">
        <f t="shared" si="9"/>
        <v>416.95976542176</v>
      </c>
      <c r="F244" s="135">
        <f t="shared" si="10"/>
        <v>463.2886282464</v>
      </c>
      <c r="G244" s="119">
        <f t="shared" si="11"/>
        <v>486.45305965872</v>
      </c>
      <c r="I244" s="119">
        <v>402.859676736</v>
      </c>
      <c r="J244" s="120">
        <v>1.15</v>
      </c>
    </row>
    <row r="245" spans="1:10">
      <c r="A245" s="121">
        <v>1.9</v>
      </c>
      <c r="B245" s="122" t="s">
        <v>19</v>
      </c>
      <c r="C245" s="123" t="s">
        <v>52</v>
      </c>
      <c r="D245" s="124" t="s">
        <v>65</v>
      </c>
      <c r="E245" s="118">
        <f t="shared" si="9"/>
        <v>492.03016894944</v>
      </c>
      <c r="F245" s="135">
        <f t="shared" si="10"/>
        <v>546.7001877216</v>
      </c>
      <c r="G245" s="119">
        <f t="shared" si="11"/>
        <v>574.03519710768</v>
      </c>
      <c r="I245" s="119">
        <v>475.391467584</v>
      </c>
      <c r="J245" s="120">
        <v>1.15</v>
      </c>
    </row>
    <row r="246" spans="1:10">
      <c r="A246" s="121">
        <v>1.9</v>
      </c>
      <c r="B246" s="122" t="s">
        <v>13</v>
      </c>
      <c r="C246" s="123" t="s">
        <v>52</v>
      </c>
      <c r="D246" s="124" t="s">
        <v>64</v>
      </c>
      <c r="E246" s="118">
        <f t="shared" si="9"/>
        <v>618.78889417752</v>
      </c>
      <c r="F246" s="135">
        <f t="shared" si="10"/>
        <v>687.5432157528</v>
      </c>
      <c r="G246" s="119">
        <f t="shared" si="11"/>
        <v>721.92037654044</v>
      </c>
      <c r="I246" s="119">
        <v>597.863665872</v>
      </c>
      <c r="J246" s="120">
        <v>1.15</v>
      </c>
    </row>
    <row r="247" spans="1:10">
      <c r="A247" s="121">
        <v>2</v>
      </c>
      <c r="B247" s="122" t="s">
        <v>10</v>
      </c>
      <c r="C247" s="123" t="s">
        <v>11</v>
      </c>
      <c r="D247" s="124" t="s">
        <v>66</v>
      </c>
      <c r="E247" s="118">
        <f t="shared" si="9"/>
        <v>300.2812157268</v>
      </c>
      <c r="F247" s="135">
        <f t="shared" si="10"/>
        <v>333.645795252</v>
      </c>
      <c r="G247" s="119">
        <f t="shared" si="11"/>
        <v>350.3280850146</v>
      </c>
      <c r="I247" s="119">
        <v>290.12677848</v>
      </c>
      <c r="J247" s="120">
        <v>1.15</v>
      </c>
    </row>
    <row r="248" spans="1:10">
      <c r="A248" s="121">
        <v>2</v>
      </c>
      <c r="B248" s="122" t="s">
        <v>17</v>
      </c>
      <c r="C248" s="123" t="s">
        <v>11</v>
      </c>
      <c r="D248" s="124" t="s">
        <v>66</v>
      </c>
      <c r="E248" s="118">
        <f t="shared" si="9"/>
        <v>359.32201514748</v>
      </c>
      <c r="F248" s="135">
        <f t="shared" si="10"/>
        <v>399.2466834972</v>
      </c>
      <c r="G248" s="119">
        <f t="shared" si="11"/>
        <v>419.20901767206</v>
      </c>
      <c r="I248" s="119">
        <v>347.171029128</v>
      </c>
      <c r="J248" s="120">
        <v>1.15</v>
      </c>
    </row>
    <row r="249" spans="1:10">
      <c r="A249" s="121">
        <v>2</v>
      </c>
      <c r="B249" s="122" t="s">
        <v>10</v>
      </c>
      <c r="C249" s="123" t="s">
        <v>52</v>
      </c>
      <c r="D249" s="124" t="s">
        <v>66</v>
      </c>
      <c r="E249" s="118">
        <f t="shared" si="9"/>
        <v>290.99715881544</v>
      </c>
      <c r="F249" s="135">
        <f t="shared" si="10"/>
        <v>323.3301764616</v>
      </c>
      <c r="G249" s="119">
        <f t="shared" si="11"/>
        <v>339.49668528468</v>
      </c>
      <c r="I249" s="119">
        <v>281.156675184</v>
      </c>
      <c r="J249" s="120">
        <v>1.15</v>
      </c>
    </row>
    <row r="250" spans="1:10">
      <c r="A250" s="121">
        <v>2</v>
      </c>
      <c r="B250" s="122" t="s">
        <v>17</v>
      </c>
      <c r="C250" s="123" t="s">
        <v>52</v>
      </c>
      <c r="D250" s="124" t="s">
        <v>66</v>
      </c>
      <c r="E250" s="118">
        <f t="shared" si="9"/>
        <v>343.8002324988</v>
      </c>
      <c r="F250" s="135">
        <f t="shared" si="10"/>
        <v>382.000258332</v>
      </c>
      <c r="G250" s="119">
        <f t="shared" si="11"/>
        <v>401.1002712486</v>
      </c>
      <c r="I250" s="119">
        <v>332.17413768</v>
      </c>
      <c r="J250" s="120">
        <v>1.15</v>
      </c>
    </row>
    <row r="251" spans="1:10">
      <c r="A251" s="121">
        <v>2</v>
      </c>
      <c r="B251" s="122" t="s">
        <v>19</v>
      </c>
      <c r="C251" s="123" t="s">
        <v>52</v>
      </c>
      <c r="D251" s="124" t="s">
        <v>65</v>
      </c>
      <c r="E251" s="118">
        <f t="shared" si="9"/>
        <v>496.579899228336</v>
      </c>
      <c r="F251" s="135">
        <f t="shared" si="10"/>
        <v>551.75544358704</v>
      </c>
      <c r="G251" s="119">
        <f t="shared" si="11"/>
        <v>579.343215766392</v>
      </c>
      <c r="I251" s="119">
        <v>479.7873422496</v>
      </c>
      <c r="J251" s="120">
        <v>1.15</v>
      </c>
    </row>
    <row r="252" spans="1:10">
      <c r="A252" s="121">
        <v>2</v>
      </c>
      <c r="B252" s="122" t="s">
        <v>13</v>
      </c>
      <c r="C252" s="123" t="s">
        <v>52</v>
      </c>
      <c r="D252" s="124" t="s">
        <v>65</v>
      </c>
      <c r="E252" s="118">
        <f t="shared" si="9"/>
        <v>631.682164805472</v>
      </c>
      <c r="F252" s="135">
        <f t="shared" si="10"/>
        <v>701.86907200608</v>
      </c>
      <c r="G252" s="119">
        <f t="shared" si="11"/>
        <v>736.962525606384</v>
      </c>
      <c r="I252" s="119">
        <v>610.3209321792</v>
      </c>
      <c r="J252" s="120">
        <v>1.15</v>
      </c>
    </row>
    <row r="253" spans="1:10">
      <c r="A253" s="121">
        <v>2.1</v>
      </c>
      <c r="B253" s="122" t="s">
        <v>10</v>
      </c>
      <c r="C253" s="123" t="s">
        <v>52</v>
      </c>
      <c r="D253" s="124" t="s">
        <v>66</v>
      </c>
      <c r="E253" s="118">
        <f t="shared" si="9"/>
        <v>311.1609699198</v>
      </c>
      <c r="F253" s="135">
        <f t="shared" si="10"/>
        <v>345.734411022</v>
      </c>
      <c r="G253" s="119">
        <f t="shared" si="11"/>
        <v>363.0211315731</v>
      </c>
      <c r="I253" s="119">
        <v>300.63861828</v>
      </c>
      <c r="J253" s="120">
        <v>1.15</v>
      </c>
    </row>
    <row r="254" spans="1:10">
      <c r="A254" s="121">
        <v>2.1</v>
      </c>
      <c r="B254" s="122" t="s">
        <v>17</v>
      </c>
      <c r="C254" s="123" t="s">
        <v>52</v>
      </c>
      <c r="D254" s="124" t="s">
        <v>66</v>
      </c>
      <c r="E254" s="118">
        <f t="shared" si="9"/>
        <v>363.96404360316</v>
      </c>
      <c r="F254" s="135">
        <f t="shared" si="10"/>
        <v>404.4044928924</v>
      </c>
      <c r="G254" s="119">
        <f t="shared" si="11"/>
        <v>424.62471753702</v>
      </c>
      <c r="I254" s="119">
        <v>351.656080776</v>
      </c>
      <c r="J254" s="120">
        <v>1.15</v>
      </c>
    </row>
    <row r="255" spans="1:10">
      <c r="A255" s="121">
        <v>2.1</v>
      </c>
      <c r="B255" s="122" t="s">
        <v>19</v>
      </c>
      <c r="C255" s="123" t="s">
        <v>52</v>
      </c>
      <c r="D255" s="124" t="s">
        <v>66</v>
      </c>
      <c r="E255" s="118">
        <f t="shared" si="9"/>
        <v>515.708090675712</v>
      </c>
      <c r="F255" s="135">
        <f t="shared" si="10"/>
        <v>573.00898963968</v>
      </c>
      <c r="G255" s="119">
        <f t="shared" si="11"/>
        <v>601.659439121664</v>
      </c>
      <c r="I255" s="119">
        <v>498.2686866432</v>
      </c>
      <c r="J255" s="120">
        <v>1.15</v>
      </c>
    </row>
    <row r="256" spans="1:10">
      <c r="A256" s="121">
        <v>2.1</v>
      </c>
      <c r="B256" s="122" t="s">
        <v>13</v>
      </c>
      <c r="C256" s="123" t="s">
        <v>52</v>
      </c>
      <c r="D256" s="124" t="s">
        <v>65</v>
      </c>
      <c r="E256" s="118">
        <f t="shared" si="9"/>
        <v>644.63511334464</v>
      </c>
      <c r="F256" s="135">
        <f t="shared" si="10"/>
        <v>716.2612370496</v>
      </c>
      <c r="G256" s="119">
        <f t="shared" si="11"/>
        <v>752.07429890208</v>
      </c>
      <c r="I256" s="119">
        <v>622.835858304</v>
      </c>
      <c r="J256" s="120">
        <v>1.15</v>
      </c>
    </row>
    <row r="257" spans="1:10">
      <c r="A257" s="121">
        <v>2.2</v>
      </c>
      <c r="B257" s="122" t="s">
        <v>18</v>
      </c>
      <c r="C257" s="123" t="s">
        <v>52</v>
      </c>
      <c r="D257" s="124" t="s">
        <v>66</v>
      </c>
      <c r="E257" s="118">
        <f t="shared" si="9"/>
        <v>339.924107457792</v>
      </c>
      <c r="F257" s="135">
        <f t="shared" si="10"/>
        <v>377.69345273088</v>
      </c>
      <c r="G257" s="119">
        <f t="shared" si="11"/>
        <v>396.578125367424</v>
      </c>
      <c r="I257" s="119">
        <v>328.4290893312</v>
      </c>
      <c r="J257" s="120">
        <v>1.15</v>
      </c>
    </row>
    <row r="258" spans="1:10">
      <c r="A258" s="121">
        <v>2.3</v>
      </c>
      <c r="B258" s="122" t="s">
        <v>17</v>
      </c>
      <c r="C258" s="123" t="s">
        <v>11</v>
      </c>
      <c r="D258" s="124" t="s">
        <v>67</v>
      </c>
      <c r="E258" s="118">
        <f t="shared" si="9"/>
        <v>404.29166581188</v>
      </c>
      <c r="F258" s="135">
        <f t="shared" si="10"/>
        <v>449.2129620132</v>
      </c>
      <c r="G258" s="119">
        <f t="shared" si="11"/>
        <v>471.67361011386</v>
      </c>
      <c r="I258" s="119">
        <v>390.619966968</v>
      </c>
      <c r="J258" s="120">
        <v>1.15</v>
      </c>
    </row>
    <row r="259" spans="1:10">
      <c r="A259" s="121">
        <v>2.3</v>
      </c>
      <c r="B259" s="122" t="s">
        <v>10</v>
      </c>
      <c r="C259" s="123" t="s">
        <v>52</v>
      </c>
      <c r="D259" s="124" t="s">
        <v>68</v>
      </c>
      <c r="E259" s="118">
        <f t="shared" ref="E259:E280" si="12">F259*0.9</f>
        <v>331.32478102416</v>
      </c>
      <c r="F259" s="135">
        <f t="shared" ref="F259:F280" si="13">I259*J259</f>
        <v>368.1386455824</v>
      </c>
      <c r="G259" s="119">
        <f t="shared" ref="G259:G280" si="14">F259*1.05</f>
        <v>386.54557786152</v>
      </c>
      <c r="I259" s="119">
        <v>320.120561376</v>
      </c>
      <c r="J259" s="120">
        <v>1.15</v>
      </c>
    </row>
    <row r="260" spans="1:10">
      <c r="A260" s="121">
        <v>2.3</v>
      </c>
      <c r="B260" s="122" t="s">
        <v>17</v>
      </c>
      <c r="C260" s="123" t="s">
        <v>52</v>
      </c>
      <c r="D260" s="124" t="s">
        <v>68</v>
      </c>
      <c r="E260" s="118">
        <f t="shared" si="12"/>
        <v>384.12785470752</v>
      </c>
      <c r="F260" s="135">
        <f t="shared" si="13"/>
        <v>426.8087274528</v>
      </c>
      <c r="G260" s="119">
        <f t="shared" si="14"/>
        <v>448.14916382544</v>
      </c>
      <c r="I260" s="119">
        <v>371.138023872</v>
      </c>
      <c r="J260" s="120">
        <v>1.15</v>
      </c>
    </row>
    <row r="261" spans="1:10">
      <c r="A261" s="121">
        <v>2.3</v>
      </c>
      <c r="B261" s="122" t="s">
        <v>18</v>
      </c>
      <c r="C261" s="123" t="s">
        <v>52</v>
      </c>
      <c r="D261" s="124" t="s">
        <v>68</v>
      </c>
      <c r="E261" s="118">
        <f t="shared" si="12"/>
        <v>463.6710768096</v>
      </c>
      <c r="F261" s="135">
        <f t="shared" si="13"/>
        <v>515.190085344</v>
      </c>
      <c r="G261" s="119">
        <f t="shared" si="14"/>
        <v>540.9495896112</v>
      </c>
      <c r="I261" s="119">
        <v>447.99137856</v>
      </c>
      <c r="J261" s="120">
        <v>1.15</v>
      </c>
    </row>
    <row r="262" spans="1:10">
      <c r="A262" s="121">
        <v>2.3</v>
      </c>
      <c r="B262" s="122" t="s">
        <v>19</v>
      </c>
      <c r="C262" s="123" t="s">
        <v>52</v>
      </c>
      <c r="D262" s="124" t="s">
        <v>68</v>
      </c>
      <c r="E262" s="118">
        <f t="shared" si="12"/>
        <v>539.655983905104</v>
      </c>
      <c r="F262" s="135">
        <f t="shared" si="13"/>
        <v>599.61775989456</v>
      </c>
      <c r="G262" s="119">
        <f t="shared" si="14"/>
        <v>629.598647889288</v>
      </c>
      <c r="I262" s="119">
        <v>521.4067477344</v>
      </c>
      <c r="J262" s="120">
        <v>1.15</v>
      </c>
    </row>
    <row r="263" spans="1:10">
      <c r="A263" s="121">
        <v>2.3</v>
      </c>
      <c r="B263" s="122" t="s">
        <v>61</v>
      </c>
      <c r="C263" s="123" t="s">
        <v>52</v>
      </c>
      <c r="D263" s="124" t="s">
        <v>68</v>
      </c>
      <c r="E263" s="118">
        <f t="shared" si="12"/>
        <v>607.583655895392</v>
      </c>
      <c r="F263" s="135">
        <f t="shared" si="13"/>
        <v>675.09295099488</v>
      </c>
      <c r="G263" s="119">
        <f t="shared" si="14"/>
        <v>708.847598544624</v>
      </c>
      <c r="I263" s="119">
        <v>587.0373486912</v>
      </c>
      <c r="J263" s="120">
        <v>1.15</v>
      </c>
    </row>
    <row r="264" spans="1:10">
      <c r="A264" s="121">
        <v>2.3</v>
      </c>
      <c r="B264" s="122" t="s">
        <v>13</v>
      </c>
      <c r="C264" s="123" t="s">
        <v>52</v>
      </c>
      <c r="D264" s="124" t="s">
        <v>68</v>
      </c>
      <c r="E264" s="118">
        <f t="shared" si="12"/>
        <v>678.52364149944</v>
      </c>
      <c r="F264" s="135">
        <f t="shared" si="13"/>
        <v>753.9151572216</v>
      </c>
      <c r="G264" s="119">
        <f t="shared" si="14"/>
        <v>791.61091508268</v>
      </c>
      <c r="I264" s="119">
        <v>655.578397584</v>
      </c>
      <c r="J264" s="120">
        <v>1.15</v>
      </c>
    </row>
    <row r="265" spans="1:10">
      <c r="A265" s="121">
        <v>2.4</v>
      </c>
      <c r="B265" s="122" t="s">
        <v>10</v>
      </c>
      <c r="C265" s="123" t="s">
        <v>52</v>
      </c>
      <c r="D265" s="124" t="s">
        <v>67</v>
      </c>
      <c r="E265" s="118">
        <f t="shared" si="12"/>
        <v>384.12785470752</v>
      </c>
      <c r="F265" s="135">
        <f t="shared" si="13"/>
        <v>426.8087274528</v>
      </c>
      <c r="G265" s="119">
        <f t="shared" si="14"/>
        <v>448.14916382544</v>
      </c>
      <c r="I265" s="119">
        <v>371.138023872</v>
      </c>
      <c r="J265" s="120">
        <v>1.15</v>
      </c>
    </row>
    <row r="266" spans="1:10">
      <c r="A266" s="121">
        <v>2.4</v>
      </c>
      <c r="B266" s="122" t="s">
        <v>47</v>
      </c>
      <c r="C266" s="123" t="s">
        <v>52</v>
      </c>
      <c r="D266" s="124" t="s">
        <v>67</v>
      </c>
      <c r="E266" s="118">
        <f t="shared" si="12"/>
        <v>381.80684047968</v>
      </c>
      <c r="F266" s="135">
        <f t="shared" si="13"/>
        <v>424.2298227552</v>
      </c>
      <c r="G266" s="119">
        <f t="shared" si="14"/>
        <v>445.44131389296</v>
      </c>
      <c r="I266" s="119">
        <v>368.895498048</v>
      </c>
      <c r="J266" s="120">
        <v>1.15</v>
      </c>
    </row>
    <row r="267" spans="1:10">
      <c r="A267" s="121">
        <v>2.4</v>
      </c>
      <c r="B267" s="122" t="s">
        <v>17</v>
      </c>
      <c r="C267" s="123" t="s">
        <v>52</v>
      </c>
      <c r="D267" s="124" t="s">
        <v>67</v>
      </c>
      <c r="E267" s="118">
        <f t="shared" si="12"/>
        <v>443.1686541282</v>
      </c>
      <c r="F267" s="135">
        <f t="shared" si="13"/>
        <v>492.409615698</v>
      </c>
      <c r="G267" s="119">
        <f t="shared" si="14"/>
        <v>517.0300964829</v>
      </c>
      <c r="I267" s="119">
        <v>428.18227452</v>
      </c>
      <c r="J267" s="120">
        <v>1.15</v>
      </c>
    </row>
    <row r="268" spans="1:10">
      <c r="A268" s="121">
        <v>2.4</v>
      </c>
      <c r="B268" s="122" t="s">
        <v>18</v>
      </c>
      <c r="C268" s="123" t="s">
        <v>52</v>
      </c>
      <c r="D268" s="124" t="s">
        <v>67</v>
      </c>
      <c r="E268" s="118">
        <f t="shared" si="12"/>
        <v>528.737050866816</v>
      </c>
      <c r="F268" s="135">
        <f t="shared" si="13"/>
        <v>587.48561207424</v>
      </c>
      <c r="G268" s="119">
        <f t="shared" si="14"/>
        <v>616.859892677952</v>
      </c>
      <c r="I268" s="119">
        <v>510.8570539776</v>
      </c>
      <c r="J268" s="120">
        <v>1.15</v>
      </c>
    </row>
    <row r="269" spans="1:10">
      <c r="A269" s="121">
        <v>2.4</v>
      </c>
      <c r="B269" s="122" t="s">
        <v>19</v>
      </c>
      <c r="C269" s="123" t="s">
        <v>52</v>
      </c>
      <c r="D269" s="124" t="s">
        <v>68</v>
      </c>
      <c r="E269" s="118">
        <f t="shared" si="12"/>
        <v>561.947104646928</v>
      </c>
      <c r="F269" s="135">
        <f t="shared" si="13"/>
        <v>624.38567182992</v>
      </c>
      <c r="G269" s="119">
        <f t="shared" si="14"/>
        <v>655.604955421416</v>
      </c>
      <c r="I269" s="119">
        <v>542.9440624608</v>
      </c>
      <c r="J269" s="120">
        <v>1.15</v>
      </c>
    </row>
    <row r="270" spans="1:10">
      <c r="A270" s="121">
        <v>2.4</v>
      </c>
      <c r="B270" s="122" t="s">
        <v>13</v>
      </c>
      <c r="C270" s="123" t="s">
        <v>52</v>
      </c>
      <c r="D270" s="124" t="s">
        <v>68</v>
      </c>
      <c r="E270" s="118">
        <f t="shared" si="12"/>
        <v>696.145676139936</v>
      </c>
      <c r="F270" s="135">
        <f t="shared" si="13"/>
        <v>773.49519571104</v>
      </c>
      <c r="G270" s="119">
        <f t="shared" si="14"/>
        <v>812.169955496592</v>
      </c>
      <c r="I270" s="119">
        <v>672.6045180096</v>
      </c>
      <c r="J270" s="120">
        <v>1.15</v>
      </c>
    </row>
    <row r="271" spans="1:10">
      <c r="A271" s="121">
        <v>2.6</v>
      </c>
      <c r="B271" s="122" t="s">
        <v>13</v>
      </c>
      <c r="C271" s="123" t="s">
        <v>52</v>
      </c>
      <c r="D271" s="124" t="s">
        <v>67</v>
      </c>
      <c r="E271" s="118">
        <f t="shared" si="12"/>
        <v>725.21450251272</v>
      </c>
      <c r="F271" s="135">
        <f t="shared" si="13"/>
        <v>805.7938916808</v>
      </c>
      <c r="G271" s="119">
        <f t="shared" si="14"/>
        <v>846.08358626484</v>
      </c>
      <c r="I271" s="119">
        <v>700.690340592</v>
      </c>
      <c r="J271" s="120">
        <v>1.15</v>
      </c>
    </row>
    <row r="272" spans="1:10">
      <c r="A272" s="121">
        <v>2.9</v>
      </c>
      <c r="B272" s="122" t="s">
        <v>10</v>
      </c>
      <c r="C272" s="123" t="s">
        <v>52</v>
      </c>
      <c r="D272" s="124" t="s">
        <v>69</v>
      </c>
      <c r="E272" s="118">
        <f t="shared" si="12"/>
        <v>416.76711728652</v>
      </c>
      <c r="F272" s="135">
        <f t="shared" si="13"/>
        <v>463.0745747628</v>
      </c>
      <c r="G272" s="119">
        <f t="shared" si="14"/>
        <v>486.22830350094</v>
      </c>
      <c r="I272" s="119">
        <v>402.673543272</v>
      </c>
      <c r="J272" s="120">
        <v>1.15</v>
      </c>
    </row>
    <row r="273" spans="1:10">
      <c r="A273" s="121">
        <v>3</v>
      </c>
      <c r="B273" s="122" t="s">
        <v>17</v>
      </c>
      <c r="C273" s="123" t="s">
        <v>11</v>
      </c>
      <c r="D273" s="124" t="s">
        <v>69</v>
      </c>
      <c r="E273" s="118">
        <f t="shared" si="12"/>
        <v>463.33246523256</v>
      </c>
      <c r="F273" s="135">
        <f t="shared" si="13"/>
        <v>514.8138502584</v>
      </c>
      <c r="G273" s="119">
        <f t="shared" si="14"/>
        <v>540.55454277132</v>
      </c>
      <c r="I273" s="119">
        <v>447.664217616</v>
      </c>
      <c r="J273" s="120">
        <v>1.15</v>
      </c>
    </row>
    <row r="274" spans="1:10">
      <c r="A274" s="121">
        <v>3</v>
      </c>
      <c r="B274" s="122" t="s">
        <v>13</v>
      </c>
      <c r="C274" s="123" t="s">
        <v>52</v>
      </c>
      <c r="D274" s="124" t="s">
        <v>70</v>
      </c>
      <c r="E274" s="118">
        <f t="shared" si="12"/>
        <v>781.69538277072</v>
      </c>
      <c r="F274" s="135">
        <f t="shared" si="13"/>
        <v>868.5504253008</v>
      </c>
      <c r="G274" s="119">
        <f t="shared" si="14"/>
        <v>911.97794656584</v>
      </c>
      <c r="I274" s="119">
        <v>755.261239392</v>
      </c>
      <c r="J274" s="120">
        <v>1.15</v>
      </c>
    </row>
    <row r="275" spans="1:10">
      <c r="A275" s="121">
        <v>3.1</v>
      </c>
      <c r="B275" s="122" t="s">
        <v>10</v>
      </c>
      <c r="C275" s="123" t="s">
        <v>52</v>
      </c>
      <c r="D275" s="124" t="s">
        <v>71</v>
      </c>
      <c r="E275" s="118">
        <f t="shared" si="12"/>
        <v>443.1686541282</v>
      </c>
      <c r="F275" s="135">
        <f t="shared" si="13"/>
        <v>492.409615698</v>
      </c>
      <c r="G275" s="119">
        <f t="shared" si="14"/>
        <v>517.0300964829</v>
      </c>
      <c r="I275" s="119">
        <v>428.18227452</v>
      </c>
      <c r="J275" s="120">
        <v>1.15</v>
      </c>
    </row>
    <row r="276" spans="1:10">
      <c r="A276" s="121">
        <v>3.1</v>
      </c>
      <c r="B276" s="122" t="s">
        <v>17</v>
      </c>
      <c r="C276" s="123" t="s">
        <v>52</v>
      </c>
      <c r="D276" s="124" t="s">
        <v>69</v>
      </c>
      <c r="E276" s="118">
        <f t="shared" si="12"/>
        <v>502.06439015964</v>
      </c>
      <c r="F276" s="135">
        <f t="shared" si="13"/>
        <v>557.8493223996</v>
      </c>
      <c r="G276" s="119">
        <f t="shared" si="14"/>
        <v>585.74178851958</v>
      </c>
      <c r="I276" s="119">
        <v>485.086367304</v>
      </c>
      <c r="J276" s="120">
        <v>1.15</v>
      </c>
    </row>
    <row r="277" spans="1:10">
      <c r="A277" s="121">
        <v>3.1</v>
      </c>
      <c r="B277" s="122" t="s">
        <v>18</v>
      </c>
      <c r="C277" s="123" t="s">
        <v>52</v>
      </c>
      <c r="D277" s="124" t="s">
        <v>69</v>
      </c>
      <c r="E277" s="118">
        <f t="shared" si="12"/>
        <v>587.266022857536</v>
      </c>
      <c r="F277" s="135">
        <f t="shared" si="13"/>
        <v>652.51780317504</v>
      </c>
      <c r="G277" s="119">
        <f t="shared" si="14"/>
        <v>685.143693333792</v>
      </c>
      <c r="I277" s="119">
        <v>567.4067853696</v>
      </c>
      <c r="J277" s="120">
        <v>1.15</v>
      </c>
    </row>
    <row r="278" spans="1:10">
      <c r="A278" s="121">
        <v>3.1</v>
      </c>
      <c r="B278" s="122" t="s">
        <v>19</v>
      </c>
      <c r="C278" s="123" t="s">
        <v>52</v>
      </c>
      <c r="D278" s="124" t="s">
        <v>69</v>
      </c>
      <c r="E278" s="118">
        <f t="shared" si="12"/>
        <v>796.606335158832</v>
      </c>
      <c r="F278" s="135">
        <f t="shared" si="13"/>
        <v>885.11815017648</v>
      </c>
      <c r="G278" s="119">
        <f t="shared" si="14"/>
        <v>929.374057685304</v>
      </c>
      <c r="I278" s="119">
        <v>769.6679566752</v>
      </c>
      <c r="J278" s="120">
        <v>1.15</v>
      </c>
    </row>
    <row r="279" spans="1:10">
      <c r="A279" s="121">
        <v>3.1</v>
      </c>
      <c r="B279" s="122" t="s">
        <v>13</v>
      </c>
      <c r="C279" s="123" t="s">
        <v>52</v>
      </c>
      <c r="D279" s="124" t="s">
        <v>69</v>
      </c>
      <c r="E279" s="118">
        <f t="shared" si="12"/>
        <v>886.37328084888</v>
      </c>
      <c r="F279" s="135">
        <f t="shared" si="13"/>
        <v>984.8592009432</v>
      </c>
      <c r="G279" s="119">
        <f t="shared" si="14"/>
        <v>1034.10216099036</v>
      </c>
      <c r="I279" s="119">
        <v>856.399305168</v>
      </c>
      <c r="J279" s="120">
        <v>1.15</v>
      </c>
    </row>
    <row r="280" spans="1:10">
      <c r="A280" s="121">
        <v>3.2</v>
      </c>
      <c r="B280" s="122" t="s">
        <v>10</v>
      </c>
      <c r="C280" s="123" t="s">
        <v>52</v>
      </c>
      <c r="D280" s="124" t="s">
        <v>71</v>
      </c>
      <c r="E280" s="118">
        <f t="shared" si="12"/>
        <v>455.4990422136</v>
      </c>
      <c r="F280" s="135">
        <f t="shared" si="13"/>
        <v>506.110046904</v>
      </c>
      <c r="G280" s="119">
        <f t="shared" si="14"/>
        <v>531.4155492492</v>
      </c>
      <c r="I280" s="119">
        <v>440.09569296</v>
      </c>
      <c r="J280" s="120">
        <v>1.15</v>
      </c>
    </row>
    <row r="281" spans="1:10">
      <c r="A281" s="161"/>
      <c r="B281" s="161"/>
      <c r="C281" s="162"/>
      <c r="D281" s="163"/>
      <c r="E281" s="163"/>
    </row>
    <row r="282" spans="1:10">
      <c r="A282" s="161"/>
      <c r="B282" s="161"/>
      <c r="C282" s="162"/>
    </row>
    <row r="283" spans="1:10">
      <c r="A283" s="164"/>
      <c r="B283" s="164"/>
      <c r="C283" s="165"/>
    </row>
    <row r="284" spans="1:10">
      <c r="A284" s="164"/>
      <c r="B284" s="164"/>
      <c r="C284" s="164"/>
    </row>
    <row r="285" spans="1:10">
      <c r="A285" s="164"/>
      <c r="B285" s="164"/>
      <c r="C285" s="164"/>
    </row>
    <row r="286" spans="1:10">
      <c r="A286" s="164"/>
      <c r="B286" s="164"/>
      <c r="C286" s="164"/>
    </row>
    <row r="287" spans="1:10">
      <c r="A287" s="164"/>
      <c r="B287" s="164"/>
      <c r="C287" s="164"/>
    </row>
    <row r="288" spans="1:10">
      <c r="A288" s="164"/>
      <c r="B288" s="164"/>
      <c r="C288" s="164"/>
    </row>
    <row r="289" spans="1:3">
      <c r="A289" s="164"/>
      <c r="B289" s="164"/>
      <c r="C289" s="164"/>
    </row>
    <row r="290" spans="1:3">
      <c r="A290" s="164"/>
      <c r="B290" s="164"/>
      <c r="C290" s="164"/>
    </row>
    <row r="291" spans="1:3">
      <c r="A291" s="164"/>
      <c r="B291" s="164"/>
      <c r="C291" s="164"/>
    </row>
    <row r="292" spans="1:3">
      <c r="A292" s="164"/>
      <c r="B292" s="164"/>
      <c r="C292" s="164"/>
    </row>
    <row r="293" spans="1:3">
      <c r="A293" s="164"/>
      <c r="B293" s="164"/>
      <c r="C293" s="164"/>
    </row>
    <row r="294" spans="1:3">
      <c r="A294" s="164"/>
      <c r="B294" s="164"/>
      <c r="C294" s="164"/>
    </row>
    <row r="295" spans="1:3">
      <c r="A295" s="164"/>
      <c r="B295" s="164"/>
      <c r="C295" s="164"/>
    </row>
    <row r="296" spans="1:3">
      <c r="A296" s="164"/>
      <c r="B296" s="164"/>
      <c r="C296" s="164"/>
    </row>
    <row r="297" spans="1:3">
      <c r="A297" s="164"/>
      <c r="B297" s="164"/>
      <c r="C297" s="164"/>
    </row>
    <row r="298" spans="1:3">
      <c r="A298" s="164"/>
      <c r="B298" s="164"/>
      <c r="C298" s="164"/>
    </row>
    <row r="299" spans="1:3">
      <c r="A299" s="164"/>
      <c r="B299" s="164"/>
      <c r="C299" s="164"/>
    </row>
    <row r="300" spans="1:3">
      <c r="A300" s="164"/>
      <c r="B300" s="164"/>
      <c r="C300" s="164"/>
    </row>
    <row r="301" spans="1:3">
      <c r="A301" s="164"/>
      <c r="B301" s="164"/>
      <c r="C301" s="164"/>
    </row>
    <row r="302" spans="1:3">
      <c r="A302" s="164"/>
      <c r="B302" s="164"/>
      <c r="C302" s="164"/>
    </row>
    <row r="303" spans="1:3">
      <c r="A303" s="164"/>
      <c r="B303" s="164"/>
      <c r="C303" s="164"/>
    </row>
    <row r="304" spans="1:3">
      <c r="A304" s="164"/>
      <c r="B304" s="164"/>
      <c r="C304" s="164"/>
    </row>
    <row r="305" spans="1:3">
      <c r="A305" s="164"/>
      <c r="B305" s="164"/>
      <c r="C305" s="164"/>
    </row>
    <row r="306" spans="1:3">
      <c r="A306" s="164"/>
      <c r="B306" s="164"/>
      <c r="C306" s="164"/>
    </row>
    <row r="307" spans="1:3">
      <c r="A307" s="164"/>
      <c r="B307" s="164"/>
      <c r="C307" s="164"/>
    </row>
    <row r="308" spans="1:3">
      <c r="A308" s="164"/>
      <c r="B308" s="164"/>
      <c r="C308" s="164"/>
    </row>
    <row r="309" spans="1:3">
      <c r="A309" s="164"/>
      <c r="B309" s="164"/>
      <c r="C309" s="164"/>
    </row>
    <row r="310" spans="1:3">
      <c r="A310" s="164"/>
      <c r="B310" s="164"/>
      <c r="C310" s="164"/>
    </row>
    <row r="311" spans="1:3">
      <c r="A311" s="164"/>
      <c r="B311" s="164"/>
      <c r="C311" s="164"/>
    </row>
    <row r="312" spans="1:3">
      <c r="A312" s="164"/>
      <c r="B312" s="164"/>
      <c r="C312" s="164"/>
    </row>
    <row r="313" spans="1:3">
      <c r="A313" s="164"/>
      <c r="B313" s="164"/>
      <c r="C313" s="164"/>
    </row>
    <row r="314" spans="1:3">
      <c r="A314" s="164"/>
      <c r="B314" s="164"/>
      <c r="C314" s="164"/>
    </row>
    <row r="315" spans="1:3">
      <c r="A315" s="164"/>
      <c r="B315" s="164"/>
      <c r="C315" s="164"/>
    </row>
    <row r="316" spans="1:3">
      <c r="A316" s="164"/>
      <c r="B316" s="164"/>
      <c r="C316" s="164"/>
    </row>
    <row r="317" spans="1:3">
      <c r="A317" s="164"/>
      <c r="B317" s="164"/>
      <c r="C317" s="164"/>
    </row>
    <row r="318" spans="1:3">
      <c r="A318" s="164"/>
      <c r="B318" s="164"/>
      <c r="C318" s="164"/>
    </row>
    <row r="319" spans="1:3">
      <c r="A319" s="164"/>
      <c r="B319" s="164"/>
      <c r="C319" s="164"/>
    </row>
    <row r="320" spans="1:3">
      <c r="A320" s="164"/>
      <c r="B320" s="164"/>
      <c r="C320" s="164"/>
    </row>
    <row r="321" spans="1:3">
      <c r="A321" s="164"/>
      <c r="B321" s="164"/>
      <c r="C321" s="164"/>
    </row>
    <row r="322" spans="1:3">
      <c r="A322" s="164"/>
      <c r="B322" s="164"/>
      <c r="C322" s="164"/>
    </row>
    <row r="323" spans="1:3">
      <c r="A323" s="164"/>
      <c r="B323" s="164"/>
      <c r="C323" s="164"/>
    </row>
    <row r="324" spans="1:3">
      <c r="A324" s="164"/>
      <c r="B324" s="164"/>
      <c r="C324" s="164"/>
    </row>
    <row r="325" spans="1:3">
      <c r="A325" s="164"/>
      <c r="B325" s="164"/>
      <c r="C325" s="164"/>
    </row>
    <row r="326" spans="1:3">
      <c r="A326" s="164"/>
      <c r="B326" s="164"/>
      <c r="C326" s="164"/>
    </row>
    <row r="327" spans="1:3">
      <c r="A327" s="164"/>
      <c r="B327" s="164"/>
      <c r="C327" s="164"/>
    </row>
    <row r="328" spans="1:3">
      <c r="A328" s="164"/>
      <c r="B328" s="164"/>
      <c r="C328" s="164"/>
    </row>
    <row r="329" spans="1:3">
      <c r="A329" s="164"/>
      <c r="B329" s="164"/>
      <c r="C329" s="164"/>
    </row>
    <row r="330" spans="1:3">
      <c r="A330" s="164"/>
      <c r="B330" s="164"/>
      <c r="C330" s="164"/>
    </row>
    <row r="331" spans="1:3">
      <c r="A331" s="164"/>
      <c r="B331" s="164"/>
      <c r="C331" s="164"/>
    </row>
    <row r="332" spans="1:3">
      <c r="A332" s="164"/>
      <c r="B332" s="164"/>
      <c r="C332" s="164"/>
    </row>
    <row r="333" spans="1:3">
      <c r="A333" s="164"/>
      <c r="B333" s="164"/>
      <c r="C333" s="164"/>
    </row>
    <row r="334" spans="1:3">
      <c r="A334" s="164"/>
      <c r="B334" s="164"/>
      <c r="C334" s="164"/>
    </row>
    <row r="335" spans="1:3">
      <c r="A335" s="164"/>
      <c r="B335" s="164"/>
      <c r="C335" s="164"/>
    </row>
    <row r="336" spans="1:3">
      <c r="A336" s="164"/>
      <c r="B336" s="164"/>
      <c r="C336" s="164"/>
    </row>
    <row r="337" spans="1:3">
      <c r="A337" s="164"/>
      <c r="B337" s="164"/>
      <c r="C337" s="164"/>
    </row>
    <row r="338" spans="1:3">
      <c r="A338" s="164"/>
      <c r="B338" s="164"/>
      <c r="C338" s="164"/>
    </row>
    <row r="339" spans="1:3">
      <c r="A339" s="164"/>
      <c r="B339" s="164"/>
      <c r="C339" s="164"/>
    </row>
    <row r="340" spans="1:3">
      <c r="A340" s="164"/>
      <c r="B340" s="164"/>
      <c r="C340" s="164"/>
    </row>
    <row r="341" spans="1:3">
      <c r="A341" s="164"/>
      <c r="B341" s="164"/>
      <c r="C341" s="164"/>
    </row>
    <row r="342" spans="1:3">
      <c r="A342" s="164"/>
      <c r="B342" s="164"/>
      <c r="C342" s="164"/>
    </row>
    <row r="343" spans="1:3">
      <c r="A343" s="164"/>
      <c r="B343" s="164"/>
      <c r="C343" s="164"/>
    </row>
    <row r="344" spans="1:3">
      <c r="A344" s="164"/>
      <c r="B344" s="164"/>
      <c r="C344" s="164"/>
    </row>
    <row r="345" spans="1:3">
      <c r="A345" s="164"/>
      <c r="B345" s="164"/>
      <c r="C345" s="164"/>
    </row>
    <row r="346" spans="1:3">
      <c r="A346" s="164"/>
      <c r="B346" s="164"/>
      <c r="C346" s="164"/>
    </row>
    <row r="347" spans="1:3">
      <c r="A347" s="164"/>
      <c r="B347" s="164"/>
      <c r="C347" s="164"/>
    </row>
    <row r="348" spans="1:3">
      <c r="A348" s="164"/>
      <c r="B348" s="164"/>
      <c r="C348" s="164"/>
    </row>
    <row r="349" spans="1:3">
      <c r="A349" s="164"/>
      <c r="B349" s="164"/>
      <c r="C349" s="164"/>
    </row>
    <row r="350" spans="1:3">
      <c r="A350" s="164"/>
      <c r="B350" s="164"/>
      <c r="C350" s="164"/>
    </row>
    <row r="351" spans="1:3">
      <c r="A351" s="164"/>
      <c r="B351" s="164"/>
      <c r="C351" s="164"/>
    </row>
    <row r="352" spans="1:3">
      <c r="A352" s="164"/>
      <c r="B352" s="164"/>
      <c r="C352" s="164"/>
    </row>
    <row r="353" spans="1:3">
      <c r="A353" s="164"/>
      <c r="B353" s="164"/>
      <c r="C353" s="164"/>
    </row>
    <row r="354" spans="1:3">
      <c r="A354" s="164"/>
      <c r="B354" s="164"/>
      <c r="C354" s="164"/>
    </row>
    <row r="355" spans="1:3">
      <c r="A355" s="164"/>
      <c r="B355" s="164"/>
      <c r="C355" s="164"/>
    </row>
    <row r="356" spans="1:3">
      <c r="A356" s="164"/>
      <c r="B356" s="164"/>
      <c r="C356" s="164"/>
    </row>
    <row r="357" spans="1:3">
      <c r="A357" s="164"/>
      <c r="B357" s="164"/>
      <c r="C357" s="164"/>
    </row>
    <row r="358" spans="1:3">
      <c r="A358" s="164"/>
      <c r="B358" s="164"/>
      <c r="C358" s="164"/>
    </row>
    <row r="359" spans="1:3">
      <c r="A359" s="164"/>
      <c r="B359" s="164"/>
      <c r="C359" s="164"/>
    </row>
    <row r="360" spans="1:3">
      <c r="A360" s="164"/>
      <c r="B360" s="164"/>
      <c r="C360" s="164"/>
    </row>
    <row r="361" spans="1:3">
      <c r="A361" s="164"/>
      <c r="B361" s="164"/>
      <c r="C361" s="164"/>
    </row>
    <row r="362" spans="1:3">
      <c r="A362" s="164"/>
      <c r="B362" s="164"/>
      <c r="C362" s="164"/>
    </row>
    <row r="363" spans="1:3">
      <c r="A363" s="164"/>
      <c r="B363" s="164"/>
      <c r="C363" s="164"/>
    </row>
    <row r="364" spans="1:3">
      <c r="A364" s="164"/>
      <c r="B364" s="164"/>
      <c r="C364" s="164"/>
    </row>
    <row r="365" spans="1:3">
      <c r="A365" s="164"/>
      <c r="B365" s="164"/>
      <c r="C365" s="164"/>
    </row>
    <row r="366" spans="1:3">
      <c r="A366" s="164"/>
      <c r="B366" s="164"/>
      <c r="C366" s="164"/>
    </row>
    <row r="367" spans="1:3">
      <c r="A367" s="164"/>
      <c r="B367" s="164"/>
      <c r="C367" s="164"/>
    </row>
    <row r="368" spans="1:3">
      <c r="A368" s="164"/>
      <c r="B368" s="164"/>
      <c r="C368" s="164"/>
    </row>
    <row r="369" spans="1:3">
      <c r="A369" s="164"/>
      <c r="B369" s="164"/>
      <c r="C369" s="164"/>
    </row>
    <row r="370" spans="1:3">
      <c r="A370" s="164"/>
      <c r="B370" s="164"/>
      <c r="C370" s="164"/>
    </row>
    <row r="371" spans="1:3">
      <c r="A371" s="164"/>
      <c r="B371" s="164"/>
      <c r="C371" s="164"/>
    </row>
    <row r="372" spans="1:3">
      <c r="A372" s="164"/>
      <c r="B372" s="164"/>
      <c r="C372" s="164"/>
    </row>
    <row r="373" spans="1:3">
      <c r="A373" s="164"/>
      <c r="B373" s="164"/>
      <c r="C373" s="164"/>
    </row>
    <row r="374" spans="1:3">
      <c r="A374" s="164"/>
      <c r="B374" s="164"/>
      <c r="C374" s="164"/>
    </row>
    <row r="375" spans="1:3">
      <c r="A375" s="164"/>
      <c r="B375" s="164"/>
      <c r="C375" s="164"/>
    </row>
    <row r="376" spans="1:3">
      <c r="A376" s="164"/>
      <c r="B376" s="164"/>
      <c r="C376" s="164"/>
    </row>
    <row r="377" spans="1:3">
      <c r="A377" s="164"/>
      <c r="B377" s="164"/>
      <c r="C377" s="164"/>
    </row>
    <row r="378" spans="1:3">
      <c r="A378" s="164"/>
      <c r="B378" s="164"/>
      <c r="C378" s="164"/>
    </row>
    <row r="379" spans="1:3">
      <c r="A379" s="164"/>
      <c r="B379" s="164"/>
      <c r="C379" s="164"/>
    </row>
    <row r="380" spans="1:3">
      <c r="A380" s="164"/>
      <c r="B380" s="164"/>
      <c r="C380" s="164"/>
    </row>
    <row r="448" spans="1:3">
      <c r="A448" s="164"/>
      <c r="B448" s="164"/>
      <c r="C448" s="164"/>
    </row>
    <row r="449" spans="1:3">
      <c r="A449" s="164"/>
      <c r="B449" s="164"/>
      <c r="C449" s="164"/>
    </row>
    <row r="450" spans="1:3">
      <c r="A450" s="164"/>
      <c r="B450" s="164"/>
      <c r="C450" s="164"/>
    </row>
    <row r="451" spans="1:3">
      <c r="A451" s="164"/>
      <c r="B451" s="164"/>
      <c r="C451" s="164"/>
    </row>
    <row r="452" spans="1:3">
      <c r="A452" s="164"/>
      <c r="B452" s="164"/>
      <c r="C452" s="164"/>
    </row>
    <row r="453" spans="1:3">
      <c r="A453" s="164"/>
      <c r="B453" s="164"/>
      <c r="C453" s="164"/>
    </row>
    <row r="454" spans="1:3">
      <c r="A454" s="164"/>
      <c r="B454" s="164"/>
      <c r="C454" s="164"/>
    </row>
    <row r="455" spans="1:3">
      <c r="A455" s="164"/>
      <c r="B455" s="164"/>
      <c r="C455" s="164"/>
    </row>
  </sheetData>
  <autoFilter xmlns:etc="http://www.wps.cn/officeDocument/2017/etCustomData" ref="A2:K280" etc:filterBottomFollowUsedRange="0">
    <extLst/>
  </autoFilter>
  <mergeCells count="1">
    <mergeCell ref="A1:G1"/>
  </mergeCells>
  <pageMargins left="0.75" right="0.75" top="1" bottom="1" header="0.5" footer="0.5"/>
  <pageSetup paperSize="9" scale="56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zoomScale="80" zoomScaleNormal="80" workbookViewId="0">
      <pane ySplit="2" topLeftCell="A3" activePane="bottomLeft" state="frozen"/>
      <selection/>
      <selection pane="bottomLeft" activeCell="H38" sqref="H38"/>
    </sheetView>
  </sheetViews>
  <sheetFormatPr defaultColWidth="8.72727272727273" defaultRowHeight="14"/>
  <cols>
    <col min="1" max="1" width="14.6363636363636" customWidth="1"/>
    <col min="4" max="4" width="14.8727272727273" customWidth="1"/>
    <col min="5" max="5" width="13.5" customWidth="1"/>
    <col min="6" max="6" width="12.2545454545455" style="71" customWidth="1"/>
    <col min="7" max="7" width="12.5" style="72" customWidth="1"/>
    <col min="8" max="8" width="18.8636363636364" style="73" customWidth="1"/>
    <col min="10" max="11" width="12.6272727272727" style="74" customWidth="1"/>
  </cols>
  <sheetData>
    <row r="1" customFormat="1" ht="43" customHeight="1" spans="1:11">
      <c r="A1" s="75" t="s">
        <v>72</v>
      </c>
      <c r="B1" s="75"/>
      <c r="C1" s="75"/>
      <c r="D1" s="75"/>
      <c r="E1" s="75"/>
      <c r="F1" s="76"/>
      <c r="G1" s="77"/>
      <c r="H1" s="75"/>
      <c r="J1" s="78"/>
      <c r="K1" s="78"/>
    </row>
    <row r="2" customFormat="1" ht="33" spans="1:11">
      <c r="A2" s="79" t="s">
        <v>73</v>
      </c>
      <c r="B2" s="80" t="s">
        <v>74</v>
      </c>
      <c r="C2" s="80" t="s">
        <v>75</v>
      </c>
      <c r="D2" s="81" t="s">
        <v>76</v>
      </c>
      <c r="E2" s="81" t="s">
        <v>77</v>
      </c>
      <c r="F2" s="82" t="s">
        <v>78</v>
      </c>
      <c r="G2" s="83" t="s">
        <v>79</v>
      </c>
      <c r="H2" s="84" t="s">
        <v>80</v>
      </c>
      <c r="J2" s="85" t="s">
        <v>81</v>
      </c>
      <c r="K2" s="86" t="s">
        <v>82</v>
      </c>
    </row>
    <row r="3" customFormat="1" ht="16.5" spans="1:11">
      <c r="A3" s="87" t="s">
        <v>83</v>
      </c>
      <c r="B3" s="88" t="s">
        <v>84</v>
      </c>
      <c r="C3" s="88">
        <v>74</v>
      </c>
      <c r="D3" s="89" t="s">
        <v>85</v>
      </c>
      <c r="E3" s="81">
        <v>300</v>
      </c>
      <c r="F3" s="90">
        <f t="shared" ref="F3:F22" si="0">J3*K3</f>
        <v>26.93178675</v>
      </c>
      <c r="G3" s="91">
        <f t="shared" ref="G3:G6" si="1">E3*F3</f>
        <v>8079.536025</v>
      </c>
      <c r="H3" s="92">
        <v>0.052</v>
      </c>
      <c r="J3" s="93">
        <v>23.418945</v>
      </c>
      <c r="K3" s="94">
        <v>1.15</v>
      </c>
    </row>
    <row r="4" customFormat="1" ht="16.5" spans="1:11">
      <c r="A4" s="95" t="s">
        <v>83</v>
      </c>
      <c r="B4" s="88" t="s">
        <v>84</v>
      </c>
      <c r="C4" s="88">
        <v>75</v>
      </c>
      <c r="D4" s="89" t="s">
        <v>85</v>
      </c>
      <c r="E4" s="81">
        <v>300</v>
      </c>
      <c r="F4" s="90">
        <f t="shared" si="0"/>
        <v>28.892062375</v>
      </c>
      <c r="G4" s="83">
        <f t="shared" si="1"/>
        <v>8667.6187125</v>
      </c>
      <c r="H4" s="92"/>
      <c r="J4" s="93">
        <v>25.1235325</v>
      </c>
      <c r="K4" s="94">
        <v>1.15</v>
      </c>
    </row>
    <row r="5" customFormat="1" ht="16.5" spans="1:11">
      <c r="A5" s="95" t="s">
        <v>83</v>
      </c>
      <c r="B5" s="88" t="s">
        <v>84</v>
      </c>
      <c r="C5" s="88">
        <v>76</v>
      </c>
      <c r="D5" s="89" t="s">
        <v>85</v>
      </c>
      <c r="E5" s="81">
        <v>300</v>
      </c>
      <c r="F5" s="90">
        <f t="shared" si="0"/>
        <v>27.2358295</v>
      </c>
      <c r="G5" s="83">
        <f t="shared" si="1"/>
        <v>8170.74885</v>
      </c>
      <c r="H5" s="92">
        <v>0.057</v>
      </c>
      <c r="J5" s="93">
        <v>23.68333</v>
      </c>
      <c r="K5" s="94">
        <v>1.15</v>
      </c>
    </row>
    <row r="6" ht="16.5" spans="1:11">
      <c r="A6" s="87" t="s">
        <v>83</v>
      </c>
      <c r="B6" s="88" t="s">
        <v>84</v>
      </c>
      <c r="C6" s="88">
        <v>78</v>
      </c>
      <c r="D6" s="89" t="s">
        <v>85</v>
      </c>
      <c r="E6" s="81">
        <v>300</v>
      </c>
      <c r="F6" s="90">
        <f t="shared" si="0"/>
        <v>26.051663</v>
      </c>
      <c r="G6" s="91">
        <f t="shared" si="1"/>
        <v>7815.4989</v>
      </c>
      <c r="H6" s="92"/>
      <c r="I6" s="96"/>
      <c r="J6" s="93">
        <v>22.65362</v>
      </c>
      <c r="K6" s="94">
        <v>1.15</v>
      </c>
    </row>
    <row r="7" customFormat="1" ht="16.5" spans="1:11">
      <c r="A7" s="95" t="s">
        <v>83</v>
      </c>
      <c r="B7" s="88" t="s">
        <v>86</v>
      </c>
      <c r="C7" s="88">
        <v>65</v>
      </c>
      <c r="D7" s="89" t="s">
        <v>85</v>
      </c>
      <c r="E7" s="81">
        <v>300</v>
      </c>
      <c r="F7" s="90">
        <f t="shared" si="0"/>
        <v>23.49642372</v>
      </c>
      <c r="G7" s="83">
        <f>F7*E7</f>
        <v>7048.927116</v>
      </c>
      <c r="H7" s="92"/>
      <c r="J7" s="93">
        <v>20.4316728</v>
      </c>
      <c r="K7" s="94">
        <v>1.15</v>
      </c>
    </row>
    <row r="8" s="70" customFormat="1" ht="16.5" spans="1:11">
      <c r="A8" s="87" t="s">
        <v>83</v>
      </c>
      <c r="B8" s="88" t="s">
        <v>86</v>
      </c>
      <c r="C8" s="88">
        <v>66</v>
      </c>
      <c r="D8" s="89" t="s">
        <v>85</v>
      </c>
      <c r="E8" s="81">
        <v>300</v>
      </c>
      <c r="F8" s="90">
        <f t="shared" si="0"/>
        <v>23.6577264</v>
      </c>
      <c r="G8" s="91">
        <f t="shared" ref="G8:G22" si="2">E8*F8</f>
        <v>7097.31792</v>
      </c>
      <c r="H8" s="92">
        <v>0.075</v>
      </c>
      <c r="J8" s="93">
        <v>20.571936</v>
      </c>
      <c r="K8" s="94">
        <v>1.15</v>
      </c>
    </row>
    <row r="9" s="70" customFormat="1" ht="16.5" spans="1:11">
      <c r="A9" s="87" t="s">
        <v>83</v>
      </c>
      <c r="B9" s="88" t="s">
        <v>86</v>
      </c>
      <c r="C9" s="88">
        <v>68</v>
      </c>
      <c r="D9" s="89" t="s">
        <v>85</v>
      </c>
      <c r="E9" s="81">
        <v>300</v>
      </c>
      <c r="F9" s="90">
        <f t="shared" si="0"/>
        <v>23.6577264</v>
      </c>
      <c r="G9" s="91">
        <f t="shared" si="2"/>
        <v>7097.31792</v>
      </c>
      <c r="H9" s="92">
        <v>0.08</v>
      </c>
      <c r="J9" s="93">
        <v>20.571936</v>
      </c>
      <c r="K9" s="94">
        <v>1.15</v>
      </c>
    </row>
    <row r="10" customFormat="1" ht="16.5" spans="1:11">
      <c r="A10" s="95" t="s">
        <v>83</v>
      </c>
      <c r="B10" s="88" t="s">
        <v>87</v>
      </c>
      <c r="C10" s="88">
        <v>53</v>
      </c>
      <c r="D10" s="89" t="s">
        <v>85</v>
      </c>
      <c r="E10" s="81">
        <v>300</v>
      </c>
      <c r="F10" s="90">
        <f t="shared" si="0"/>
        <v>24.11475066</v>
      </c>
      <c r="G10" s="83">
        <f t="shared" si="2"/>
        <v>7234.425198</v>
      </c>
      <c r="H10" s="92"/>
      <c r="J10" s="93">
        <v>20.9693484</v>
      </c>
      <c r="K10" s="94">
        <v>1.15</v>
      </c>
    </row>
    <row r="11" customFormat="1" ht="16.5" spans="1:11">
      <c r="A11" s="95" t="s">
        <v>83</v>
      </c>
      <c r="B11" s="88" t="s">
        <v>87</v>
      </c>
      <c r="C11" s="88">
        <v>55</v>
      </c>
      <c r="D11" s="89" t="s">
        <v>85</v>
      </c>
      <c r="E11" s="81">
        <v>300</v>
      </c>
      <c r="F11" s="90">
        <f t="shared" si="0"/>
        <v>23.886558575</v>
      </c>
      <c r="G11" s="83">
        <f t="shared" si="2"/>
        <v>7165.9675725</v>
      </c>
      <c r="H11" s="92"/>
      <c r="J11" s="93">
        <v>20.7709205</v>
      </c>
      <c r="K11" s="94">
        <v>1.15</v>
      </c>
    </row>
    <row r="12" s="70" customFormat="1" ht="16.5" spans="1:11">
      <c r="A12" s="87" t="s">
        <v>83</v>
      </c>
      <c r="B12" s="88" t="s">
        <v>87</v>
      </c>
      <c r="C12" s="88">
        <v>56</v>
      </c>
      <c r="D12" s="89" t="s">
        <v>85</v>
      </c>
      <c r="E12" s="81">
        <v>300</v>
      </c>
      <c r="F12" s="90">
        <f t="shared" si="0"/>
        <v>22.957980012</v>
      </c>
      <c r="G12" s="91">
        <f t="shared" si="2"/>
        <v>6887.3940036</v>
      </c>
      <c r="H12" s="92">
        <v>0.122</v>
      </c>
      <c r="J12" s="93">
        <v>19.96346088</v>
      </c>
      <c r="K12" s="94">
        <v>1.15</v>
      </c>
    </row>
    <row r="13" s="70" customFormat="1" ht="16.5" spans="1:11">
      <c r="A13" s="87" t="s">
        <v>83</v>
      </c>
      <c r="B13" s="88" t="s">
        <v>87</v>
      </c>
      <c r="C13" s="88">
        <v>58</v>
      </c>
      <c r="D13" s="89" t="s">
        <v>85</v>
      </c>
      <c r="E13" s="81">
        <v>300</v>
      </c>
      <c r="F13" s="90">
        <f t="shared" si="0"/>
        <v>23.409051435</v>
      </c>
      <c r="G13" s="91">
        <f t="shared" si="2"/>
        <v>7022.7154305</v>
      </c>
      <c r="H13" s="92">
        <v>0.13</v>
      </c>
      <c r="J13" s="93">
        <v>20.3556969</v>
      </c>
      <c r="K13" s="94">
        <v>1.15</v>
      </c>
    </row>
    <row r="14" customFormat="1" ht="16.5" spans="1:11">
      <c r="A14" s="95" t="s">
        <v>83</v>
      </c>
      <c r="B14" s="88" t="s">
        <v>87</v>
      </c>
      <c r="C14" s="88">
        <v>59</v>
      </c>
      <c r="D14" s="89" t="s">
        <v>85</v>
      </c>
      <c r="E14" s="81">
        <v>300</v>
      </c>
      <c r="F14" s="90">
        <f t="shared" si="0"/>
        <v>26.1132716625</v>
      </c>
      <c r="G14" s="83">
        <f t="shared" si="2"/>
        <v>7833.98149875</v>
      </c>
      <c r="H14" s="92"/>
      <c r="J14" s="93">
        <v>22.70719275</v>
      </c>
      <c r="K14" s="94">
        <v>1.15</v>
      </c>
    </row>
    <row r="15" s="70" customFormat="1" ht="16.5" spans="1:11">
      <c r="A15" s="87" t="s">
        <v>83</v>
      </c>
      <c r="B15" s="88" t="s">
        <v>87</v>
      </c>
      <c r="C15" s="88">
        <v>60</v>
      </c>
      <c r="D15" s="89" t="s">
        <v>85</v>
      </c>
      <c r="E15" s="81">
        <v>300</v>
      </c>
      <c r="F15" s="90">
        <f t="shared" si="0"/>
        <v>25.011132696</v>
      </c>
      <c r="G15" s="91">
        <f t="shared" si="2"/>
        <v>7503.3398088</v>
      </c>
      <c r="H15" s="92"/>
      <c r="J15" s="93">
        <v>21.74881104</v>
      </c>
      <c r="K15" s="94">
        <v>1.15</v>
      </c>
    </row>
    <row r="16" customFormat="1" ht="16.5" spans="1:11">
      <c r="A16" s="95" t="s">
        <v>83</v>
      </c>
      <c r="B16" s="88" t="s">
        <v>88</v>
      </c>
      <c r="C16" s="88">
        <v>43</v>
      </c>
      <c r="D16" s="89" t="s">
        <v>85</v>
      </c>
      <c r="E16" s="81">
        <v>150</v>
      </c>
      <c r="F16" s="90">
        <f t="shared" si="0"/>
        <v>24.5428748565</v>
      </c>
      <c r="G16" s="83">
        <f t="shared" si="2"/>
        <v>3681.431228475</v>
      </c>
      <c r="H16" s="92">
        <v>0.185</v>
      </c>
      <c r="J16" s="93">
        <v>21.34163031</v>
      </c>
      <c r="K16" s="94">
        <v>1.15</v>
      </c>
    </row>
    <row r="17" customFormat="1" ht="16.5" spans="1:11">
      <c r="A17" s="95" t="s">
        <v>83</v>
      </c>
      <c r="B17" s="88">
        <v>7628</v>
      </c>
      <c r="C17" s="88">
        <v>45</v>
      </c>
      <c r="D17" s="89" t="s">
        <v>85</v>
      </c>
      <c r="E17" s="81">
        <v>150</v>
      </c>
      <c r="F17" s="90">
        <f t="shared" si="0"/>
        <v>25.2293888385</v>
      </c>
      <c r="G17" s="83">
        <f t="shared" si="2"/>
        <v>3784.408325775</v>
      </c>
      <c r="H17" s="92"/>
      <c r="J17" s="93">
        <v>21.93859899</v>
      </c>
      <c r="K17" s="94">
        <v>1.15</v>
      </c>
    </row>
    <row r="18" customFormat="1" ht="16.5" spans="1:11">
      <c r="A18" s="87" t="s">
        <v>83</v>
      </c>
      <c r="B18" s="88" t="s">
        <v>88</v>
      </c>
      <c r="C18" s="88">
        <v>46</v>
      </c>
      <c r="D18" s="89" t="s">
        <v>85</v>
      </c>
      <c r="E18" s="81">
        <v>150</v>
      </c>
      <c r="F18" s="90">
        <f t="shared" si="0"/>
        <v>23.6936869092</v>
      </c>
      <c r="G18" s="91">
        <f t="shared" si="2"/>
        <v>3554.05303638</v>
      </c>
      <c r="H18" s="92">
        <v>0.19</v>
      </c>
      <c r="J18" s="93">
        <v>20.603206008</v>
      </c>
      <c r="K18" s="94">
        <v>1.15</v>
      </c>
    </row>
    <row r="19" customFormat="1" ht="16.5" spans="1:11">
      <c r="A19" s="95" t="s">
        <v>83</v>
      </c>
      <c r="B19" s="88" t="s">
        <v>88</v>
      </c>
      <c r="C19" s="88">
        <v>48</v>
      </c>
      <c r="D19" s="89" t="s">
        <v>85</v>
      </c>
      <c r="E19" s="81">
        <v>150</v>
      </c>
      <c r="F19" s="90">
        <f t="shared" si="0"/>
        <v>26.2591598115</v>
      </c>
      <c r="G19" s="83">
        <f t="shared" si="2"/>
        <v>3938.873971725</v>
      </c>
      <c r="H19" s="92"/>
      <c r="J19" s="93">
        <v>22.83405201</v>
      </c>
      <c r="K19" s="94">
        <v>1.15</v>
      </c>
    </row>
    <row r="20" s="70" customFormat="1" ht="16.5" spans="1:11">
      <c r="A20" s="87" t="s">
        <v>83</v>
      </c>
      <c r="B20" s="88" t="s">
        <v>88</v>
      </c>
      <c r="C20" s="88">
        <v>50</v>
      </c>
      <c r="D20" s="89" t="s">
        <v>85</v>
      </c>
      <c r="E20" s="81">
        <v>150</v>
      </c>
      <c r="F20" s="90">
        <f t="shared" si="0"/>
        <v>25.9502285196</v>
      </c>
      <c r="G20" s="91">
        <f t="shared" si="2"/>
        <v>3892.53427794</v>
      </c>
      <c r="H20" s="92">
        <v>0.21</v>
      </c>
      <c r="J20" s="93">
        <v>22.565416104</v>
      </c>
      <c r="K20" s="94">
        <v>1.15</v>
      </c>
    </row>
    <row r="21" customFormat="1" ht="16.5" spans="1:11">
      <c r="A21" s="95" t="s">
        <v>83</v>
      </c>
      <c r="B21" s="88" t="s">
        <v>88</v>
      </c>
      <c r="C21" s="88">
        <v>52</v>
      </c>
      <c r="D21" s="89" t="s">
        <v>85</v>
      </c>
      <c r="E21" s="81">
        <v>150</v>
      </c>
      <c r="F21" s="90">
        <f t="shared" si="0"/>
        <v>28.6619587485</v>
      </c>
      <c r="G21" s="83">
        <f t="shared" si="2"/>
        <v>4299.293812275</v>
      </c>
      <c r="H21" s="92">
        <v>0.225</v>
      </c>
      <c r="J21" s="93">
        <v>24.92344239</v>
      </c>
      <c r="K21" s="94">
        <v>1.15</v>
      </c>
    </row>
    <row r="22" customFormat="1" ht="16.5" spans="1:11">
      <c r="A22" s="95" t="s">
        <v>83</v>
      </c>
      <c r="B22" s="88">
        <v>2313</v>
      </c>
      <c r="C22" s="88">
        <v>58</v>
      </c>
      <c r="D22" s="89" t="s">
        <v>85</v>
      </c>
      <c r="E22" s="81">
        <v>300</v>
      </c>
      <c r="F22" s="90">
        <f t="shared" si="0"/>
        <v>26.683751875</v>
      </c>
      <c r="G22" s="83">
        <f t="shared" si="2"/>
        <v>8005.1255625</v>
      </c>
      <c r="H22" s="92">
        <v>0.102</v>
      </c>
      <c r="J22" s="93">
        <v>23.2032625</v>
      </c>
      <c r="K22" s="94">
        <v>1.15</v>
      </c>
    </row>
    <row r="23" customFormat="1" spans="1:11">
      <c r="F23" s="71"/>
      <c r="G23" s="72"/>
      <c r="H23" s="73"/>
      <c r="J23" s="97"/>
      <c r="K23" s="97"/>
    </row>
    <row r="24" customFormat="1" spans="1:11">
      <c r="F24" s="71"/>
      <c r="G24" s="72"/>
      <c r="H24" s="73"/>
      <c r="J24" s="97"/>
      <c r="K24" s="97"/>
    </row>
    <row r="25" customFormat="1" spans="1:11">
      <c r="F25" s="71"/>
      <c r="G25" s="72"/>
      <c r="H25" s="73"/>
      <c r="J25" s="98"/>
      <c r="K25" s="98"/>
    </row>
    <row r="26" customFormat="1" spans="1:11">
      <c r="F26" s="71"/>
      <c r="G26" s="72"/>
      <c r="H26" s="73"/>
      <c r="J26" s="98"/>
      <c r="K26" s="98"/>
    </row>
    <row r="27" customFormat="1" spans="1:11">
      <c r="F27" s="71"/>
      <c r="G27" s="72"/>
      <c r="H27" s="73"/>
      <c r="J27" s="98"/>
      <c r="K27" s="98"/>
    </row>
    <row r="28" customFormat="1" spans="1:11">
      <c r="F28" s="71"/>
      <c r="G28" s="72"/>
      <c r="H28" s="73"/>
      <c r="J28" s="97"/>
      <c r="K28" s="97"/>
    </row>
    <row r="29" customFormat="1" spans="1:11">
      <c r="F29" s="71"/>
      <c r="G29" s="72"/>
      <c r="H29" s="73"/>
      <c r="J29" s="98"/>
      <c r="K29" s="98"/>
    </row>
    <row r="30" customFormat="1" spans="1:11">
      <c r="F30" s="71"/>
      <c r="G30" s="72"/>
      <c r="H30" s="73"/>
      <c r="J30" s="98"/>
      <c r="K30" s="98"/>
    </row>
    <row r="31" customFormat="1" spans="1:11">
      <c r="F31" s="71"/>
      <c r="G31" s="72"/>
      <c r="H31" s="73"/>
      <c r="J31" s="97"/>
      <c r="K31" s="97"/>
    </row>
    <row r="32" customFormat="1" spans="1:11">
      <c r="F32" s="71"/>
      <c r="G32" s="72"/>
      <c r="H32" s="73"/>
      <c r="J32" s="99"/>
      <c r="K32" s="99"/>
    </row>
    <row r="33" customFormat="1" spans="6:11">
      <c r="F33" s="71"/>
      <c r="G33" s="72"/>
      <c r="H33" s="73"/>
      <c r="J33" s="99"/>
      <c r="K33" s="99"/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1048576"/>
  <sheetViews>
    <sheetView topLeftCell="C1" workbookViewId="0">
      <selection activeCell="O73" sqref="O73"/>
    </sheetView>
  </sheetViews>
  <sheetFormatPr defaultColWidth="8.72727272727273" defaultRowHeight="14"/>
  <cols>
    <col min="1" max="1" width="3.27272727272727" style="2" customWidth="1"/>
    <col min="2" max="4" width="8.72727272727273" style="2"/>
    <col min="5" max="5" width="14.9090909090909" style="34" customWidth="1"/>
    <col min="6" max="6" width="12.9090909090909" style="2" customWidth="1"/>
    <col min="7" max="7" width="12.1818181818182" style="2" customWidth="1"/>
    <col min="8" max="8" width="9.54545454545454" style="2"/>
    <col min="9" max="9" width="12.0909090909091" style="2" customWidth="1"/>
    <col min="10" max="11" width="8.72727272727273" style="2"/>
    <col min="12" max="13" width="12.8181818181818" style="2"/>
    <col min="14" max="16379" width="8.72727272727273" style="2"/>
  </cols>
  <sheetData>
    <row r="1" s="2" customFormat="1" ht="26" customHeight="1" spans="2:10">
      <c r="B1" s="35" t="s">
        <v>1</v>
      </c>
      <c r="C1" s="36" t="s">
        <v>2</v>
      </c>
      <c r="D1" s="35" t="s">
        <v>3</v>
      </c>
      <c r="E1" s="37" t="s">
        <v>4</v>
      </c>
      <c r="F1" s="38" t="s">
        <v>89</v>
      </c>
      <c r="G1" s="38" t="s">
        <v>90</v>
      </c>
      <c r="H1" s="38" t="s">
        <v>91</v>
      </c>
      <c r="I1" s="39" t="s">
        <v>92</v>
      </c>
    </row>
    <row r="2" s="2" customFormat="1" ht="16" hidden="1" customHeight="1" spans="2:10">
      <c r="B2" s="40">
        <v>0.075</v>
      </c>
      <c r="C2" s="41" t="s">
        <v>10</v>
      </c>
      <c r="D2" s="42" t="s">
        <v>11</v>
      </c>
      <c r="E2" s="43" t="s">
        <v>16</v>
      </c>
      <c r="F2" s="31">
        <f t="shared" ref="F2:F11" si="0">G2*0.9</f>
        <v>99.8275200000003</v>
      </c>
      <c r="G2" s="31">
        <v>110.919466666667</v>
      </c>
      <c r="H2" s="31">
        <f t="shared" ref="H2:H11" si="1">G2*1.05</f>
        <v>116.46544</v>
      </c>
      <c r="I2" s="44"/>
      <c r="J2" s="1"/>
    </row>
    <row r="3" s="2" customFormat="1" ht="16" hidden="1" customHeight="1" spans="2:10">
      <c r="B3" s="40">
        <v>0.075</v>
      </c>
      <c r="C3" s="41" t="s">
        <v>17</v>
      </c>
      <c r="D3" s="42" t="s">
        <v>11</v>
      </c>
      <c r="E3" s="43" t="s">
        <v>16</v>
      </c>
      <c r="F3" s="31">
        <f t="shared" si="0"/>
        <v>154.39296</v>
      </c>
      <c r="G3" s="31">
        <v>171.547733333333</v>
      </c>
      <c r="H3" s="31">
        <f t="shared" si="1"/>
        <v>180.12512</v>
      </c>
      <c r="I3" s="44"/>
      <c r="J3" s="1"/>
    </row>
    <row r="4" s="2" customFormat="1" ht="16" hidden="1" customHeight="1" spans="2:10">
      <c r="B4" s="40">
        <v>0.076</v>
      </c>
      <c r="C4" s="41" t="s">
        <v>19</v>
      </c>
      <c r="D4" s="42" t="s">
        <v>11</v>
      </c>
      <c r="E4" s="43" t="s">
        <v>16</v>
      </c>
      <c r="F4" s="31">
        <f t="shared" si="0"/>
        <v>284.76672</v>
      </c>
      <c r="G4" s="31">
        <v>316.407466666667</v>
      </c>
      <c r="H4" s="31">
        <f t="shared" si="1"/>
        <v>332.22784</v>
      </c>
      <c r="I4" s="44"/>
      <c r="J4" s="1"/>
    </row>
    <row r="5" s="2" customFormat="1" ht="16" hidden="1" customHeight="1" spans="2:10">
      <c r="B5" s="45">
        <v>0.08</v>
      </c>
      <c r="C5" s="46" t="s">
        <v>10</v>
      </c>
      <c r="D5" s="47" t="s">
        <v>11</v>
      </c>
      <c r="E5" s="48" t="s">
        <v>16</v>
      </c>
      <c r="F5" s="31">
        <f t="shared" si="0"/>
        <v>99.6355199999997</v>
      </c>
      <c r="G5" s="31">
        <v>110.706133333333</v>
      </c>
      <c r="H5" s="31">
        <f t="shared" si="1"/>
        <v>116.24144</v>
      </c>
      <c r="I5" s="44"/>
      <c r="J5" s="1"/>
    </row>
    <row r="6" s="2" customFormat="1" ht="16" hidden="1" customHeight="1" spans="2:10">
      <c r="B6" s="45">
        <v>0.08</v>
      </c>
      <c r="C6" s="46" t="s">
        <v>17</v>
      </c>
      <c r="D6" s="47" t="s">
        <v>11</v>
      </c>
      <c r="E6" s="43" t="s">
        <v>16</v>
      </c>
      <c r="F6" s="31">
        <f t="shared" si="0"/>
        <v>150.3</v>
      </c>
      <c r="G6" s="31">
        <v>167</v>
      </c>
      <c r="H6" s="31">
        <f t="shared" si="1"/>
        <v>175.35</v>
      </c>
      <c r="I6" s="44" t="s">
        <v>93</v>
      </c>
      <c r="J6" s="1"/>
    </row>
    <row r="7" s="2" customFormat="1" ht="16" hidden="1" customHeight="1" spans="2:10">
      <c r="B7" s="45">
        <v>0.08</v>
      </c>
      <c r="C7" s="46" t="s">
        <v>94</v>
      </c>
      <c r="D7" s="47" t="s">
        <v>11</v>
      </c>
      <c r="E7" s="48" t="s">
        <v>16</v>
      </c>
      <c r="F7" s="31">
        <f t="shared" si="0"/>
        <v>756.7488</v>
      </c>
      <c r="G7" s="31">
        <v>840.832</v>
      </c>
      <c r="H7" s="31">
        <f t="shared" si="1"/>
        <v>882.8736</v>
      </c>
      <c r="I7" s="44" t="s">
        <v>95</v>
      </c>
      <c r="J7" s="1"/>
    </row>
    <row r="8" s="2" customFormat="1" ht="16" hidden="1" customHeight="1" spans="2:10">
      <c r="B8" s="45">
        <v>0.08</v>
      </c>
      <c r="C8" s="46" t="s">
        <v>96</v>
      </c>
      <c r="D8" s="47" t="s">
        <v>11</v>
      </c>
      <c r="E8" s="43" t="s">
        <v>16</v>
      </c>
      <c r="F8" s="31">
        <f t="shared" si="0"/>
        <v>825.7419</v>
      </c>
      <c r="G8" s="31">
        <v>917.491</v>
      </c>
      <c r="H8" s="31">
        <f t="shared" si="1"/>
        <v>963.36555</v>
      </c>
      <c r="I8" s="44" t="s">
        <v>95</v>
      </c>
      <c r="J8" s="1"/>
    </row>
    <row r="9" s="2" customFormat="1" ht="16" hidden="1" customHeight="1" spans="2:10">
      <c r="B9" s="40">
        <v>0.1</v>
      </c>
      <c r="C9" s="41" t="s">
        <v>10</v>
      </c>
      <c r="D9" s="42" t="s">
        <v>11</v>
      </c>
      <c r="E9" s="43" t="s">
        <v>20</v>
      </c>
      <c r="F9" s="31">
        <f t="shared" si="0"/>
        <v>115.18368</v>
      </c>
      <c r="G9" s="31">
        <v>127.981866666667</v>
      </c>
      <c r="H9" s="31">
        <f t="shared" si="1"/>
        <v>134.38096</v>
      </c>
      <c r="I9" s="44"/>
      <c r="J9" s="1"/>
    </row>
    <row r="10" s="2" customFormat="1" ht="16" hidden="1" customHeight="1" spans="2:10">
      <c r="B10" s="40">
        <v>0.1</v>
      </c>
      <c r="C10" s="41" t="s">
        <v>10</v>
      </c>
      <c r="D10" s="42" t="s">
        <v>11</v>
      </c>
      <c r="E10" s="43" t="s">
        <v>97</v>
      </c>
      <c r="F10" s="31">
        <f t="shared" si="0"/>
        <v>95.7331199999997</v>
      </c>
      <c r="G10" s="31">
        <v>106.370133333333</v>
      </c>
      <c r="H10" s="31">
        <f t="shared" si="1"/>
        <v>111.68864</v>
      </c>
      <c r="I10" s="44"/>
      <c r="J10" s="1"/>
    </row>
    <row r="11" s="2" customFormat="1" ht="16" hidden="1" customHeight="1" spans="2:10">
      <c r="B11" s="40">
        <v>0.1</v>
      </c>
      <c r="C11" s="41" t="s">
        <v>26</v>
      </c>
      <c r="D11" s="42" t="s">
        <v>11</v>
      </c>
      <c r="E11" s="43" t="s">
        <v>98</v>
      </c>
      <c r="F11" s="31">
        <f t="shared" si="0"/>
        <v>124.2</v>
      </c>
      <c r="G11" s="31">
        <v>138</v>
      </c>
      <c r="H11" s="31">
        <f t="shared" si="1"/>
        <v>144.9</v>
      </c>
      <c r="I11" s="44" t="s">
        <v>99</v>
      </c>
      <c r="J11" s="1"/>
    </row>
    <row r="12" s="2" customFormat="1" ht="16" hidden="1" customHeight="1" spans="2:10">
      <c r="B12" s="40">
        <v>0.1</v>
      </c>
      <c r="C12" s="46" t="s">
        <v>17</v>
      </c>
      <c r="D12" s="47" t="s">
        <v>11</v>
      </c>
      <c r="E12" s="43" t="s">
        <v>98</v>
      </c>
      <c r="F12" s="31">
        <f t="shared" ref="F12:F38" si="2">G12*0.9</f>
        <v>152.1666</v>
      </c>
      <c r="G12" s="31">
        <v>169.074</v>
      </c>
      <c r="H12" s="31">
        <f t="shared" ref="H12:H38" si="3">G12*1.05</f>
        <v>177.5277</v>
      </c>
      <c r="I12" s="44" t="s">
        <v>93</v>
      </c>
      <c r="J12" s="1"/>
    </row>
    <row r="13" s="2" customFormat="1" ht="16" hidden="1" customHeight="1" spans="2:10">
      <c r="B13" s="40">
        <v>0.1</v>
      </c>
      <c r="C13" s="41" t="s">
        <v>19</v>
      </c>
      <c r="D13" s="42" t="s">
        <v>11</v>
      </c>
      <c r="E13" s="43" t="s">
        <v>20</v>
      </c>
      <c r="F13" s="31">
        <f t="shared" si="2"/>
        <v>299.5728</v>
      </c>
      <c r="G13" s="31">
        <v>332.858666666667</v>
      </c>
      <c r="H13" s="31">
        <f t="shared" si="3"/>
        <v>349.5016</v>
      </c>
      <c r="I13" s="44"/>
      <c r="J13" s="1"/>
    </row>
    <row r="14" s="2" customFormat="1" ht="16" hidden="1" customHeight="1" spans="2:10">
      <c r="B14" s="40">
        <v>0.1</v>
      </c>
      <c r="C14" s="41" t="s">
        <v>13</v>
      </c>
      <c r="D14" s="42" t="s">
        <v>11</v>
      </c>
      <c r="E14" s="43" t="s">
        <v>20</v>
      </c>
      <c r="F14" s="31">
        <f t="shared" si="2"/>
        <v>432.59616</v>
      </c>
      <c r="G14" s="31">
        <v>480.6624</v>
      </c>
      <c r="H14" s="31">
        <f t="shared" si="3"/>
        <v>504.69552</v>
      </c>
      <c r="I14" s="44"/>
      <c r="J14" s="1"/>
    </row>
    <row r="15" s="2" customFormat="1" ht="16" hidden="1" customHeight="1" spans="2:10">
      <c r="B15" s="45">
        <v>0.11</v>
      </c>
      <c r="C15" s="46" t="s">
        <v>10</v>
      </c>
      <c r="D15" s="47" t="s">
        <v>11</v>
      </c>
      <c r="E15" s="48" t="s">
        <v>21</v>
      </c>
      <c r="F15" s="31">
        <f t="shared" si="2"/>
        <v>97.76736</v>
      </c>
      <c r="G15" s="31">
        <v>108.6304</v>
      </c>
      <c r="H15" s="31">
        <f t="shared" si="3"/>
        <v>114.06192</v>
      </c>
      <c r="I15" s="44"/>
      <c r="J15" s="1"/>
    </row>
    <row r="16" s="2" customFormat="1" ht="16" hidden="1" customHeight="1" spans="2:10">
      <c r="B16" s="49">
        <v>0.11</v>
      </c>
      <c r="C16" s="50" t="s">
        <v>22</v>
      </c>
      <c r="D16" s="51" t="s">
        <v>11</v>
      </c>
      <c r="E16" s="52" t="s">
        <v>21</v>
      </c>
      <c r="F16" s="31">
        <f t="shared" si="2"/>
        <v>124.8201</v>
      </c>
      <c r="G16" s="53">
        <v>138.689</v>
      </c>
      <c r="H16" s="31">
        <f t="shared" si="3"/>
        <v>145.62345</v>
      </c>
      <c r="I16" s="44" t="s">
        <v>100</v>
      </c>
      <c r="J16" s="1"/>
    </row>
    <row r="17" s="2" customFormat="1" ht="16" hidden="1" customHeight="1" spans="2:10">
      <c r="B17" s="49">
        <v>0.11</v>
      </c>
      <c r="C17" s="50" t="s">
        <v>17</v>
      </c>
      <c r="D17" s="51" t="s">
        <v>11</v>
      </c>
      <c r="E17" s="52" t="s">
        <v>21</v>
      </c>
      <c r="F17" s="31">
        <f t="shared" si="2"/>
        <v>152.4096</v>
      </c>
      <c r="G17" s="53">
        <v>169.344</v>
      </c>
      <c r="H17" s="31">
        <f t="shared" si="3"/>
        <v>177.8112</v>
      </c>
      <c r="I17" s="44" t="s">
        <v>100</v>
      </c>
      <c r="J17" s="1"/>
    </row>
    <row r="18" s="2" customFormat="1" ht="16" hidden="1" customHeight="1" spans="2:10">
      <c r="B18" s="49">
        <v>0.11</v>
      </c>
      <c r="C18" s="50" t="s">
        <v>19</v>
      </c>
      <c r="D18" s="51" t="s">
        <v>11</v>
      </c>
      <c r="E18" s="52" t="s">
        <v>21</v>
      </c>
      <c r="F18" s="31">
        <f t="shared" si="2"/>
        <v>281.6577</v>
      </c>
      <c r="G18" s="53">
        <v>312.953</v>
      </c>
      <c r="H18" s="31">
        <f t="shared" si="3"/>
        <v>328.60065</v>
      </c>
      <c r="I18" s="44" t="s">
        <v>93</v>
      </c>
      <c r="J18" s="1"/>
    </row>
    <row r="19" s="2" customFormat="1" ht="16" hidden="1" customHeight="1" spans="2:10">
      <c r="B19" s="40">
        <v>0.11</v>
      </c>
      <c r="C19" s="41" t="s">
        <v>13</v>
      </c>
      <c r="D19" s="42" t="s">
        <v>11</v>
      </c>
      <c r="E19" s="43" t="s">
        <v>20</v>
      </c>
      <c r="F19" s="31">
        <f t="shared" si="2"/>
        <v>431.30304</v>
      </c>
      <c r="G19" s="31">
        <v>479.2256</v>
      </c>
      <c r="H19" s="31">
        <f t="shared" si="3"/>
        <v>503.18688</v>
      </c>
      <c r="I19" s="44"/>
      <c r="J19" s="1"/>
    </row>
    <row r="20" s="2" customFormat="1" ht="16" hidden="1" customHeight="1" spans="2:10">
      <c r="B20" s="40">
        <v>0.13</v>
      </c>
      <c r="C20" s="41" t="s">
        <v>10</v>
      </c>
      <c r="D20" s="42" t="s">
        <v>11</v>
      </c>
      <c r="E20" s="43" t="s">
        <v>21</v>
      </c>
      <c r="F20" s="31">
        <f t="shared" si="2"/>
        <v>100.65984</v>
      </c>
      <c r="G20" s="31">
        <v>111.844266666667</v>
      </c>
      <c r="H20" s="31">
        <f t="shared" si="3"/>
        <v>117.43648</v>
      </c>
      <c r="I20" s="44"/>
      <c r="J20" s="1"/>
    </row>
    <row r="21" s="2" customFormat="1" ht="16" hidden="1" customHeight="1" spans="2:10">
      <c r="B21" s="45">
        <v>0.13</v>
      </c>
      <c r="C21" s="46" t="s">
        <v>17</v>
      </c>
      <c r="D21" s="47" t="s">
        <v>11</v>
      </c>
      <c r="E21" s="48" t="s">
        <v>21</v>
      </c>
      <c r="F21" s="31">
        <f t="shared" si="2"/>
        <v>146.4597</v>
      </c>
      <c r="G21" s="31">
        <v>162.733</v>
      </c>
      <c r="H21" s="31">
        <f t="shared" si="3"/>
        <v>170.86965</v>
      </c>
      <c r="I21" s="44"/>
      <c r="J21" s="1"/>
    </row>
    <row r="22" s="2" customFormat="1" ht="16" hidden="1" customHeight="1" spans="2:10">
      <c r="B22" s="40">
        <v>0.13</v>
      </c>
      <c r="C22" s="41" t="s">
        <v>13</v>
      </c>
      <c r="D22" s="42" t="s">
        <v>11</v>
      </c>
      <c r="E22" s="43" t="s">
        <v>20</v>
      </c>
      <c r="F22" s="31">
        <f t="shared" si="2"/>
        <v>433.8624</v>
      </c>
      <c r="G22" s="31">
        <v>482.069333333333</v>
      </c>
      <c r="H22" s="31">
        <f t="shared" si="3"/>
        <v>506.1728</v>
      </c>
      <c r="I22" s="44"/>
      <c r="J22" s="1"/>
    </row>
    <row r="23" s="2" customFormat="1" ht="16" hidden="1" customHeight="1" spans="2:10">
      <c r="B23" s="40">
        <v>0.15</v>
      </c>
      <c r="C23" s="41" t="s">
        <v>10</v>
      </c>
      <c r="D23" s="42" t="s">
        <v>11</v>
      </c>
      <c r="E23" s="43" t="s">
        <v>27</v>
      </c>
      <c r="F23" s="31">
        <f t="shared" si="2"/>
        <v>118.11456</v>
      </c>
      <c r="G23" s="31">
        <v>131.2384</v>
      </c>
      <c r="H23" s="31">
        <f t="shared" si="3"/>
        <v>137.80032</v>
      </c>
      <c r="I23" s="44"/>
      <c r="J23" s="1"/>
    </row>
    <row r="24" s="2" customFormat="1" ht="16" hidden="1" customHeight="1" spans="2:10">
      <c r="B24" s="54">
        <v>0.15</v>
      </c>
      <c r="C24" s="55" t="s">
        <v>26</v>
      </c>
      <c r="D24" s="56" t="s">
        <v>11</v>
      </c>
      <c r="E24" s="57" t="s">
        <v>101</v>
      </c>
      <c r="F24" s="31">
        <f t="shared" si="2"/>
        <v>127.4688</v>
      </c>
      <c r="G24" s="58">
        <v>141.632</v>
      </c>
      <c r="H24" s="31">
        <f t="shared" si="3"/>
        <v>148.7136</v>
      </c>
      <c r="I24" s="59" t="s">
        <v>93</v>
      </c>
      <c r="J24" s="1"/>
    </row>
    <row r="25" s="2" customFormat="1" ht="16" hidden="1" customHeight="1" spans="2:10">
      <c r="B25" s="45">
        <v>0.15</v>
      </c>
      <c r="C25" s="46" t="s">
        <v>17</v>
      </c>
      <c r="D25" s="47" t="s">
        <v>11</v>
      </c>
      <c r="E25" s="48" t="s">
        <v>28</v>
      </c>
      <c r="F25" s="31">
        <f t="shared" si="2"/>
        <v>155.66016</v>
      </c>
      <c r="G25" s="31">
        <v>172.955733333333</v>
      </c>
      <c r="H25" s="31">
        <f t="shared" si="3"/>
        <v>181.60352</v>
      </c>
      <c r="I25" s="44"/>
      <c r="J25" s="1"/>
    </row>
    <row r="26" s="2" customFormat="1" ht="16" hidden="1" customHeight="1" spans="2:10">
      <c r="B26" s="40">
        <v>0.15</v>
      </c>
      <c r="C26" s="41" t="s">
        <v>17</v>
      </c>
      <c r="D26" s="42" t="s">
        <v>11</v>
      </c>
      <c r="E26" s="43" t="s">
        <v>27</v>
      </c>
      <c r="F26" s="31">
        <f t="shared" si="2"/>
        <v>173.20512</v>
      </c>
      <c r="G26" s="31">
        <v>192.450133333333</v>
      </c>
      <c r="H26" s="31">
        <f t="shared" si="3"/>
        <v>202.07264</v>
      </c>
      <c r="I26" s="44"/>
      <c r="J26" s="1"/>
    </row>
    <row r="27" s="2" customFormat="1" ht="16" hidden="1" customHeight="1" spans="2:10">
      <c r="B27" s="40">
        <v>0.15</v>
      </c>
      <c r="C27" s="41" t="s">
        <v>19</v>
      </c>
      <c r="D27" s="42" t="s">
        <v>11</v>
      </c>
      <c r="E27" s="43" t="s">
        <v>27</v>
      </c>
      <c r="F27" s="31">
        <f t="shared" si="2"/>
        <v>304.00032</v>
      </c>
      <c r="G27" s="31">
        <v>337.778133333333</v>
      </c>
      <c r="H27" s="31">
        <f t="shared" si="3"/>
        <v>354.66704</v>
      </c>
      <c r="I27" s="44"/>
      <c r="J27" s="1"/>
    </row>
    <row r="28" s="2" customFormat="1" ht="16" hidden="1" customHeight="1" spans="2:10">
      <c r="B28" s="40">
        <v>0.15</v>
      </c>
      <c r="C28" s="41" t="s">
        <v>24</v>
      </c>
      <c r="D28" s="42" t="s">
        <v>11</v>
      </c>
      <c r="E28" s="43" t="s">
        <v>27</v>
      </c>
      <c r="F28" s="31">
        <f t="shared" si="2"/>
        <v>369.04704</v>
      </c>
      <c r="G28" s="31">
        <v>410.052266666667</v>
      </c>
      <c r="H28" s="31">
        <f t="shared" si="3"/>
        <v>430.55488</v>
      </c>
      <c r="I28" s="44"/>
      <c r="J28" s="1"/>
    </row>
    <row r="29" s="2" customFormat="1" ht="16" hidden="1" customHeight="1" spans="2:10">
      <c r="B29" s="40">
        <v>0.15</v>
      </c>
      <c r="C29" s="41" t="s">
        <v>13</v>
      </c>
      <c r="D29" s="42" t="s">
        <v>11</v>
      </c>
      <c r="E29" s="43" t="s">
        <v>27</v>
      </c>
      <c r="F29" s="31">
        <f t="shared" si="2"/>
        <v>439.12224</v>
      </c>
      <c r="G29" s="31">
        <v>487.9136</v>
      </c>
      <c r="H29" s="31">
        <f t="shared" si="3"/>
        <v>512.30928</v>
      </c>
      <c r="I29" s="44"/>
      <c r="J29" s="1"/>
    </row>
    <row r="30" s="2" customFormat="1" ht="16" hidden="1" customHeight="1" spans="2:10">
      <c r="B30" s="40">
        <v>0.15</v>
      </c>
      <c r="C30" s="41" t="s">
        <v>13</v>
      </c>
      <c r="D30" s="42" t="s">
        <v>11</v>
      </c>
      <c r="E30" s="43" t="s">
        <v>29</v>
      </c>
      <c r="F30" s="31">
        <f t="shared" si="2"/>
        <v>448.66848</v>
      </c>
      <c r="G30" s="31">
        <v>498.520533333333</v>
      </c>
      <c r="H30" s="31">
        <f t="shared" si="3"/>
        <v>523.44656</v>
      </c>
      <c r="I30" s="44"/>
      <c r="J30" s="1"/>
    </row>
    <row r="31" s="2" customFormat="1" ht="16" customHeight="1" spans="2:10">
      <c r="B31" s="40">
        <v>0.18</v>
      </c>
      <c r="C31" s="41" t="s">
        <v>17</v>
      </c>
      <c r="D31" s="42" t="s">
        <v>11</v>
      </c>
      <c r="E31" s="43" t="s">
        <v>31</v>
      </c>
      <c r="F31" s="31">
        <f t="shared" si="2"/>
        <v>175.5</v>
      </c>
      <c r="G31" s="31">
        <v>195</v>
      </c>
      <c r="H31" s="31">
        <f t="shared" si="3"/>
        <v>204.75</v>
      </c>
      <c r="I31" s="44" t="s">
        <v>102</v>
      </c>
      <c r="J31" s="1"/>
    </row>
    <row r="32" s="2" customFormat="1" ht="16" customHeight="1" spans="2:10">
      <c r="B32" s="40">
        <v>0.18</v>
      </c>
      <c r="C32" s="41" t="s">
        <v>19</v>
      </c>
      <c r="D32" s="42" t="s">
        <v>11</v>
      </c>
      <c r="E32" s="43" t="s">
        <v>103</v>
      </c>
      <c r="F32" s="31">
        <f t="shared" si="2"/>
        <v>279</v>
      </c>
      <c r="G32" s="31">
        <v>310</v>
      </c>
      <c r="H32" s="31">
        <f t="shared" si="3"/>
        <v>325.5</v>
      </c>
      <c r="I32" s="44" t="s">
        <v>93</v>
      </c>
      <c r="J32" s="1"/>
    </row>
    <row r="33" s="2" customFormat="1" ht="16" customHeight="1" spans="2:20">
      <c r="B33" s="40">
        <v>0.18</v>
      </c>
      <c r="C33" s="41" t="s">
        <v>13</v>
      </c>
      <c r="D33" s="42" t="s">
        <v>11</v>
      </c>
      <c r="E33" s="43" t="s">
        <v>31</v>
      </c>
      <c r="F33" s="31">
        <f t="shared" si="2"/>
        <v>434.8224</v>
      </c>
      <c r="G33" s="31">
        <v>483.136</v>
      </c>
      <c r="H33" s="31">
        <f t="shared" si="3"/>
        <v>507.2928</v>
      </c>
      <c r="I33" s="44"/>
      <c r="J33" s="1"/>
    </row>
    <row r="34" s="2" customFormat="1" ht="16" customHeight="1" spans="2:20">
      <c r="B34" s="40">
        <v>0.2</v>
      </c>
      <c r="C34" s="41" t="s">
        <v>10</v>
      </c>
      <c r="D34" s="42" t="s">
        <v>11</v>
      </c>
      <c r="E34" s="43" t="s">
        <v>30</v>
      </c>
      <c r="F34" s="31">
        <f t="shared" si="2"/>
        <v>99.95616</v>
      </c>
      <c r="G34" s="31">
        <v>111.0624</v>
      </c>
      <c r="H34" s="31">
        <f t="shared" si="3"/>
        <v>116.61552</v>
      </c>
      <c r="I34" s="44"/>
      <c r="J34" s="1"/>
    </row>
    <row r="35" s="2" customFormat="1" ht="16" customHeight="1" spans="2:20">
      <c r="B35" s="40">
        <v>0.2</v>
      </c>
      <c r="C35" s="41" t="s">
        <v>10</v>
      </c>
      <c r="D35" s="42" t="s">
        <v>11</v>
      </c>
      <c r="E35" s="43" t="s">
        <v>31</v>
      </c>
      <c r="F35" s="31">
        <f t="shared" si="2"/>
        <v>176.76192</v>
      </c>
      <c r="G35" s="31">
        <v>196.402133333333</v>
      </c>
      <c r="H35" s="31">
        <f t="shared" si="3"/>
        <v>206.22224</v>
      </c>
      <c r="I35" s="44"/>
      <c r="J35" s="1"/>
    </row>
    <row r="36" s="2" customFormat="1" ht="16" customHeight="1" spans="2:20">
      <c r="B36" s="40">
        <v>0.2</v>
      </c>
      <c r="C36" s="41" t="s">
        <v>17</v>
      </c>
      <c r="D36" s="42" t="s">
        <v>11</v>
      </c>
      <c r="E36" s="43" t="s">
        <v>30</v>
      </c>
      <c r="F36" s="31">
        <f t="shared" si="2"/>
        <v>153.6768</v>
      </c>
      <c r="G36" s="31">
        <v>170.752</v>
      </c>
      <c r="H36" s="31">
        <f t="shared" si="3"/>
        <v>179.2896</v>
      </c>
      <c r="I36" s="44"/>
      <c r="J36" s="1"/>
    </row>
    <row r="37" s="2" customFormat="1" ht="16" customHeight="1" spans="2:20">
      <c r="B37" s="40">
        <v>0.2</v>
      </c>
      <c r="C37" s="41" t="s">
        <v>17</v>
      </c>
      <c r="D37" s="42" t="s">
        <v>11</v>
      </c>
      <c r="E37" s="43" t="s">
        <v>31</v>
      </c>
      <c r="F37" s="31">
        <f t="shared" si="2"/>
        <v>177.22272</v>
      </c>
      <c r="G37" s="31">
        <v>196.914133333333</v>
      </c>
      <c r="H37" s="31">
        <f t="shared" si="3"/>
        <v>206.75984</v>
      </c>
      <c r="I37" s="44"/>
      <c r="J37" s="1"/>
    </row>
    <row r="38" s="2" customFormat="1" ht="16" customHeight="1" spans="2:20">
      <c r="B38" s="45">
        <v>0.2</v>
      </c>
      <c r="C38" s="46" t="s">
        <v>25</v>
      </c>
      <c r="D38" s="47" t="s">
        <v>11</v>
      </c>
      <c r="E38" s="48" t="s">
        <v>103</v>
      </c>
      <c r="F38" s="31">
        <f t="shared" si="2"/>
        <v>216</v>
      </c>
      <c r="G38" s="31">
        <v>240</v>
      </c>
      <c r="H38" s="31">
        <f t="shared" si="3"/>
        <v>252</v>
      </c>
      <c r="I38" s="44" t="s">
        <v>102</v>
      </c>
      <c r="J38" s="1"/>
    </row>
    <row r="39" s="2" customFormat="1" ht="16" customHeight="1" spans="2:20">
      <c r="B39" s="45">
        <v>0.2</v>
      </c>
      <c r="C39" s="46" t="s">
        <v>19</v>
      </c>
      <c r="D39" s="47" t="s">
        <v>11</v>
      </c>
      <c r="E39" s="48" t="s">
        <v>31</v>
      </c>
      <c r="F39" s="31">
        <f t="shared" ref="F39:F74" si="4">G39*0.9</f>
        <v>306.0351</v>
      </c>
      <c r="G39" s="31">
        <v>340.039</v>
      </c>
      <c r="H39" s="31">
        <f t="shared" ref="H39:H74" si="5">G39*1.05</f>
        <v>357.04095</v>
      </c>
      <c r="I39" s="44"/>
      <c r="J39" s="1"/>
    </row>
    <row r="40" s="2" customFormat="1" ht="16" customHeight="1" spans="2:20">
      <c r="B40" s="45">
        <v>0.2</v>
      </c>
      <c r="C40" s="46" t="s">
        <v>19</v>
      </c>
      <c r="D40" s="47" t="s">
        <v>11</v>
      </c>
      <c r="E40" s="48" t="s">
        <v>103</v>
      </c>
      <c r="F40" s="31">
        <f t="shared" si="4"/>
        <v>283.62816</v>
      </c>
      <c r="G40" s="31">
        <v>315.1424</v>
      </c>
      <c r="H40" s="31">
        <f t="shared" si="5"/>
        <v>330.89952</v>
      </c>
      <c r="I40" s="44"/>
      <c r="J40" s="1"/>
    </row>
    <row r="41" s="2" customFormat="1" ht="16" customHeight="1" spans="2:20">
      <c r="B41" s="40">
        <v>0.2</v>
      </c>
      <c r="C41" s="41" t="s">
        <v>46</v>
      </c>
      <c r="D41" s="42" t="s">
        <v>11</v>
      </c>
      <c r="E41" s="43" t="s">
        <v>33</v>
      </c>
      <c r="F41" s="31">
        <f t="shared" si="4"/>
        <v>353.90784</v>
      </c>
      <c r="G41" s="31">
        <v>393.230933333333</v>
      </c>
      <c r="H41" s="31">
        <f t="shared" si="5"/>
        <v>412.89248</v>
      </c>
      <c r="I41" s="44"/>
      <c r="J41" s="1"/>
    </row>
    <row r="42" s="2" customFormat="1" ht="16" customHeight="1" spans="2:20">
      <c r="B42" s="45">
        <v>0.2</v>
      </c>
      <c r="C42" s="46" t="s">
        <v>13</v>
      </c>
      <c r="D42" s="47" t="s">
        <v>11</v>
      </c>
      <c r="E42" s="60" t="s">
        <v>103</v>
      </c>
      <c r="F42" s="31">
        <f t="shared" si="4"/>
        <v>415.3968</v>
      </c>
      <c r="G42" s="31">
        <v>461.552</v>
      </c>
      <c r="H42" s="31">
        <f t="shared" si="5"/>
        <v>484.6296</v>
      </c>
      <c r="I42" s="44"/>
      <c r="J42" s="1"/>
    </row>
    <row r="43" s="2" customFormat="1" ht="16" customHeight="1" spans="2:20">
      <c r="B43" s="45">
        <v>0.2</v>
      </c>
      <c r="C43" s="46" t="s">
        <v>13</v>
      </c>
      <c r="D43" s="47" t="s">
        <v>11</v>
      </c>
      <c r="E43" s="60" t="s">
        <v>104</v>
      </c>
      <c r="F43" s="31">
        <f t="shared" si="4"/>
        <v>402.6312</v>
      </c>
      <c r="G43" s="31">
        <v>447.368</v>
      </c>
      <c r="H43" s="31">
        <f t="shared" si="5"/>
        <v>469.7364</v>
      </c>
      <c r="I43" s="44"/>
      <c r="J43" s="1"/>
    </row>
    <row r="44" s="2" customFormat="1" ht="16" customHeight="1" spans="2:20">
      <c r="B44" s="40">
        <v>0.23</v>
      </c>
      <c r="C44" s="41" t="s">
        <v>10</v>
      </c>
      <c r="D44" s="42" t="s">
        <v>11</v>
      </c>
      <c r="E44" s="43" t="s">
        <v>33</v>
      </c>
      <c r="F44" s="31">
        <f t="shared" si="4"/>
        <v>120.98112</v>
      </c>
      <c r="G44" s="31">
        <v>134.423466666667</v>
      </c>
      <c r="H44" s="31">
        <f t="shared" si="5"/>
        <v>141.14464</v>
      </c>
      <c r="I44" s="44"/>
      <c r="J44" s="1"/>
    </row>
    <row r="45" s="2" customFormat="1" ht="16" customHeight="1" spans="2:20">
      <c r="B45" s="40">
        <v>0.23</v>
      </c>
      <c r="C45" s="41" t="s">
        <v>17</v>
      </c>
      <c r="D45" s="42" t="s">
        <v>11</v>
      </c>
      <c r="E45" s="43" t="s">
        <v>33</v>
      </c>
      <c r="F45" s="31">
        <f t="shared" si="4"/>
        <v>174.88128</v>
      </c>
      <c r="G45" s="31">
        <v>194.312533333333</v>
      </c>
      <c r="H45" s="31">
        <f t="shared" si="5"/>
        <v>204.02816</v>
      </c>
      <c r="I45" s="44"/>
      <c r="J45" s="1"/>
    </row>
    <row r="46" s="2" customFormat="1" ht="16" customHeight="1" spans="2:20">
      <c r="B46" s="40">
        <v>0.23</v>
      </c>
      <c r="C46" s="41" t="s">
        <v>19</v>
      </c>
      <c r="D46" s="42" t="s">
        <v>11</v>
      </c>
      <c r="E46" s="43" t="s">
        <v>33</v>
      </c>
      <c r="F46" s="31">
        <f t="shared" si="4"/>
        <v>304.57632</v>
      </c>
      <c r="G46" s="31">
        <v>338.418133333333</v>
      </c>
      <c r="H46" s="31">
        <f t="shared" si="5"/>
        <v>355.33904</v>
      </c>
      <c r="I46" s="44"/>
      <c r="J46" s="1"/>
    </row>
    <row r="47" s="33" customFormat="1" ht="16" customHeight="1" spans="2:20">
      <c r="B47" s="45">
        <v>0.23</v>
      </c>
      <c r="C47" s="46" t="s">
        <v>13</v>
      </c>
      <c r="D47" s="47" t="s">
        <v>11</v>
      </c>
      <c r="E47" s="48" t="s">
        <v>33</v>
      </c>
      <c r="F47" s="31">
        <f t="shared" si="4"/>
        <v>387.2511</v>
      </c>
      <c r="G47" s="61">
        <v>430.279</v>
      </c>
      <c r="H47" s="31">
        <f t="shared" si="5"/>
        <v>451.79295</v>
      </c>
      <c r="I47" s="44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="2" customFormat="1" ht="16" customHeight="1" spans="2:20">
      <c r="B48" s="40">
        <v>0.25</v>
      </c>
      <c r="C48" s="41" t="s">
        <v>19</v>
      </c>
      <c r="D48" s="42" t="s">
        <v>11</v>
      </c>
      <c r="E48" s="62" t="s">
        <v>33</v>
      </c>
      <c r="F48" s="31">
        <f t="shared" si="4"/>
        <v>306.13824</v>
      </c>
      <c r="G48" s="31">
        <v>340.1536</v>
      </c>
      <c r="H48" s="31">
        <f t="shared" si="5"/>
        <v>357.16128</v>
      </c>
      <c r="I48" s="44"/>
      <c r="J48" s="1"/>
    </row>
    <row r="49" s="2" customFormat="1" ht="16" customHeight="1" spans="2:20">
      <c r="B49" s="40">
        <v>0.25</v>
      </c>
      <c r="C49" s="41" t="s">
        <v>13</v>
      </c>
      <c r="D49" s="42" t="s">
        <v>11</v>
      </c>
      <c r="E49" s="43" t="s">
        <v>33</v>
      </c>
      <c r="F49" s="31">
        <f t="shared" si="4"/>
        <v>406.22208</v>
      </c>
      <c r="G49" s="31">
        <v>451.357866666667</v>
      </c>
      <c r="H49" s="31">
        <f t="shared" si="5"/>
        <v>473.92576</v>
      </c>
      <c r="I49" s="44"/>
      <c r="J49" s="1"/>
    </row>
    <row r="50" s="2" customFormat="1" ht="16" customHeight="1" spans="2:20">
      <c r="B50" s="40">
        <v>0.26</v>
      </c>
      <c r="C50" s="41" t="s">
        <v>10</v>
      </c>
      <c r="D50" s="42" t="s">
        <v>11</v>
      </c>
      <c r="E50" s="43" t="s">
        <v>33</v>
      </c>
      <c r="F50" s="31">
        <f t="shared" si="4"/>
        <v>122.46528</v>
      </c>
      <c r="G50" s="31">
        <v>136.072533333333</v>
      </c>
      <c r="H50" s="31">
        <f t="shared" si="5"/>
        <v>142.87616</v>
      </c>
      <c r="I50" s="44"/>
      <c r="J50" s="1"/>
    </row>
    <row r="51" s="2" customFormat="1" ht="16" customHeight="1" spans="2:20">
      <c r="B51" s="40">
        <v>0.26</v>
      </c>
      <c r="C51" s="41" t="s">
        <v>17</v>
      </c>
      <c r="D51" s="42" t="s">
        <v>11</v>
      </c>
      <c r="E51" s="43" t="s">
        <v>33</v>
      </c>
      <c r="F51" s="31">
        <f t="shared" si="4"/>
        <v>176.89056</v>
      </c>
      <c r="G51" s="31">
        <v>196.545066666667</v>
      </c>
      <c r="H51" s="31">
        <f t="shared" si="5"/>
        <v>206.37232</v>
      </c>
      <c r="I51" s="44"/>
      <c r="J51" s="1"/>
    </row>
    <row r="52" s="33" customFormat="1" ht="17" customHeight="1" spans="2:20">
      <c r="B52" s="45">
        <v>0.26</v>
      </c>
      <c r="C52" s="46" t="s">
        <v>19</v>
      </c>
      <c r="D52" s="47" t="s">
        <v>11</v>
      </c>
      <c r="E52" s="48" t="s">
        <v>33</v>
      </c>
      <c r="F52" s="31">
        <f t="shared" si="4"/>
        <v>287.4483</v>
      </c>
      <c r="G52" s="61">
        <v>319.387</v>
      </c>
      <c r="H52" s="31">
        <f t="shared" si="5"/>
        <v>335.35635</v>
      </c>
      <c r="I52" s="44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="2" customFormat="1" ht="16" customHeight="1" spans="2:20">
      <c r="B53" s="49">
        <v>0.3</v>
      </c>
      <c r="C53" s="50" t="s">
        <v>17</v>
      </c>
      <c r="D53" s="51" t="s">
        <v>11</v>
      </c>
      <c r="E53" s="52" t="s">
        <v>105</v>
      </c>
      <c r="F53" s="31">
        <f t="shared" si="4"/>
        <v>178.4259</v>
      </c>
      <c r="G53" s="53">
        <v>198.251</v>
      </c>
      <c r="H53" s="31">
        <f t="shared" si="5"/>
        <v>208.16355</v>
      </c>
      <c r="I53" s="63" t="s">
        <v>100</v>
      </c>
      <c r="J53" s="1"/>
    </row>
    <row r="54" s="33" customFormat="1" ht="16" customHeight="1" spans="2:20">
      <c r="B54" s="45">
        <v>0.3</v>
      </c>
      <c r="C54" s="46" t="s">
        <v>19</v>
      </c>
      <c r="D54" s="47" t="s">
        <v>11</v>
      </c>
      <c r="E54" s="48" t="s">
        <v>36</v>
      </c>
      <c r="F54" s="31">
        <f t="shared" si="4"/>
        <v>294.5619</v>
      </c>
      <c r="G54" s="61">
        <v>327.291</v>
      </c>
      <c r="H54" s="31">
        <f t="shared" si="5"/>
        <v>343.65555</v>
      </c>
      <c r="I54" s="44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="2" customFormat="1" ht="16" customHeight="1" spans="2:20">
      <c r="B55" s="40">
        <v>0.3</v>
      </c>
      <c r="C55" s="41" t="s">
        <v>106</v>
      </c>
      <c r="D55" s="42" t="s">
        <v>11</v>
      </c>
      <c r="E55" s="62" t="s">
        <v>107</v>
      </c>
      <c r="F55" s="31">
        <f t="shared" si="4"/>
        <v>374.57472</v>
      </c>
      <c r="G55" s="31">
        <v>416.194133333333</v>
      </c>
      <c r="H55" s="31">
        <f t="shared" si="5"/>
        <v>437.00384</v>
      </c>
      <c r="I55" s="44"/>
      <c r="J55" s="1"/>
    </row>
    <row r="56" s="2" customFormat="1" ht="16" customHeight="1" spans="2:20">
      <c r="B56" s="40">
        <v>0.3</v>
      </c>
      <c r="C56" s="41" t="s">
        <v>13</v>
      </c>
      <c r="D56" s="42" t="s">
        <v>11</v>
      </c>
      <c r="E56" s="43" t="s">
        <v>36</v>
      </c>
      <c r="F56" s="31">
        <f t="shared" si="4"/>
        <v>443.53728</v>
      </c>
      <c r="G56" s="31">
        <v>492.8192</v>
      </c>
      <c r="H56" s="31">
        <f t="shared" si="5"/>
        <v>517.46016</v>
      </c>
      <c r="I56" s="44"/>
      <c r="J56" s="1"/>
    </row>
    <row r="57" s="2" customFormat="1" ht="16" customHeight="1" spans="2:20">
      <c r="B57" s="64">
        <v>0.33</v>
      </c>
      <c r="C57" s="65" t="s">
        <v>17</v>
      </c>
      <c r="D57" s="66" t="s">
        <v>11</v>
      </c>
      <c r="E57" s="67" t="s">
        <v>37</v>
      </c>
      <c r="F57" s="68">
        <f t="shared" si="4"/>
        <v>193.5</v>
      </c>
      <c r="G57" s="68">
        <v>215</v>
      </c>
      <c r="H57" s="68">
        <f t="shared" si="5"/>
        <v>225.75</v>
      </c>
      <c r="I57" s="63" t="s">
        <v>108</v>
      </c>
      <c r="J57" s="1"/>
    </row>
    <row r="58" s="2" customFormat="1" ht="16" customHeight="1" spans="2:20">
      <c r="B58" s="45">
        <v>0.36</v>
      </c>
      <c r="C58" s="46" t="s">
        <v>17</v>
      </c>
      <c r="D58" s="47" t="s">
        <v>11</v>
      </c>
      <c r="E58" s="48" t="s">
        <v>40</v>
      </c>
      <c r="F58" s="31">
        <f t="shared" si="4"/>
        <v>173.30688</v>
      </c>
      <c r="G58" s="31">
        <v>192.5632</v>
      </c>
      <c r="H58" s="31">
        <f t="shared" si="5"/>
        <v>202.19136</v>
      </c>
      <c r="I58" s="44"/>
      <c r="J58" s="1"/>
    </row>
    <row r="59" s="2" customFormat="1" ht="16" customHeight="1" spans="2:20">
      <c r="B59" s="40">
        <v>0.36</v>
      </c>
      <c r="C59" s="41" t="s">
        <v>19</v>
      </c>
      <c r="D59" s="42" t="s">
        <v>11</v>
      </c>
      <c r="E59" s="43" t="s">
        <v>40</v>
      </c>
      <c r="F59" s="31">
        <f t="shared" si="4"/>
        <v>302.77248</v>
      </c>
      <c r="G59" s="31">
        <v>336.413866666667</v>
      </c>
      <c r="H59" s="31">
        <f t="shared" si="5"/>
        <v>353.23456</v>
      </c>
      <c r="I59" s="44"/>
      <c r="J59" s="1"/>
    </row>
    <row r="60" s="2" customFormat="1" ht="16" customHeight="1" spans="2:20">
      <c r="B60" s="40">
        <v>0.4</v>
      </c>
      <c r="C60" s="41" t="s">
        <v>19</v>
      </c>
      <c r="D60" s="42" t="s">
        <v>11</v>
      </c>
      <c r="E60" s="43" t="s">
        <v>40</v>
      </c>
      <c r="F60" s="31">
        <f t="shared" si="4"/>
        <v>304.99872</v>
      </c>
      <c r="G60" s="31">
        <v>338.887466666667</v>
      </c>
      <c r="H60" s="31">
        <f t="shared" si="5"/>
        <v>355.83184</v>
      </c>
      <c r="I60" s="44"/>
      <c r="J60" s="1"/>
    </row>
    <row r="61" s="2" customFormat="1" ht="16" customHeight="1" spans="2:20">
      <c r="B61" s="40">
        <v>0.4</v>
      </c>
      <c r="C61" s="41" t="s">
        <v>13</v>
      </c>
      <c r="D61" s="42" t="s">
        <v>11</v>
      </c>
      <c r="E61" s="43" t="s">
        <v>40</v>
      </c>
      <c r="F61" s="31">
        <f t="shared" si="4"/>
        <v>438.04704</v>
      </c>
      <c r="G61" s="31">
        <v>486.718933333333</v>
      </c>
      <c r="H61" s="31">
        <f t="shared" si="5"/>
        <v>511.05488</v>
      </c>
      <c r="I61" s="44"/>
      <c r="J61" s="1"/>
    </row>
    <row r="62" s="2" customFormat="1" ht="16" customHeight="1" spans="2:20">
      <c r="B62" s="49">
        <v>0.41</v>
      </c>
      <c r="C62" s="50" t="s">
        <v>17</v>
      </c>
      <c r="D62" s="51" t="s">
        <v>11</v>
      </c>
      <c r="E62" s="52" t="s">
        <v>40</v>
      </c>
      <c r="F62" s="31">
        <f t="shared" si="4"/>
        <v>179.5266</v>
      </c>
      <c r="G62" s="53">
        <v>199.474</v>
      </c>
      <c r="H62" s="31">
        <f t="shared" si="5"/>
        <v>209.4477</v>
      </c>
      <c r="I62" s="44" t="s">
        <v>100</v>
      </c>
      <c r="J62" s="1"/>
    </row>
    <row r="63" s="2" customFormat="1" ht="16" customHeight="1" spans="2:20">
      <c r="B63" s="40">
        <v>0.41</v>
      </c>
      <c r="C63" s="41" t="s">
        <v>19</v>
      </c>
      <c r="D63" s="42" t="s">
        <v>11</v>
      </c>
      <c r="E63" s="43" t="s">
        <v>40</v>
      </c>
      <c r="F63" s="31">
        <f t="shared" si="4"/>
        <v>306.48384</v>
      </c>
      <c r="G63" s="31">
        <v>340.5376</v>
      </c>
      <c r="H63" s="31">
        <f t="shared" si="5"/>
        <v>357.56448</v>
      </c>
      <c r="I63" s="44"/>
      <c r="J63" s="1"/>
    </row>
    <row r="64" s="2" customFormat="1" ht="16" customHeight="1" spans="2:20">
      <c r="B64" s="40">
        <v>0.41</v>
      </c>
      <c r="C64" s="41" t="s">
        <v>13</v>
      </c>
      <c r="D64" s="42" t="s">
        <v>11</v>
      </c>
      <c r="E64" s="43" t="s">
        <v>40</v>
      </c>
      <c r="F64" s="31">
        <f t="shared" si="4"/>
        <v>438.54624</v>
      </c>
      <c r="G64" s="31">
        <v>487.2736</v>
      </c>
      <c r="H64" s="31">
        <f t="shared" si="5"/>
        <v>511.63728</v>
      </c>
      <c r="I64" s="44"/>
      <c r="J64" s="1"/>
    </row>
    <row r="65" s="2" customFormat="1" ht="16" customHeight="1" spans="2:10">
      <c r="B65" s="45">
        <v>0.43</v>
      </c>
      <c r="C65" s="46" t="s">
        <v>10</v>
      </c>
      <c r="D65" s="47" t="s">
        <v>11</v>
      </c>
      <c r="E65" s="48" t="s">
        <v>41</v>
      </c>
      <c r="F65" s="31">
        <f t="shared" si="4"/>
        <v>140.23968</v>
      </c>
      <c r="G65" s="31">
        <v>155.821866666667</v>
      </c>
      <c r="H65" s="31">
        <f t="shared" si="5"/>
        <v>163.61296</v>
      </c>
      <c r="I65" s="44"/>
      <c r="J65" s="1"/>
    </row>
    <row r="66" s="2" customFormat="1" ht="16" customHeight="1" spans="2:10">
      <c r="B66" s="40">
        <v>0.43</v>
      </c>
      <c r="C66" s="41" t="s">
        <v>17</v>
      </c>
      <c r="D66" s="42" t="s">
        <v>11</v>
      </c>
      <c r="E66" s="43" t="s">
        <v>41</v>
      </c>
      <c r="F66" s="31">
        <f t="shared" si="4"/>
        <v>192.47712</v>
      </c>
      <c r="G66" s="31">
        <v>213.863466666667</v>
      </c>
      <c r="H66" s="31">
        <f t="shared" si="5"/>
        <v>224.55664</v>
      </c>
      <c r="I66" s="44"/>
      <c r="J66" s="1"/>
    </row>
    <row r="67" s="2" customFormat="1" ht="16" customHeight="1" spans="2:10">
      <c r="B67" s="40">
        <v>0.43</v>
      </c>
      <c r="C67" s="41" t="s">
        <v>19</v>
      </c>
      <c r="D67" s="42" t="s">
        <v>11</v>
      </c>
      <c r="E67" s="43" t="s">
        <v>41</v>
      </c>
      <c r="F67" s="31">
        <f t="shared" si="4"/>
        <v>322.19808</v>
      </c>
      <c r="G67" s="31">
        <v>357.997866666667</v>
      </c>
      <c r="H67" s="31">
        <f t="shared" si="5"/>
        <v>375.89776</v>
      </c>
      <c r="I67" s="44"/>
      <c r="J67" s="1"/>
    </row>
    <row r="68" s="2" customFormat="1" ht="16" customHeight="1" spans="2:10">
      <c r="B68" s="40">
        <v>0.46</v>
      </c>
      <c r="C68" s="41" t="s">
        <v>10</v>
      </c>
      <c r="D68" s="42" t="s">
        <v>11</v>
      </c>
      <c r="E68" s="43" t="s">
        <v>41</v>
      </c>
      <c r="F68" s="31">
        <f t="shared" si="4"/>
        <v>139.86912</v>
      </c>
      <c r="G68" s="31">
        <v>155.410133333333</v>
      </c>
      <c r="H68" s="31">
        <f t="shared" si="5"/>
        <v>163.18064</v>
      </c>
      <c r="I68" s="44"/>
      <c r="J68" s="1"/>
    </row>
    <row r="69" s="2" customFormat="1" ht="16" customHeight="1" spans="2:10">
      <c r="B69" s="45">
        <v>0.46</v>
      </c>
      <c r="C69" s="46" t="s">
        <v>17</v>
      </c>
      <c r="D69" s="47" t="s">
        <v>11</v>
      </c>
      <c r="E69" s="48" t="s">
        <v>41</v>
      </c>
      <c r="F69" s="31">
        <f t="shared" si="4"/>
        <v>184.2255</v>
      </c>
      <c r="G69" s="31">
        <v>204.695</v>
      </c>
      <c r="H69" s="31">
        <f t="shared" si="5"/>
        <v>214.92975</v>
      </c>
      <c r="I69" s="44"/>
      <c r="J69" s="1"/>
    </row>
    <row r="70" s="2" customFormat="1" ht="16" customHeight="1" spans="2:10">
      <c r="B70" s="40">
        <v>0.46</v>
      </c>
      <c r="C70" s="41" t="s">
        <v>19</v>
      </c>
      <c r="D70" s="42" t="s">
        <v>11</v>
      </c>
      <c r="E70" s="43" t="s">
        <v>41</v>
      </c>
      <c r="F70" s="31">
        <f t="shared" si="4"/>
        <v>323.98944</v>
      </c>
      <c r="G70" s="31">
        <v>359.988266666667</v>
      </c>
      <c r="H70" s="31">
        <f t="shared" si="5"/>
        <v>377.98768</v>
      </c>
      <c r="I70" s="44"/>
      <c r="J70" s="1"/>
    </row>
    <row r="71" s="2" customFormat="1" ht="16" customHeight="1" spans="2:10">
      <c r="B71" s="40">
        <v>0.46</v>
      </c>
      <c r="C71" s="41" t="s">
        <v>13</v>
      </c>
      <c r="D71" s="42" t="s">
        <v>11</v>
      </c>
      <c r="E71" s="43" t="s">
        <v>43</v>
      </c>
      <c r="F71" s="31">
        <f t="shared" si="4"/>
        <v>455.0928</v>
      </c>
      <c r="G71" s="31">
        <v>505.658666666667</v>
      </c>
      <c r="H71" s="31">
        <f t="shared" si="5"/>
        <v>530.9416</v>
      </c>
      <c r="I71" s="44"/>
      <c r="J71" s="1"/>
    </row>
    <row r="72" s="2" customFormat="1" ht="16" customHeight="1" spans="2:10">
      <c r="B72" s="40">
        <v>0.5</v>
      </c>
      <c r="C72" s="41" t="s">
        <v>17</v>
      </c>
      <c r="D72" s="42" t="s">
        <v>11</v>
      </c>
      <c r="E72" s="62" t="s">
        <v>43</v>
      </c>
      <c r="F72" s="31">
        <f t="shared" si="4"/>
        <v>192.15648</v>
      </c>
      <c r="G72" s="31">
        <v>213.5072</v>
      </c>
      <c r="H72" s="31">
        <f t="shared" si="5"/>
        <v>224.18256</v>
      </c>
      <c r="I72" s="44"/>
      <c r="J72" s="1"/>
    </row>
    <row r="73" s="2" customFormat="1" ht="16" customHeight="1" spans="2:10">
      <c r="B73" s="40">
        <v>0.5</v>
      </c>
      <c r="C73" s="41" t="s">
        <v>13</v>
      </c>
      <c r="D73" s="42" t="s">
        <v>11</v>
      </c>
      <c r="E73" s="62" t="s">
        <v>43</v>
      </c>
      <c r="F73" s="31">
        <f t="shared" si="4"/>
        <v>455.83488</v>
      </c>
      <c r="G73" s="31">
        <v>506.4832</v>
      </c>
      <c r="H73" s="31">
        <f t="shared" si="5"/>
        <v>531.80736</v>
      </c>
      <c r="I73" s="44"/>
      <c r="J73" s="1"/>
    </row>
    <row r="74" s="2" customFormat="1" ht="16" customHeight="1" spans="2:10">
      <c r="B74" s="54">
        <v>0.51</v>
      </c>
      <c r="C74" s="55" t="s">
        <v>10</v>
      </c>
      <c r="D74" s="56" t="s">
        <v>11</v>
      </c>
      <c r="E74" s="57" t="s">
        <v>43</v>
      </c>
      <c r="F74" s="31">
        <f t="shared" si="4"/>
        <v>138.6918</v>
      </c>
      <c r="G74" s="58">
        <v>154.102</v>
      </c>
      <c r="H74" s="31">
        <f t="shared" si="5"/>
        <v>161.8071</v>
      </c>
      <c r="I74" s="59" t="s">
        <v>93</v>
      </c>
      <c r="J74" s="1"/>
    </row>
    <row r="75" s="2" customFormat="1" ht="16" customHeight="1" spans="2:10">
      <c r="B75" s="40">
        <v>0.51</v>
      </c>
      <c r="C75" s="41" t="s">
        <v>17</v>
      </c>
      <c r="D75" s="42" t="s">
        <v>11</v>
      </c>
      <c r="E75" s="43" t="s">
        <v>43</v>
      </c>
      <c r="F75" s="31">
        <f t="shared" ref="F75:F89" si="6">G75*0.9</f>
        <v>194.65248</v>
      </c>
      <c r="G75" s="31">
        <v>216.280533333333</v>
      </c>
      <c r="H75" s="31">
        <f t="shared" ref="H75:H89" si="7">G75*1.05</f>
        <v>227.09456</v>
      </c>
      <c r="I75" s="44"/>
      <c r="J75" s="1"/>
    </row>
    <row r="76" s="2" customFormat="1" ht="16" customHeight="1" spans="2:10">
      <c r="B76" s="40">
        <v>0.51</v>
      </c>
      <c r="C76" s="41" t="s">
        <v>19</v>
      </c>
      <c r="D76" s="42" t="s">
        <v>11</v>
      </c>
      <c r="E76" s="43" t="s">
        <v>43</v>
      </c>
      <c r="F76" s="31">
        <f t="shared" si="6"/>
        <v>324.13056</v>
      </c>
      <c r="G76" s="31">
        <v>360.145066666667</v>
      </c>
      <c r="H76" s="31">
        <f t="shared" si="7"/>
        <v>378.15232</v>
      </c>
      <c r="I76" s="44"/>
      <c r="J76" s="1"/>
    </row>
    <row r="77" s="2" customFormat="1" ht="16" customHeight="1" spans="2:10">
      <c r="B77" s="45">
        <v>0.51</v>
      </c>
      <c r="C77" s="46" t="s">
        <v>13</v>
      </c>
      <c r="D77" s="47" t="s">
        <v>11</v>
      </c>
      <c r="E77" s="48" t="s">
        <v>109</v>
      </c>
      <c r="F77" s="31">
        <f t="shared" si="6"/>
        <v>447.3888</v>
      </c>
      <c r="G77" s="31">
        <v>497.098666666667</v>
      </c>
      <c r="H77" s="31">
        <f t="shared" si="7"/>
        <v>521.9536</v>
      </c>
      <c r="I77" s="44"/>
      <c r="J77" s="1"/>
    </row>
    <row r="78" s="2" customFormat="1" ht="16" customHeight="1" spans="2:10">
      <c r="B78" s="40">
        <v>0.53</v>
      </c>
      <c r="C78" s="41" t="s">
        <v>10</v>
      </c>
      <c r="D78" s="42" t="s">
        <v>11</v>
      </c>
      <c r="E78" s="43" t="s">
        <v>45</v>
      </c>
      <c r="F78" s="31">
        <f t="shared" si="6"/>
        <v>134.89152</v>
      </c>
      <c r="G78" s="31">
        <v>149.879466666667</v>
      </c>
      <c r="H78" s="31">
        <f t="shared" si="7"/>
        <v>157.37344</v>
      </c>
      <c r="I78" s="44"/>
      <c r="J78" s="1"/>
    </row>
    <row r="79" s="2" customFormat="1" ht="16" customHeight="1" spans="2:10">
      <c r="B79" s="40">
        <v>0.53</v>
      </c>
      <c r="C79" s="41" t="s">
        <v>17</v>
      </c>
      <c r="D79" s="42" t="s">
        <v>11</v>
      </c>
      <c r="E79" s="43" t="s">
        <v>45</v>
      </c>
      <c r="F79" s="31">
        <f t="shared" si="6"/>
        <v>188.82912</v>
      </c>
      <c r="G79" s="31">
        <v>209.810133333333</v>
      </c>
      <c r="H79" s="31">
        <f t="shared" si="7"/>
        <v>220.30064</v>
      </c>
      <c r="I79" s="44"/>
      <c r="J79" s="1"/>
    </row>
    <row r="80" s="2" customFormat="1" ht="16" customHeight="1" spans="2:10">
      <c r="B80" s="40">
        <v>0.53</v>
      </c>
      <c r="C80" s="41" t="s">
        <v>110</v>
      </c>
      <c r="D80" s="42" t="s">
        <v>11</v>
      </c>
      <c r="E80" s="62" t="s">
        <v>45</v>
      </c>
      <c r="F80" s="31">
        <f t="shared" si="6"/>
        <v>373.78176</v>
      </c>
      <c r="G80" s="31">
        <v>415.313066666667</v>
      </c>
      <c r="H80" s="31">
        <f t="shared" si="7"/>
        <v>436.07872</v>
      </c>
      <c r="I80" s="44"/>
      <c r="J80" s="1"/>
    </row>
    <row r="81" s="2" customFormat="1" ht="16" customHeight="1" spans="2:10">
      <c r="B81" s="40">
        <v>0.61</v>
      </c>
      <c r="C81" s="41" t="s">
        <v>10</v>
      </c>
      <c r="D81" s="42" t="s">
        <v>11</v>
      </c>
      <c r="E81" s="62" t="s">
        <v>45</v>
      </c>
      <c r="F81" s="31">
        <f t="shared" si="6"/>
        <v>141.456</v>
      </c>
      <c r="G81" s="31">
        <v>157.173333333333</v>
      </c>
      <c r="H81" s="31">
        <f t="shared" si="7"/>
        <v>165.032</v>
      </c>
      <c r="I81" s="44"/>
      <c r="J81" s="1"/>
    </row>
    <row r="82" s="2" customFormat="1" ht="16" customHeight="1" spans="2:10">
      <c r="B82" s="40">
        <v>0.61</v>
      </c>
      <c r="C82" s="41" t="s">
        <v>17</v>
      </c>
      <c r="D82" s="42" t="s">
        <v>11</v>
      </c>
      <c r="E82" s="43" t="s">
        <v>45</v>
      </c>
      <c r="F82" s="31">
        <f t="shared" si="6"/>
        <v>194.17824</v>
      </c>
      <c r="G82" s="31">
        <v>215.7536</v>
      </c>
      <c r="H82" s="31">
        <f t="shared" si="7"/>
        <v>226.54128</v>
      </c>
      <c r="I82" s="44"/>
      <c r="J82" s="1"/>
    </row>
    <row r="83" s="2" customFormat="1" ht="16" customHeight="1" spans="2:10">
      <c r="B83" s="40">
        <v>0.61</v>
      </c>
      <c r="C83" s="41" t="s">
        <v>19</v>
      </c>
      <c r="D83" s="42" t="s">
        <v>11</v>
      </c>
      <c r="E83" s="43" t="s">
        <v>45</v>
      </c>
      <c r="F83" s="31">
        <f t="shared" si="6"/>
        <v>328.34016</v>
      </c>
      <c r="G83" s="31">
        <v>364.8224</v>
      </c>
      <c r="H83" s="31">
        <f t="shared" si="7"/>
        <v>383.06352</v>
      </c>
      <c r="I83" s="44"/>
      <c r="J83" s="1"/>
    </row>
    <row r="84" s="2" customFormat="1" ht="16" customHeight="1" spans="2:10">
      <c r="B84" s="49">
        <v>0.66</v>
      </c>
      <c r="C84" s="50" t="s">
        <v>10</v>
      </c>
      <c r="D84" s="51" t="s">
        <v>11</v>
      </c>
      <c r="E84" s="52" t="s">
        <v>50</v>
      </c>
      <c r="F84" s="53">
        <f t="shared" si="6"/>
        <v>166.15392</v>
      </c>
      <c r="G84" s="53">
        <v>184.615466666667</v>
      </c>
      <c r="H84" s="53">
        <f t="shared" si="7"/>
        <v>193.84624</v>
      </c>
      <c r="I84" s="44" t="s">
        <v>100</v>
      </c>
      <c r="J84" s="1"/>
    </row>
    <row r="85" s="2" customFormat="1" ht="16" customHeight="1" spans="2:10">
      <c r="B85" s="40">
        <v>0.66</v>
      </c>
      <c r="C85" s="41" t="s">
        <v>17</v>
      </c>
      <c r="D85" s="42" t="s">
        <v>11</v>
      </c>
      <c r="E85" s="43" t="s">
        <v>50</v>
      </c>
      <c r="F85" s="31">
        <f t="shared" si="6"/>
        <v>221.12832</v>
      </c>
      <c r="G85" s="31">
        <v>245.698133333333</v>
      </c>
      <c r="H85" s="31">
        <f t="shared" si="7"/>
        <v>257.98304</v>
      </c>
      <c r="I85" s="44"/>
      <c r="J85" s="1"/>
    </row>
    <row r="86" s="2" customFormat="1" ht="16" customHeight="1" spans="2:10">
      <c r="B86" s="45">
        <v>0.71</v>
      </c>
      <c r="C86" s="46" t="s">
        <v>10</v>
      </c>
      <c r="D86" s="47" t="s">
        <v>11</v>
      </c>
      <c r="E86" s="48" t="s">
        <v>51</v>
      </c>
      <c r="F86" s="31">
        <f t="shared" si="6"/>
        <v>155.60928</v>
      </c>
      <c r="G86" s="31">
        <v>172.8992</v>
      </c>
      <c r="H86" s="31">
        <f t="shared" si="7"/>
        <v>181.54416</v>
      </c>
      <c r="I86" s="44"/>
      <c r="J86" s="1"/>
    </row>
    <row r="87" s="2" customFormat="1" ht="16" customHeight="1" spans="2:10">
      <c r="B87" s="45">
        <v>0.76</v>
      </c>
      <c r="C87" s="46" t="s">
        <v>17</v>
      </c>
      <c r="D87" s="47" t="s">
        <v>11</v>
      </c>
      <c r="E87" s="48" t="s">
        <v>51</v>
      </c>
      <c r="F87" s="31">
        <f t="shared" si="6"/>
        <v>213.04128</v>
      </c>
      <c r="G87" s="31">
        <v>236.712533333333</v>
      </c>
      <c r="H87" s="31">
        <f t="shared" si="7"/>
        <v>248.54816</v>
      </c>
      <c r="I87" s="44"/>
      <c r="J87" s="1"/>
    </row>
    <row r="88" s="2" customFormat="1" ht="16" customHeight="1" spans="2:10">
      <c r="B88" s="45">
        <v>0.8</v>
      </c>
      <c r="C88" s="46" t="s">
        <v>10</v>
      </c>
      <c r="D88" s="47" t="s">
        <v>52</v>
      </c>
      <c r="E88" s="48" t="s">
        <v>111</v>
      </c>
      <c r="F88" s="31">
        <f t="shared" si="6"/>
        <v>157.5</v>
      </c>
      <c r="G88" s="31">
        <v>175</v>
      </c>
      <c r="H88" s="31">
        <f t="shared" si="7"/>
        <v>183.75</v>
      </c>
      <c r="I88" s="44" t="s">
        <v>93</v>
      </c>
      <c r="J88" s="1"/>
    </row>
    <row r="89" s="1" customFormat="1" ht="16" customHeight="1" spans="2:10">
      <c r="B89" s="40">
        <v>0.8</v>
      </c>
      <c r="C89" s="41" t="s">
        <v>17</v>
      </c>
      <c r="D89" s="42" t="s">
        <v>52</v>
      </c>
      <c r="E89" s="43" t="s">
        <v>51</v>
      </c>
      <c r="F89" s="31">
        <f t="shared" si="6"/>
        <v>213.9498</v>
      </c>
      <c r="G89" s="31">
        <v>237.722</v>
      </c>
      <c r="H89" s="31">
        <f t="shared" si="7"/>
        <v>249.6081</v>
      </c>
      <c r="I89" s="44" t="s">
        <v>100</v>
      </c>
    </row>
    <row r="90" s="2" customFormat="1" ht="16" customHeight="1" spans="2:10">
      <c r="B90" s="40">
        <v>0.9</v>
      </c>
      <c r="C90" s="41" t="s">
        <v>19</v>
      </c>
      <c r="D90" s="42" t="s">
        <v>52</v>
      </c>
      <c r="E90" s="43" t="s">
        <v>51</v>
      </c>
      <c r="F90" s="31">
        <f t="shared" ref="F90:F111" si="8">G90*0.9</f>
        <v>345.168</v>
      </c>
      <c r="G90" s="31">
        <v>383.52</v>
      </c>
      <c r="H90" s="31">
        <f t="shared" ref="H90:H111" si="9">G90*1.05</f>
        <v>402.696</v>
      </c>
      <c r="I90" s="44"/>
      <c r="J90" s="1"/>
    </row>
    <row r="91" s="2" customFormat="1" ht="16" customHeight="1" spans="2:10">
      <c r="B91" s="40">
        <v>1</v>
      </c>
      <c r="C91" s="41" t="s">
        <v>10</v>
      </c>
      <c r="D91" s="42" t="s">
        <v>52</v>
      </c>
      <c r="E91" s="43" t="s">
        <v>55</v>
      </c>
      <c r="F91" s="31">
        <f t="shared" si="8"/>
        <v>180.576</v>
      </c>
      <c r="G91" s="31">
        <v>200.64</v>
      </c>
      <c r="H91" s="31">
        <f t="shared" si="9"/>
        <v>210.672</v>
      </c>
      <c r="I91" s="44"/>
      <c r="J91" s="1"/>
    </row>
    <row r="92" s="2" customFormat="1" ht="16" customHeight="1" spans="2:10">
      <c r="B92" s="40">
        <v>1</v>
      </c>
      <c r="C92" s="41" t="s">
        <v>17</v>
      </c>
      <c r="D92" s="42" t="s">
        <v>52</v>
      </c>
      <c r="E92" s="43" t="s">
        <v>55</v>
      </c>
      <c r="F92" s="31">
        <f t="shared" si="8"/>
        <v>232.1472</v>
      </c>
      <c r="G92" s="31">
        <v>257.941333333333</v>
      </c>
      <c r="H92" s="31">
        <f t="shared" si="9"/>
        <v>270.8384</v>
      </c>
      <c r="I92" s="44"/>
      <c r="J92" s="1"/>
    </row>
    <row r="93" s="2" customFormat="1" ht="16" customHeight="1" spans="2:10">
      <c r="B93" s="40">
        <v>1</v>
      </c>
      <c r="C93" s="41" t="s">
        <v>13</v>
      </c>
      <c r="D93" s="42" t="s">
        <v>52</v>
      </c>
      <c r="E93" s="43" t="s">
        <v>51</v>
      </c>
      <c r="F93" s="31">
        <f t="shared" si="8"/>
        <v>478.60032</v>
      </c>
      <c r="G93" s="31">
        <v>531.778133333333</v>
      </c>
      <c r="H93" s="31">
        <f t="shared" si="9"/>
        <v>558.36704</v>
      </c>
      <c r="I93" s="44"/>
      <c r="J93" s="1"/>
    </row>
    <row r="94" s="2" customFormat="1" ht="16" customHeight="1" spans="2:10">
      <c r="B94" s="40">
        <v>1.1</v>
      </c>
      <c r="C94" s="41" t="s">
        <v>10</v>
      </c>
      <c r="D94" s="42" t="s">
        <v>52</v>
      </c>
      <c r="E94" s="43" t="s">
        <v>56</v>
      </c>
      <c r="F94" s="31">
        <f t="shared" si="8"/>
        <v>193.88448</v>
      </c>
      <c r="G94" s="31">
        <v>215.4272</v>
      </c>
      <c r="H94" s="31">
        <f t="shared" si="9"/>
        <v>226.19856</v>
      </c>
      <c r="I94" s="44"/>
      <c r="J94" s="1"/>
    </row>
    <row r="95" s="2" customFormat="1" ht="16" customHeight="1" spans="2:10">
      <c r="B95" s="40">
        <v>1.1</v>
      </c>
      <c r="C95" s="41" t="s">
        <v>17</v>
      </c>
      <c r="D95" s="42" t="s">
        <v>52</v>
      </c>
      <c r="E95" s="43" t="s">
        <v>56</v>
      </c>
      <c r="F95" s="31">
        <f t="shared" si="8"/>
        <v>238.83936</v>
      </c>
      <c r="G95" s="31">
        <v>265.377066666667</v>
      </c>
      <c r="H95" s="31">
        <f t="shared" si="9"/>
        <v>278.64592</v>
      </c>
      <c r="I95" s="44"/>
      <c r="J95" s="1"/>
    </row>
    <row r="96" s="2" customFormat="1" ht="16" customHeight="1" spans="2:10">
      <c r="B96" s="40">
        <v>1.1</v>
      </c>
      <c r="C96" s="41" t="s">
        <v>19</v>
      </c>
      <c r="D96" s="42" t="s">
        <v>52</v>
      </c>
      <c r="E96" s="43" t="s">
        <v>55</v>
      </c>
      <c r="F96" s="31">
        <f t="shared" si="8"/>
        <v>363.81312</v>
      </c>
      <c r="G96" s="31">
        <v>404.2368</v>
      </c>
      <c r="H96" s="31">
        <f t="shared" si="9"/>
        <v>424.44864</v>
      </c>
      <c r="I96" s="44"/>
      <c r="J96" s="1"/>
    </row>
    <row r="97" s="2" customFormat="1" ht="16" customHeight="1" spans="2:10">
      <c r="B97" s="40">
        <v>1.2</v>
      </c>
      <c r="C97" s="41" t="s">
        <v>10</v>
      </c>
      <c r="D97" s="42" t="s">
        <v>52</v>
      </c>
      <c r="E97" s="43" t="s">
        <v>56</v>
      </c>
      <c r="F97" s="31">
        <f t="shared" si="8"/>
        <v>198.1968</v>
      </c>
      <c r="G97" s="31">
        <v>220.218666666667</v>
      </c>
      <c r="H97" s="31">
        <f t="shared" si="9"/>
        <v>231.2296</v>
      </c>
      <c r="I97" s="44"/>
      <c r="J97" s="1"/>
    </row>
    <row r="98" s="2" customFormat="1" ht="16" customHeight="1" spans="2:10">
      <c r="B98" s="45">
        <v>1.2</v>
      </c>
      <c r="C98" s="46" t="s">
        <v>17</v>
      </c>
      <c r="D98" s="47" t="s">
        <v>52</v>
      </c>
      <c r="E98" s="48" t="s">
        <v>56</v>
      </c>
      <c r="F98" s="31">
        <f t="shared" si="8"/>
        <v>239.7483</v>
      </c>
      <c r="G98" s="31">
        <v>266.387</v>
      </c>
      <c r="H98" s="31">
        <f t="shared" si="9"/>
        <v>279.70635</v>
      </c>
      <c r="I98" s="44"/>
      <c r="J98" s="1"/>
    </row>
    <row r="99" s="2" customFormat="1" ht="16" customHeight="1" spans="2:10">
      <c r="B99" s="40">
        <v>1.2</v>
      </c>
      <c r="C99" s="41" t="s">
        <v>19</v>
      </c>
      <c r="D99" s="42" t="s">
        <v>52</v>
      </c>
      <c r="E99" s="43" t="s">
        <v>56</v>
      </c>
      <c r="F99" s="31">
        <f t="shared" si="8"/>
        <v>377.13408</v>
      </c>
      <c r="G99" s="31">
        <v>419.037866666667</v>
      </c>
      <c r="H99" s="31">
        <f t="shared" si="9"/>
        <v>439.98976</v>
      </c>
      <c r="I99" s="44"/>
      <c r="J99" s="1"/>
    </row>
    <row r="100" s="2" customFormat="1" ht="16" customHeight="1" spans="2:10">
      <c r="B100" s="40">
        <v>1.2</v>
      </c>
      <c r="C100" s="41" t="s">
        <v>13</v>
      </c>
      <c r="D100" s="42" t="s">
        <v>52</v>
      </c>
      <c r="E100" s="43" t="s">
        <v>55</v>
      </c>
      <c r="F100" s="31">
        <f t="shared" si="8"/>
        <v>500.75136</v>
      </c>
      <c r="G100" s="31">
        <v>556.3904</v>
      </c>
      <c r="H100" s="31">
        <f t="shared" si="9"/>
        <v>584.20992</v>
      </c>
      <c r="I100" s="44"/>
      <c r="J100" s="1"/>
    </row>
    <row r="101" s="2" customFormat="1" ht="16" customHeight="1" spans="2:10">
      <c r="B101" s="40">
        <v>1.3</v>
      </c>
      <c r="C101" s="41" t="s">
        <v>19</v>
      </c>
      <c r="D101" s="42" t="s">
        <v>52</v>
      </c>
      <c r="E101" s="43" t="s">
        <v>56</v>
      </c>
      <c r="F101" s="31">
        <f t="shared" si="8"/>
        <v>387.67872</v>
      </c>
      <c r="G101" s="31">
        <v>430.754133333333</v>
      </c>
      <c r="H101" s="31">
        <f t="shared" si="9"/>
        <v>452.29184</v>
      </c>
      <c r="I101" s="44"/>
      <c r="J101" s="1"/>
    </row>
    <row r="102" s="2" customFormat="1" ht="16" customHeight="1" spans="2:10">
      <c r="B102" s="40">
        <v>1.4</v>
      </c>
      <c r="C102" s="41" t="s">
        <v>13</v>
      </c>
      <c r="D102" s="42" t="s">
        <v>52</v>
      </c>
      <c r="E102" s="43" t="s">
        <v>56</v>
      </c>
      <c r="F102" s="31">
        <f t="shared" si="8"/>
        <v>518.82048</v>
      </c>
      <c r="G102" s="31">
        <v>576.4672</v>
      </c>
      <c r="H102" s="31">
        <f t="shared" si="9"/>
        <v>605.29056</v>
      </c>
      <c r="I102" s="44"/>
      <c r="J102" s="1"/>
    </row>
    <row r="103" s="2" customFormat="1" ht="16" customHeight="1" spans="2:10">
      <c r="B103" s="40">
        <v>1.5</v>
      </c>
      <c r="C103" s="41" t="s">
        <v>10</v>
      </c>
      <c r="D103" s="42" t="s">
        <v>52</v>
      </c>
      <c r="E103" s="43" t="s">
        <v>62</v>
      </c>
      <c r="F103" s="31">
        <f t="shared" si="8"/>
        <v>232.55616</v>
      </c>
      <c r="G103" s="31">
        <v>258.395733333333</v>
      </c>
      <c r="H103" s="31">
        <f t="shared" si="9"/>
        <v>271.31552</v>
      </c>
      <c r="I103" s="44"/>
      <c r="J103" s="1"/>
    </row>
    <row r="104" s="2" customFormat="1" ht="16" customHeight="1" spans="2:10">
      <c r="B104" s="40">
        <v>1.5</v>
      </c>
      <c r="C104" s="41" t="s">
        <v>17</v>
      </c>
      <c r="D104" s="42" t="s">
        <v>52</v>
      </c>
      <c r="E104" s="43" t="s">
        <v>62</v>
      </c>
      <c r="F104" s="31">
        <f t="shared" si="8"/>
        <v>289.1568</v>
      </c>
      <c r="G104" s="31">
        <v>321.285333333333</v>
      </c>
      <c r="H104" s="31">
        <f t="shared" si="9"/>
        <v>337.3496</v>
      </c>
      <c r="I104" s="44"/>
      <c r="J104" s="1"/>
    </row>
    <row r="105" s="2" customFormat="1" ht="16" customHeight="1" spans="2:10">
      <c r="B105" s="45">
        <v>1.5</v>
      </c>
      <c r="C105" s="46" t="s">
        <v>19</v>
      </c>
      <c r="D105" s="47" t="s">
        <v>52</v>
      </c>
      <c r="E105" s="48" t="s">
        <v>59</v>
      </c>
      <c r="F105" s="31">
        <f t="shared" si="8"/>
        <v>405.45408</v>
      </c>
      <c r="G105" s="31">
        <v>450.504533333333</v>
      </c>
      <c r="H105" s="31">
        <f t="shared" si="9"/>
        <v>473.02976</v>
      </c>
      <c r="I105" s="44"/>
      <c r="J105" s="1"/>
    </row>
    <row r="106" s="2" customFormat="1" ht="16" customHeight="1" spans="2:10">
      <c r="B106" s="40">
        <v>1.5</v>
      </c>
      <c r="C106" s="41" t="s">
        <v>13</v>
      </c>
      <c r="D106" s="42" t="s">
        <v>52</v>
      </c>
      <c r="E106" s="43" t="s">
        <v>59</v>
      </c>
      <c r="F106" s="31">
        <f t="shared" si="8"/>
        <v>531.32352</v>
      </c>
      <c r="G106" s="31">
        <v>590.359466666667</v>
      </c>
      <c r="H106" s="31">
        <f t="shared" si="9"/>
        <v>619.87744</v>
      </c>
      <c r="I106" s="44"/>
      <c r="J106" s="1"/>
    </row>
    <row r="107" s="2" customFormat="1" ht="16" customHeight="1" spans="2:10">
      <c r="B107" s="40">
        <v>1.6</v>
      </c>
      <c r="C107" s="41" t="s">
        <v>19</v>
      </c>
      <c r="D107" s="42" t="s">
        <v>52</v>
      </c>
      <c r="E107" s="43" t="s">
        <v>62</v>
      </c>
      <c r="F107" s="31">
        <f t="shared" si="8"/>
        <v>375.79104</v>
      </c>
      <c r="G107" s="31">
        <v>417.5456</v>
      </c>
      <c r="H107" s="31">
        <f t="shared" si="9"/>
        <v>438.42288</v>
      </c>
      <c r="I107" s="44"/>
      <c r="J107" s="1"/>
    </row>
    <row r="108" s="2" customFormat="1" ht="16" customHeight="1" spans="2:10">
      <c r="B108" s="40">
        <v>1.8</v>
      </c>
      <c r="C108" s="41" t="s">
        <v>10</v>
      </c>
      <c r="D108" s="42" t="s">
        <v>52</v>
      </c>
      <c r="E108" s="43" t="s">
        <v>65</v>
      </c>
      <c r="F108" s="31">
        <f t="shared" si="8"/>
        <v>266.18592</v>
      </c>
      <c r="G108" s="31">
        <v>295.762133333333</v>
      </c>
      <c r="H108" s="31">
        <f t="shared" si="9"/>
        <v>310.55024</v>
      </c>
      <c r="I108" s="44"/>
      <c r="J108" s="1"/>
    </row>
    <row r="109" s="2" customFormat="1" ht="16" customHeight="1" spans="2:10">
      <c r="B109" s="40">
        <v>1.9</v>
      </c>
      <c r="C109" s="41" t="s">
        <v>10</v>
      </c>
      <c r="D109" s="42" t="s">
        <v>52</v>
      </c>
      <c r="E109" s="43" t="s">
        <v>65</v>
      </c>
      <c r="F109" s="31">
        <f t="shared" si="8"/>
        <v>277.99776</v>
      </c>
      <c r="G109" s="31">
        <v>308.8864</v>
      </c>
      <c r="H109" s="31">
        <f t="shared" si="9"/>
        <v>324.33072</v>
      </c>
      <c r="I109" s="44"/>
      <c r="J109" s="1"/>
    </row>
    <row r="110" s="2" customFormat="1" ht="16" customHeight="1" spans="2:10">
      <c r="B110" s="40">
        <v>1.9</v>
      </c>
      <c r="C110" s="41" t="s">
        <v>13</v>
      </c>
      <c r="D110" s="42" t="s">
        <v>52</v>
      </c>
      <c r="E110" s="43" t="s">
        <v>64</v>
      </c>
      <c r="F110" s="31">
        <f t="shared" si="8"/>
        <v>577.584</v>
      </c>
      <c r="G110" s="31">
        <v>641.76</v>
      </c>
      <c r="H110" s="31">
        <f t="shared" si="9"/>
        <v>673.848</v>
      </c>
      <c r="I110" s="44"/>
      <c r="J110" s="1"/>
    </row>
    <row r="111" s="2" customFormat="1" ht="16" customHeight="1" spans="2:10">
      <c r="B111" s="40">
        <v>2.3</v>
      </c>
      <c r="C111" s="41" t="s">
        <v>13</v>
      </c>
      <c r="D111" s="42" t="s">
        <v>52</v>
      </c>
      <c r="E111" s="43" t="s">
        <v>112</v>
      </c>
      <c r="F111" s="31">
        <f t="shared" si="8"/>
        <v>622.03968</v>
      </c>
      <c r="G111" s="31">
        <v>691.1552</v>
      </c>
      <c r="H111" s="31">
        <f t="shared" si="9"/>
        <v>725.71296</v>
      </c>
      <c r="I111" s="44"/>
      <c r="J111" s="1"/>
    </row>
    <row r="112" s="2" customFormat="1" spans="2:10">
      <c r="E112" s="34"/>
    </row>
    <row r="113" s="2" customFormat="1" spans="5:5">
      <c r="E113" s="69"/>
    </row>
    <row r="114" s="2" customFormat="1" spans="5:5">
      <c r="E114" s="69"/>
    </row>
    <row r="115" s="2" customFormat="1" spans="5:5">
      <c r="E115" s="69"/>
    </row>
    <row r="116" s="2" customFormat="1" spans="5:5">
      <c r="E116" s="69"/>
    </row>
    <row r="1048187" s="2" customFormat="1"/>
    <row r="1048188" s="2" customFormat="1"/>
    <row r="1048189" s="2" customFormat="1"/>
    <row r="1048190" s="2" customFormat="1"/>
    <row r="1048191" s="2" customFormat="1"/>
    <row r="1048192" s="2" customFormat="1"/>
    <row r="1048193" s="2" customFormat="1" spans="5:5">
      <c r="E1048193" s="34"/>
    </row>
    <row r="1048194" s="2" customFormat="1" spans="5:5">
      <c r="E1048194" s="34"/>
    </row>
    <row r="1048195" s="2" customFormat="1" spans="5:5">
      <c r="E1048195" s="34"/>
    </row>
    <row r="1048196" s="2" customFormat="1" spans="5:5">
      <c r="E1048196" s="34"/>
    </row>
    <row r="1048197" s="2" customFormat="1" spans="5:5">
      <c r="E1048197" s="34"/>
    </row>
    <row r="1048198" s="2" customFormat="1" spans="5:5">
      <c r="E1048198" s="34"/>
    </row>
    <row r="1048199" s="2" customFormat="1" spans="5:5">
      <c r="E1048199" s="34"/>
    </row>
    <row r="1048200" s="2" customFormat="1" spans="5:5">
      <c r="E1048200" s="34"/>
    </row>
    <row r="1048201" s="2" customFormat="1" spans="5:5">
      <c r="E1048201" s="34"/>
    </row>
    <row r="1048202" s="2" customFormat="1" spans="5:5">
      <c r="E1048202" s="34"/>
    </row>
    <row r="1048203" s="2" customFormat="1" spans="5:5">
      <c r="E1048203" s="34"/>
    </row>
    <row r="1048204" s="2" customFormat="1" spans="5:5">
      <c r="E1048204" s="34"/>
    </row>
    <row r="1048205" s="2" customFormat="1" spans="5:5">
      <c r="E1048205" s="34"/>
    </row>
    <row r="1048206" s="2" customFormat="1" spans="5:5">
      <c r="E1048206" s="34"/>
    </row>
    <row r="1048207" s="2" customFormat="1" spans="5:5">
      <c r="E1048207" s="34"/>
    </row>
    <row r="1048208" s="2" customFormat="1" spans="5:5">
      <c r="E1048208" s="34"/>
    </row>
    <row r="1048209" s="2" customFormat="1" spans="5:5">
      <c r="E1048209" s="34"/>
    </row>
    <row r="1048210" s="2" customFormat="1" spans="5:5">
      <c r="E1048210" s="34"/>
    </row>
    <row r="1048211" s="2" customFormat="1" spans="5:5">
      <c r="E1048211" s="34"/>
    </row>
    <row r="1048212" s="2" customFormat="1" spans="5:5">
      <c r="E1048212" s="34"/>
    </row>
    <row r="1048213" s="2" customFormat="1" spans="5:5">
      <c r="E1048213" s="34"/>
    </row>
    <row r="1048214" s="2" customFormat="1" spans="5:5">
      <c r="E1048214" s="34"/>
    </row>
    <row r="1048215" s="2" customFormat="1" spans="5:5">
      <c r="E1048215" s="34"/>
    </row>
    <row r="1048216" s="2" customFormat="1" spans="5:5">
      <c r="E1048216" s="34"/>
    </row>
    <row r="1048217" s="2" customFormat="1" spans="5:5">
      <c r="E1048217" s="34"/>
    </row>
    <row r="1048218" s="2" customFormat="1" spans="5:5">
      <c r="E1048218" s="34"/>
    </row>
    <row r="1048219" s="2" customFormat="1" spans="5:5">
      <c r="E1048219" s="34"/>
    </row>
    <row r="1048220" s="2" customFormat="1" spans="5:5">
      <c r="E1048220" s="34"/>
    </row>
    <row r="1048221" s="2" customFormat="1" spans="5:5">
      <c r="E1048221" s="34"/>
    </row>
    <row r="1048222" s="2" customFormat="1" spans="5:5">
      <c r="E1048222" s="34"/>
    </row>
    <row r="1048223" s="2" customFormat="1" spans="5:5">
      <c r="E1048223" s="34"/>
    </row>
    <row r="1048224" s="2" customFormat="1" spans="5:5">
      <c r="E1048224" s="34"/>
    </row>
    <row r="1048225" s="2" customFormat="1" spans="5:5">
      <c r="E1048225" s="34"/>
    </row>
    <row r="1048226" s="2" customFormat="1" spans="5:5">
      <c r="E1048226" s="34"/>
    </row>
    <row r="1048227" s="2" customFormat="1" spans="5:5">
      <c r="E1048227" s="34"/>
    </row>
    <row r="1048228" s="2" customFormat="1" spans="5:5">
      <c r="E1048228" s="34"/>
    </row>
    <row r="1048229" s="2" customFormat="1" spans="5:5">
      <c r="E1048229" s="34"/>
    </row>
    <row r="1048230" s="2" customFormat="1" spans="5:5">
      <c r="E1048230" s="34"/>
    </row>
    <row r="1048231" s="2" customFormat="1" spans="5:5">
      <c r="E1048231" s="34"/>
    </row>
    <row r="1048232" s="2" customFormat="1" spans="5:5">
      <c r="E1048232" s="34"/>
    </row>
    <row r="1048233" s="2" customFormat="1" spans="5:5">
      <c r="E1048233" s="34"/>
    </row>
    <row r="1048234" s="2" customFormat="1" spans="5:5">
      <c r="E1048234" s="34"/>
    </row>
    <row r="1048235" s="2" customFormat="1" spans="5:5">
      <c r="E1048235" s="34"/>
    </row>
    <row r="1048236" s="2" customFormat="1" spans="5:5">
      <c r="E1048236" s="34"/>
    </row>
    <row r="1048237" s="2" customFormat="1" spans="5:5">
      <c r="E1048237" s="34"/>
    </row>
    <row r="1048238" s="2" customFormat="1" spans="5:5">
      <c r="E1048238" s="34"/>
    </row>
    <row r="1048239" s="2" customFormat="1" spans="5:5">
      <c r="E1048239" s="34"/>
    </row>
    <row r="1048240" s="2" customFormat="1" spans="5:5">
      <c r="E1048240" s="34"/>
    </row>
    <row r="1048241" s="2" customFormat="1" spans="5:5">
      <c r="E1048241" s="34"/>
    </row>
    <row r="1048242" s="2" customFormat="1" spans="5:5">
      <c r="E1048242" s="34"/>
    </row>
    <row r="1048243" s="2" customFormat="1" spans="5:5">
      <c r="E1048243" s="34"/>
    </row>
    <row r="1048244" s="2" customFormat="1" spans="5:5">
      <c r="E1048244" s="34"/>
    </row>
    <row r="1048245" s="2" customFormat="1" spans="5:5">
      <c r="E1048245" s="34"/>
    </row>
    <row r="1048246" s="2" customFormat="1" spans="5:5">
      <c r="E1048246" s="34"/>
    </row>
    <row r="1048247" s="2" customFormat="1" spans="5:5">
      <c r="E1048247" s="34"/>
    </row>
    <row r="1048248" s="2" customFormat="1" spans="5:5">
      <c r="E1048248" s="34"/>
    </row>
    <row r="1048249" s="2" customFormat="1" spans="5:5">
      <c r="E1048249" s="34"/>
    </row>
    <row r="1048250" s="2" customFormat="1" spans="5:5">
      <c r="E1048250" s="34"/>
    </row>
    <row r="1048251" s="2" customFormat="1" spans="5:5">
      <c r="E1048251" s="34"/>
    </row>
    <row r="1048252" s="2" customFormat="1" spans="5:5">
      <c r="E1048252" s="34"/>
    </row>
    <row r="1048253" s="2" customFormat="1" spans="5:5">
      <c r="E1048253" s="34"/>
    </row>
    <row r="1048254" s="2" customFormat="1" spans="5:5">
      <c r="E1048254" s="34"/>
    </row>
    <row r="1048255" s="2" customFormat="1" spans="5:5">
      <c r="E1048255" s="34"/>
    </row>
    <row r="1048256" s="2" customFormat="1" spans="5:5">
      <c r="E1048256" s="34"/>
    </row>
    <row r="1048257" s="2" customFormat="1" spans="5:5">
      <c r="E1048257" s="34"/>
    </row>
    <row r="1048258" s="2" customFormat="1" spans="5:5">
      <c r="E1048258" s="34"/>
    </row>
    <row r="1048259" s="2" customFormat="1" spans="5:5">
      <c r="E1048259" s="34"/>
    </row>
    <row r="1048260" s="2" customFormat="1" spans="5:5">
      <c r="E1048260" s="34"/>
    </row>
    <row r="1048261" s="2" customFormat="1" spans="5:5">
      <c r="E1048261" s="34"/>
    </row>
    <row r="1048262" s="2" customFormat="1" spans="5:5">
      <c r="E1048262" s="34"/>
    </row>
    <row r="1048263" s="2" customFormat="1" spans="5:5">
      <c r="E1048263" s="34"/>
    </row>
    <row r="1048264" s="2" customFormat="1" spans="5:5">
      <c r="E1048264" s="34"/>
    </row>
    <row r="1048265" s="2" customFormat="1" spans="5:5">
      <c r="E1048265" s="34"/>
    </row>
    <row r="1048266" s="2" customFormat="1" spans="5:5">
      <c r="E1048266" s="34"/>
    </row>
    <row r="1048267" s="2" customFormat="1" spans="5:5">
      <c r="E1048267" s="34"/>
    </row>
    <row r="1048268" s="2" customFormat="1" spans="5:5">
      <c r="E1048268" s="34"/>
    </row>
    <row r="1048269" s="2" customFormat="1" spans="5:5">
      <c r="E1048269" s="34"/>
    </row>
    <row r="1048270" s="2" customFormat="1" spans="5:5">
      <c r="E1048270" s="34"/>
    </row>
    <row r="1048271" s="2" customFormat="1" spans="5:5">
      <c r="E1048271" s="34"/>
    </row>
    <row r="1048272" s="2" customFormat="1" spans="5:5">
      <c r="E1048272" s="34"/>
    </row>
    <row r="1048273" s="2" customFormat="1" spans="5:5">
      <c r="E1048273" s="34"/>
    </row>
    <row r="1048274" s="2" customFormat="1" spans="5:5">
      <c r="E1048274" s="34"/>
    </row>
    <row r="1048275" s="2" customFormat="1" spans="5:5">
      <c r="E1048275" s="34"/>
    </row>
    <row r="1048276" s="2" customFormat="1" spans="5:5">
      <c r="E1048276" s="34"/>
    </row>
    <row r="1048277" s="2" customFormat="1" spans="5:5">
      <c r="E1048277" s="34"/>
    </row>
    <row r="1048278" s="2" customFormat="1" spans="5:5">
      <c r="E1048278" s="34"/>
    </row>
    <row r="1048279" s="2" customFormat="1" spans="5:5">
      <c r="E1048279" s="34"/>
    </row>
    <row r="1048280" s="2" customFormat="1" spans="5:5">
      <c r="E1048280" s="34"/>
    </row>
    <row r="1048281" s="2" customFormat="1" spans="5:5">
      <c r="E1048281" s="34"/>
    </row>
    <row r="1048282" s="2" customFormat="1" spans="5:5">
      <c r="E1048282" s="34"/>
    </row>
    <row r="1048283" s="2" customFormat="1" spans="5:5">
      <c r="E1048283" s="34"/>
    </row>
    <row r="1048284" s="2" customFormat="1" spans="5:5">
      <c r="E1048284" s="34"/>
    </row>
    <row r="1048285" s="2" customFormat="1" spans="5:5">
      <c r="E1048285" s="34"/>
    </row>
    <row r="1048286" s="2" customFormat="1" spans="5:5">
      <c r="E1048286" s="34"/>
    </row>
    <row r="1048287" s="2" customFormat="1" spans="5:5">
      <c r="E1048287" s="34"/>
    </row>
    <row r="1048288" s="2" customFormat="1" spans="5:5">
      <c r="E1048288" s="34"/>
    </row>
    <row r="1048289" s="2" customFormat="1" spans="5:5">
      <c r="E1048289" s="34"/>
    </row>
    <row r="1048290" s="2" customFormat="1" spans="5:5">
      <c r="E1048290" s="34"/>
    </row>
    <row r="1048291" s="2" customFormat="1" spans="5:5">
      <c r="E1048291" s="34"/>
    </row>
    <row r="1048292" s="2" customFormat="1" spans="5:5">
      <c r="E1048292" s="34"/>
    </row>
    <row r="1048293" s="2" customFormat="1" spans="5:5">
      <c r="E1048293" s="34"/>
    </row>
    <row r="1048294" s="2" customFormat="1" spans="5:5">
      <c r="E1048294" s="34"/>
    </row>
    <row r="1048295" s="2" customFormat="1" spans="5:5">
      <c r="E1048295" s="34"/>
    </row>
    <row r="1048296" s="2" customFormat="1" spans="5:5">
      <c r="E1048296" s="34"/>
    </row>
    <row r="1048297" s="2" customFormat="1" spans="5:5">
      <c r="E1048297" s="34"/>
    </row>
    <row r="1048298" s="2" customFormat="1" spans="5:5">
      <c r="E1048298" s="34"/>
    </row>
    <row r="1048299" s="2" customFormat="1" spans="5:5">
      <c r="E1048299" s="34"/>
    </row>
    <row r="1048300" s="2" customFormat="1" spans="5:5">
      <c r="E1048300" s="34"/>
    </row>
    <row r="1048301" s="2" customFormat="1" spans="5:5">
      <c r="E1048301" s="34"/>
    </row>
    <row r="1048302" s="2" customFormat="1" spans="5:5">
      <c r="E1048302" s="34"/>
    </row>
    <row r="1048303" s="2" customFormat="1" spans="5:5">
      <c r="E1048303" s="34"/>
    </row>
    <row r="1048304" s="2" customFormat="1" spans="5:5">
      <c r="E1048304" s="34"/>
    </row>
    <row r="1048305" s="2" customFormat="1" spans="5:5">
      <c r="E1048305" s="34"/>
    </row>
    <row r="1048306" s="2" customFormat="1" spans="5:5">
      <c r="E1048306" s="34"/>
    </row>
    <row r="1048307" s="2" customFormat="1" spans="5:5">
      <c r="E1048307" s="34"/>
    </row>
    <row r="1048308" s="2" customFormat="1" spans="5:5">
      <c r="E1048308" s="34"/>
    </row>
    <row r="1048309" s="2" customFormat="1" spans="5:5">
      <c r="E1048309" s="34"/>
    </row>
    <row r="1048310" s="2" customFormat="1" spans="5:5">
      <c r="E1048310" s="34"/>
    </row>
    <row r="1048311" s="2" customFormat="1" spans="5:5">
      <c r="E1048311" s="34"/>
    </row>
    <row r="1048312" s="2" customFormat="1" spans="5:5">
      <c r="E1048312" s="34"/>
    </row>
    <row r="1048313" s="2" customFormat="1" spans="5:5">
      <c r="E1048313" s="34"/>
    </row>
    <row r="1048314" s="2" customFormat="1" spans="5:5">
      <c r="E1048314" s="34"/>
    </row>
    <row r="1048315" s="2" customFormat="1" spans="5:5">
      <c r="E1048315" s="34"/>
    </row>
    <row r="1048316" s="2" customFormat="1" spans="5:5">
      <c r="E1048316" s="34"/>
    </row>
    <row r="1048317" s="2" customFormat="1" spans="5:5">
      <c r="E1048317" s="34"/>
    </row>
    <row r="1048318" s="2" customFormat="1" spans="5:5">
      <c r="E1048318" s="34"/>
    </row>
    <row r="1048319" s="2" customFormat="1" spans="5:5">
      <c r="E1048319" s="34"/>
    </row>
    <row r="1048320" s="2" customFormat="1" spans="5:5">
      <c r="E1048320" s="34"/>
    </row>
    <row r="1048321" s="2" customFormat="1" spans="5:5">
      <c r="E1048321" s="34"/>
    </row>
    <row r="1048322" s="2" customFormat="1" spans="5:5">
      <c r="E1048322" s="34"/>
    </row>
    <row r="1048323" s="2" customFormat="1" spans="5:5">
      <c r="E1048323" s="34"/>
    </row>
    <row r="1048324" s="2" customFormat="1" spans="5:5">
      <c r="E1048324" s="34"/>
    </row>
    <row r="1048325" s="2" customFormat="1" spans="5:5">
      <c r="E1048325" s="34"/>
    </row>
    <row r="1048326" s="2" customFormat="1" spans="5:5">
      <c r="E1048326" s="34"/>
    </row>
    <row r="1048327" s="2" customFormat="1" spans="5:5">
      <c r="E1048327" s="34"/>
    </row>
    <row r="1048328" s="2" customFormat="1" spans="5:5">
      <c r="E1048328" s="34"/>
    </row>
    <row r="1048329" s="2" customFormat="1" spans="5:5">
      <c r="E1048329" s="34"/>
    </row>
    <row r="1048330" s="2" customFormat="1" spans="5:5">
      <c r="E1048330" s="34"/>
    </row>
    <row r="1048331" s="2" customFormat="1" spans="5:5">
      <c r="E1048331" s="34"/>
    </row>
    <row r="1048332" s="2" customFormat="1" spans="5:5">
      <c r="E1048332" s="34"/>
    </row>
    <row r="1048333" s="2" customFormat="1" spans="5:5">
      <c r="E1048333" s="34"/>
    </row>
    <row r="1048334" s="2" customFormat="1" spans="5:5">
      <c r="E1048334" s="34"/>
    </row>
    <row r="1048335" s="2" customFormat="1" spans="5:5">
      <c r="E1048335" s="34"/>
    </row>
    <row r="1048336" s="2" customFormat="1" spans="5:5">
      <c r="E1048336" s="34"/>
    </row>
    <row r="1048337" s="2" customFormat="1" spans="5:5">
      <c r="E1048337" s="34"/>
    </row>
    <row r="1048338" s="2" customFormat="1" spans="5:5">
      <c r="E1048338" s="34"/>
    </row>
    <row r="1048339" s="2" customFormat="1" spans="5:5">
      <c r="E1048339" s="34"/>
    </row>
    <row r="1048340" s="2" customFormat="1" spans="5:5">
      <c r="E1048340" s="34"/>
    </row>
    <row r="1048341" s="2" customFormat="1" spans="5:5">
      <c r="E1048341" s="34"/>
    </row>
    <row r="1048342" s="2" customFormat="1" spans="5:5">
      <c r="E1048342" s="34"/>
    </row>
    <row r="1048343" s="2" customFormat="1" spans="5:5">
      <c r="E1048343" s="34"/>
    </row>
    <row r="1048344" s="2" customFormat="1" spans="5:5">
      <c r="E1048344" s="34"/>
    </row>
    <row r="1048345" s="2" customFormat="1" spans="5:5">
      <c r="E1048345" s="34"/>
    </row>
    <row r="1048346" s="2" customFormat="1" spans="5:5">
      <c r="E1048346" s="34"/>
    </row>
    <row r="1048347" s="2" customFormat="1" spans="5:5">
      <c r="E1048347" s="34"/>
    </row>
    <row r="1048348" s="2" customFormat="1" spans="5:5">
      <c r="E1048348" s="34"/>
    </row>
    <row r="1048349" s="2" customFormat="1" spans="5:5">
      <c r="E1048349" s="34"/>
    </row>
    <row r="1048350" s="2" customFormat="1" spans="5:5">
      <c r="E1048350" s="34"/>
    </row>
    <row r="1048351" s="2" customFormat="1" spans="5:5">
      <c r="E1048351" s="34"/>
    </row>
    <row r="1048352" s="2" customFormat="1" spans="5:5">
      <c r="E1048352" s="34"/>
    </row>
    <row r="1048353" s="2" customFormat="1" spans="5:5">
      <c r="E1048353" s="34"/>
    </row>
    <row r="1048354" s="2" customFormat="1" spans="5:5">
      <c r="E1048354" s="34"/>
    </row>
    <row r="1048355" s="2" customFormat="1" spans="5:5">
      <c r="E1048355" s="34"/>
    </row>
    <row r="1048356" s="2" customFormat="1" spans="5:5">
      <c r="E1048356" s="34"/>
    </row>
    <row r="1048357" s="2" customFormat="1" spans="5:5">
      <c r="E1048357" s="34"/>
    </row>
    <row r="1048358" s="2" customFormat="1" spans="5:5">
      <c r="E1048358" s="34"/>
    </row>
    <row r="1048359" s="2" customFormat="1" spans="5:5">
      <c r="E1048359" s="34"/>
    </row>
    <row r="1048360" s="2" customFormat="1" spans="5:5">
      <c r="E1048360" s="34"/>
    </row>
    <row r="1048361" s="2" customFormat="1" spans="5:5">
      <c r="E1048361" s="34"/>
    </row>
    <row r="1048362" s="2" customFormat="1" spans="5:5">
      <c r="E1048362" s="34"/>
    </row>
    <row r="1048363" s="2" customFormat="1" spans="5:5">
      <c r="E1048363" s="34"/>
    </row>
    <row r="1048364" s="2" customFormat="1" spans="5:5">
      <c r="E1048364" s="34"/>
    </row>
    <row r="1048365" s="2" customFormat="1" spans="5:5">
      <c r="E1048365" s="34"/>
    </row>
    <row r="1048366" s="2" customFormat="1" spans="5:5">
      <c r="E1048366" s="34"/>
    </row>
    <row r="1048367" s="2" customFormat="1" spans="5:5">
      <c r="E1048367" s="34"/>
    </row>
    <row r="1048368" s="2" customFormat="1" spans="5:5">
      <c r="E1048368" s="34"/>
    </row>
    <row r="1048369" s="2" customFormat="1" spans="5:5">
      <c r="E1048369" s="34"/>
    </row>
    <row r="1048370" s="2" customFormat="1" spans="5:5">
      <c r="E1048370" s="34"/>
    </row>
    <row r="1048371" s="2" customFormat="1" spans="5:5">
      <c r="E1048371" s="34"/>
    </row>
    <row r="1048372" s="2" customFormat="1" spans="5:5">
      <c r="E1048372" s="34"/>
    </row>
    <row r="1048373" s="2" customFormat="1" spans="5:5">
      <c r="E1048373" s="34"/>
    </row>
    <row r="1048374" s="2" customFormat="1" spans="5:5">
      <c r="E1048374" s="34"/>
    </row>
    <row r="1048375" s="2" customFormat="1" spans="5:5">
      <c r="E1048375" s="34"/>
    </row>
    <row r="1048376" s="2" customFormat="1" spans="5:5">
      <c r="E1048376" s="34"/>
    </row>
    <row r="1048377" s="2" customFormat="1" spans="5:5">
      <c r="E1048377" s="34"/>
    </row>
    <row r="1048378" s="2" customFormat="1" spans="5:5">
      <c r="E1048378" s="34"/>
    </row>
    <row r="1048379" s="2" customFormat="1" spans="5:5">
      <c r="E1048379" s="34"/>
    </row>
    <row r="1048380" s="2" customFormat="1" spans="5:5">
      <c r="E1048380" s="34"/>
    </row>
    <row r="1048381" s="2" customFormat="1" spans="5:5">
      <c r="E1048381" s="34"/>
    </row>
    <row r="1048382" s="2" customFormat="1" spans="5:5">
      <c r="E1048382" s="34"/>
    </row>
    <row r="1048383" s="2" customFormat="1" spans="5:5">
      <c r="E1048383" s="34"/>
    </row>
    <row r="1048384" s="2" customFormat="1" spans="5:5">
      <c r="E1048384" s="34"/>
    </row>
    <row r="1048385" s="2" customFormat="1" spans="5:5">
      <c r="E1048385" s="34"/>
    </row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B1:I11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3"/>
  <sheetViews>
    <sheetView workbookViewId="0">
      <selection activeCell="N14" sqref="N14"/>
    </sheetView>
  </sheetViews>
  <sheetFormatPr defaultColWidth="9" defaultRowHeight="14" outlineLevelCol="7"/>
  <cols>
    <col min="1" max="1" width="2" style="2" customWidth="1"/>
    <col min="2" max="6" width="11.2727272727273" style="2" customWidth="1"/>
    <col min="7" max="7" width="16.2727272727273" style="2" customWidth="1"/>
    <col min="8" max="8" width="14" style="2" customWidth="1"/>
    <col min="9" max="16380" width="9" style="2"/>
  </cols>
  <sheetData>
    <row r="1" s="2" customFormat="1" ht="19" customHeight="1" spans="2:8">
      <c r="B1" s="6" t="s">
        <v>74</v>
      </c>
      <c r="C1" s="19" t="s">
        <v>113</v>
      </c>
      <c r="D1" s="19" t="s">
        <v>114</v>
      </c>
      <c r="E1" s="19" t="s">
        <v>115</v>
      </c>
      <c r="F1" s="20" t="s">
        <v>116</v>
      </c>
      <c r="G1" s="19" t="s">
        <v>117</v>
      </c>
      <c r="H1" s="21" t="s">
        <v>118</v>
      </c>
    </row>
    <row r="2" s="2" customFormat="1" spans="2:8">
      <c r="B2" s="22" t="s">
        <v>119</v>
      </c>
      <c r="C2" s="23">
        <v>43</v>
      </c>
      <c r="D2" s="23">
        <v>43</v>
      </c>
      <c r="E2" s="23">
        <v>0.18</v>
      </c>
      <c r="F2" s="24" t="s">
        <v>120</v>
      </c>
      <c r="G2" s="23">
        <v>150</v>
      </c>
      <c r="H2" s="21" t="s">
        <v>121</v>
      </c>
    </row>
    <row r="3" s="2" customFormat="1" spans="2:8">
      <c r="B3" s="22" t="s">
        <v>119</v>
      </c>
      <c r="C3" s="22">
        <v>44</v>
      </c>
      <c r="D3" s="22">
        <v>44</v>
      </c>
      <c r="E3" s="22">
        <v>0.189</v>
      </c>
      <c r="F3" s="22" t="s">
        <v>120</v>
      </c>
      <c r="G3" s="25">
        <v>150</v>
      </c>
      <c r="H3" s="26">
        <v>26.522</v>
      </c>
    </row>
    <row r="4" s="2" customFormat="1" spans="2:8">
      <c r="B4" s="22" t="s">
        <v>119</v>
      </c>
      <c r="C4" s="22">
        <v>45</v>
      </c>
      <c r="D4" s="22">
        <v>45</v>
      </c>
      <c r="E4" s="22">
        <v>0.194</v>
      </c>
      <c r="F4" s="22" t="s">
        <v>120</v>
      </c>
      <c r="G4" s="25">
        <v>150</v>
      </c>
      <c r="H4" s="26">
        <v>27.086</v>
      </c>
    </row>
    <row r="5" s="2" customFormat="1" spans="2:8">
      <c r="B5" s="27" t="s">
        <v>119</v>
      </c>
      <c r="C5" s="27">
        <v>46</v>
      </c>
      <c r="D5" s="27">
        <v>46</v>
      </c>
      <c r="E5" s="27">
        <v>0.2</v>
      </c>
      <c r="F5" s="27" t="s">
        <v>120</v>
      </c>
      <c r="G5" s="28">
        <v>150</v>
      </c>
      <c r="H5" s="26">
        <v>27.414</v>
      </c>
    </row>
    <row r="6" s="2" customFormat="1" spans="2:8">
      <c r="B6" s="22" t="s">
        <v>119</v>
      </c>
      <c r="C6" s="22">
        <v>47</v>
      </c>
      <c r="D6" s="22">
        <v>47</v>
      </c>
      <c r="E6" s="22">
        <v>0.205</v>
      </c>
      <c r="F6" s="22" t="s">
        <v>120</v>
      </c>
      <c r="G6" s="25">
        <v>150</v>
      </c>
      <c r="H6" s="21" t="s">
        <v>121</v>
      </c>
    </row>
    <row r="7" s="2" customFormat="1" spans="2:8">
      <c r="B7" s="27" t="s">
        <v>119</v>
      </c>
      <c r="C7" s="27">
        <v>48</v>
      </c>
      <c r="D7" s="27">
        <v>48</v>
      </c>
      <c r="E7" s="27">
        <v>0.209</v>
      </c>
      <c r="F7" s="27" t="s">
        <v>120</v>
      </c>
      <c r="G7" s="28">
        <v>150</v>
      </c>
      <c r="H7" s="26">
        <v>28.162</v>
      </c>
    </row>
    <row r="8" s="2" customFormat="1" spans="2:8">
      <c r="B8" s="29" t="s">
        <v>119</v>
      </c>
      <c r="C8" s="29">
        <v>49</v>
      </c>
      <c r="D8" s="29">
        <v>49</v>
      </c>
      <c r="E8" s="29">
        <v>0.214</v>
      </c>
      <c r="F8" s="29" t="s">
        <v>120</v>
      </c>
      <c r="G8" s="30">
        <v>150</v>
      </c>
      <c r="H8" s="26">
        <v>28.569</v>
      </c>
    </row>
    <row r="9" s="2" customFormat="1" spans="2:8">
      <c r="B9" s="29" t="s">
        <v>119</v>
      </c>
      <c r="C9" s="29">
        <v>50</v>
      </c>
      <c r="D9" s="29">
        <v>50</v>
      </c>
      <c r="E9" s="29">
        <v>0.219</v>
      </c>
      <c r="F9" s="29" t="s">
        <v>120</v>
      </c>
      <c r="G9" s="30">
        <v>150</v>
      </c>
      <c r="H9" s="26">
        <v>28.726</v>
      </c>
    </row>
    <row r="10" s="2" customFormat="1" spans="2:8">
      <c r="B10" s="22" t="s">
        <v>119</v>
      </c>
      <c r="C10" s="22">
        <v>52</v>
      </c>
      <c r="D10" s="22">
        <v>52</v>
      </c>
      <c r="E10" s="22">
        <v>0.231</v>
      </c>
      <c r="F10" s="22" t="s">
        <v>120</v>
      </c>
      <c r="G10" s="25">
        <v>150</v>
      </c>
      <c r="H10" s="26">
        <v>30.327</v>
      </c>
    </row>
    <row r="11" s="2" customFormat="1" spans="2:8">
      <c r="B11" s="22" t="s">
        <v>122</v>
      </c>
      <c r="C11" s="22">
        <v>68</v>
      </c>
      <c r="D11" s="22">
        <v>68</v>
      </c>
      <c r="E11" s="22"/>
      <c r="F11" s="22" t="s">
        <v>120</v>
      </c>
      <c r="G11" s="25">
        <v>300</v>
      </c>
      <c r="H11" s="26">
        <v>24.133</v>
      </c>
    </row>
    <row r="12" s="2" customFormat="1" spans="2:8">
      <c r="B12" s="22" t="s">
        <v>122</v>
      </c>
      <c r="C12" s="22">
        <v>72</v>
      </c>
      <c r="D12" s="22">
        <v>72</v>
      </c>
      <c r="E12" s="22">
        <v>0.051</v>
      </c>
      <c r="F12" s="22" t="s">
        <v>120</v>
      </c>
      <c r="G12" s="25">
        <v>300</v>
      </c>
      <c r="H12" s="26">
        <v>25.327</v>
      </c>
    </row>
    <row r="13" s="2" customFormat="1" spans="2:8">
      <c r="B13" s="27" t="s">
        <v>122</v>
      </c>
      <c r="C13" s="27">
        <v>73</v>
      </c>
      <c r="D13" s="27">
        <v>73</v>
      </c>
      <c r="E13" s="27">
        <v>0.052</v>
      </c>
      <c r="F13" s="27" t="s">
        <v>120</v>
      </c>
      <c r="G13" s="28">
        <v>300</v>
      </c>
      <c r="H13" s="26">
        <v>25.8</v>
      </c>
    </row>
    <row r="14" s="2" customFormat="1" spans="2:8">
      <c r="B14" s="27" t="s">
        <v>122</v>
      </c>
      <c r="C14" s="27">
        <v>74</v>
      </c>
      <c r="D14" s="27">
        <v>74</v>
      </c>
      <c r="E14" s="27">
        <v>0.054</v>
      </c>
      <c r="F14" s="27" t="s">
        <v>120</v>
      </c>
      <c r="G14" s="28">
        <v>300</v>
      </c>
      <c r="H14" s="26">
        <v>25.747</v>
      </c>
    </row>
    <row r="15" s="2" customFormat="1" spans="2:8">
      <c r="B15" s="22" t="s">
        <v>122</v>
      </c>
      <c r="C15" s="22">
        <v>75</v>
      </c>
      <c r="D15" s="22">
        <v>75</v>
      </c>
      <c r="E15" s="22">
        <v>0.056</v>
      </c>
      <c r="F15" s="22" t="s">
        <v>120</v>
      </c>
      <c r="G15" s="25">
        <v>300</v>
      </c>
      <c r="H15" s="26">
        <v>25.301</v>
      </c>
    </row>
    <row r="16" s="2" customFormat="1" spans="2:8">
      <c r="B16" s="22" t="s">
        <v>122</v>
      </c>
      <c r="C16" s="22">
        <v>76</v>
      </c>
      <c r="D16" s="22">
        <v>76</v>
      </c>
      <c r="E16" s="22">
        <v>0.059</v>
      </c>
      <c r="F16" s="22" t="s">
        <v>120</v>
      </c>
      <c r="G16" s="25">
        <v>300</v>
      </c>
      <c r="H16" s="26">
        <v>25.852</v>
      </c>
    </row>
    <row r="17" s="2" customFormat="1" spans="2:8">
      <c r="B17" s="22" t="s">
        <v>122</v>
      </c>
      <c r="C17" s="22">
        <v>77</v>
      </c>
      <c r="D17" s="22">
        <v>77</v>
      </c>
      <c r="E17" s="22"/>
      <c r="F17" s="22" t="s">
        <v>120</v>
      </c>
      <c r="G17" s="25">
        <v>300</v>
      </c>
      <c r="H17" s="26">
        <v>26.587</v>
      </c>
    </row>
    <row r="18" s="2" customFormat="1" spans="2:8">
      <c r="B18" s="22" t="s">
        <v>122</v>
      </c>
      <c r="C18" s="22">
        <v>78</v>
      </c>
      <c r="D18" s="22">
        <v>78</v>
      </c>
      <c r="E18" s="22">
        <v>0.065</v>
      </c>
      <c r="F18" s="22" t="s">
        <v>120</v>
      </c>
      <c r="G18" s="25">
        <v>300</v>
      </c>
      <c r="H18" s="26">
        <v>26.574</v>
      </c>
    </row>
    <row r="19" s="2" customFormat="1" spans="2:8">
      <c r="B19" s="22" t="s">
        <v>122</v>
      </c>
      <c r="C19" s="22">
        <v>79</v>
      </c>
      <c r="D19" s="22">
        <v>79</v>
      </c>
      <c r="E19" s="22">
        <v>0.068</v>
      </c>
      <c r="F19" s="22" t="s">
        <v>120</v>
      </c>
      <c r="G19" s="25">
        <v>300</v>
      </c>
      <c r="H19" s="26">
        <v>26.81</v>
      </c>
    </row>
    <row r="20" s="2" customFormat="1" spans="2:8">
      <c r="B20" s="22">
        <v>2113</v>
      </c>
      <c r="C20" s="22">
        <v>58</v>
      </c>
      <c r="D20" s="22">
        <v>58</v>
      </c>
      <c r="E20" s="22">
        <v>0.101</v>
      </c>
      <c r="F20" s="22" t="s">
        <v>120</v>
      </c>
      <c r="G20" s="25">
        <v>250</v>
      </c>
      <c r="H20" s="21" t="s">
        <v>121</v>
      </c>
    </row>
    <row r="21" s="1" customFormat="1" spans="2:8">
      <c r="B21" s="22" t="s">
        <v>123</v>
      </c>
      <c r="C21" s="22">
        <v>52</v>
      </c>
      <c r="D21" s="22">
        <v>52</v>
      </c>
      <c r="E21" s="22">
        <v>0.115</v>
      </c>
      <c r="F21" s="22" t="s">
        <v>120</v>
      </c>
      <c r="G21" s="25">
        <v>250</v>
      </c>
      <c r="H21" s="31">
        <v>27.086</v>
      </c>
    </row>
    <row r="22" s="1" customFormat="1" spans="2:8">
      <c r="B22" s="27" t="s">
        <v>123</v>
      </c>
      <c r="C22" s="27">
        <v>54</v>
      </c>
      <c r="D22" s="27">
        <v>54</v>
      </c>
      <c r="E22" s="27">
        <v>0.121</v>
      </c>
      <c r="F22" s="27" t="s">
        <v>120</v>
      </c>
      <c r="G22" s="28">
        <v>250</v>
      </c>
      <c r="H22" s="31">
        <v>27.558</v>
      </c>
    </row>
    <row r="23" s="1" customFormat="1" spans="2:8">
      <c r="B23" s="27" t="s">
        <v>123</v>
      </c>
      <c r="C23" s="27">
        <v>55</v>
      </c>
      <c r="D23" s="27">
        <v>55</v>
      </c>
      <c r="E23" s="27">
        <v>0.124</v>
      </c>
      <c r="F23" s="27" t="s">
        <v>120</v>
      </c>
      <c r="G23" s="28">
        <v>250</v>
      </c>
      <c r="H23" s="31">
        <v>27.558</v>
      </c>
    </row>
    <row r="24" s="1" customFormat="1" spans="2:8">
      <c r="B24" s="27" t="s">
        <v>123</v>
      </c>
      <c r="C24" s="27">
        <v>56</v>
      </c>
      <c r="D24" s="27">
        <v>56</v>
      </c>
      <c r="E24" s="27">
        <v>0.128</v>
      </c>
      <c r="F24" s="27" t="s">
        <v>120</v>
      </c>
      <c r="G24" s="28">
        <v>250</v>
      </c>
      <c r="H24" s="31">
        <v>28.096</v>
      </c>
    </row>
    <row r="25" s="1" customFormat="1" spans="2:8">
      <c r="B25" s="27" t="s">
        <v>123</v>
      </c>
      <c r="C25" s="27">
        <v>57</v>
      </c>
      <c r="D25" s="27">
        <v>57</v>
      </c>
      <c r="E25" s="27">
        <v>0.132</v>
      </c>
      <c r="F25" s="27" t="s">
        <v>120</v>
      </c>
      <c r="G25" s="28">
        <v>250</v>
      </c>
      <c r="H25" s="31">
        <v>28.333</v>
      </c>
    </row>
    <row r="26" s="1" customFormat="1" spans="2:8">
      <c r="B26" s="22" t="s">
        <v>123</v>
      </c>
      <c r="C26" s="22">
        <v>58</v>
      </c>
      <c r="D26" s="22">
        <v>58</v>
      </c>
      <c r="E26" s="22">
        <v>0.136</v>
      </c>
      <c r="F26" s="22" t="s">
        <v>120</v>
      </c>
      <c r="G26" s="25">
        <v>250</v>
      </c>
      <c r="H26" s="31">
        <v>28.438</v>
      </c>
    </row>
    <row r="27" s="1" customFormat="1" spans="2:8">
      <c r="B27" s="22" t="s">
        <v>123</v>
      </c>
      <c r="C27" s="22">
        <v>59</v>
      </c>
      <c r="D27" s="22">
        <v>59</v>
      </c>
      <c r="E27" s="22">
        <v>0.139</v>
      </c>
      <c r="F27" s="22" t="s">
        <v>120</v>
      </c>
      <c r="G27" s="25">
        <v>250</v>
      </c>
      <c r="H27" s="31">
        <v>28.766</v>
      </c>
    </row>
    <row r="28" s="1" customFormat="1" spans="2:8">
      <c r="B28" s="22" t="s">
        <v>123</v>
      </c>
      <c r="C28" s="22">
        <v>60</v>
      </c>
      <c r="D28" s="22">
        <v>60</v>
      </c>
      <c r="E28" s="22">
        <v>0.144</v>
      </c>
      <c r="F28" s="22" t="s">
        <v>120</v>
      </c>
      <c r="G28" s="25">
        <v>250</v>
      </c>
      <c r="H28" s="31">
        <v>29.172</v>
      </c>
    </row>
    <row r="29" s="1" customFormat="1" spans="2:8">
      <c r="B29" s="22" t="s">
        <v>123</v>
      </c>
      <c r="C29" s="22">
        <v>61</v>
      </c>
      <c r="D29" s="22">
        <v>61</v>
      </c>
      <c r="E29" s="22">
        <v>0.146</v>
      </c>
      <c r="F29" s="22" t="s">
        <v>120</v>
      </c>
      <c r="G29" s="25">
        <v>250</v>
      </c>
      <c r="H29" s="31">
        <v>29.619</v>
      </c>
    </row>
    <row r="30" s="1" customFormat="1" spans="2:8">
      <c r="B30" s="22" t="s">
        <v>124</v>
      </c>
      <c r="C30" s="22">
        <v>62</v>
      </c>
      <c r="D30" s="22">
        <v>62</v>
      </c>
      <c r="E30" s="22"/>
      <c r="F30" s="22" t="s">
        <v>120</v>
      </c>
      <c r="G30" s="25">
        <v>300</v>
      </c>
      <c r="H30" s="31">
        <v>27.65</v>
      </c>
    </row>
    <row r="31" s="1" customFormat="1" spans="2:8">
      <c r="B31" s="22" t="s">
        <v>124</v>
      </c>
      <c r="C31" s="22">
        <v>63</v>
      </c>
      <c r="D31" s="22">
        <v>63</v>
      </c>
      <c r="E31" s="22"/>
      <c r="F31" s="22" t="s">
        <v>120</v>
      </c>
      <c r="G31" s="25">
        <v>300</v>
      </c>
      <c r="H31" s="31">
        <v>27.821</v>
      </c>
    </row>
    <row r="32" s="1" customFormat="1" spans="2:8">
      <c r="B32" s="22" t="s">
        <v>124</v>
      </c>
      <c r="C32" s="22">
        <v>65</v>
      </c>
      <c r="D32" s="22">
        <v>65</v>
      </c>
      <c r="E32" s="22">
        <v>0.077</v>
      </c>
      <c r="F32" s="22" t="s">
        <v>120</v>
      </c>
      <c r="G32" s="25">
        <v>300</v>
      </c>
      <c r="H32" s="31">
        <v>26.587</v>
      </c>
    </row>
    <row r="33" s="1" customFormat="1" spans="2:8">
      <c r="B33" s="22" t="s">
        <v>124</v>
      </c>
      <c r="C33" s="22">
        <v>66</v>
      </c>
      <c r="D33" s="22">
        <v>66</v>
      </c>
      <c r="E33" s="22">
        <v>0.079</v>
      </c>
      <c r="F33" s="22" t="s">
        <v>120</v>
      </c>
      <c r="G33" s="25">
        <v>300</v>
      </c>
      <c r="H33" s="31">
        <v>27.729</v>
      </c>
    </row>
    <row r="34" s="1" customFormat="1" spans="2:8">
      <c r="B34" s="22" t="s">
        <v>124</v>
      </c>
      <c r="C34" s="22">
        <v>67</v>
      </c>
      <c r="D34" s="22">
        <v>67</v>
      </c>
      <c r="E34" s="22">
        <v>0.082</v>
      </c>
      <c r="F34" s="22" t="s">
        <v>120</v>
      </c>
      <c r="G34" s="25">
        <v>300</v>
      </c>
      <c r="H34" s="31">
        <v>27.899</v>
      </c>
    </row>
    <row r="35" s="1" customFormat="1" spans="2:8">
      <c r="B35" s="22" t="s">
        <v>124</v>
      </c>
      <c r="C35" s="22">
        <v>68</v>
      </c>
      <c r="D35" s="22">
        <v>68</v>
      </c>
      <c r="E35" s="22">
        <v>0.085</v>
      </c>
      <c r="F35" s="22" t="s">
        <v>120</v>
      </c>
      <c r="G35" s="25">
        <v>300</v>
      </c>
      <c r="H35" s="31">
        <v>27.703</v>
      </c>
    </row>
    <row r="36" s="1" customFormat="1" spans="2:8">
      <c r="B36" s="22" t="s">
        <v>124</v>
      </c>
      <c r="C36" s="22">
        <v>69</v>
      </c>
      <c r="D36" s="22">
        <v>69</v>
      </c>
      <c r="E36" s="22">
        <v>0.088</v>
      </c>
      <c r="F36" s="22" t="s">
        <v>120</v>
      </c>
      <c r="G36" s="25">
        <v>300</v>
      </c>
      <c r="H36" s="31">
        <v>27.624</v>
      </c>
    </row>
    <row r="37" s="1" customFormat="1" spans="2:8">
      <c r="B37" s="22" t="s">
        <v>124</v>
      </c>
      <c r="C37" s="22">
        <v>70</v>
      </c>
      <c r="D37" s="22">
        <v>70</v>
      </c>
      <c r="E37" s="22">
        <v>0.09</v>
      </c>
      <c r="F37" s="22" t="s">
        <v>120</v>
      </c>
      <c r="G37" s="25">
        <v>300</v>
      </c>
      <c r="H37" s="31">
        <v>28.333</v>
      </c>
    </row>
    <row r="38" s="1" customFormat="1" spans="2:8">
      <c r="B38" s="22" t="s">
        <v>124</v>
      </c>
      <c r="C38" s="22">
        <v>71</v>
      </c>
      <c r="D38" s="22">
        <v>71</v>
      </c>
      <c r="E38" s="22">
        <v>0.093</v>
      </c>
      <c r="F38" s="22" t="s">
        <v>120</v>
      </c>
      <c r="G38" s="25">
        <v>300</v>
      </c>
      <c r="H38" s="31">
        <v>28.464</v>
      </c>
    </row>
    <row r="39" s="1" customFormat="1" spans="2:8">
      <c r="B39" s="22" t="s">
        <v>124</v>
      </c>
      <c r="C39" s="22">
        <v>72</v>
      </c>
      <c r="D39" s="22">
        <v>72</v>
      </c>
      <c r="E39" s="22">
        <v>0.097</v>
      </c>
      <c r="F39" s="22" t="s">
        <v>120</v>
      </c>
      <c r="G39" s="25">
        <v>300</v>
      </c>
      <c r="H39" s="31">
        <v>29.907</v>
      </c>
    </row>
    <row r="40" s="2" customFormat="1" spans="2:8">
      <c r="B40" s="32" t="s">
        <v>125</v>
      </c>
      <c r="C40" s="32">
        <v>56</v>
      </c>
      <c r="D40" s="32">
        <v>56</v>
      </c>
      <c r="E40" s="32">
        <v>0.099</v>
      </c>
      <c r="F40" s="22" t="s">
        <v>120</v>
      </c>
      <c r="G40" s="25">
        <v>250</v>
      </c>
      <c r="H40" s="21" t="s">
        <v>121</v>
      </c>
    </row>
    <row r="41" s="2" customFormat="1" spans="2:8">
      <c r="B41" s="32" t="s">
        <v>125</v>
      </c>
      <c r="C41" s="32">
        <v>57</v>
      </c>
      <c r="D41" s="32">
        <v>57</v>
      </c>
      <c r="E41" s="32">
        <v>0.101</v>
      </c>
      <c r="F41" s="22" t="s">
        <v>120</v>
      </c>
      <c r="G41" s="25">
        <v>250</v>
      </c>
      <c r="H41" s="26">
        <v>20.826</v>
      </c>
    </row>
    <row r="42" s="2" customFormat="1" spans="2:8">
      <c r="B42" s="32" t="s">
        <v>125</v>
      </c>
      <c r="C42" s="32">
        <v>58</v>
      </c>
      <c r="D42" s="32">
        <v>58</v>
      </c>
      <c r="E42" s="32">
        <v>0.105</v>
      </c>
      <c r="F42" s="22" t="s">
        <v>120</v>
      </c>
      <c r="G42" s="25">
        <v>250</v>
      </c>
      <c r="H42" s="26">
        <v>28.871</v>
      </c>
    </row>
    <row r="43" s="2" customFormat="1" spans="2:8">
      <c r="B43" s="32" t="s">
        <v>125</v>
      </c>
      <c r="C43" s="32">
        <v>59</v>
      </c>
      <c r="D43" s="32">
        <v>59</v>
      </c>
      <c r="E43" s="32">
        <v>0.108</v>
      </c>
      <c r="F43" s="22" t="s">
        <v>120</v>
      </c>
      <c r="G43" s="25">
        <v>250</v>
      </c>
      <c r="H43" s="21" t="s">
        <v>121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selection activeCell="E21" sqref="E21"/>
    </sheetView>
  </sheetViews>
  <sheetFormatPr defaultColWidth="9" defaultRowHeight="14"/>
  <cols>
    <col min="1" max="2" width="10.3636363636364" style="2" customWidth="1"/>
    <col min="3" max="3" width="18.2727272727273" style="2" customWidth="1"/>
    <col min="4" max="5" width="9" style="2"/>
    <col min="6" max="6" width="16.4545454545455" style="2" customWidth="1"/>
    <col min="7" max="7" width="12.7272727272727" style="2" customWidth="1"/>
    <col min="8" max="9" width="10.1818181818182" style="2" customWidth="1"/>
    <col min="10" max="10" width="9.18181818181818" style="2" customWidth="1"/>
    <col min="11" max="16376" width="9" style="2"/>
  </cols>
  <sheetData>
    <row r="1" s="1" customFormat="1" ht="14.5" spans="1:10">
      <c r="A1" s="3" t="s">
        <v>126</v>
      </c>
      <c r="B1" s="4" t="s">
        <v>127</v>
      </c>
      <c r="C1" s="3" t="s">
        <v>128</v>
      </c>
      <c r="D1" s="3" t="s">
        <v>129</v>
      </c>
      <c r="E1" s="3" t="s">
        <v>2</v>
      </c>
      <c r="F1" s="3" t="s">
        <v>4</v>
      </c>
      <c r="G1" s="3" t="s">
        <v>130</v>
      </c>
      <c r="H1" s="3" t="s">
        <v>131</v>
      </c>
      <c r="I1" s="3" t="s">
        <v>132</v>
      </c>
      <c r="J1" s="3" t="s">
        <v>133</v>
      </c>
    </row>
    <row r="2" s="2" customFormat="1" ht="15" spans="1:10">
      <c r="A2" s="5" t="s">
        <v>134</v>
      </c>
      <c r="B2" s="5" t="s">
        <v>135</v>
      </c>
      <c r="C2" s="5">
        <v>0.71</v>
      </c>
      <c r="D2" s="6"/>
      <c r="E2" s="7" t="s">
        <v>10</v>
      </c>
      <c r="F2" s="8" t="s">
        <v>111</v>
      </c>
      <c r="G2" s="9">
        <f t="shared" ref="G2:G12" si="0">H2*0.9</f>
        <v>186.3</v>
      </c>
      <c r="H2" s="9">
        <v>207</v>
      </c>
      <c r="I2" s="9">
        <f t="shared" ref="I2:I12" si="1">H2*1.05</f>
        <v>217.35</v>
      </c>
      <c r="J2" s="10"/>
    </row>
    <row r="3" s="1" customFormat="1" ht="15" spans="1:10">
      <c r="A3" s="5" t="s">
        <v>134</v>
      </c>
      <c r="B3" s="5" t="s">
        <v>135</v>
      </c>
      <c r="C3" s="5">
        <v>0.787</v>
      </c>
      <c r="D3" s="11"/>
      <c r="E3" s="7" t="s">
        <v>17</v>
      </c>
      <c r="F3" s="8" t="s">
        <v>111</v>
      </c>
      <c r="G3" s="9">
        <f t="shared" si="0"/>
        <v>248.4</v>
      </c>
      <c r="H3" s="9">
        <v>276</v>
      </c>
      <c r="I3" s="9">
        <f t="shared" si="1"/>
        <v>289.8</v>
      </c>
      <c r="J3" s="10"/>
    </row>
    <row r="4" s="1" customFormat="1" ht="15" spans="1:10">
      <c r="A4" s="5" t="s">
        <v>134</v>
      </c>
      <c r="B4" s="5" t="s">
        <v>135</v>
      </c>
      <c r="C4" s="5">
        <v>1.5</v>
      </c>
      <c r="D4" s="11"/>
      <c r="E4" s="7" t="s">
        <v>17</v>
      </c>
      <c r="F4" s="8" t="s">
        <v>136</v>
      </c>
      <c r="G4" s="9">
        <f t="shared" si="0"/>
        <v>348.3</v>
      </c>
      <c r="H4" s="9">
        <v>387</v>
      </c>
      <c r="I4" s="9">
        <f t="shared" si="1"/>
        <v>406.35</v>
      </c>
      <c r="J4" s="10"/>
    </row>
    <row r="5" s="1" customFormat="1" ht="15" spans="1:10">
      <c r="A5" s="5" t="s">
        <v>134</v>
      </c>
      <c r="B5" s="12" t="s">
        <v>137</v>
      </c>
      <c r="C5" s="5">
        <v>0.102</v>
      </c>
      <c r="D5" s="11"/>
      <c r="E5" s="7" t="s">
        <v>10</v>
      </c>
      <c r="F5" s="8" t="s">
        <v>98</v>
      </c>
      <c r="G5" s="9">
        <f t="shared" si="0"/>
        <v>115.2</v>
      </c>
      <c r="H5" s="9">
        <v>128</v>
      </c>
      <c r="I5" s="9">
        <f t="shared" si="1"/>
        <v>134.4</v>
      </c>
      <c r="J5" s="10"/>
    </row>
    <row r="6" s="1" customFormat="1" ht="15" spans="1:10">
      <c r="A6" s="5" t="s">
        <v>134</v>
      </c>
      <c r="B6" s="5" t="s">
        <v>138</v>
      </c>
      <c r="C6" s="5">
        <v>0.076</v>
      </c>
      <c r="D6" s="11"/>
      <c r="E6" s="7" t="s">
        <v>17</v>
      </c>
      <c r="F6" s="5" t="s">
        <v>139</v>
      </c>
      <c r="G6" s="9">
        <f t="shared" si="0"/>
        <v>219.0411</v>
      </c>
      <c r="H6" s="9">
        <v>243.379</v>
      </c>
      <c r="I6" s="9">
        <f t="shared" si="1"/>
        <v>255.54795</v>
      </c>
      <c r="J6" s="10" t="s">
        <v>140</v>
      </c>
    </row>
    <row r="7" s="1" customFormat="1" ht="15" spans="1:10">
      <c r="A7" s="5" t="s">
        <v>134</v>
      </c>
      <c r="B7" s="5" t="s">
        <v>138</v>
      </c>
      <c r="C7" s="5">
        <v>0.102</v>
      </c>
      <c r="D7" s="11"/>
      <c r="E7" s="7" t="s">
        <v>19</v>
      </c>
      <c r="F7" s="5" t="s">
        <v>141</v>
      </c>
      <c r="G7" s="9">
        <f t="shared" si="0"/>
        <v>410.0094</v>
      </c>
      <c r="H7" s="9">
        <v>455.566</v>
      </c>
      <c r="I7" s="9">
        <f t="shared" si="1"/>
        <v>478.3443</v>
      </c>
      <c r="J7" s="10" t="s">
        <v>140</v>
      </c>
    </row>
    <row r="8" s="1" customFormat="1" ht="15" spans="1:10">
      <c r="A8" s="5" t="s">
        <v>134</v>
      </c>
      <c r="B8" s="5" t="s">
        <v>138</v>
      </c>
      <c r="C8" s="5">
        <v>0.102</v>
      </c>
      <c r="D8" s="11"/>
      <c r="E8" s="13" t="s">
        <v>10</v>
      </c>
      <c r="F8" s="5" t="s">
        <v>142</v>
      </c>
      <c r="G8" s="9">
        <f t="shared" si="0"/>
        <v>165.9906</v>
      </c>
      <c r="H8" s="9">
        <v>184.434</v>
      </c>
      <c r="I8" s="9">
        <f t="shared" si="1"/>
        <v>193.6557</v>
      </c>
      <c r="J8" s="10" t="s">
        <v>140</v>
      </c>
    </row>
    <row r="9" s="1" customFormat="1" ht="15" spans="1:10">
      <c r="A9" s="5" t="s">
        <v>134</v>
      </c>
      <c r="B9" s="5" t="s">
        <v>143</v>
      </c>
      <c r="C9" s="5">
        <v>0.15</v>
      </c>
      <c r="D9" s="11"/>
      <c r="E9" s="13" t="s">
        <v>17</v>
      </c>
      <c r="F9" s="8" t="s">
        <v>144</v>
      </c>
      <c r="G9" s="9">
        <f t="shared" si="0"/>
        <v>292.7628</v>
      </c>
      <c r="H9" s="9">
        <v>325.292</v>
      </c>
      <c r="I9" s="9">
        <f t="shared" si="1"/>
        <v>341.5566</v>
      </c>
      <c r="J9" s="14" t="s">
        <v>145</v>
      </c>
    </row>
    <row r="10" s="1" customFormat="1" ht="15" spans="1:10">
      <c r="A10" s="5" t="s">
        <v>134</v>
      </c>
      <c r="B10" s="5" t="s">
        <v>143</v>
      </c>
      <c r="C10" s="5">
        <v>0.508</v>
      </c>
      <c r="D10" s="11"/>
      <c r="E10" s="13" t="s">
        <v>17</v>
      </c>
      <c r="F10" s="8" t="s">
        <v>146</v>
      </c>
      <c r="G10" s="9">
        <f t="shared" si="0"/>
        <v>467.0433</v>
      </c>
      <c r="H10" s="9">
        <v>518.937</v>
      </c>
      <c r="I10" s="9">
        <f t="shared" si="1"/>
        <v>544.88385</v>
      </c>
      <c r="J10" s="10" t="s">
        <v>140</v>
      </c>
    </row>
    <row r="11" s="1" customFormat="1" ht="15" spans="1:10">
      <c r="A11" s="5" t="s">
        <v>134</v>
      </c>
      <c r="B11" s="5" t="s">
        <v>143</v>
      </c>
      <c r="C11" s="5">
        <v>0.6</v>
      </c>
      <c r="D11" s="11"/>
      <c r="E11" s="13" t="s">
        <v>44</v>
      </c>
      <c r="F11" s="5" t="s">
        <v>147</v>
      </c>
      <c r="G11" s="9">
        <f t="shared" si="0"/>
        <v>953.9658</v>
      </c>
      <c r="H11" s="9">
        <v>1059.962</v>
      </c>
      <c r="I11" s="9">
        <f t="shared" si="1"/>
        <v>1112.9601</v>
      </c>
      <c r="J11" s="10"/>
    </row>
    <row r="12" s="1" customFormat="1" ht="15" spans="1:10">
      <c r="A12" s="5" t="s">
        <v>134</v>
      </c>
      <c r="B12" s="5" t="s">
        <v>143</v>
      </c>
      <c r="C12" s="5">
        <v>0.762</v>
      </c>
      <c r="D12" s="11"/>
      <c r="E12" s="13" t="s">
        <v>44</v>
      </c>
      <c r="F12" s="5" t="s">
        <v>148</v>
      </c>
      <c r="G12" s="9">
        <f t="shared" si="0"/>
        <v>981.2583</v>
      </c>
      <c r="H12" s="9">
        <v>1090.287</v>
      </c>
      <c r="I12" s="9">
        <f t="shared" si="1"/>
        <v>1144.80135</v>
      </c>
      <c r="J12" s="10"/>
    </row>
    <row r="13" s="1" customFormat="1" ht="15" spans="1:10">
      <c r="A13" s="5"/>
      <c r="B13" s="5"/>
      <c r="C13" s="15"/>
      <c r="D13" s="11"/>
      <c r="E13" s="13"/>
      <c r="F13" s="5"/>
      <c r="G13" s="5"/>
      <c r="H13" s="5"/>
      <c r="I13" s="5"/>
      <c r="J13" s="5"/>
    </row>
    <row r="14" s="1" customFormat="1" ht="15" spans="1:10">
      <c r="A14" s="5"/>
      <c r="B14" s="5"/>
      <c r="C14" s="15"/>
      <c r="D14" s="11"/>
      <c r="E14" s="13"/>
      <c r="F14" s="5"/>
      <c r="G14" s="5"/>
      <c r="H14" s="5"/>
      <c r="I14" s="5"/>
      <c r="J14" s="5"/>
    </row>
    <row r="15" s="1" customFormat="1" ht="15" spans="1:10">
      <c r="A15" s="5"/>
      <c r="B15" s="5"/>
      <c r="C15" s="16"/>
      <c r="D15" s="17"/>
      <c r="E15" s="18"/>
      <c r="F15" s="5"/>
      <c r="G15" s="5"/>
      <c r="H15" s="5"/>
      <c r="I15" s="5"/>
      <c r="J15" s="5"/>
    </row>
    <row r="16" s="1" customFormat="1" ht="15" spans="1:10">
      <c r="A16" s="5"/>
      <c r="B16" s="5"/>
      <c r="C16" s="16"/>
      <c r="D16" s="18"/>
      <c r="E16" s="13"/>
      <c r="F16" s="5"/>
      <c r="G16" s="5"/>
      <c r="H16" s="5"/>
      <c r="I16" s="5"/>
      <c r="J16" s="5"/>
    </row>
    <row r="17" s="1" customFormat="1" ht="15" spans="1:10">
      <c r="A17" s="5"/>
      <c r="B17" s="5"/>
      <c r="C17" s="10"/>
      <c r="D17" s="11"/>
      <c r="E17" s="13"/>
      <c r="F17" s="5"/>
      <c r="G17" s="5"/>
      <c r="H17" s="5"/>
      <c r="I17" s="5"/>
      <c r="J17" s="5"/>
    </row>
    <row r="18" s="1" customFormat="1" ht="15" spans="1:10">
      <c r="A18" s="5"/>
      <c r="B18" s="5"/>
      <c r="C18" s="10"/>
      <c r="D18" s="11"/>
      <c r="E18" s="13"/>
      <c r="F18" s="5"/>
      <c r="G18" s="5"/>
      <c r="H18" s="5"/>
      <c r="I18" s="5"/>
      <c r="J18" s="5"/>
    </row>
    <row r="19" s="1" customFormat="1" ht="15" spans="1:10">
      <c r="A19" s="5"/>
      <c r="B19" s="5"/>
      <c r="C19" s="15"/>
      <c r="D19" s="11"/>
      <c r="E19" s="13"/>
      <c r="F19" s="5"/>
      <c r="G19" s="5"/>
      <c r="H19" s="5"/>
      <c r="I19" s="5"/>
      <c r="J19" s="5"/>
    </row>
    <row r="20" s="1" customFormat="1" ht="15" spans="1:10">
      <c r="A20" s="5"/>
      <c r="B20" s="5"/>
      <c r="C20" s="15"/>
      <c r="D20" s="11"/>
      <c r="E20" s="13"/>
      <c r="F20" s="5"/>
      <c r="G20" s="5"/>
      <c r="H20" s="5"/>
      <c r="I20" s="5"/>
      <c r="J20" s="5"/>
    </row>
    <row r="21" s="1" customFormat="1" ht="15" spans="1:10">
      <c r="A21" s="5"/>
      <c r="B21" s="5"/>
      <c r="C21" s="5"/>
      <c r="D21" s="11"/>
      <c r="E21" s="7"/>
      <c r="F21" s="5"/>
      <c r="G21" s="5"/>
      <c r="H21" s="5"/>
      <c r="I21" s="5"/>
      <c r="J21" s="5"/>
    </row>
    <row r="22" s="1" customFormat="1" ht="15" spans="1:10">
      <c r="A22" s="5"/>
      <c r="B22" s="5"/>
      <c r="C22" s="5"/>
      <c r="D22" s="11"/>
      <c r="E22" s="7"/>
      <c r="F22" s="5"/>
      <c r="G22" s="5"/>
      <c r="H22" s="5"/>
      <c r="I22" s="5"/>
      <c r="J22" s="5"/>
    </row>
    <row r="23" s="1" customFormat="1" ht="15" spans="1:10">
      <c r="A23" s="5"/>
      <c r="B23" s="5"/>
      <c r="C23" s="5"/>
      <c r="D23" s="11"/>
      <c r="E23" s="7"/>
      <c r="F23" s="5"/>
      <c r="G23" s="5"/>
      <c r="H23" s="5"/>
      <c r="I23" s="5"/>
      <c r="J23" s="5"/>
    </row>
    <row r="24" s="1" customFormat="1" ht="15" spans="1:10">
      <c r="A24" s="5"/>
      <c r="B24" s="5"/>
      <c r="C24" s="5"/>
      <c r="D24" s="11"/>
      <c r="E24" s="7"/>
      <c r="F24" s="5"/>
      <c r="G24" s="5"/>
      <c r="H24" s="5"/>
      <c r="I24" s="5"/>
      <c r="J24" s="5"/>
    </row>
    <row r="25" s="1" customFormat="1" ht="15" spans="1:10">
      <c r="A25" s="5"/>
      <c r="B25" s="5"/>
      <c r="C25" s="5"/>
      <c r="D25" s="11"/>
      <c r="E25" s="7"/>
      <c r="F25" s="5"/>
      <c r="G25" s="5"/>
      <c r="H25" s="5"/>
      <c r="I25" s="5"/>
      <c r="J25" s="5"/>
    </row>
    <row r="26" s="1" customFormat="1" ht="15" spans="1:10">
      <c r="A26" s="5"/>
      <c r="B26" s="5"/>
      <c r="C26" s="5"/>
      <c r="D26" s="11"/>
      <c r="E26" s="7"/>
      <c r="F26" s="5"/>
      <c r="G26" s="5"/>
      <c r="H26" s="5"/>
      <c r="I26" s="5"/>
      <c r="J26" s="5"/>
    </row>
    <row r="27" s="1" customFormat="1" ht="15" spans="1:10">
      <c r="A27" s="5"/>
      <c r="B27" s="5"/>
      <c r="C27" s="5"/>
      <c r="D27" s="11"/>
      <c r="E27" s="7"/>
      <c r="F27" s="5"/>
      <c r="G27" s="5"/>
      <c r="H27" s="5"/>
      <c r="I27" s="5"/>
      <c r="J27" s="5"/>
    </row>
    <row r="28" s="1" customFormat="1" ht="15" spans="1:10">
      <c r="A28" s="5"/>
      <c r="B28" s="5"/>
      <c r="C28" s="5"/>
      <c r="D28" s="11"/>
      <c r="E28" s="7"/>
      <c r="F28" s="5"/>
      <c r="G28" s="5"/>
      <c r="H28" s="5"/>
      <c r="I28" s="5"/>
      <c r="J28" s="5"/>
    </row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</sheetData>
  <mergeCells count="2">
    <mergeCell ref="C15:E15"/>
    <mergeCell ref="C16:D16"/>
  </mergeCells>
  <conditionalFormatting sqref="J2">
    <cfRule type="expression" dxfId="0" priority="37">
      <formula>#REF!="是"</formula>
    </cfRule>
    <cfRule type="expression" dxfId="1" priority="42">
      <formula>#REF!="否"</formula>
    </cfRule>
  </conditionalFormatting>
  <conditionalFormatting sqref="J3">
    <cfRule type="expression" dxfId="0" priority="36">
      <formula>#REF!="是"</formula>
    </cfRule>
    <cfRule type="expression" dxfId="1" priority="41">
      <formula>#REF!="否"</formula>
    </cfRule>
  </conditionalFormatting>
  <conditionalFormatting sqref="J4">
    <cfRule type="expression" dxfId="0" priority="35">
      <formula>#REF!="是"</formula>
    </cfRule>
    <cfRule type="expression" dxfId="1" priority="40">
      <formula>#REF!="否"</formula>
    </cfRule>
  </conditionalFormatting>
  <conditionalFormatting sqref="J5">
    <cfRule type="expression" dxfId="0" priority="34">
      <formula>#REF!="是"</formula>
    </cfRule>
    <cfRule type="expression" dxfId="1" priority="39">
      <formula>#REF!="否"</formula>
    </cfRule>
  </conditionalFormatting>
  <conditionalFormatting sqref="J6">
    <cfRule type="expression" dxfId="0" priority="33">
      <formula>#REF!="是"</formula>
    </cfRule>
    <cfRule type="expression" dxfId="1" priority="38">
      <formula>#REF!="否"</formula>
    </cfRule>
  </conditionalFormatting>
  <conditionalFormatting sqref="E8">
    <cfRule type="expression" dxfId="1" priority="52">
      <formula>#REF!="否"</formula>
    </cfRule>
    <cfRule type="expression" dxfId="0" priority="47">
      <formula>#REF!="是"</formula>
    </cfRule>
  </conditionalFormatting>
  <conditionalFormatting sqref="E9">
    <cfRule type="expression" dxfId="1" priority="51">
      <formula>#REF!="否"</formula>
    </cfRule>
    <cfRule type="expression" dxfId="0" priority="46">
      <formula>#REF!="是"</formula>
    </cfRule>
  </conditionalFormatting>
  <conditionalFormatting sqref="E10">
    <cfRule type="expression" dxfId="1" priority="50">
      <formula>#REF!="否"</formula>
    </cfRule>
    <cfRule type="expression" dxfId="0" priority="45">
      <formula>#REF!="是"</formula>
    </cfRule>
  </conditionalFormatting>
  <conditionalFormatting sqref="E11">
    <cfRule type="expression" dxfId="1" priority="49">
      <formula>#REF!="否"</formula>
    </cfRule>
    <cfRule type="expression" dxfId="0" priority="44">
      <formula>#REF!="是"</formula>
    </cfRule>
  </conditionalFormatting>
  <conditionalFormatting sqref="E12">
    <cfRule type="expression" dxfId="1" priority="48">
      <formula>#REF!="否"</formula>
    </cfRule>
    <cfRule type="expression" dxfId="0" priority="43">
      <formula>#REF!="是"</formula>
    </cfRule>
  </conditionalFormatting>
  <conditionalFormatting sqref="C13">
    <cfRule type="expression" dxfId="1" priority="22">
      <formula>#REF!="否"</formula>
    </cfRule>
    <cfRule type="expression" dxfId="0" priority="18">
      <formula>#REF!="是"</formula>
    </cfRule>
  </conditionalFormatting>
  <conditionalFormatting sqref="E13">
    <cfRule type="expression" dxfId="1" priority="14">
      <formula>#REF!="否"</formula>
    </cfRule>
    <cfRule type="expression" dxfId="0" priority="11">
      <formula>#REF!="是"</formula>
    </cfRule>
  </conditionalFormatting>
  <conditionalFormatting sqref="C14">
    <cfRule type="expression" dxfId="1" priority="21">
      <formula>#REF!="否"</formula>
    </cfRule>
    <cfRule type="expression" dxfId="0" priority="17">
      <formula>#REF!="是"</formula>
    </cfRule>
  </conditionalFormatting>
  <conditionalFormatting sqref="E14">
    <cfRule type="expression" dxfId="1" priority="13">
      <formula>#REF!="否"</formula>
    </cfRule>
    <cfRule type="expression" dxfId="0" priority="10">
      <formula>#REF!="是"</formula>
    </cfRule>
  </conditionalFormatting>
  <conditionalFormatting sqref="C15">
    <cfRule type="expression" dxfId="1" priority="20">
      <formula>#REF!="否"</formula>
    </cfRule>
    <cfRule type="expression" dxfId="0" priority="16">
      <formula>#REF!="是"</formula>
    </cfRule>
  </conditionalFormatting>
  <conditionalFormatting sqref="C16">
    <cfRule type="expression" dxfId="1" priority="19">
      <formula>#REF!="否"</formula>
    </cfRule>
    <cfRule type="expression" dxfId="0" priority="15">
      <formula>#REF!="是"</formula>
    </cfRule>
  </conditionalFormatting>
  <conditionalFormatting sqref="E16">
    <cfRule type="expression" dxfId="1" priority="12">
      <formula>#REF!="否"</formula>
    </cfRule>
    <cfRule type="expression" dxfId="0" priority="9">
      <formula>#REF!="是"</formula>
    </cfRule>
  </conditionalFormatting>
  <conditionalFormatting sqref="C17">
    <cfRule type="expression" dxfId="1" priority="30">
      <formula>#REF!="否"</formula>
    </cfRule>
    <cfRule type="expression" dxfId="0" priority="28">
      <formula>#REF!="是"</formula>
    </cfRule>
  </conditionalFormatting>
  <conditionalFormatting sqref="E17">
    <cfRule type="expression" dxfId="1" priority="26">
      <formula>#REF!="否"</formula>
    </cfRule>
    <cfRule type="expression" dxfId="0" priority="24">
      <formula>#REF!="是"</formula>
    </cfRule>
  </conditionalFormatting>
  <conditionalFormatting sqref="C18">
    <cfRule type="expression" dxfId="1" priority="29">
      <formula>#REF!="否"</formula>
    </cfRule>
    <cfRule type="expression" dxfId="0" priority="27">
      <formula>#REF!="是"</formula>
    </cfRule>
  </conditionalFormatting>
  <conditionalFormatting sqref="E18">
    <cfRule type="expression" dxfId="1" priority="25">
      <formula>#REF!="否"</formula>
    </cfRule>
    <cfRule type="expression" dxfId="0" priority="23">
      <formula>#REF!="是"</formula>
    </cfRule>
  </conditionalFormatting>
  <conditionalFormatting sqref="C19">
    <cfRule type="expression" dxfId="1" priority="8">
      <formula>#REF!="否"</formula>
    </cfRule>
    <cfRule type="expression" dxfId="0" priority="6">
      <formula>#REF!="是"</formula>
    </cfRule>
  </conditionalFormatting>
  <conditionalFormatting sqref="E19">
    <cfRule type="expression" dxfId="1" priority="4">
      <formula>#REF!="否"</formula>
    </cfRule>
    <cfRule type="expression" dxfId="0" priority="2">
      <formula>#REF!="是"</formula>
    </cfRule>
  </conditionalFormatting>
  <conditionalFormatting sqref="C20">
    <cfRule type="expression" dxfId="1" priority="7">
      <formula>#REF!="否"</formula>
    </cfRule>
    <cfRule type="expression" dxfId="0" priority="5">
      <formula>#REF!="是"</formula>
    </cfRule>
  </conditionalFormatting>
  <conditionalFormatting sqref="E20">
    <cfRule type="expression" dxfId="1" priority="3">
      <formula>#REF!="否"</formula>
    </cfRule>
    <cfRule type="expression" dxfId="0" priority="1">
      <formula>#REF!="是"</formula>
    </cfRule>
  </conditionalFormatting>
  <conditionalFormatting sqref="J7:J12">
    <cfRule type="expression" dxfId="0" priority="31">
      <formula>#REF!="是"</formula>
    </cfRule>
    <cfRule type="expression" dxfId="1" priority="32">
      <formula>#REF!="否"</formula>
    </cfRule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NY2150H 20260701出货起调</vt:lpstr>
      <vt:lpstr>NY2150HP 20260701出货起调</vt:lpstr>
      <vt:lpstr>NY2170H0618报价</vt:lpstr>
      <vt:lpstr>NY2170HP0618报价</vt:lpstr>
      <vt:lpstr>其他物料报价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</dc:creator>
  <cp:lastModifiedBy>张鹏伟</cp:lastModifiedBy>
  <dcterms:created xsi:type="dcterms:W3CDTF">2023-07-04T06:56:00Z</dcterms:created>
  <cp:lastPrinted>2023-09-11T02:52:00Z</cp:lastPrinted>
  <dcterms:modified xsi:type="dcterms:W3CDTF">2026-07-01T01:13:44Z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C95FFD9121534CD0A35EAE56F53634F1_13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  <property fmtid="{D5CDD505-2E9C-101B-9397-08002B2CF9AE}" pid="6" name="5B77E7CEEC58BC6AFAE8886BEB80DBEB">
    <vt:lpwstr>otCYQxs9Dbw2bUEn/Soxv9pYAoWsCRIsU8+gIbxzzmNcJN13+qHIPyWmbF9hFzPHyi2m8DLwi54E5OVVM5pJ0yGmgAiYTaR6oYUdYZxdjep6I9xviFUFZ9aTScfBW9OGPabxkEM5fpAUuzOQ2zqHkUtcmXppxFwI8lfMZ/hrEVMFdNt/H9kJplB6KAvhocyMnq4CiP90MIxKLgkCiIUxK/botn+PbDpOaNGzT9PMJxEZ7/KbzAbjHmaqPslwV5OFRg8Suq7MEPR1d7H6jMs0pJyWpDcYd+mFBXSxWAYHZPF8jyCiXzhKBG4FnQkDMEKRYQtC3YAtzdYwGgiXRVl5HosHmYnoiFKdKL183QOA0lV77LRvnxUP+CFYKPQdmMBhfPuPUwNBMXTTyjy1A6eNxCQ19+hxXF5eQ8MlHcysDOAq4sbulYRvcbzwcGoXmNXO4nG6pJDbHWut/yLFA86oSd7D0IBn+Ou7BBRpUgSMk10pb9Jn1R5WlVgvQLnokYo9axmhYZxBnLlMLm4xpCRvtItU/tUEpVJf7hwjw5Lu9ytGuXN/c2jFW0bYkc7b6HAZ548t2ASDVOj4omWMvnOQvZ7RPCfN3pDn+LPmj784jV1Q0uzyatVmsr6f+3z1WdbCV5Z5Ts2zYToWk7U0lR7q9yXTeWhxYLeusIKhTeVNbYNYn0MFDGwUn6lcIw71A2hIRH/2d5nlpekbi9eksZF/hZBU1EETDejwiXUCE/XbyYheGaT9B1Zjl3wauprsja5pzKXLtkx5Jcbrnb1O++g642vgrkpd+kT3zCUFC6VmCM2IZT2M/Zx45VFl9tgkuCY1bAm/K9+DBf2tArq33mBIRSkRwim5UK6svohlEVz3E0+zTZA/hth1+yTJ9JtGs5XKYQxtu1Xry2N21Rz8t+Ob7jBJogbtPUkplfojnUYcnRAGpfryemMiY2rsWB2OAYYlDuAdCkk2erYjDGYBevYbJl+FE/XyGZW+Pre/usPSgyLLk7JPRCMFcQxVDmIg6tOr/m2s6m3olHRejz6bmGCKgMGVhaNj/QJz/53/t4u1kFNLSd8znlVI4+K2c0UgTPWvdvwZdcTs+290eMAp8oq7quxIvstAJ5zw4ZDVHTrj1VyvDY2yP/titWK/UmeYc0XuhJNFH8LKWiBJZ5Ko3yyG/ElErVq9TUO+JRjwSyQZWnY6UFYKsisu2StxvqktuO9PsOjPtEoQ74TT3QQBC5+6vzn1Qcmj11pbVMJuU+aQt0qxMuo+r5J35rsco0LGSeQf+ksm/OJQPAw6R2c6Rp6at/ak0E2Jp8+/kFsZERWo7/Bd/jd3n2+8/BojpWBclhS20+LQC4psRBHzKm+8el5MkUY9xJuGIYoi3lHhRDwpFuRQ4RHF6Sb+ZpMaD6dXjg/YFflGNqsLRtLbPnv0unzbeY0b7oSTnloAiM8MdOzA+m4lMDf4KainRZp7Kptv+HNh1h4SapsJREDuCtAYkn86Bg0iGtIIrkZGiw62ZLFbnXREZkzxw2a/Dx0lM11HrtdrIYyuDdW4A61veFQ6wC3vvgYaiwmGN7NiUv9G9JvF+4aVUhUoFbz+Z5TDC9a/8UWz1UC394nmkqBzoLn0Puf56Z7K5ZEurREup7kB/EOgxCLvfLihChtI/PxqMJX2+ytr</vt:lpwstr>
  </property>
</Properties>
</file>