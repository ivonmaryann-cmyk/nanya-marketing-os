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270" activeTab="4"/>
  </bookViews>
  <sheets>
    <sheet name="NY2170H" sheetId="13" r:id="rId1"/>
    <sheet name="NY3170HF" sheetId="16" r:id="rId2"/>
    <sheet name="NY3170M" sheetId="7" r:id="rId3"/>
    <sheet name="NY3170M2" sheetId="8" r:id="rId4"/>
    <sheet name="NY2150" sheetId="17" r:id="rId5"/>
    <sheet name="NY3150HF" sheetId="18" r:id="rId6"/>
    <sheet name="NY3176HF" sheetId="19" r:id="rId7"/>
    <sheet name="NY6300SN" sheetId="20" r:id="rId8"/>
  </sheets>
  <definedNames>
    <definedName name="_xlnm.Print_Titles" localSheetId="0">NY2170H!$1:$9</definedName>
    <definedName name="_xlnm.Print_Titles" localSheetId="2">NY3170M!$1:$8</definedName>
    <definedName name="_xlnm.Print_Titles" localSheetId="3">NY3170M2!$1:$9</definedName>
    <definedName name="_xlnm.Print_Area" localSheetId="0">NY2170H!$A$1:$L$75</definedName>
    <definedName name="_xlnm.Print_Area" localSheetId="2">NY3170M!$A$1:$L$112</definedName>
    <definedName name="_xlnm.Print_Titles" localSheetId="1">NY3170HF!$1:$9</definedName>
    <definedName name="_xlnm.Print_Area" localSheetId="1">NY3170HF!$A$1:$L$83</definedName>
    <definedName name="_xlnm.Print_Area" localSheetId="4">'NY2150'!$A$1:$K$69</definedName>
    <definedName name="_xlnm.Print_Area" localSheetId="5">NY3150HF!$A$1:$L$90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<sst xmlns="http://schemas.openxmlformats.org/spreadsheetml/2006/main" count="1720" uniqueCount="137">
  <si>
    <t>NOUYA南亚新材料科技股份有限公司</t>
  </si>
  <si>
    <t>上海公司地址：中国上海嘉定区南翔镇昌翔路158号 TEL：021-59175555</t>
  </si>
  <si>
    <t>江西公司地址：江西省吉安市井冈山经济技术开发区深圳大道226号 TEL：0796-8591555</t>
  </si>
  <si>
    <t>客户名称：</t>
  </si>
  <si>
    <t>中京电子</t>
  </si>
  <si>
    <t>发件人：</t>
  </si>
  <si>
    <t>刘友志</t>
  </si>
  <si>
    <t xml:space="preserve">收件人：               </t>
  </si>
  <si>
    <t>供应链管理部 骆天丽</t>
  </si>
  <si>
    <t>计价单位：人民币(RMB)含税</t>
  </si>
  <si>
    <t>生效日期：2026/8/4（出货生效）</t>
  </si>
  <si>
    <t>主题：NY2170H(High-Tg &amp; Lead Free)覆铜板价格表</t>
  </si>
  <si>
    <t>产品类别</t>
  </si>
  <si>
    <t>不含銅厚度
（mil）</t>
  </si>
  <si>
    <t>不含銅厚度（mm）</t>
  </si>
  <si>
    <t>含銅厚度
（mm）</t>
  </si>
  <si>
    <t>结构</t>
  </si>
  <si>
    <t>铜箔</t>
  </si>
  <si>
    <t>铜厚</t>
  </si>
  <si>
    <t>Per SF</t>
  </si>
  <si>
    <t>36"X48"</t>
  </si>
  <si>
    <t>40"X48"</t>
  </si>
  <si>
    <t>42"X48"</t>
  </si>
  <si>
    <t>NY2170H</t>
  </si>
  <si>
    <t>106*1</t>
  </si>
  <si>
    <t>1/1</t>
  </si>
  <si>
    <t>HTE</t>
  </si>
  <si>
    <t>1080*1</t>
  </si>
  <si>
    <t>2116*1</t>
  </si>
  <si>
    <t>1506*1</t>
  </si>
  <si>
    <t>7628*1</t>
  </si>
  <si>
    <t>2116*2</t>
  </si>
  <si>
    <t>1506×2</t>
  </si>
  <si>
    <t>7628×2</t>
  </si>
  <si>
    <t>7628*3</t>
  </si>
  <si>
    <t>7628x3</t>
  </si>
  <si>
    <t>7628*4</t>
  </si>
  <si>
    <t>7628*5</t>
  </si>
  <si>
    <t>7628*6</t>
  </si>
  <si>
    <t>7628*7</t>
  </si>
  <si>
    <t>7628*8</t>
  </si>
  <si>
    <t>H/H</t>
  </si>
  <si>
    <t>1080*2</t>
  </si>
  <si>
    <t>7628x4</t>
  </si>
  <si>
    <t>NY2170</t>
  </si>
  <si>
    <t>3313*1</t>
  </si>
  <si>
    <t>2/2</t>
  </si>
  <si>
    <t>1607*2</t>
  </si>
  <si>
    <t>主题：NY2170HP (High-Tg &amp; Lead Free)半固化片价格表</t>
  </si>
  <si>
    <t>产品型号</t>
  </si>
  <si>
    <t>树脂含量中值(%)</t>
  </si>
  <si>
    <t>标准卷装长度</t>
  </si>
  <si>
    <t>标准卷装宽度</t>
  </si>
  <si>
    <t>SF面积</t>
  </si>
  <si>
    <t>SF单价</t>
  </si>
  <si>
    <t>RMB/M</t>
  </si>
  <si>
    <t>單價/RL</t>
  </si>
  <si>
    <t>NY2170HP</t>
  </si>
  <si>
    <t xml:space="preserve">49.5" </t>
  </si>
  <si>
    <t>49.5" </t>
  </si>
  <si>
    <t>1.交易條件:月結90天，交運方式:CIF；</t>
  </si>
  <si>
    <t>2.付款方式:TT轉賬或電子銀行承兌（票期3個月內） ;</t>
  </si>
  <si>
    <t>3.請于收到此報价單后3天內回傳,以确認單价.若未收到回覆,本司將視同貴司同意上述之報价內容．</t>
  </si>
  <si>
    <t>4.以上HTE銅報價，T/T與H/H同價，1/H與1/1同價,使用RTF铜箔SF加价6%;</t>
  </si>
  <si>
    <t>5.如需裁切小片出貨時需計算利用率并加3%裁切費用.</t>
  </si>
  <si>
    <t>6.窄幅尺寸(緯向42"報價按照大板實際面積*1.06)</t>
  </si>
  <si>
    <r>
      <rPr>
        <sz val="12"/>
        <rFont val="宋体"/>
        <charset val="134"/>
      </rPr>
      <t>客户回签：</t>
    </r>
    <r>
      <rPr>
        <sz val="12"/>
        <rFont val="Arial"/>
        <charset val="0"/>
      </rPr>
      <t>________________</t>
    </r>
  </si>
  <si>
    <r>
      <rPr>
        <sz val="12"/>
        <rFont val="宋体"/>
        <charset val="134"/>
      </rPr>
      <t>公司审核：</t>
    </r>
    <r>
      <rPr>
        <sz val="12"/>
        <rFont val="Arial"/>
        <charset val="0"/>
      </rPr>
      <t>__________________</t>
    </r>
  </si>
  <si>
    <t>主题：NY3170HF((High-Tg &amp; halogen-free)覆铜板价格表</t>
  </si>
  <si>
    <t>NY3170HF</t>
  </si>
  <si>
    <t>1078*1</t>
  </si>
  <si>
    <t>1/H</t>
  </si>
  <si>
    <t>RTF</t>
  </si>
  <si>
    <t>主题：NY3170HF((High-Tg &amp; halogen-free)半固化片价格表</t>
  </si>
  <si>
    <t>NY3170HFP</t>
  </si>
  <si>
    <t>供应链管理部 骆天莉</t>
  </si>
  <si>
    <t>主题：NY3170M(Mid-loss &amp; Halogen Free)覆铜板价格表</t>
  </si>
  <si>
    <t>NY3170M</t>
  </si>
  <si>
    <t>106×1</t>
  </si>
  <si>
    <t>1067*1</t>
  </si>
  <si>
    <t>1086×1</t>
  </si>
  <si>
    <t>1080×1</t>
  </si>
  <si>
    <t>3313×1</t>
  </si>
  <si>
    <t>2116×1</t>
  </si>
  <si>
    <t>106×2</t>
  </si>
  <si>
    <t>2113×1</t>
  </si>
  <si>
    <t>1080×2</t>
  </si>
  <si>
    <t>1506×1</t>
  </si>
  <si>
    <t>2116×2</t>
  </si>
  <si>
    <t>7628×2+2116×1</t>
  </si>
  <si>
    <t>7628×3</t>
  </si>
  <si>
    <t>7628×4</t>
  </si>
  <si>
    <t>7628×5</t>
  </si>
  <si>
    <t>7628×6</t>
  </si>
  <si>
    <t>7628×7</t>
  </si>
  <si>
    <t>主题：NY3170MP (Mid-loss &amp; Halogen Free)半固化片价格表</t>
  </si>
  <si>
    <t>NY3170MP</t>
  </si>
  <si>
    <t>4.1/H與1/1同價,使用RTF2铜箔SF加价6%;</t>
  </si>
  <si>
    <t>主题：NY3170M2(Low-loss &amp; Halogen Free)覆铜板价格表</t>
  </si>
  <si>
    <t>NY3170M2</t>
  </si>
  <si>
    <t>RTF2</t>
  </si>
  <si>
    <t>1506*2</t>
  </si>
  <si>
    <t>2116×5</t>
  </si>
  <si>
    <t>3313×2</t>
  </si>
  <si>
    <r>
      <rPr>
        <b/>
        <sz val="16"/>
        <rFont val="宋体"/>
        <charset val="134"/>
      </rPr>
      <t>主题：NY3170M2</t>
    </r>
    <r>
      <rPr>
        <b/>
        <sz val="16"/>
        <rFont val="宋体"/>
        <charset val="134"/>
      </rPr>
      <t>P</t>
    </r>
    <r>
      <rPr>
        <b/>
        <sz val="16"/>
        <rFont val="宋体"/>
        <charset val="134"/>
      </rPr>
      <t>(Low-loss &amp; Halogen Free)半固化片价格表</t>
    </r>
  </si>
  <si>
    <t>NY3170M2P</t>
  </si>
  <si>
    <t>4.1/H與1/1同價；</t>
  </si>
  <si>
    <t>主题：NY2150(Mid-Tg &amp; Lead Free)覆铜板价格表</t>
  </si>
  <si>
    <t>原40*48</t>
  </si>
  <si>
    <t>NY2150</t>
  </si>
  <si>
    <t>7628*2+1506*2</t>
  </si>
  <si>
    <t>主题：NY2150P (Mid-Tg &amp; Lead Free)半固化片价格表</t>
  </si>
  <si>
    <t>原RMB/M</t>
  </si>
  <si>
    <t>/</t>
  </si>
  <si>
    <t>主题：NY3150HF((Mid-Tg &amp; halogen-free)覆铜板价格表</t>
  </si>
  <si>
    <t>NY3150HF</t>
  </si>
  <si>
    <t>7628*2</t>
  </si>
  <si>
    <t>主题：NY3150HFP (Mid-Tg &amp; halogen-free)半固化片价格表</t>
  </si>
  <si>
    <t xml:space="preserve">
</t>
  </si>
  <si>
    <t>主题：NY3176HF((Mid-Tg &amp; halogen-free)覆铜板价格表</t>
  </si>
  <si>
    <t>NY3176HF</t>
  </si>
  <si>
    <t>主题：NY3176HFP (Mid-Tg &amp; halogen-free)半固化片价格表</t>
  </si>
  <si>
    <t>NY3176HFP</t>
  </si>
  <si>
    <t>6窄幅尺寸(緯向42"報價按照大板實際面積*1.06)</t>
  </si>
  <si>
    <t>客户回签：__________________</t>
  </si>
  <si>
    <t>主题：NY6300SN(Very Low Loss)覆铜板价格表</t>
  </si>
  <si>
    <t>NY6300SN</t>
  </si>
  <si>
    <t>RTF3</t>
  </si>
  <si>
    <t>1035*2</t>
  </si>
  <si>
    <t>RTF3/RTF</t>
  </si>
  <si>
    <t>1/2</t>
  </si>
  <si>
    <t>2116*7</t>
  </si>
  <si>
    <t>T/T</t>
  </si>
  <si>
    <t>主题：NY6300SNP (Very Low Loss)半固化片价格表</t>
  </si>
  <si>
    <t>NY6300SNP</t>
  </si>
  <si>
    <t>客户回签：</t>
  </si>
  <si>
    <t>公司审核：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</si>
</sst>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0_ "/>
    <numFmt numFmtId="178" formatCode="0.000_);[Red]\(0.000\)"/>
    <numFmt numFmtId="179" formatCode="0.0%"/>
    <numFmt numFmtId="180" formatCode="0.0"/>
    <numFmt numFmtId="181" formatCode="0.00_ "/>
    <numFmt numFmtId="182" formatCode="0.000"/>
    <numFmt numFmtId="183" formatCode="0_ "/>
    <numFmt numFmtId="184" formatCode="0.0_ "/>
  </numFmts>
  <fonts count="35">
    <font>
      <sz val="12"/>
      <name val="宋体"/>
      <charset val="134"/>
    </font>
    <font>
      <b/>
      <sz val="22"/>
      <name val="楷体"/>
      <charset val="134"/>
    </font>
    <font>
      <sz val="10"/>
      <name val="楷体"/>
      <charset val="134"/>
    </font>
    <font>
      <sz val="11"/>
      <name val="楷体"/>
      <charset val="134"/>
    </font>
    <font>
      <sz val="9"/>
      <name val="楷体"/>
      <charset val="134"/>
    </font>
    <font>
      <b/>
      <sz val="16"/>
      <name val="楷体"/>
      <charset val="134"/>
    </font>
    <font>
      <sz val="9"/>
      <color theme="1"/>
      <name val="楷体"/>
      <charset val="134"/>
    </font>
    <font>
      <sz val="10"/>
      <color theme="1"/>
      <name val="楷体"/>
      <charset val="134"/>
    </font>
    <font>
      <sz val="10"/>
      <name val="Arial"/>
      <charset val="0"/>
    </font>
    <font>
      <sz val="12"/>
      <name val="Arial"/>
      <charset val="0"/>
    </font>
    <font>
      <sz val="9"/>
      <color rgb="FF000000"/>
      <name val="SimSun"/>
      <charset val="134"/>
    </font>
    <font>
      <sz val="8"/>
      <name val="宋体"/>
      <charset val="134"/>
    </font>
    <font>
      <b/>
      <sz val="16"/>
      <name val="宋体"/>
      <charset val="134"/>
    </font>
    <font>
      <sz val="8"/>
      <name val="楷体"/>
      <charset val="134"/>
    </font>
    <font>
      <u/>
      <sz val="12"/>
      <color indexed="12"/>
      <name val="宋体"/>
      <charset val="134"/>
    </font>
    <font>
      <u/>
      <sz val="12"/>
      <color indexed="36"/>
      <name val="宋体"/>
      <charset val="134"/>
    </font>
    <font>
      <sz val="12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sz val="12"/>
      <name val="新細明體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6" fillId="4" borderId="9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12" applyNumberFormat="0" applyAlignment="0" applyProtection="0">
      <alignment vertical="center"/>
    </xf>
    <xf numFmtId="0" fontId="24" fillId="6" borderId="13" applyNumberFormat="0" applyAlignment="0" applyProtection="0">
      <alignment vertical="center"/>
    </xf>
    <xf numFmtId="0" fontId="25" fillId="6" borderId="12" applyNumberFormat="0" applyAlignment="0" applyProtection="0">
      <alignment vertical="center"/>
    </xf>
    <xf numFmtId="0" fontId="26" fillId="7" borderId="14" applyNumberFormat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8" fillId="0" borderId="0"/>
    <xf numFmtId="0" fontId="0" fillId="0" borderId="0"/>
    <xf numFmtId="0" fontId="34" fillId="0" borderId="0"/>
  </cellStyleXfs>
  <cellXfs count="134">
    <xf numFmtId="0" fontId="0" fillId="0" borderId="0" xfId="0" applyFont="1"/>
    <xf numFmtId="0" fontId="0" fillId="0" borderId="0" xfId="0" applyFont="1" applyFill="1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Border="1" applyAlignment="1">
      <alignment horizontal="center" vertical="center" shrinkToFit="1"/>
    </xf>
    <xf numFmtId="0" fontId="2" fillId="0" borderId="0" xfId="0" applyFont="1" applyFill="1" applyAlignment="1">
      <alignment vertical="center"/>
    </xf>
    <xf numFmtId="0" fontId="2" fillId="2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shrinkToFit="1"/>
    </xf>
    <xf numFmtId="176" fontId="2" fillId="2" borderId="0" xfId="0" applyNumberFormat="1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2" fillId="0" borderId="0" xfId="0" applyFont="1" applyFill="1" applyBorder="1" applyAlignment="1">
      <alignment vertical="center"/>
    </xf>
    <xf numFmtId="0" fontId="4" fillId="2" borderId="0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shrinkToFit="1"/>
    </xf>
    <xf numFmtId="0" fontId="4" fillId="2" borderId="2" xfId="49" applyFont="1" applyFill="1" applyBorder="1" applyAlignment="1">
      <alignment horizontal="center" vertical="center" shrinkToFit="1"/>
    </xf>
    <xf numFmtId="176" fontId="4" fillId="2" borderId="2" xfId="0" applyNumberFormat="1" applyFont="1" applyFill="1" applyBorder="1" applyAlignment="1">
      <alignment horizontal="center" vertical="center"/>
    </xf>
    <xf numFmtId="26" fontId="4" fillId="2" borderId="2" xfId="0" applyNumberFormat="1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177" fontId="4" fillId="0" borderId="2" xfId="51" applyNumberFormat="1" applyFont="1" applyFill="1" applyBorder="1" applyAlignment="1">
      <alignment horizontal="center" vertical="center" shrinkToFit="1"/>
    </xf>
    <xf numFmtId="49" fontId="4" fillId="0" borderId="2" xfId="0" applyNumberFormat="1" applyFont="1" applyFill="1" applyBorder="1" applyAlignment="1">
      <alignment horizontal="center" vertical="center"/>
    </xf>
    <xf numFmtId="178" fontId="4" fillId="0" borderId="2" xfId="0" applyNumberFormat="1" applyFont="1" applyFill="1" applyBorder="1" applyAlignment="1">
      <alignment horizontal="center" vertical="center"/>
    </xf>
    <xf numFmtId="0" fontId="4" fillId="0" borderId="2" xfId="49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77" fontId="4" fillId="3" borderId="2" xfId="51" applyNumberFormat="1" applyFont="1" applyFill="1" applyBorder="1" applyAlignment="1">
      <alignment horizontal="center" vertical="center" shrinkToFit="1"/>
    </xf>
    <xf numFmtId="49" fontId="4" fillId="3" borderId="2" xfId="0" applyNumberFormat="1" applyFont="1" applyFill="1" applyBorder="1" applyAlignment="1">
      <alignment horizontal="center" vertical="center"/>
    </xf>
    <xf numFmtId="178" fontId="4" fillId="3" borderId="2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0" borderId="3" xfId="49" applyFont="1" applyFill="1" applyBorder="1" applyAlignment="1">
      <alignment horizontal="center" vertical="center" shrinkToFit="1"/>
    </xf>
    <xf numFmtId="0" fontId="4" fillId="0" borderId="3" xfId="50" applyFont="1" applyFill="1" applyBorder="1" applyAlignment="1">
      <alignment horizontal="center" vertical="center" shrinkToFit="1"/>
    </xf>
    <xf numFmtId="0" fontId="4" fillId="0" borderId="4" xfId="50" applyFont="1" applyFill="1" applyBorder="1" applyAlignment="1">
      <alignment horizontal="center" vertical="center" shrinkToFit="1"/>
    </xf>
    <xf numFmtId="0" fontId="6" fillId="2" borderId="4" xfId="0" applyFont="1" applyFill="1" applyBorder="1" applyAlignment="1">
      <alignment horizontal="center" vertical="center" shrinkToFit="1"/>
    </xf>
    <xf numFmtId="0" fontId="6" fillId="2" borderId="5" xfId="0" applyFont="1" applyFill="1" applyBorder="1" applyAlignment="1">
      <alignment horizontal="center" vertical="center" shrinkToFit="1"/>
    </xf>
    <xf numFmtId="0" fontId="4" fillId="3" borderId="2" xfId="49" applyFont="1" applyFill="1" applyBorder="1" applyAlignment="1">
      <alignment horizontal="center" vertical="center" wrapText="1"/>
    </xf>
    <xf numFmtId="179" fontId="4" fillId="3" borderId="2" xfId="49" applyNumberFormat="1" applyFont="1" applyFill="1" applyBorder="1" applyAlignment="1">
      <alignment horizontal="center" vertical="center" wrapText="1"/>
    </xf>
    <xf numFmtId="10" fontId="4" fillId="3" borderId="2" xfId="49" applyNumberFormat="1" applyFont="1" applyFill="1" applyBorder="1" applyAlignment="1">
      <alignment horizontal="center" vertical="center" wrapText="1"/>
    </xf>
    <xf numFmtId="2" fontId="4" fillId="3" borderId="2" xfId="0" applyNumberFormat="1" applyFont="1" applyFill="1" applyBorder="1" applyAlignment="1">
      <alignment horizontal="center" vertical="center"/>
    </xf>
    <xf numFmtId="0" fontId="4" fillId="0" borderId="2" xfId="49" applyFont="1" applyFill="1" applyBorder="1" applyAlignment="1">
      <alignment horizontal="center" vertical="center" wrapText="1"/>
    </xf>
    <xf numFmtId="179" fontId="4" fillId="0" borderId="2" xfId="49" applyNumberFormat="1" applyFont="1" applyFill="1" applyBorder="1" applyAlignment="1">
      <alignment horizontal="center" vertical="center" wrapText="1"/>
    </xf>
    <xf numFmtId="10" fontId="4" fillId="0" borderId="2" xfId="49" applyNumberFormat="1" applyFont="1" applyFill="1" applyBorder="1" applyAlignment="1">
      <alignment horizontal="center" vertical="center" wrapText="1"/>
    </xf>
    <xf numFmtId="2" fontId="4" fillId="0" borderId="2" xfId="0" applyNumberFormat="1" applyFont="1" applyFill="1" applyBorder="1" applyAlignment="1">
      <alignment horizontal="center" vertical="center"/>
    </xf>
    <xf numFmtId="0" fontId="2" fillId="2" borderId="0" xfId="49" applyFont="1" applyFill="1" applyAlignment="1">
      <alignment horizontal="left" vertical="center"/>
    </xf>
    <xf numFmtId="0" fontId="2" fillId="0" borderId="0" xfId="0" applyFont="1" applyAlignment="1">
      <alignment vertical="center"/>
    </xf>
    <xf numFmtId="176" fontId="2" fillId="0" borderId="0" xfId="0" applyNumberFormat="1" applyFont="1" applyAlignment="1">
      <alignment vertical="center"/>
    </xf>
    <xf numFmtId="0" fontId="7" fillId="2" borderId="0" xfId="49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 shrinkToFit="1"/>
    </xf>
    <xf numFmtId="0" fontId="2" fillId="0" borderId="0" xfId="0" applyFont="1" applyFill="1" applyBorder="1" applyAlignment="1">
      <alignment vertical="center" shrinkToFit="1"/>
    </xf>
    <xf numFmtId="176" fontId="2" fillId="0" borderId="0" xfId="0" applyNumberFormat="1" applyFont="1" applyFill="1" applyAlignment="1">
      <alignment vertical="center"/>
    </xf>
    <xf numFmtId="0" fontId="2" fillId="0" borderId="0" xfId="0" applyFont="1" applyFill="1" applyBorder="1" applyAlignment="1">
      <alignment vertical="center" wrapText="1"/>
    </xf>
    <xf numFmtId="0" fontId="4" fillId="0" borderId="0" xfId="0" applyFont="1" applyFill="1" applyAlignment="1">
      <alignment vertical="center"/>
    </xf>
    <xf numFmtId="0" fontId="5" fillId="0" borderId="1" xfId="0" applyFont="1" applyBorder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 shrinkToFit="1"/>
    </xf>
    <xf numFmtId="26" fontId="4" fillId="2" borderId="2" xfId="0" applyNumberFormat="1" applyFont="1" applyFill="1" applyBorder="1" applyAlignment="1">
      <alignment horizontal="center" vertical="center" shrinkToFit="1"/>
    </xf>
    <xf numFmtId="180" fontId="4" fillId="0" borderId="2" xfId="49" applyNumberFormat="1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shrinkToFit="1"/>
    </xf>
    <xf numFmtId="176" fontId="4" fillId="0" borderId="2" xfId="0" applyNumberFormat="1" applyFont="1" applyFill="1" applyBorder="1" applyAlignment="1">
      <alignment horizontal="center" vertical="center"/>
    </xf>
    <xf numFmtId="181" fontId="4" fillId="0" borderId="2" xfId="0" applyNumberFormat="1" applyFont="1" applyFill="1" applyBorder="1" applyAlignment="1">
      <alignment horizontal="center" vertical="center"/>
    </xf>
    <xf numFmtId="180" fontId="4" fillId="0" borderId="2" xfId="0" applyNumberFormat="1" applyFont="1" applyFill="1" applyBorder="1" applyAlignment="1">
      <alignment horizontal="center" vertical="center"/>
    </xf>
    <xf numFmtId="0" fontId="4" fillId="0" borderId="2" xfId="49" applyFont="1" applyFill="1" applyBorder="1" applyAlignment="1">
      <alignment horizontal="center" vertical="center" shrinkToFit="1"/>
    </xf>
    <xf numFmtId="0" fontId="4" fillId="0" borderId="2" xfId="50" applyFont="1" applyFill="1" applyBorder="1" applyAlignment="1">
      <alignment horizontal="center" vertical="center" shrinkToFit="1"/>
    </xf>
    <xf numFmtId="0" fontId="4" fillId="0" borderId="2" xfId="0" applyFont="1" applyFill="1" applyBorder="1" applyAlignment="1">
      <alignment horizontal="center"/>
    </xf>
    <xf numFmtId="0" fontId="4" fillId="0" borderId="2" xfId="5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0" fillId="2" borderId="0" xfId="0" applyFont="1" applyFill="1" applyAlignment="1">
      <alignment vertical="center"/>
    </xf>
    <xf numFmtId="0" fontId="0" fillId="2" borderId="0" xfId="0" applyFont="1" applyFill="1"/>
    <xf numFmtId="0" fontId="4" fillId="2" borderId="2" xfId="0" applyFont="1" applyFill="1" applyBorder="1" applyAlignment="1">
      <alignment horizontal="center" vertical="center"/>
    </xf>
    <xf numFmtId="177" fontId="4" fillId="2" borderId="2" xfId="51" applyNumberFormat="1" applyFont="1" applyFill="1" applyBorder="1" applyAlignment="1">
      <alignment horizontal="center" vertical="center" shrinkToFit="1"/>
    </xf>
    <xf numFmtId="49" fontId="4" fillId="2" borderId="2" xfId="0" applyNumberFormat="1" applyFont="1" applyFill="1" applyBorder="1" applyAlignment="1">
      <alignment horizontal="center" vertical="center"/>
    </xf>
    <xf numFmtId="2" fontId="4" fillId="2" borderId="2" xfId="0" applyNumberFormat="1" applyFont="1" applyFill="1" applyBorder="1" applyAlignment="1">
      <alignment horizontal="center" vertical="center"/>
    </xf>
    <xf numFmtId="0" fontId="4" fillId="2" borderId="2" xfId="50" applyFont="1" applyFill="1" applyBorder="1" applyAlignment="1">
      <alignment horizontal="center" vertical="center" shrinkToFit="1"/>
    </xf>
    <xf numFmtId="0" fontId="4" fillId="2" borderId="2" xfId="49" applyFont="1" applyFill="1" applyBorder="1" applyAlignment="1">
      <alignment horizontal="center" vertical="center" wrapText="1"/>
    </xf>
    <xf numFmtId="179" fontId="4" fillId="2" borderId="2" xfId="49" applyNumberFormat="1" applyFont="1" applyFill="1" applyBorder="1" applyAlignment="1">
      <alignment horizontal="center" vertical="center" wrapText="1"/>
    </xf>
    <xf numFmtId="10" fontId="4" fillId="2" borderId="2" xfId="49" applyNumberFormat="1" applyFont="1" applyFill="1" applyBorder="1" applyAlignment="1">
      <alignment horizontal="center" vertical="center" wrapText="1"/>
    </xf>
    <xf numFmtId="182" fontId="4" fillId="2" borderId="2" xfId="0" applyNumberFormat="1" applyFont="1" applyFill="1" applyBorder="1" applyAlignment="1">
      <alignment horizontal="center" vertical="center"/>
    </xf>
    <xf numFmtId="181" fontId="4" fillId="2" borderId="2" xfId="0" applyNumberFormat="1" applyFont="1" applyFill="1" applyBorder="1" applyAlignment="1">
      <alignment horizontal="center" vertical="center"/>
    </xf>
    <xf numFmtId="182" fontId="4" fillId="3" borderId="2" xfId="0" applyNumberFormat="1" applyFont="1" applyFill="1" applyBorder="1" applyAlignment="1">
      <alignment horizontal="center" vertical="center"/>
    </xf>
    <xf numFmtId="181" fontId="4" fillId="3" borderId="2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2" fillId="2" borderId="0" xfId="0" applyFont="1" applyFill="1" applyAlignment="1">
      <alignment horizontal="left" vertical="center"/>
    </xf>
    <xf numFmtId="176" fontId="2" fillId="2" borderId="0" xfId="0" applyNumberFormat="1" applyFont="1" applyFill="1" applyAlignment="1">
      <alignment horizontal="left" vertical="center"/>
    </xf>
    <xf numFmtId="0" fontId="4" fillId="2" borderId="0" xfId="49" applyFont="1" applyFill="1" applyAlignment="1">
      <alignment horizontal="center" vertical="center" shrinkToFit="1"/>
    </xf>
    <xf numFmtId="176" fontId="4" fillId="2" borderId="0" xfId="49" applyNumberFormat="1" applyFont="1" applyFill="1" applyAlignment="1">
      <alignment horizontal="center" vertical="center" shrinkToFit="1"/>
    </xf>
    <xf numFmtId="176" fontId="4" fillId="2" borderId="0" xfId="49" applyNumberFormat="1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0" fillId="2" borderId="2" xfId="0" applyFont="1" applyFill="1" applyBorder="1"/>
    <xf numFmtId="0" fontId="4" fillId="2" borderId="2" xfId="0" applyFont="1" applyFill="1" applyBorder="1" applyAlignment="1">
      <alignment horizontal="center"/>
    </xf>
    <xf numFmtId="49" fontId="4" fillId="2" borderId="2" xfId="0" applyNumberFormat="1" applyFont="1" applyFill="1" applyBorder="1" applyAlignment="1">
      <alignment horizontal="center"/>
    </xf>
    <xf numFmtId="183" fontId="10" fillId="0" borderId="6" xfId="0" applyNumberFormat="1" applyFont="1" applyFill="1" applyBorder="1" applyAlignment="1">
      <alignment horizontal="center" vertical="top" wrapText="1"/>
    </xf>
    <xf numFmtId="1" fontId="4" fillId="2" borderId="2" xfId="0" applyNumberFormat="1" applyFont="1" applyFill="1" applyBorder="1" applyAlignment="1">
      <alignment horizontal="center" vertical="center"/>
    </xf>
    <xf numFmtId="181" fontId="4" fillId="2" borderId="2" xfId="0" applyNumberFormat="1" applyFont="1" applyFill="1" applyBorder="1" applyAlignment="1">
      <alignment horizontal="center" vertical="center" shrinkToFit="1"/>
    </xf>
    <xf numFmtId="0" fontId="0" fillId="2" borderId="2" xfId="0" applyFont="1" applyFill="1" applyBorder="1" applyAlignment="1">
      <alignment horizontal="center"/>
    </xf>
    <xf numFmtId="0" fontId="11" fillId="2" borderId="0" xfId="0" applyFont="1" applyFill="1"/>
    <xf numFmtId="0" fontId="12" fillId="2" borderId="0" xfId="0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 shrinkToFit="1"/>
    </xf>
    <xf numFmtId="0" fontId="2" fillId="2" borderId="0" xfId="0" applyFont="1" applyFill="1" applyAlignment="1">
      <alignment vertical="top"/>
    </xf>
    <xf numFmtId="184" fontId="4" fillId="2" borderId="2" xfId="0" applyNumberFormat="1" applyFont="1" applyFill="1" applyBorder="1" applyAlignment="1">
      <alignment horizontal="center" vertical="center"/>
    </xf>
    <xf numFmtId="49" fontId="4" fillId="2" borderId="2" xfId="0" applyNumberFormat="1" applyFont="1" applyFill="1" applyBorder="1" applyAlignment="1">
      <alignment horizontal="center" vertical="center" shrinkToFit="1"/>
    </xf>
    <xf numFmtId="184" fontId="4" fillId="3" borderId="2" xfId="0" applyNumberFormat="1" applyFont="1" applyFill="1" applyBorder="1" applyAlignment="1">
      <alignment horizontal="center" vertical="center"/>
    </xf>
    <xf numFmtId="49" fontId="4" fillId="3" borderId="2" xfId="0" applyNumberFormat="1" applyFont="1" applyFill="1" applyBorder="1" applyAlignment="1">
      <alignment horizontal="center" vertical="center" shrinkToFit="1"/>
    </xf>
    <xf numFmtId="176" fontId="4" fillId="3" borderId="2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" fillId="2" borderId="3" xfId="49" applyFont="1" applyFill="1" applyBorder="1" applyAlignment="1">
      <alignment horizontal="center" vertical="center" shrinkToFit="1"/>
    </xf>
    <xf numFmtId="0" fontId="4" fillId="2" borderId="3" xfId="50" applyFont="1" applyFill="1" applyBorder="1" applyAlignment="1">
      <alignment horizontal="center" vertical="center" shrinkToFit="1"/>
    </xf>
    <xf numFmtId="0" fontId="4" fillId="2" borderId="4" xfId="50" applyFont="1" applyFill="1" applyBorder="1" applyAlignment="1">
      <alignment horizontal="center" vertical="center" shrinkToFit="1"/>
    </xf>
    <xf numFmtId="0" fontId="3" fillId="0" borderId="0" xfId="0" applyFont="1" applyFill="1" applyAlignment="1">
      <alignment vertical="center"/>
    </xf>
    <xf numFmtId="0" fontId="4" fillId="0" borderId="2" xfId="0" applyFont="1" applyBorder="1" applyAlignment="1">
      <alignment horizontal="center" vertical="center"/>
    </xf>
    <xf numFmtId="184" fontId="4" fillId="0" borderId="2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 shrinkToFit="1"/>
    </xf>
    <xf numFmtId="49" fontId="4" fillId="0" borderId="2" xfId="0" applyNumberFormat="1" applyFont="1" applyFill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center"/>
    </xf>
    <xf numFmtId="49" fontId="4" fillId="3" borderId="2" xfId="0" applyNumberFormat="1" applyFont="1" applyFill="1" applyBorder="1" applyAlignment="1">
      <alignment horizontal="center"/>
    </xf>
    <xf numFmtId="181" fontId="4" fillId="3" borderId="2" xfId="0" applyNumberFormat="1" applyFont="1" applyFill="1" applyBorder="1" applyAlignment="1">
      <alignment horizontal="center" vertical="center" shrinkToFit="1"/>
    </xf>
    <xf numFmtId="0" fontId="0" fillId="2" borderId="7" xfId="0" applyFont="1" applyFill="1" applyBorder="1"/>
    <xf numFmtId="0" fontId="5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 vertical="center"/>
    </xf>
    <xf numFmtId="10" fontId="4" fillId="2" borderId="8" xfId="0" applyNumberFormat="1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 vertical="center"/>
    </xf>
    <xf numFmtId="181" fontId="4" fillId="0" borderId="2" xfId="0" applyNumberFormat="1" applyFont="1" applyBorder="1" applyAlignment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_x001e_" xfId="49"/>
    <cellStyle name="常规 2" xfId="50"/>
    <cellStyle name="一般_Sheet1" xfId="51"/>
  </cellStyles>
  <tableStyles count="0" defaultTableStyle="TableStyleMedium2" defaultPivotStyle="PivotStyleLight16"/>
  <colors>
    <mruColors>
      <color rgb="00000000"/>
      <color rgb="00FFFFFF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7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7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8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8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8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8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8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8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8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8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8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8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9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9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9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9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9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9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9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489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9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89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90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490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546100</xdr:colOff>
      <xdr:row>0</xdr:row>
      <xdr:rowOff>69850</xdr:rowOff>
    </xdr:from>
    <xdr:to>
      <xdr:col>11</xdr:col>
      <xdr:colOff>95885</xdr:colOff>
      <xdr:row>7</xdr:row>
      <xdr:rowOff>120015</xdr:rowOff>
    </xdr:to>
    <xdr:pic>
      <xdr:nvPicPr>
        <xdr:cNvPr id="2" name="imag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873750" y="69850"/>
          <a:ext cx="1600835" cy="15424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2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2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2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2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2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2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565150</xdr:colOff>
      <xdr:row>0</xdr:row>
      <xdr:rowOff>50800</xdr:rowOff>
    </xdr:from>
    <xdr:to>
      <xdr:col>11</xdr:col>
      <xdr:colOff>213360</xdr:colOff>
      <xdr:row>8</xdr:row>
      <xdr:rowOff>5080</xdr:rowOff>
    </xdr:to>
    <xdr:pic>
      <xdr:nvPicPr>
        <xdr:cNvPr id="26" name="imag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892800" y="50800"/>
          <a:ext cx="1699260" cy="16370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064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064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064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9064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064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064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064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9065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422910</xdr:colOff>
      <xdr:row>0</xdr:row>
      <xdr:rowOff>107950</xdr:rowOff>
    </xdr:from>
    <xdr:to>
      <xdr:col>11</xdr:col>
      <xdr:colOff>339090</xdr:colOff>
      <xdr:row>7</xdr:row>
      <xdr:rowOff>252730</xdr:rowOff>
    </xdr:to>
    <xdr:pic>
      <xdr:nvPicPr>
        <xdr:cNvPr id="2" name="imag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558790" y="107950"/>
          <a:ext cx="1699260" cy="16370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8888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8888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8888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8888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8888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8888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8888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8888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549910</xdr:colOff>
      <xdr:row>0</xdr:row>
      <xdr:rowOff>266700</xdr:rowOff>
    </xdr:from>
    <xdr:to>
      <xdr:col>11</xdr:col>
      <xdr:colOff>179070</xdr:colOff>
      <xdr:row>8</xdr:row>
      <xdr:rowOff>220980</xdr:rowOff>
    </xdr:to>
    <xdr:pic>
      <xdr:nvPicPr>
        <xdr:cNvPr id="2" name="imag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943600" y="266700"/>
          <a:ext cx="1699260" cy="16370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0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1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1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1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76835</xdr:colOff>
      <xdr:row>0</xdr:row>
      <xdr:rowOff>635</xdr:rowOff>
    </xdr:from>
    <xdr:to>
      <xdr:col>12</xdr:col>
      <xdr:colOff>541655</xdr:colOff>
      <xdr:row>7</xdr:row>
      <xdr:rowOff>145415</xdr:rowOff>
    </xdr:to>
    <xdr:pic>
      <xdr:nvPicPr>
        <xdr:cNvPr id="18" name="imag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878195" y="635"/>
          <a:ext cx="1699260" cy="16370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510540</xdr:colOff>
      <xdr:row>0</xdr:row>
      <xdr:rowOff>635</xdr:rowOff>
    </xdr:from>
    <xdr:to>
      <xdr:col>11</xdr:col>
      <xdr:colOff>452120</xdr:colOff>
      <xdr:row>7</xdr:row>
      <xdr:rowOff>145415</xdr:rowOff>
    </xdr:to>
    <xdr:pic>
      <xdr:nvPicPr>
        <xdr:cNvPr id="10" name="imag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646420" y="635"/>
          <a:ext cx="1699260" cy="16370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373380</xdr:colOff>
      <xdr:row>0</xdr:row>
      <xdr:rowOff>158750</xdr:rowOff>
    </xdr:from>
    <xdr:to>
      <xdr:col>11</xdr:col>
      <xdr:colOff>152400</xdr:colOff>
      <xdr:row>7</xdr:row>
      <xdr:rowOff>163830</xdr:rowOff>
    </xdr:to>
    <xdr:pic>
      <xdr:nvPicPr>
        <xdr:cNvPr id="10" name="imag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600700" y="158750"/>
          <a:ext cx="1699260" cy="16370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2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3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4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1</xdr:row>
      <xdr:rowOff>24130</xdr:rowOff>
    </xdr:from>
    <xdr:to>
      <xdr:col>0</xdr:col>
      <xdr:colOff>7620</xdr:colOff>
      <xdr:row>1</xdr:row>
      <xdr:rowOff>183515</xdr:rowOff>
    </xdr:to>
    <xdr:pic>
      <xdr:nvPicPr>
        <xdr:cNvPr id="5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373380"/>
          <a:ext cx="7620" cy="159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6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7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8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0</xdr:col>
      <xdr:colOff>7620</xdr:colOff>
      <xdr:row>2</xdr:row>
      <xdr:rowOff>266700</xdr:rowOff>
    </xdr:to>
    <xdr:pic>
      <xdr:nvPicPr>
        <xdr:cNvPr id="9" name="Picture 1" descr="NOUYA+logo"/>
        <xdr:cNvPicPr/>
      </xdr:nvPicPr>
      <xdr:blipFill>
        <a:blip r:embed="rId1"/>
        <a:stretch>
          <a:fillRect/>
        </a:stretch>
      </xdr:blipFill>
      <xdr:spPr>
        <a:xfrm>
          <a:off x="0" y="539750"/>
          <a:ext cx="7620" cy="190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302260</xdr:colOff>
      <xdr:row>0</xdr:row>
      <xdr:rowOff>127000</xdr:rowOff>
    </xdr:from>
    <xdr:to>
      <xdr:col>10</xdr:col>
      <xdr:colOff>570230</xdr:colOff>
      <xdr:row>7</xdr:row>
      <xdr:rowOff>81915</xdr:rowOff>
    </xdr:to>
    <xdr:pic>
      <xdr:nvPicPr>
        <xdr:cNvPr id="10" name="imag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384800" y="127000"/>
          <a:ext cx="1502410" cy="14471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K76"/>
  <sheetViews>
    <sheetView zoomScaleSheetLayoutView="60" workbookViewId="0">
      <selection activeCell="J28" sqref="J28"/>
    </sheetView>
  </sheetViews>
  <sheetFormatPr defaultColWidth="8" defaultRowHeight="15"/>
  <cols>
    <col min="1" max="1" width="8" style="74"/>
    <col min="2" max="2" width="7.16666666666667" style="74" customWidth="1"/>
    <col min="3" max="3" width="8.41666666666667" style="74" customWidth="1"/>
    <col min="4" max="4" width="8" style="74"/>
    <col min="5" max="5" width="10.4166666666667" style="74" customWidth="1"/>
    <col min="6" max="6" width="9.08333333333333" style="74" customWidth="1"/>
    <col min="7" max="7" width="9.66666666666667" style="74" customWidth="1"/>
    <col min="8" max="8" width="9.16666666666667" style="74" customWidth="1"/>
    <col min="9" max="9" width="9" style="74" customWidth="1"/>
    <col min="10" max="10" width="8.83333333333333" style="74" customWidth="1"/>
    <col min="11" max="11" width="9.08333333333333" style="74" customWidth="1"/>
    <col min="12" max="12" width="8" style="74"/>
    <col min="13" max="13" width="12.6666666666667" style="74"/>
    <col min="14" max="14" width="11.5833333333333" style="74"/>
    <col min="15" max="15" width="12.6666666666667" style="74"/>
    <col min="16" max="16384" width="8" style="74"/>
  </cols>
  <sheetData>
    <row r="1" ht="27.5" spans="1:1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4"/>
      <c r="B4" s="5"/>
      <c r="C4" s="3"/>
      <c r="D4" s="3"/>
      <c r="E4" s="6"/>
      <c r="F4" s="6"/>
      <c r="G4" s="6"/>
      <c r="H4" s="4"/>
      <c r="I4" s="4"/>
      <c r="J4" s="4"/>
      <c r="K4" s="3"/>
    </row>
    <row r="5" spans="1:11">
      <c r="A5" s="5" t="s">
        <v>3</v>
      </c>
      <c r="B5" s="5" t="s">
        <v>4</v>
      </c>
      <c r="C5" s="8"/>
      <c r="D5" s="8"/>
      <c r="E5" s="9"/>
      <c r="F5" s="9"/>
      <c r="G5" s="9"/>
      <c r="H5" s="10"/>
      <c r="I5" s="8" t="s">
        <v>5</v>
      </c>
      <c r="J5" s="5" t="s">
        <v>6</v>
      </c>
      <c r="K5" s="11"/>
    </row>
    <row r="6" spans="1:11">
      <c r="A6" s="8" t="s">
        <v>7</v>
      </c>
      <c r="B6" s="8" t="s">
        <v>8</v>
      </c>
      <c r="C6" s="8"/>
      <c r="D6" s="8"/>
      <c r="E6" s="9"/>
      <c r="F6" s="9"/>
      <c r="G6" s="9"/>
      <c r="H6" s="10"/>
      <c r="I6" s="8" t="s">
        <v>9</v>
      </c>
      <c r="J6" s="8"/>
      <c r="K6" s="11"/>
    </row>
    <row r="7" spans="1:11">
      <c r="A7" s="8"/>
      <c r="B7" s="8"/>
      <c r="C7" s="8"/>
      <c r="D7" s="8"/>
      <c r="E7" s="9"/>
      <c r="F7" s="9"/>
      <c r="G7" s="9"/>
      <c r="H7" s="8"/>
      <c r="I7" s="13" t="s">
        <v>10</v>
      </c>
      <c r="J7" s="14"/>
      <c r="K7" s="14"/>
    </row>
    <row r="8" spans="1:11">
      <c r="A8" s="8"/>
      <c r="B8" s="8"/>
      <c r="C8" s="8"/>
      <c r="D8" s="8"/>
      <c r="E8" s="9"/>
      <c r="F8" s="9"/>
      <c r="G8" s="9"/>
      <c r="H8" s="8"/>
      <c r="I8" s="13"/>
      <c r="J8" s="14"/>
      <c r="K8" s="14"/>
    </row>
    <row r="9" ht="21" customHeight="1" spans="1:11">
      <c r="A9" s="15" t="s">
        <v>11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0" ht="23.4" customHeight="1" spans="1:11">
      <c r="A10" s="16" t="s">
        <v>12</v>
      </c>
      <c r="B10" s="17" t="s">
        <v>13</v>
      </c>
      <c r="C10" s="17" t="s">
        <v>14</v>
      </c>
      <c r="D10" s="17" t="s">
        <v>15</v>
      </c>
      <c r="E10" s="16" t="s">
        <v>16</v>
      </c>
      <c r="F10" s="17" t="s">
        <v>17</v>
      </c>
      <c r="G10" s="17" t="s">
        <v>18</v>
      </c>
      <c r="H10" s="59" t="s">
        <v>19</v>
      </c>
      <c r="I10" s="60" t="s">
        <v>20</v>
      </c>
      <c r="J10" s="60" t="s">
        <v>21</v>
      </c>
      <c r="K10" s="60" t="s">
        <v>22</v>
      </c>
    </row>
    <row r="11" spans="1:11">
      <c r="A11" s="75" t="s">
        <v>23</v>
      </c>
      <c r="B11" s="95">
        <v>2</v>
      </c>
      <c r="C11" s="76">
        <f>B11*25.4*0.001</f>
        <v>0.0508</v>
      </c>
      <c r="D11" s="76">
        <f>(B11+2.4)*25.4*0.001</f>
        <v>0.11176</v>
      </c>
      <c r="E11" s="95" t="s">
        <v>24</v>
      </c>
      <c r="F11" s="96" t="s">
        <v>25</v>
      </c>
      <c r="G11" s="95" t="s">
        <v>26</v>
      </c>
      <c r="H11" s="95">
        <f>ROUND(J11/13.33,3)</f>
        <v>13.653</v>
      </c>
      <c r="I11" s="78">
        <f>J11*0.9</f>
        <v>163.8</v>
      </c>
      <c r="J11" s="20">
        <v>182</v>
      </c>
      <c r="K11" s="75">
        <f>J11*1.05</f>
        <v>191.1</v>
      </c>
    </row>
    <row r="12" spans="1:11">
      <c r="A12" s="75" t="s">
        <v>23</v>
      </c>
      <c r="B12" s="95">
        <v>3</v>
      </c>
      <c r="C12" s="76">
        <f>B12*25.4*0.001</f>
        <v>0.0762</v>
      </c>
      <c r="D12" s="76">
        <f>(B12+2.4)*25.4*0.001</f>
        <v>0.13716</v>
      </c>
      <c r="E12" s="95" t="s">
        <v>27</v>
      </c>
      <c r="F12" s="96" t="s">
        <v>25</v>
      </c>
      <c r="G12" s="95" t="s">
        <v>26</v>
      </c>
      <c r="H12" s="95">
        <f>ROUND(J12/13.33,3)</f>
        <v>13.503</v>
      </c>
      <c r="I12" s="78">
        <f>J12*0.9</f>
        <v>162</v>
      </c>
      <c r="J12" s="20">
        <v>180</v>
      </c>
      <c r="K12" s="75">
        <f>J12*1.05</f>
        <v>189</v>
      </c>
    </row>
    <row r="13" spans="1:11">
      <c r="A13" s="75" t="s">
        <v>23</v>
      </c>
      <c r="B13" s="95">
        <v>4</v>
      </c>
      <c r="C13" s="76">
        <f>B13*25.4*0.001</f>
        <v>0.1016</v>
      </c>
      <c r="D13" s="76">
        <f>(B13+2.4)*25.4*0.001</f>
        <v>0.16256</v>
      </c>
      <c r="E13" s="95" t="s">
        <v>28</v>
      </c>
      <c r="F13" s="96" t="s">
        <v>25</v>
      </c>
      <c r="G13" s="95" t="s">
        <v>26</v>
      </c>
      <c r="H13" s="95">
        <f>ROUND(J13/13.33,3)</f>
        <v>13.503</v>
      </c>
      <c r="I13" s="78">
        <f>J13*0.9</f>
        <v>162</v>
      </c>
      <c r="J13" s="20">
        <v>180</v>
      </c>
      <c r="K13" s="75">
        <f>J13*1.05</f>
        <v>189</v>
      </c>
    </row>
    <row r="14" spans="1:11">
      <c r="A14" s="75" t="s">
        <v>23</v>
      </c>
      <c r="B14" s="95">
        <v>5</v>
      </c>
      <c r="C14" s="76">
        <f>B14*25.4*0.001</f>
        <v>0.127</v>
      </c>
      <c r="D14" s="76">
        <f>(B14+2.4)*25.4*0.001</f>
        <v>0.18796</v>
      </c>
      <c r="E14" s="95" t="s">
        <v>28</v>
      </c>
      <c r="F14" s="96" t="s">
        <v>25</v>
      </c>
      <c r="G14" s="95" t="s">
        <v>26</v>
      </c>
      <c r="H14" s="95">
        <f>ROUND(J14/13.33,3)</f>
        <v>13.653</v>
      </c>
      <c r="I14" s="78">
        <f>J14*0.9</f>
        <v>163.8</v>
      </c>
      <c r="J14" s="20">
        <v>182</v>
      </c>
      <c r="K14" s="75">
        <f>J14*1.05</f>
        <v>191.1</v>
      </c>
    </row>
    <row r="15" spans="1:11">
      <c r="A15" s="75" t="s">
        <v>23</v>
      </c>
      <c r="B15" s="95">
        <v>6</v>
      </c>
      <c r="C15" s="76">
        <f>B15*25.4*0.001</f>
        <v>0.1524</v>
      </c>
      <c r="D15" s="76">
        <f>(B15+2.4)*25.4*0.001</f>
        <v>0.21336</v>
      </c>
      <c r="E15" s="95" t="s">
        <v>29</v>
      </c>
      <c r="F15" s="96" t="s">
        <v>25</v>
      </c>
      <c r="G15" s="95" t="s">
        <v>26</v>
      </c>
      <c r="H15" s="95">
        <f>ROUND(J15/13.33,3)</f>
        <v>13.878</v>
      </c>
      <c r="I15" s="78">
        <f>J15*0.9</f>
        <v>166.5</v>
      </c>
      <c r="J15" s="20">
        <v>185</v>
      </c>
      <c r="K15" s="75">
        <f>J15*1.05</f>
        <v>194.25</v>
      </c>
    </row>
    <row r="16" spans="1:11">
      <c r="A16" s="75" t="s">
        <v>23</v>
      </c>
      <c r="B16" s="95">
        <v>8</v>
      </c>
      <c r="C16" s="76">
        <f t="shared" ref="C16:C29" si="0">B16*25.4*0.001</f>
        <v>0.2032</v>
      </c>
      <c r="D16" s="76">
        <f t="shared" ref="D16:D29" si="1">(B16+2.4)*25.4*0.001</f>
        <v>0.26416</v>
      </c>
      <c r="E16" s="95" t="s">
        <v>30</v>
      </c>
      <c r="F16" s="96" t="s">
        <v>25</v>
      </c>
      <c r="G16" s="95" t="s">
        <v>26</v>
      </c>
      <c r="H16" s="95">
        <f t="shared" ref="H16:H49" si="2">ROUND(J16/13.33,3)</f>
        <v>13.878</v>
      </c>
      <c r="I16" s="78">
        <f t="shared" ref="I16:I49" si="3">J16*0.9</f>
        <v>166.5</v>
      </c>
      <c r="J16" s="20">
        <v>185</v>
      </c>
      <c r="K16" s="75">
        <f t="shared" ref="K16:K49" si="4">J16*1.05</f>
        <v>194.25</v>
      </c>
    </row>
    <row r="17" spans="1:11">
      <c r="A17" s="75" t="s">
        <v>23</v>
      </c>
      <c r="B17" s="95">
        <v>10</v>
      </c>
      <c r="C17" s="76">
        <f t="shared" si="0"/>
        <v>0.254</v>
      </c>
      <c r="D17" s="76">
        <f t="shared" si="1"/>
        <v>0.31496</v>
      </c>
      <c r="E17" s="95" t="s">
        <v>31</v>
      </c>
      <c r="F17" s="96" t="s">
        <v>25</v>
      </c>
      <c r="G17" s="95" t="s">
        <v>26</v>
      </c>
      <c r="H17" s="95">
        <f t="shared" si="2"/>
        <v>16.279</v>
      </c>
      <c r="I17" s="78">
        <f t="shared" si="3"/>
        <v>195.3</v>
      </c>
      <c r="J17" s="20">
        <v>217</v>
      </c>
      <c r="K17" s="75">
        <f t="shared" si="4"/>
        <v>227.85</v>
      </c>
    </row>
    <row r="18" spans="1:11">
      <c r="A18" s="75" t="s">
        <v>23</v>
      </c>
      <c r="B18" s="95">
        <v>12</v>
      </c>
      <c r="C18" s="76">
        <f t="shared" si="0"/>
        <v>0.3048</v>
      </c>
      <c r="D18" s="76">
        <f t="shared" si="1"/>
        <v>0.36576</v>
      </c>
      <c r="E18" s="99" t="s">
        <v>32</v>
      </c>
      <c r="F18" s="96" t="s">
        <v>25</v>
      </c>
      <c r="G18" s="95" t="s">
        <v>26</v>
      </c>
      <c r="H18" s="95">
        <f t="shared" si="2"/>
        <v>16.504</v>
      </c>
      <c r="I18" s="78">
        <f t="shared" si="3"/>
        <v>198</v>
      </c>
      <c r="J18" s="20">
        <v>220</v>
      </c>
      <c r="K18" s="75">
        <f t="shared" si="4"/>
        <v>231</v>
      </c>
    </row>
    <row r="19" spans="1:11">
      <c r="A19" s="75" t="s">
        <v>23</v>
      </c>
      <c r="B19" s="95">
        <v>14</v>
      </c>
      <c r="C19" s="76">
        <f t="shared" si="0"/>
        <v>0.3556</v>
      </c>
      <c r="D19" s="76">
        <f t="shared" si="1"/>
        <v>0.41656</v>
      </c>
      <c r="E19" s="99" t="s">
        <v>33</v>
      </c>
      <c r="F19" s="96" t="s">
        <v>25</v>
      </c>
      <c r="G19" s="95" t="s">
        <v>26</v>
      </c>
      <c r="H19" s="95">
        <f t="shared" si="2"/>
        <v>16.654</v>
      </c>
      <c r="I19" s="78">
        <f t="shared" si="3"/>
        <v>199.8</v>
      </c>
      <c r="J19" s="20">
        <v>222</v>
      </c>
      <c r="K19" s="75">
        <f t="shared" si="4"/>
        <v>233.1</v>
      </c>
    </row>
    <row r="20" spans="1:11">
      <c r="A20" s="75" t="s">
        <v>23</v>
      </c>
      <c r="B20" s="95">
        <v>16</v>
      </c>
      <c r="C20" s="76">
        <f t="shared" si="0"/>
        <v>0.4064</v>
      </c>
      <c r="D20" s="76">
        <f t="shared" si="1"/>
        <v>0.46736</v>
      </c>
      <c r="E20" s="99" t="s">
        <v>33</v>
      </c>
      <c r="F20" s="96" t="s">
        <v>25</v>
      </c>
      <c r="G20" s="95" t="s">
        <v>26</v>
      </c>
      <c r="H20" s="95">
        <f t="shared" si="2"/>
        <v>16.879</v>
      </c>
      <c r="I20" s="78">
        <f t="shared" si="3"/>
        <v>202.5</v>
      </c>
      <c r="J20" s="20">
        <v>225</v>
      </c>
      <c r="K20" s="75">
        <f t="shared" si="4"/>
        <v>236.25</v>
      </c>
    </row>
    <row r="21" spans="1:11">
      <c r="A21" s="75" t="s">
        <v>23</v>
      </c>
      <c r="B21" s="95">
        <v>20</v>
      </c>
      <c r="C21" s="76">
        <f t="shared" si="0"/>
        <v>0.508</v>
      </c>
      <c r="D21" s="76">
        <f t="shared" si="1"/>
        <v>0.56896</v>
      </c>
      <c r="E21" s="75" t="s">
        <v>34</v>
      </c>
      <c r="F21" s="96" t="s">
        <v>25</v>
      </c>
      <c r="G21" s="95" t="s">
        <v>26</v>
      </c>
      <c r="H21" s="95">
        <f t="shared" si="2"/>
        <v>17.254</v>
      </c>
      <c r="I21" s="78">
        <f t="shared" si="3"/>
        <v>207</v>
      </c>
      <c r="J21" s="20">
        <v>230</v>
      </c>
      <c r="K21" s="75">
        <f t="shared" si="4"/>
        <v>241.5</v>
      </c>
    </row>
    <row r="22" spans="1:11">
      <c r="A22" s="75" t="s">
        <v>23</v>
      </c>
      <c r="B22" s="95">
        <v>24</v>
      </c>
      <c r="C22" s="76">
        <f t="shared" si="0"/>
        <v>0.6096</v>
      </c>
      <c r="D22" s="76">
        <f t="shared" si="1"/>
        <v>0.67056</v>
      </c>
      <c r="E22" s="99" t="s">
        <v>35</v>
      </c>
      <c r="F22" s="96" t="s">
        <v>25</v>
      </c>
      <c r="G22" s="95" t="s">
        <v>26</v>
      </c>
      <c r="H22" s="95">
        <f t="shared" si="2"/>
        <v>17.404</v>
      </c>
      <c r="I22" s="78">
        <f t="shared" si="3"/>
        <v>208.8</v>
      </c>
      <c r="J22" s="20">
        <v>232</v>
      </c>
      <c r="K22" s="75">
        <f t="shared" si="4"/>
        <v>243.6</v>
      </c>
    </row>
    <row r="23" spans="1:11">
      <c r="A23" s="75" t="s">
        <v>23</v>
      </c>
      <c r="B23" s="95">
        <v>28</v>
      </c>
      <c r="C23" s="76">
        <f t="shared" si="0"/>
        <v>0.7112</v>
      </c>
      <c r="D23" s="76">
        <f t="shared" si="1"/>
        <v>0.77216</v>
      </c>
      <c r="E23" s="75" t="s">
        <v>36</v>
      </c>
      <c r="F23" s="96" t="s">
        <v>25</v>
      </c>
      <c r="G23" s="95" t="s">
        <v>26</v>
      </c>
      <c r="H23" s="95">
        <f t="shared" si="2"/>
        <v>18.905</v>
      </c>
      <c r="I23" s="78">
        <f t="shared" si="3"/>
        <v>226.8</v>
      </c>
      <c r="J23" s="20">
        <v>252</v>
      </c>
      <c r="K23" s="75">
        <f t="shared" si="4"/>
        <v>264.6</v>
      </c>
    </row>
    <row r="24" spans="1:11">
      <c r="A24" s="75" t="s">
        <v>23</v>
      </c>
      <c r="B24" s="95">
        <v>37</v>
      </c>
      <c r="C24" s="76">
        <f t="shared" si="0"/>
        <v>0.9398</v>
      </c>
      <c r="D24" s="76">
        <f t="shared" si="1"/>
        <v>1.00076</v>
      </c>
      <c r="E24" s="99" t="s">
        <v>37</v>
      </c>
      <c r="F24" s="96" t="s">
        <v>25</v>
      </c>
      <c r="G24" s="95" t="s">
        <v>26</v>
      </c>
      <c r="H24" s="95">
        <f t="shared" si="2"/>
        <v>20.255</v>
      </c>
      <c r="I24" s="78">
        <f t="shared" si="3"/>
        <v>243</v>
      </c>
      <c r="J24" s="20">
        <v>270</v>
      </c>
      <c r="K24" s="75">
        <f t="shared" si="4"/>
        <v>283.5</v>
      </c>
    </row>
    <row r="25" spans="1:11">
      <c r="A25" s="75" t="s">
        <v>23</v>
      </c>
      <c r="B25" s="75">
        <v>41</v>
      </c>
      <c r="C25" s="76">
        <f t="shared" si="0"/>
        <v>1.0414</v>
      </c>
      <c r="D25" s="76">
        <f t="shared" si="1"/>
        <v>1.10236</v>
      </c>
      <c r="E25" s="75" t="s">
        <v>38</v>
      </c>
      <c r="F25" s="77" t="s">
        <v>25</v>
      </c>
      <c r="G25" s="95" t="s">
        <v>26</v>
      </c>
      <c r="H25" s="95">
        <f t="shared" si="2"/>
        <v>21.755</v>
      </c>
      <c r="I25" s="78">
        <f t="shared" si="3"/>
        <v>261</v>
      </c>
      <c r="J25" s="20">
        <v>290</v>
      </c>
      <c r="K25" s="75">
        <f t="shared" si="4"/>
        <v>304.5</v>
      </c>
    </row>
    <row r="26" spans="1:11">
      <c r="A26" s="75" t="s">
        <v>23</v>
      </c>
      <c r="B26" s="75">
        <v>45</v>
      </c>
      <c r="C26" s="76">
        <f t="shared" si="0"/>
        <v>1.143</v>
      </c>
      <c r="D26" s="76">
        <f t="shared" si="1"/>
        <v>1.20396</v>
      </c>
      <c r="E26" s="75" t="s">
        <v>38</v>
      </c>
      <c r="F26" s="77" t="s">
        <v>25</v>
      </c>
      <c r="G26" s="95" t="s">
        <v>26</v>
      </c>
      <c r="H26" s="95">
        <f t="shared" si="2"/>
        <v>22.206</v>
      </c>
      <c r="I26" s="78">
        <f t="shared" si="3"/>
        <v>266.4</v>
      </c>
      <c r="J26" s="20">
        <v>296</v>
      </c>
      <c r="K26" s="75">
        <f t="shared" si="4"/>
        <v>310.8</v>
      </c>
    </row>
    <row r="27" spans="1:11">
      <c r="A27" s="75" t="s">
        <v>23</v>
      </c>
      <c r="B27" s="75">
        <v>49</v>
      </c>
      <c r="C27" s="76">
        <f t="shared" si="0"/>
        <v>1.2446</v>
      </c>
      <c r="D27" s="76">
        <f t="shared" si="1"/>
        <v>1.30556</v>
      </c>
      <c r="E27" s="75" t="s">
        <v>39</v>
      </c>
      <c r="F27" s="77" t="s">
        <v>25</v>
      </c>
      <c r="G27" s="95" t="s">
        <v>26</v>
      </c>
      <c r="H27" s="95">
        <f t="shared" si="2"/>
        <v>24.006</v>
      </c>
      <c r="I27" s="78">
        <f t="shared" si="3"/>
        <v>288</v>
      </c>
      <c r="J27" s="20">
        <v>320</v>
      </c>
      <c r="K27" s="75">
        <f t="shared" si="4"/>
        <v>336</v>
      </c>
    </row>
    <row r="28" spans="1:11">
      <c r="A28" s="75" t="s">
        <v>23</v>
      </c>
      <c r="B28" s="75">
        <v>57</v>
      </c>
      <c r="C28" s="76">
        <f t="shared" si="0"/>
        <v>1.4478</v>
      </c>
      <c r="D28" s="76">
        <f t="shared" si="1"/>
        <v>1.50876</v>
      </c>
      <c r="E28" s="75" t="s">
        <v>40</v>
      </c>
      <c r="F28" s="77" t="s">
        <v>25</v>
      </c>
      <c r="G28" s="95" t="s">
        <v>26</v>
      </c>
      <c r="H28" s="95">
        <f t="shared" si="2"/>
        <v>25.881</v>
      </c>
      <c r="I28" s="78">
        <f t="shared" si="3"/>
        <v>310.5</v>
      </c>
      <c r="J28" s="20">
        <v>345</v>
      </c>
      <c r="K28" s="75">
        <f t="shared" si="4"/>
        <v>362.25</v>
      </c>
    </row>
    <row r="29" spans="1:11">
      <c r="A29" s="75" t="s">
        <v>23</v>
      </c>
      <c r="B29" s="95">
        <v>2</v>
      </c>
      <c r="C29" s="76">
        <f t="shared" si="0"/>
        <v>0.0508</v>
      </c>
      <c r="D29" s="76">
        <f t="shared" si="1"/>
        <v>0.11176</v>
      </c>
      <c r="E29" s="99" t="s">
        <v>24</v>
      </c>
      <c r="F29" s="96" t="s">
        <v>41</v>
      </c>
      <c r="G29" s="95" t="s">
        <v>26</v>
      </c>
      <c r="H29" s="95">
        <f t="shared" si="2"/>
        <v>9.002</v>
      </c>
      <c r="I29" s="78">
        <f t="shared" si="3"/>
        <v>108</v>
      </c>
      <c r="J29" s="20">
        <v>120</v>
      </c>
      <c r="K29" s="75">
        <f t="shared" si="4"/>
        <v>126</v>
      </c>
    </row>
    <row r="30" spans="1:11">
      <c r="A30" s="75" t="s">
        <v>23</v>
      </c>
      <c r="B30" s="95">
        <v>3</v>
      </c>
      <c r="C30" s="76">
        <f t="shared" ref="C30:C34" si="5">B30*25.4*0.001</f>
        <v>0.0762</v>
      </c>
      <c r="D30" s="76">
        <f>(B30+1.2)*25.4*0.001</f>
        <v>0.10668</v>
      </c>
      <c r="E30" s="95" t="s">
        <v>27</v>
      </c>
      <c r="F30" s="96" t="s">
        <v>41</v>
      </c>
      <c r="G30" s="95" t="s">
        <v>26</v>
      </c>
      <c r="H30" s="95">
        <f t="shared" si="2"/>
        <v>8.852</v>
      </c>
      <c r="I30" s="78">
        <f t="shared" si="3"/>
        <v>106.2</v>
      </c>
      <c r="J30" s="20">
        <v>118</v>
      </c>
      <c r="K30" s="75">
        <f t="shared" si="4"/>
        <v>123.9</v>
      </c>
    </row>
    <row r="31" spans="1:11">
      <c r="A31" s="75" t="s">
        <v>23</v>
      </c>
      <c r="B31" s="95">
        <v>4</v>
      </c>
      <c r="C31" s="76">
        <f t="shared" si="5"/>
        <v>0.1016</v>
      </c>
      <c r="D31" s="76">
        <f>(B31+1.2)*25.4*0.001</f>
        <v>0.13208</v>
      </c>
      <c r="E31" s="95" t="s">
        <v>28</v>
      </c>
      <c r="F31" s="96" t="s">
        <v>41</v>
      </c>
      <c r="G31" s="95" t="s">
        <v>26</v>
      </c>
      <c r="H31" s="95">
        <f t="shared" si="2"/>
        <v>9.152</v>
      </c>
      <c r="I31" s="78">
        <f t="shared" si="3"/>
        <v>109.8</v>
      </c>
      <c r="J31" s="20">
        <v>122</v>
      </c>
      <c r="K31" s="75">
        <f t="shared" si="4"/>
        <v>128.1</v>
      </c>
    </row>
    <row r="32" spans="1:11">
      <c r="A32" s="75" t="s">
        <v>23</v>
      </c>
      <c r="B32" s="95">
        <v>5</v>
      </c>
      <c r="C32" s="76">
        <f t="shared" si="5"/>
        <v>0.127</v>
      </c>
      <c r="D32" s="76">
        <f>(B32+1.2)*25.4*0.001</f>
        <v>0.15748</v>
      </c>
      <c r="E32" s="95" t="s">
        <v>28</v>
      </c>
      <c r="F32" s="96" t="s">
        <v>41</v>
      </c>
      <c r="G32" s="95" t="s">
        <v>26</v>
      </c>
      <c r="H32" s="95">
        <f t="shared" si="2"/>
        <v>9.152</v>
      </c>
      <c r="I32" s="78">
        <f t="shared" si="3"/>
        <v>109.8</v>
      </c>
      <c r="J32" s="20">
        <v>122</v>
      </c>
      <c r="K32" s="75">
        <f t="shared" si="4"/>
        <v>128.1</v>
      </c>
    </row>
    <row r="33" spans="1:11">
      <c r="A33" s="75" t="s">
        <v>23</v>
      </c>
      <c r="B33" s="95">
        <v>6</v>
      </c>
      <c r="C33" s="76">
        <f t="shared" si="5"/>
        <v>0.1524</v>
      </c>
      <c r="D33" s="76">
        <f>(B33+1.2)*25.4*0.001</f>
        <v>0.18288</v>
      </c>
      <c r="E33" s="95" t="s">
        <v>29</v>
      </c>
      <c r="F33" s="96" t="s">
        <v>41</v>
      </c>
      <c r="G33" s="95" t="s">
        <v>26</v>
      </c>
      <c r="H33" s="95">
        <f t="shared" si="2"/>
        <v>9.377</v>
      </c>
      <c r="I33" s="78">
        <f t="shared" si="3"/>
        <v>112.5</v>
      </c>
      <c r="J33" s="20">
        <v>125</v>
      </c>
      <c r="K33" s="75">
        <f t="shared" si="4"/>
        <v>131.25</v>
      </c>
    </row>
    <row r="34" spans="1:11">
      <c r="A34" s="75" t="s">
        <v>23</v>
      </c>
      <c r="B34" s="75">
        <v>6</v>
      </c>
      <c r="C34" s="76">
        <f t="shared" si="5"/>
        <v>0.1524</v>
      </c>
      <c r="D34" s="76">
        <f>(B34+1.3)*25.4*0.001</f>
        <v>0.18542</v>
      </c>
      <c r="E34" s="132" t="s">
        <v>42</v>
      </c>
      <c r="F34" s="96" t="s">
        <v>41</v>
      </c>
      <c r="G34" s="95" t="s">
        <v>26</v>
      </c>
      <c r="H34" s="95">
        <f t="shared" si="2"/>
        <v>11.253</v>
      </c>
      <c r="I34" s="133">
        <f t="shared" si="3"/>
        <v>135</v>
      </c>
      <c r="J34" s="115">
        <v>150</v>
      </c>
      <c r="K34" s="133">
        <f t="shared" si="4"/>
        <v>157.5</v>
      </c>
    </row>
    <row r="35" spans="1:11">
      <c r="A35" s="75" t="s">
        <v>23</v>
      </c>
      <c r="B35" s="95">
        <v>8</v>
      </c>
      <c r="C35" s="76">
        <f t="shared" ref="C35:C49" si="6">B35*25.4*0.001</f>
        <v>0.2032</v>
      </c>
      <c r="D35" s="76">
        <f t="shared" ref="D35:D48" si="7">(B35+1.2)*25.4*0.001</f>
        <v>0.23368</v>
      </c>
      <c r="E35" s="95" t="s">
        <v>30</v>
      </c>
      <c r="F35" s="96" t="s">
        <v>41</v>
      </c>
      <c r="G35" s="95" t="s">
        <v>26</v>
      </c>
      <c r="H35" s="95">
        <f t="shared" si="2"/>
        <v>9.152</v>
      </c>
      <c r="I35" s="78">
        <f t="shared" si="3"/>
        <v>109.8</v>
      </c>
      <c r="J35" s="20">
        <v>122</v>
      </c>
      <c r="K35" s="75">
        <f t="shared" si="4"/>
        <v>128.1</v>
      </c>
    </row>
    <row r="36" spans="1:11">
      <c r="A36" s="75" t="s">
        <v>23</v>
      </c>
      <c r="B36" s="95">
        <v>10</v>
      </c>
      <c r="C36" s="76">
        <f t="shared" si="6"/>
        <v>0.254</v>
      </c>
      <c r="D36" s="76">
        <f t="shared" si="7"/>
        <v>0.28448</v>
      </c>
      <c r="E36" s="95" t="s">
        <v>31</v>
      </c>
      <c r="F36" s="96" t="s">
        <v>41</v>
      </c>
      <c r="G36" s="95" t="s">
        <v>26</v>
      </c>
      <c r="H36" s="95">
        <f t="shared" si="2"/>
        <v>10.878</v>
      </c>
      <c r="I36" s="78">
        <f t="shared" si="3"/>
        <v>130.5</v>
      </c>
      <c r="J36" s="20">
        <v>145</v>
      </c>
      <c r="K36" s="75">
        <f t="shared" si="4"/>
        <v>152.25</v>
      </c>
    </row>
    <row r="37" spans="1:11">
      <c r="A37" s="75" t="s">
        <v>23</v>
      </c>
      <c r="B37" s="95">
        <v>12</v>
      </c>
      <c r="C37" s="76">
        <f t="shared" si="6"/>
        <v>0.3048</v>
      </c>
      <c r="D37" s="76">
        <f t="shared" si="7"/>
        <v>0.33528</v>
      </c>
      <c r="E37" s="99" t="s">
        <v>32</v>
      </c>
      <c r="F37" s="96" t="s">
        <v>41</v>
      </c>
      <c r="G37" s="95" t="s">
        <v>26</v>
      </c>
      <c r="H37" s="95">
        <f t="shared" si="2"/>
        <v>11.253</v>
      </c>
      <c r="I37" s="78">
        <f t="shared" si="3"/>
        <v>135</v>
      </c>
      <c r="J37" s="20">
        <v>150</v>
      </c>
      <c r="K37" s="75">
        <f t="shared" si="4"/>
        <v>157.5</v>
      </c>
    </row>
    <row r="38" spans="1:11">
      <c r="A38" s="75" t="s">
        <v>23</v>
      </c>
      <c r="B38" s="95">
        <v>14</v>
      </c>
      <c r="C38" s="76">
        <f t="shared" si="6"/>
        <v>0.3556</v>
      </c>
      <c r="D38" s="76">
        <f t="shared" si="7"/>
        <v>0.38608</v>
      </c>
      <c r="E38" s="99" t="s">
        <v>33</v>
      </c>
      <c r="F38" s="96" t="s">
        <v>41</v>
      </c>
      <c r="G38" s="95" t="s">
        <v>26</v>
      </c>
      <c r="H38" s="95">
        <f t="shared" si="2"/>
        <v>10.878</v>
      </c>
      <c r="I38" s="78">
        <f t="shared" si="3"/>
        <v>130.5</v>
      </c>
      <c r="J38" s="20">
        <v>145</v>
      </c>
      <c r="K38" s="75">
        <f t="shared" si="4"/>
        <v>152.25</v>
      </c>
    </row>
    <row r="39" spans="1:11">
      <c r="A39" s="75" t="s">
        <v>23</v>
      </c>
      <c r="B39" s="75">
        <v>16</v>
      </c>
      <c r="C39" s="76">
        <f t="shared" si="6"/>
        <v>0.4064</v>
      </c>
      <c r="D39" s="76">
        <f t="shared" si="7"/>
        <v>0.43688</v>
      </c>
      <c r="E39" s="99" t="s">
        <v>33</v>
      </c>
      <c r="F39" s="77" t="s">
        <v>41</v>
      </c>
      <c r="G39" s="75" t="s">
        <v>26</v>
      </c>
      <c r="H39" s="95">
        <f t="shared" si="2"/>
        <v>11.103</v>
      </c>
      <c r="I39" s="78">
        <f t="shared" si="3"/>
        <v>133.2</v>
      </c>
      <c r="J39" s="20">
        <v>148</v>
      </c>
      <c r="K39" s="75">
        <f t="shared" si="4"/>
        <v>155.4</v>
      </c>
    </row>
    <row r="40" spans="1:11">
      <c r="A40" s="75" t="s">
        <v>23</v>
      </c>
      <c r="B40" s="95">
        <v>20</v>
      </c>
      <c r="C40" s="76">
        <f t="shared" si="6"/>
        <v>0.508</v>
      </c>
      <c r="D40" s="76">
        <f t="shared" si="7"/>
        <v>0.53848</v>
      </c>
      <c r="E40" s="75" t="s">
        <v>34</v>
      </c>
      <c r="F40" s="96" t="s">
        <v>41</v>
      </c>
      <c r="G40" s="95" t="s">
        <v>26</v>
      </c>
      <c r="H40" s="95">
        <f t="shared" si="2"/>
        <v>12.453</v>
      </c>
      <c r="I40" s="78">
        <f t="shared" si="3"/>
        <v>149.4</v>
      </c>
      <c r="J40" s="20">
        <v>166</v>
      </c>
      <c r="K40" s="75">
        <f t="shared" si="4"/>
        <v>174.3</v>
      </c>
    </row>
    <row r="41" spans="1:11">
      <c r="A41" s="75" t="s">
        <v>23</v>
      </c>
      <c r="B41" s="95">
        <v>24</v>
      </c>
      <c r="C41" s="76">
        <f t="shared" si="6"/>
        <v>0.6096</v>
      </c>
      <c r="D41" s="76">
        <f t="shared" si="7"/>
        <v>0.64008</v>
      </c>
      <c r="E41" s="99" t="s">
        <v>35</v>
      </c>
      <c r="F41" s="96" t="s">
        <v>41</v>
      </c>
      <c r="G41" s="95" t="s">
        <v>26</v>
      </c>
      <c r="H41" s="95">
        <f t="shared" si="2"/>
        <v>12.753</v>
      </c>
      <c r="I41" s="78">
        <f t="shared" si="3"/>
        <v>153</v>
      </c>
      <c r="J41" s="20">
        <v>170</v>
      </c>
      <c r="K41" s="75">
        <f t="shared" si="4"/>
        <v>178.5</v>
      </c>
    </row>
    <row r="42" spans="1:11">
      <c r="A42" s="75" t="s">
        <v>23</v>
      </c>
      <c r="B42" s="95">
        <v>28</v>
      </c>
      <c r="C42" s="76">
        <f t="shared" si="6"/>
        <v>0.7112</v>
      </c>
      <c r="D42" s="76">
        <f t="shared" si="7"/>
        <v>0.74168</v>
      </c>
      <c r="E42" s="99" t="s">
        <v>43</v>
      </c>
      <c r="F42" s="96" t="s">
        <v>41</v>
      </c>
      <c r="G42" s="95" t="s">
        <v>26</v>
      </c>
      <c r="H42" s="95">
        <f t="shared" si="2"/>
        <v>14.254</v>
      </c>
      <c r="I42" s="78">
        <f t="shared" si="3"/>
        <v>171</v>
      </c>
      <c r="J42" s="20">
        <v>190</v>
      </c>
      <c r="K42" s="75">
        <f t="shared" si="4"/>
        <v>199.5</v>
      </c>
    </row>
    <row r="43" spans="1:11">
      <c r="A43" s="75" t="s">
        <v>23</v>
      </c>
      <c r="B43" s="95">
        <v>38</v>
      </c>
      <c r="C43" s="76">
        <f t="shared" si="6"/>
        <v>0.9652</v>
      </c>
      <c r="D43" s="76">
        <f t="shared" si="7"/>
        <v>0.99568</v>
      </c>
      <c r="E43" s="99" t="s">
        <v>37</v>
      </c>
      <c r="F43" s="96" t="s">
        <v>41</v>
      </c>
      <c r="G43" s="95" t="s">
        <v>26</v>
      </c>
      <c r="H43" s="95">
        <f t="shared" si="2"/>
        <v>16.129</v>
      </c>
      <c r="I43" s="78">
        <f t="shared" si="3"/>
        <v>193.5</v>
      </c>
      <c r="J43" s="20">
        <v>215</v>
      </c>
      <c r="K43" s="75">
        <f t="shared" si="4"/>
        <v>225.75</v>
      </c>
    </row>
    <row r="44" spans="1:11">
      <c r="A44" s="75" t="s">
        <v>23</v>
      </c>
      <c r="B44" s="75">
        <v>42</v>
      </c>
      <c r="C44" s="76">
        <f t="shared" si="6"/>
        <v>1.0668</v>
      </c>
      <c r="D44" s="76">
        <f t="shared" si="7"/>
        <v>1.09728</v>
      </c>
      <c r="E44" s="75" t="s">
        <v>38</v>
      </c>
      <c r="F44" s="77" t="s">
        <v>41</v>
      </c>
      <c r="G44" s="75" t="s">
        <v>26</v>
      </c>
      <c r="H44" s="95">
        <f t="shared" si="2"/>
        <v>18.005</v>
      </c>
      <c r="I44" s="78">
        <f t="shared" si="3"/>
        <v>216</v>
      </c>
      <c r="J44" s="20">
        <v>240</v>
      </c>
      <c r="K44" s="75">
        <f t="shared" si="4"/>
        <v>252</v>
      </c>
    </row>
    <row r="45" spans="1:11">
      <c r="A45" s="75" t="s">
        <v>23</v>
      </c>
      <c r="B45" s="75">
        <v>46</v>
      </c>
      <c r="C45" s="76">
        <f t="shared" si="6"/>
        <v>1.1684</v>
      </c>
      <c r="D45" s="76">
        <f t="shared" si="7"/>
        <v>1.19888</v>
      </c>
      <c r="E45" s="75" t="s">
        <v>38</v>
      </c>
      <c r="F45" s="77" t="s">
        <v>41</v>
      </c>
      <c r="G45" s="75" t="s">
        <v>26</v>
      </c>
      <c r="H45" s="95">
        <f t="shared" si="2"/>
        <v>18.38</v>
      </c>
      <c r="I45" s="78">
        <f t="shared" si="3"/>
        <v>220.5</v>
      </c>
      <c r="J45" s="20">
        <v>245</v>
      </c>
      <c r="K45" s="75">
        <f t="shared" si="4"/>
        <v>257.25</v>
      </c>
    </row>
    <row r="46" spans="1:11">
      <c r="A46" s="75" t="s">
        <v>23</v>
      </c>
      <c r="B46" s="75">
        <v>50</v>
      </c>
      <c r="C46" s="76">
        <f t="shared" si="6"/>
        <v>1.27</v>
      </c>
      <c r="D46" s="76">
        <f t="shared" si="7"/>
        <v>1.30048</v>
      </c>
      <c r="E46" s="75" t="s">
        <v>39</v>
      </c>
      <c r="F46" s="77" t="s">
        <v>41</v>
      </c>
      <c r="G46" s="75" t="s">
        <v>26</v>
      </c>
      <c r="H46" s="95">
        <f t="shared" si="2"/>
        <v>19.88</v>
      </c>
      <c r="I46" s="78">
        <f t="shared" si="3"/>
        <v>238.5</v>
      </c>
      <c r="J46" s="20">
        <v>265</v>
      </c>
      <c r="K46" s="75">
        <f t="shared" si="4"/>
        <v>278.25</v>
      </c>
    </row>
    <row r="47" spans="1:11">
      <c r="A47" s="75" t="s">
        <v>23</v>
      </c>
      <c r="B47" s="75">
        <v>58</v>
      </c>
      <c r="C47" s="76">
        <f t="shared" si="6"/>
        <v>1.4732</v>
      </c>
      <c r="D47" s="76">
        <f t="shared" si="7"/>
        <v>1.50368</v>
      </c>
      <c r="E47" s="75" t="s">
        <v>40</v>
      </c>
      <c r="F47" s="77" t="s">
        <v>41</v>
      </c>
      <c r="G47" s="75" t="s">
        <v>26</v>
      </c>
      <c r="H47" s="95">
        <f t="shared" si="2"/>
        <v>21.755</v>
      </c>
      <c r="I47" s="78">
        <f t="shared" si="3"/>
        <v>261</v>
      </c>
      <c r="J47" s="20">
        <v>290</v>
      </c>
      <c r="K47" s="75">
        <f t="shared" si="4"/>
        <v>304.5</v>
      </c>
    </row>
    <row r="48" spans="1:11">
      <c r="A48" s="75" t="s">
        <v>44</v>
      </c>
      <c r="B48" s="75">
        <v>4</v>
      </c>
      <c r="C48" s="76">
        <f t="shared" si="6"/>
        <v>0.1016</v>
      </c>
      <c r="D48" s="76">
        <f>(B48+5.2)*25.4*0.001</f>
        <v>0.23368</v>
      </c>
      <c r="E48" s="75" t="s">
        <v>45</v>
      </c>
      <c r="F48" s="77" t="s">
        <v>46</v>
      </c>
      <c r="G48" s="75" t="s">
        <v>26</v>
      </c>
      <c r="H48" s="95">
        <f t="shared" si="2"/>
        <v>26.257</v>
      </c>
      <c r="I48" s="78">
        <f t="shared" si="3"/>
        <v>315</v>
      </c>
      <c r="J48" s="75">
        <v>350</v>
      </c>
      <c r="K48" s="75">
        <f t="shared" si="4"/>
        <v>367.5</v>
      </c>
    </row>
    <row r="49" spans="1:11">
      <c r="A49" s="75" t="s">
        <v>44</v>
      </c>
      <c r="B49" s="75">
        <v>5</v>
      </c>
      <c r="C49" s="76">
        <f t="shared" si="6"/>
        <v>0.127</v>
      </c>
      <c r="D49" s="76">
        <f>(B49+5.2)*25.4*0.001</f>
        <v>0.25908</v>
      </c>
      <c r="E49" s="75" t="s">
        <v>47</v>
      </c>
      <c r="F49" s="77" t="s">
        <v>46</v>
      </c>
      <c r="G49" s="75" t="s">
        <v>26</v>
      </c>
      <c r="H49" s="95">
        <f t="shared" si="2"/>
        <v>30.608</v>
      </c>
      <c r="I49" s="78">
        <f t="shared" si="3"/>
        <v>367.2</v>
      </c>
      <c r="J49" s="75">
        <v>408</v>
      </c>
      <c r="K49" s="75">
        <f t="shared" si="4"/>
        <v>428.4</v>
      </c>
    </row>
    <row r="50" spans="1:1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</row>
    <row r="51" ht="21" spans="1:11">
      <c r="A51" s="123" t="s">
        <v>48</v>
      </c>
      <c r="B51" s="123"/>
      <c r="C51" s="123"/>
      <c r="D51" s="123"/>
      <c r="E51" s="123"/>
      <c r="F51" s="123"/>
      <c r="G51" s="123"/>
      <c r="H51" s="123"/>
      <c r="I51" s="123"/>
      <c r="J51" s="123"/>
      <c r="K51" s="123"/>
    </row>
    <row r="52" ht="19.8" customHeight="1" spans="1:11">
      <c r="A52" s="111" t="s">
        <v>12</v>
      </c>
      <c r="B52" s="111" t="s">
        <v>49</v>
      </c>
      <c r="C52" s="111" t="s">
        <v>50</v>
      </c>
      <c r="D52" s="111" t="s">
        <v>51</v>
      </c>
      <c r="E52" s="111" t="s">
        <v>52</v>
      </c>
      <c r="F52" s="112" t="s">
        <v>53</v>
      </c>
      <c r="G52" s="113" t="s">
        <v>54</v>
      </c>
      <c r="H52" s="33" t="s">
        <v>55</v>
      </c>
      <c r="I52" s="34"/>
      <c r="J52" s="33" t="s">
        <v>56</v>
      </c>
      <c r="K52" s="34"/>
    </row>
    <row r="53" spans="1:11">
      <c r="A53" s="75" t="s">
        <v>57</v>
      </c>
      <c r="B53" s="75">
        <v>106</v>
      </c>
      <c r="C53" s="81">
        <v>0.72</v>
      </c>
      <c r="D53" s="80">
        <v>300</v>
      </c>
      <c r="E53" s="82" t="s">
        <v>58</v>
      </c>
      <c r="F53" s="95">
        <v>3937</v>
      </c>
      <c r="G53" s="75">
        <f>ROUND(H53*300/3937,3)</f>
        <v>2.286</v>
      </c>
      <c r="H53" s="84">
        <v>30</v>
      </c>
      <c r="I53" s="84"/>
      <c r="J53" s="78">
        <f t="shared" ref="J53:J65" si="8">ROUND(H53*D53,2)</f>
        <v>9000</v>
      </c>
      <c r="K53" s="78"/>
    </row>
    <row r="54" spans="1:11">
      <c r="A54" s="75" t="s">
        <v>57</v>
      </c>
      <c r="B54" s="75">
        <v>106</v>
      </c>
      <c r="C54" s="81">
        <v>0.75</v>
      </c>
      <c r="D54" s="80">
        <v>300</v>
      </c>
      <c r="E54" s="82" t="s">
        <v>58</v>
      </c>
      <c r="F54" s="95">
        <v>3937</v>
      </c>
      <c r="G54" s="75">
        <f t="shared" ref="G54:G65" si="9">ROUND(H54*300/3937,3)</f>
        <v>2.438</v>
      </c>
      <c r="H54" s="84">
        <v>32</v>
      </c>
      <c r="I54" s="84"/>
      <c r="J54" s="78">
        <f t="shared" si="8"/>
        <v>9600</v>
      </c>
      <c r="K54" s="78"/>
    </row>
    <row r="55" spans="1:11">
      <c r="A55" s="75" t="s">
        <v>57</v>
      </c>
      <c r="B55" s="124">
        <v>1080</v>
      </c>
      <c r="C55" s="125">
        <v>0.62</v>
      </c>
      <c r="D55" s="126">
        <v>300</v>
      </c>
      <c r="E55" s="126" t="s">
        <v>59</v>
      </c>
      <c r="F55" s="127">
        <v>3937</v>
      </c>
      <c r="G55" s="75">
        <f t="shared" si="9"/>
        <v>2.286</v>
      </c>
      <c r="H55" s="84">
        <v>30</v>
      </c>
      <c r="I55" s="84"/>
      <c r="J55" s="78">
        <f t="shared" si="8"/>
        <v>9000</v>
      </c>
      <c r="K55" s="78"/>
    </row>
    <row r="56" spans="1:11">
      <c r="A56" s="75" t="s">
        <v>57</v>
      </c>
      <c r="B56" s="124">
        <v>1080</v>
      </c>
      <c r="C56" s="125">
        <v>0.65</v>
      </c>
      <c r="D56" s="126">
        <v>300</v>
      </c>
      <c r="E56" s="126" t="s">
        <v>59</v>
      </c>
      <c r="F56" s="127">
        <v>3937</v>
      </c>
      <c r="G56" s="75">
        <f t="shared" si="9"/>
        <v>2.362</v>
      </c>
      <c r="H56" s="84">
        <v>31</v>
      </c>
      <c r="I56" s="84"/>
      <c r="J56" s="78">
        <f t="shared" si="8"/>
        <v>9300</v>
      </c>
      <c r="K56" s="78"/>
    </row>
    <row r="57" spans="1:11">
      <c r="A57" s="75" t="s">
        <v>57</v>
      </c>
      <c r="B57" s="124">
        <v>1080</v>
      </c>
      <c r="C57" s="125">
        <v>0.68</v>
      </c>
      <c r="D57" s="126">
        <v>300</v>
      </c>
      <c r="E57" s="126" t="s">
        <v>59</v>
      </c>
      <c r="F57" s="127">
        <v>3937</v>
      </c>
      <c r="G57" s="75">
        <f t="shared" si="9"/>
        <v>2.438</v>
      </c>
      <c r="H57" s="84">
        <v>32</v>
      </c>
      <c r="I57" s="84"/>
      <c r="J57" s="78">
        <f t="shared" si="8"/>
        <v>9600</v>
      </c>
      <c r="K57" s="78"/>
    </row>
    <row r="58" spans="1:11">
      <c r="A58" s="75" t="s">
        <v>57</v>
      </c>
      <c r="B58" s="124">
        <v>1080</v>
      </c>
      <c r="C58" s="125">
        <v>0.7</v>
      </c>
      <c r="D58" s="126">
        <v>300</v>
      </c>
      <c r="E58" s="126" t="s">
        <v>59</v>
      </c>
      <c r="F58" s="127">
        <v>3937</v>
      </c>
      <c r="G58" s="75">
        <f t="shared" si="9"/>
        <v>2.515</v>
      </c>
      <c r="H58" s="84">
        <v>33</v>
      </c>
      <c r="I58" s="84"/>
      <c r="J58" s="78">
        <f t="shared" si="8"/>
        <v>9900</v>
      </c>
      <c r="K58" s="78"/>
    </row>
    <row r="59" spans="1:11">
      <c r="A59" s="75" t="s">
        <v>57</v>
      </c>
      <c r="B59" s="124">
        <v>2116</v>
      </c>
      <c r="C59" s="125">
        <v>0.55</v>
      </c>
      <c r="D59" s="126">
        <v>200</v>
      </c>
      <c r="E59" s="126" t="s">
        <v>59</v>
      </c>
      <c r="F59" s="127">
        <v>2624.7</v>
      </c>
      <c r="G59" s="75">
        <f t="shared" si="9"/>
        <v>2.438</v>
      </c>
      <c r="H59" s="84">
        <v>32</v>
      </c>
      <c r="I59" s="84"/>
      <c r="J59" s="78">
        <f t="shared" si="8"/>
        <v>6400</v>
      </c>
      <c r="K59" s="78"/>
    </row>
    <row r="60" spans="1:11">
      <c r="A60" s="75" t="s">
        <v>57</v>
      </c>
      <c r="B60" s="124">
        <v>2116</v>
      </c>
      <c r="C60" s="125">
        <v>0.58</v>
      </c>
      <c r="D60" s="126">
        <v>200</v>
      </c>
      <c r="E60" s="126" t="s">
        <v>59</v>
      </c>
      <c r="F60" s="127">
        <v>2624.7</v>
      </c>
      <c r="G60" s="75">
        <f t="shared" si="9"/>
        <v>2.591</v>
      </c>
      <c r="H60" s="84">
        <v>34</v>
      </c>
      <c r="I60" s="84"/>
      <c r="J60" s="78">
        <f t="shared" si="8"/>
        <v>6800</v>
      </c>
      <c r="K60" s="78"/>
    </row>
    <row r="61" spans="1:11">
      <c r="A61" s="75" t="s">
        <v>57</v>
      </c>
      <c r="B61" s="124">
        <v>2116</v>
      </c>
      <c r="C61" s="125">
        <v>0.6</v>
      </c>
      <c r="D61" s="126">
        <v>200</v>
      </c>
      <c r="E61" s="126" t="s">
        <v>59</v>
      </c>
      <c r="F61" s="127">
        <v>2624.7</v>
      </c>
      <c r="G61" s="75">
        <f t="shared" si="9"/>
        <v>2.743</v>
      </c>
      <c r="H61" s="84">
        <v>36</v>
      </c>
      <c r="I61" s="84"/>
      <c r="J61" s="78">
        <f t="shared" si="8"/>
        <v>7200</v>
      </c>
      <c r="K61" s="78"/>
    </row>
    <row r="62" spans="1:11">
      <c r="A62" s="75" t="s">
        <v>57</v>
      </c>
      <c r="B62" s="124">
        <v>2313</v>
      </c>
      <c r="C62" s="125">
        <v>0.6</v>
      </c>
      <c r="D62" s="126">
        <v>300</v>
      </c>
      <c r="E62" s="126" t="s">
        <v>59</v>
      </c>
      <c r="F62" s="127">
        <v>3937</v>
      </c>
      <c r="G62" s="75">
        <f t="shared" si="9"/>
        <v>2.743</v>
      </c>
      <c r="H62" s="84">
        <v>36</v>
      </c>
      <c r="I62" s="84"/>
      <c r="J62" s="78">
        <f t="shared" si="8"/>
        <v>10800</v>
      </c>
      <c r="K62" s="78"/>
    </row>
    <row r="63" spans="1:11">
      <c r="A63" s="75" t="s">
        <v>57</v>
      </c>
      <c r="B63" s="124">
        <v>1506</v>
      </c>
      <c r="C63" s="125">
        <v>0.47</v>
      </c>
      <c r="D63" s="126">
        <v>150</v>
      </c>
      <c r="E63" s="126" t="s">
        <v>59</v>
      </c>
      <c r="F63" s="127">
        <v>1968.5</v>
      </c>
      <c r="G63" s="75">
        <f t="shared" si="9"/>
        <v>2.896</v>
      </c>
      <c r="H63" s="84">
        <v>38</v>
      </c>
      <c r="I63" s="84"/>
      <c r="J63" s="78">
        <f t="shared" si="8"/>
        <v>5700</v>
      </c>
      <c r="K63" s="78"/>
    </row>
    <row r="64" spans="1:11">
      <c r="A64" s="75" t="s">
        <v>57</v>
      </c>
      <c r="B64" s="75">
        <v>7628</v>
      </c>
      <c r="C64" s="81">
        <v>0.48</v>
      </c>
      <c r="D64" s="80">
        <v>150</v>
      </c>
      <c r="E64" s="82" t="s">
        <v>58</v>
      </c>
      <c r="F64" s="95">
        <v>1968.5</v>
      </c>
      <c r="G64" s="75">
        <f t="shared" si="9"/>
        <v>2.362</v>
      </c>
      <c r="H64" s="84">
        <v>31</v>
      </c>
      <c r="I64" s="84"/>
      <c r="J64" s="78">
        <f t="shared" si="8"/>
        <v>4650</v>
      </c>
      <c r="K64" s="78"/>
    </row>
    <row r="65" spans="1:11">
      <c r="A65" s="75" t="s">
        <v>57</v>
      </c>
      <c r="B65" s="75">
        <v>7628</v>
      </c>
      <c r="C65" s="81">
        <v>0.5</v>
      </c>
      <c r="D65" s="80">
        <v>150</v>
      </c>
      <c r="E65" s="82" t="s">
        <v>58</v>
      </c>
      <c r="F65" s="95">
        <v>1968.5</v>
      </c>
      <c r="G65" s="75">
        <f t="shared" si="9"/>
        <v>2.515</v>
      </c>
      <c r="H65" s="84">
        <v>33</v>
      </c>
      <c r="I65" s="84"/>
      <c r="J65" s="78">
        <f t="shared" si="8"/>
        <v>4950</v>
      </c>
      <c r="K65" s="78"/>
    </row>
    <row r="67" spans="1:11">
      <c r="A67" s="43" t="s">
        <v>60</v>
      </c>
      <c r="B67" s="5"/>
      <c r="C67" s="5"/>
      <c r="D67" s="5"/>
      <c r="E67" s="10"/>
      <c r="F67" s="5"/>
      <c r="G67" s="5"/>
      <c r="H67" s="5"/>
      <c r="I67" s="5"/>
      <c r="J67" s="5"/>
      <c r="K67" s="87"/>
    </row>
    <row r="68" spans="1:11">
      <c r="A68" s="46" t="s">
        <v>61</v>
      </c>
      <c r="B68" s="5"/>
      <c r="C68" s="5"/>
      <c r="D68" s="5"/>
      <c r="E68" s="10"/>
      <c r="F68" s="5"/>
      <c r="G68" s="5"/>
      <c r="H68" s="5"/>
      <c r="I68" s="5"/>
      <c r="J68" s="5"/>
      <c r="K68" s="87"/>
    </row>
    <row r="69" spans="1:11">
      <c r="A69" s="43" t="s">
        <v>62</v>
      </c>
      <c r="B69" s="88"/>
      <c r="C69" s="88"/>
      <c r="D69" s="88"/>
      <c r="E69" s="89"/>
      <c r="F69" s="88"/>
      <c r="G69" s="88"/>
      <c r="H69" s="88"/>
      <c r="I69" s="5"/>
      <c r="J69" s="5"/>
      <c r="K69" s="87"/>
    </row>
    <row r="70" spans="1:11">
      <c r="A70" s="43" t="s">
        <v>63</v>
      </c>
      <c r="B70" s="88"/>
      <c r="C70" s="88"/>
      <c r="D70" s="88"/>
      <c r="E70" s="89"/>
      <c r="F70" s="88"/>
      <c r="G70" s="88"/>
      <c r="H70" s="88"/>
      <c r="I70" s="5"/>
      <c r="J70" s="5"/>
      <c r="K70" s="87"/>
    </row>
    <row r="71" spans="1:11">
      <c r="A71" s="43" t="s">
        <v>64</v>
      </c>
      <c r="B71" s="88"/>
      <c r="C71" s="88"/>
      <c r="D71" s="88"/>
      <c r="E71" s="89"/>
      <c r="F71" s="88"/>
      <c r="G71" s="88"/>
      <c r="H71" s="88"/>
      <c r="I71" s="5"/>
      <c r="J71" s="5"/>
      <c r="K71" s="87"/>
    </row>
    <row r="72" spans="1:11">
      <c r="A72" s="5" t="s">
        <v>65</v>
      </c>
      <c r="B72" s="5"/>
      <c r="C72" s="5"/>
      <c r="D72" s="5"/>
      <c r="E72" s="5"/>
      <c r="F72" s="5"/>
      <c r="G72" s="5"/>
      <c r="H72" s="5"/>
      <c r="I72" s="5"/>
      <c r="J72" s="5"/>
      <c r="K72" s="73"/>
    </row>
    <row r="73" spans="1:11">
      <c r="A73" s="90"/>
      <c r="B73" s="91"/>
      <c r="C73" s="91"/>
      <c r="D73" s="91"/>
      <c r="E73" s="91"/>
      <c r="F73" s="91"/>
      <c r="G73" s="91"/>
      <c r="H73" s="92"/>
      <c r="I73" s="73"/>
      <c r="J73" s="73"/>
      <c r="K73" s="73"/>
    </row>
    <row r="74" ht="15.5" spans="1:11">
      <c r="A74" s="73"/>
      <c r="B74" s="93"/>
      <c r="C74" s="93"/>
      <c r="D74" s="93"/>
      <c r="E74" s="93"/>
      <c r="F74" s="93"/>
      <c r="G74" s="73"/>
      <c r="H74" s="73"/>
      <c r="I74" s="73"/>
      <c r="J74" s="73"/>
      <c r="K74" s="73"/>
    </row>
    <row r="75" ht="15.5" spans="1:11">
      <c r="A75" s="93" t="s">
        <v>66</v>
      </c>
      <c r="B75" s="73"/>
      <c r="C75" s="93"/>
      <c r="D75" s="93"/>
      <c r="E75" s="93"/>
      <c r="F75" s="93"/>
      <c r="G75" s="73"/>
      <c r="H75" s="93" t="s">
        <v>67</v>
      </c>
      <c r="I75" s="93"/>
      <c r="J75" s="93"/>
      <c r="K75" s="73"/>
    </row>
    <row r="76" spans="1:1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</row>
  </sheetData>
  <mergeCells count="33">
    <mergeCell ref="A1:K1"/>
    <mergeCell ref="A2:K2"/>
    <mergeCell ref="A3:K3"/>
    <mergeCell ref="A9:K9"/>
    <mergeCell ref="A51:K51"/>
    <mergeCell ref="H52:I52"/>
    <mergeCell ref="J52:K52"/>
    <mergeCell ref="H53:I53"/>
    <mergeCell ref="J53:K53"/>
    <mergeCell ref="H54:I54"/>
    <mergeCell ref="J54:K54"/>
    <mergeCell ref="H55:I55"/>
    <mergeCell ref="J55:K55"/>
    <mergeCell ref="H56:I56"/>
    <mergeCell ref="J56:K56"/>
    <mergeCell ref="H57:I57"/>
    <mergeCell ref="J57:K5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H63:I63"/>
    <mergeCell ref="J63:K63"/>
    <mergeCell ref="H64:I64"/>
    <mergeCell ref="J64:K64"/>
    <mergeCell ref="H65:I65"/>
    <mergeCell ref="J65:K65"/>
  </mergeCells>
  <pageMargins left="0.25" right="0.25" top="0.75" bottom="0.75" header="0.3" footer="0.3"/>
  <pageSetup paperSize="9" scale="63" fitToWidth="0" fitToHeight="0" orientation="portrait" horizontalDpi="600" verticalDpi="6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K84"/>
  <sheetViews>
    <sheetView zoomScaleSheetLayoutView="60" topLeftCell="A20" workbookViewId="0">
      <selection activeCell="A59" sqref="A59:K59"/>
    </sheetView>
  </sheetViews>
  <sheetFormatPr defaultColWidth="8" defaultRowHeight="15"/>
  <cols>
    <col min="1" max="1" width="8" style="74"/>
    <col min="2" max="2" width="7.16666666666667" style="74" customWidth="1"/>
    <col min="3" max="3" width="8.41666666666667" style="74" customWidth="1"/>
    <col min="4" max="4" width="8" style="74"/>
    <col min="5" max="5" width="10.4166666666667" style="74" customWidth="1"/>
    <col min="6" max="6" width="9.08333333333333" style="74" customWidth="1"/>
    <col min="7" max="7" width="9.66666666666667" style="74" customWidth="1"/>
    <col min="8" max="8" width="9.16666666666667" style="74" customWidth="1"/>
    <col min="9" max="9" width="9" style="74" customWidth="1"/>
    <col min="10" max="10" width="8.83333333333333" style="74" customWidth="1"/>
    <col min="11" max="11" width="9.08333333333333" style="74" customWidth="1"/>
    <col min="12" max="16384" width="8" style="74"/>
  </cols>
  <sheetData>
    <row r="1" ht="27.5" spans="1:1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4"/>
      <c r="B4" s="5"/>
      <c r="C4" s="3"/>
      <c r="D4" s="3"/>
      <c r="E4" s="6"/>
      <c r="F4" s="6"/>
      <c r="G4" s="6"/>
      <c r="H4" s="4"/>
      <c r="I4" s="4"/>
      <c r="J4" s="4"/>
      <c r="K4" s="3"/>
    </row>
    <row r="5" spans="1:11">
      <c r="A5" s="5" t="s">
        <v>3</v>
      </c>
      <c r="B5" s="5" t="s">
        <v>4</v>
      </c>
      <c r="C5" s="8"/>
      <c r="D5" s="8"/>
      <c r="E5" s="9"/>
      <c r="F5" s="9"/>
      <c r="G5" s="9"/>
      <c r="H5" s="10"/>
      <c r="I5" s="8" t="s">
        <v>5</v>
      </c>
      <c r="J5" s="5" t="s">
        <v>6</v>
      </c>
      <c r="K5" s="11"/>
    </row>
    <row r="6" spans="1:11">
      <c r="A6" s="8" t="s">
        <v>7</v>
      </c>
      <c r="B6" s="8" t="s">
        <v>8</v>
      </c>
      <c r="C6" s="8"/>
      <c r="D6" s="8"/>
      <c r="E6" s="9"/>
      <c r="F6" s="9"/>
      <c r="G6" s="9"/>
      <c r="H6" s="10"/>
      <c r="I6" s="8" t="s">
        <v>9</v>
      </c>
      <c r="J6" s="8"/>
      <c r="K6" s="11"/>
    </row>
    <row r="7" spans="1:11">
      <c r="A7" s="8"/>
      <c r="B7" s="8"/>
      <c r="C7" s="8"/>
      <c r="D7" s="8"/>
      <c r="E7" s="9"/>
      <c r="F7" s="9"/>
      <c r="G7" s="9"/>
      <c r="H7" s="8"/>
      <c r="I7" s="13" t="s">
        <v>10</v>
      </c>
      <c r="J7" s="14"/>
      <c r="K7" s="14"/>
    </row>
    <row r="8" spans="1:11">
      <c r="A8" s="8"/>
      <c r="B8" s="8"/>
      <c r="C8" s="8"/>
      <c r="D8" s="8"/>
      <c r="E8" s="9"/>
      <c r="F8" s="9"/>
      <c r="G8" s="9"/>
      <c r="H8" s="8"/>
      <c r="I8" s="13"/>
      <c r="J8" s="14"/>
      <c r="K8" s="14"/>
    </row>
    <row r="9" ht="21" customHeight="1" spans="1:11">
      <c r="A9" s="15" t="s">
        <v>68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0" ht="23.4" customHeight="1" spans="1:11">
      <c r="A10" s="16" t="s">
        <v>12</v>
      </c>
      <c r="B10" s="17" t="s">
        <v>13</v>
      </c>
      <c r="C10" s="17" t="s">
        <v>14</v>
      </c>
      <c r="D10" s="17" t="s">
        <v>15</v>
      </c>
      <c r="E10" s="16" t="s">
        <v>16</v>
      </c>
      <c r="F10" s="17" t="s">
        <v>17</v>
      </c>
      <c r="G10" s="17" t="s">
        <v>18</v>
      </c>
      <c r="H10" s="59" t="s">
        <v>19</v>
      </c>
      <c r="I10" s="60" t="s">
        <v>20</v>
      </c>
      <c r="J10" s="60" t="s">
        <v>21</v>
      </c>
      <c r="K10" s="60" t="s">
        <v>22</v>
      </c>
    </row>
    <row r="11" spans="1:11">
      <c r="A11" s="75" t="s">
        <v>69</v>
      </c>
      <c r="B11" s="95">
        <v>2</v>
      </c>
      <c r="C11" s="76">
        <f>B11*25.4*0.001</f>
        <v>0.0508</v>
      </c>
      <c r="D11" s="76">
        <f>(B11+2.4)*25.4*0.001</f>
        <v>0.11176</v>
      </c>
      <c r="E11" s="95" t="s">
        <v>24</v>
      </c>
      <c r="F11" s="96" t="s">
        <v>25</v>
      </c>
      <c r="G11" s="95" t="s">
        <v>26</v>
      </c>
      <c r="H11" s="95">
        <f>ROUND(J11/13.33,3)</f>
        <v>15.004</v>
      </c>
      <c r="I11" s="78">
        <f>J11*0.9</f>
        <v>180</v>
      </c>
      <c r="J11" s="20">
        <v>200</v>
      </c>
      <c r="K11" s="75">
        <f>J11*1.05</f>
        <v>210</v>
      </c>
    </row>
    <row r="12" spans="1:11">
      <c r="A12" s="25" t="s">
        <v>69</v>
      </c>
      <c r="B12" s="119">
        <v>2.5</v>
      </c>
      <c r="C12" s="26">
        <f>B12*25.4*0.001</f>
        <v>0.0635</v>
      </c>
      <c r="D12" s="26">
        <f>(B12+2)*25.4*0.001</f>
        <v>0.1143</v>
      </c>
      <c r="E12" s="119" t="s">
        <v>70</v>
      </c>
      <c r="F12" s="120" t="s">
        <v>71</v>
      </c>
      <c r="G12" s="119" t="s">
        <v>72</v>
      </c>
      <c r="H12" s="119">
        <f>ROUND(J12/13.33,3)</f>
        <v>13.878</v>
      </c>
      <c r="I12" s="38">
        <f>J12*0.9</f>
        <v>166.5</v>
      </c>
      <c r="J12" s="25">
        <v>185</v>
      </c>
      <c r="K12" s="25">
        <f>J12*1.05</f>
        <v>194.25</v>
      </c>
    </row>
    <row r="13" spans="1:11">
      <c r="A13" s="75" t="s">
        <v>69</v>
      </c>
      <c r="B13" s="95">
        <v>3</v>
      </c>
      <c r="C13" s="76">
        <f t="shared" ref="C13:C52" si="0">B13*25.4*0.001</f>
        <v>0.0762</v>
      </c>
      <c r="D13" s="76">
        <f t="shared" ref="D13:D30" si="1">(B13+2.4)*25.4*0.001</f>
        <v>0.13716</v>
      </c>
      <c r="E13" s="95" t="s">
        <v>27</v>
      </c>
      <c r="F13" s="96" t="s">
        <v>25</v>
      </c>
      <c r="G13" s="95" t="s">
        <v>26</v>
      </c>
      <c r="H13" s="95">
        <f t="shared" ref="H13:H52" si="2">ROUND(J13/13.33,3)</f>
        <v>14.854</v>
      </c>
      <c r="I13" s="78">
        <f t="shared" ref="I13:I52" si="3">J13*0.9</f>
        <v>178.2</v>
      </c>
      <c r="J13" s="20">
        <v>198</v>
      </c>
      <c r="K13" s="75">
        <f t="shared" ref="K13:K52" si="4">J13*1.05</f>
        <v>207.9</v>
      </c>
    </row>
    <row r="14" spans="1:11">
      <c r="A14" s="75" t="s">
        <v>69</v>
      </c>
      <c r="B14" s="95">
        <v>4</v>
      </c>
      <c r="C14" s="76">
        <f t="shared" si="0"/>
        <v>0.1016</v>
      </c>
      <c r="D14" s="76">
        <f t="shared" si="1"/>
        <v>0.16256</v>
      </c>
      <c r="E14" s="95" t="s">
        <v>28</v>
      </c>
      <c r="F14" s="96" t="s">
        <v>25</v>
      </c>
      <c r="G14" s="95" t="s">
        <v>26</v>
      </c>
      <c r="H14" s="95">
        <f t="shared" si="2"/>
        <v>15.004</v>
      </c>
      <c r="I14" s="78">
        <f t="shared" si="3"/>
        <v>180</v>
      </c>
      <c r="J14" s="20">
        <v>200</v>
      </c>
      <c r="K14" s="75">
        <f t="shared" si="4"/>
        <v>210</v>
      </c>
    </row>
    <row r="15" spans="1:11">
      <c r="A15" s="75" t="s">
        <v>69</v>
      </c>
      <c r="B15" s="95">
        <v>5</v>
      </c>
      <c r="C15" s="76">
        <f t="shared" si="0"/>
        <v>0.127</v>
      </c>
      <c r="D15" s="76">
        <f t="shared" si="1"/>
        <v>0.18796</v>
      </c>
      <c r="E15" s="95" t="s">
        <v>28</v>
      </c>
      <c r="F15" s="96" t="s">
        <v>25</v>
      </c>
      <c r="G15" s="95" t="s">
        <v>26</v>
      </c>
      <c r="H15" s="95">
        <f t="shared" si="2"/>
        <v>15.004</v>
      </c>
      <c r="I15" s="78">
        <f t="shared" si="3"/>
        <v>180</v>
      </c>
      <c r="J15" s="20">
        <v>200</v>
      </c>
      <c r="K15" s="75">
        <f t="shared" si="4"/>
        <v>210</v>
      </c>
    </row>
    <row r="16" spans="1:11">
      <c r="A16" s="75" t="s">
        <v>69</v>
      </c>
      <c r="B16" s="95">
        <v>6</v>
      </c>
      <c r="C16" s="76">
        <f t="shared" si="0"/>
        <v>0.1524</v>
      </c>
      <c r="D16" s="76">
        <f t="shared" si="1"/>
        <v>0.21336</v>
      </c>
      <c r="E16" s="95" t="s">
        <v>29</v>
      </c>
      <c r="F16" s="96" t="s">
        <v>25</v>
      </c>
      <c r="G16" s="95" t="s">
        <v>26</v>
      </c>
      <c r="H16" s="95">
        <f t="shared" si="2"/>
        <v>15.454</v>
      </c>
      <c r="I16" s="78">
        <f t="shared" si="3"/>
        <v>185.4</v>
      </c>
      <c r="J16" s="20">
        <v>206</v>
      </c>
      <c r="K16" s="75">
        <f t="shared" si="4"/>
        <v>216.3</v>
      </c>
    </row>
    <row r="17" spans="1:11">
      <c r="A17" s="75" t="s">
        <v>69</v>
      </c>
      <c r="B17" s="95">
        <v>8</v>
      </c>
      <c r="C17" s="76">
        <f t="shared" si="0"/>
        <v>0.2032</v>
      </c>
      <c r="D17" s="76">
        <f t="shared" si="1"/>
        <v>0.26416</v>
      </c>
      <c r="E17" s="95" t="s">
        <v>30</v>
      </c>
      <c r="F17" s="96" t="s">
        <v>25</v>
      </c>
      <c r="G17" s="95" t="s">
        <v>26</v>
      </c>
      <c r="H17" s="95">
        <f t="shared" si="2"/>
        <v>15.304</v>
      </c>
      <c r="I17" s="78">
        <f t="shared" si="3"/>
        <v>183.6</v>
      </c>
      <c r="J17" s="20">
        <v>204</v>
      </c>
      <c r="K17" s="75">
        <f t="shared" si="4"/>
        <v>214.2</v>
      </c>
    </row>
    <row r="18" spans="1:11">
      <c r="A18" s="75" t="s">
        <v>69</v>
      </c>
      <c r="B18" s="95">
        <v>10</v>
      </c>
      <c r="C18" s="76">
        <f t="shared" si="0"/>
        <v>0.254</v>
      </c>
      <c r="D18" s="76">
        <f t="shared" si="1"/>
        <v>0.31496</v>
      </c>
      <c r="E18" s="95" t="s">
        <v>31</v>
      </c>
      <c r="F18" s="96" t="s">
        <v>25</v>
      </c>
      <c r="G18" s="95" t="s">
        <v>26</v>
      </c>
      <c r="H18" s="95">
        <f t="shared" si="2"/>
        <v>16.879</v>
      </c>
      <c r="I18" s="78">
        <f t="shared" si="3"/>
        <v>202.5</v>
      </c>
      <c r="J18" s="20">
        <v>225</v>
      </c>
      <c r="K18" s="75">
        <f t="shared" si="4"/>
        <v>236.25</v>
      </c>
    </row>
    <row r="19" spans="1:11">
      <c r="A19" s="75" t="s">
        <v>69</v>
      </c>
      <c r="B19" s="95">
        <v>12</v>
      </c>
      <c r="C19" s="76">
        <f t="shared" si="0"/>
        <v>0.3048</v>
      </c>
      <c r="D19" s="76">
        <f t="shared" si="1"/>
        <v>0.36576</v>
      </c>
      <c r="E19" s="99" t="s">
        <v>32</v>
      </c>
      <c r="F19" s="96" t="s">
        <v>25</v>
      </c>
      <c r="G19" s="95" t="s">
        <v>26</v>
      </c>
      <c r="H19" s="95">
        <f t="shared" si="2"/>
        <v>18.005</v>
      </c>
      <c r="I19" s="78">
        <f t="shared" si="3"/>
        <v>216</v>
      </c>
      <c r="J19" s="20">
        <v>240</v>
      </c>
      <c r="K19" s="75">
        <f t="shared" si="4"/>
        <v>252</v>
      </c>
    </row>
    <row r="20" spans="1:11">
      <c r="A20" s="75" t="s">
        <v>69</v>
      </c>
      <c r="B20" s="95">
        <v>14</v>
      </c>
      <c r="C20" s="76">
        <f t="shared" si="0"/>
        <v>0.3556</v>
      </c>
      <c r="D20" s="76">
        <f t="shared" si="1"/>
        <v>0.41656</v>
      </c>
      <c r="E20" s="99" t="s">
        <v>33</v>
      </c>
      <c r="F20" s="96" t="s">
        <v>25</v>
      </c>
      <c r="G20" s="95" t="s">
        <v>26</v>
      </c>
      <c r="H20" s="95">
        <f t="shared" si="2"/>
        <v>17.254</v>
      </c>
      <c r="I20" s="78">
        <f t="shared" si="3"/>
        <v>207</v>
      </c>
      <c r="J20" s="20">
        <v>230</v>
      </c>
      <c r="K20" s="75">
        <f t="shared" si="4"/>
        <v>241.5</v>
      </c>
    </row>
    <row r="21" spans="1:11">
      <c r="A21" s="75" t="s">
        <v>69</v>
      </c>
      <c r="B21" s="95">
        <v>16</v>
      </c>
      <c r="C21" s="76">
        <f t="shared" si="0"/>
        <v>0.4064</v>
      </c>
      <c r="D21" s="76">
        <f t="shared" si="1"/>
        <v>0.46736</v>
      </c>
      <c r="E21" s="99" t="s">
        <v>33</v>
      </c>
      <c r="F21" s="96" t="s">
        <v>25</v>
      </c>
      <c r="G21" s="95" t="s">
        <v>26</v>
      </c>
      <c r="H21" s="95">
        <f t="shared" si="2"/>
        <v>17.554</v>
      </c>
      <c r="I21" s="78">
        <f t="shared" si="3"/>
        <v>210.6</v>
      </c>
      <c r="J21" s="20">
        <v>234</v>
      </c>
      <c r="K21" s="75">
        <f t="shared" si="4"/>
        <v>245.7</v>
      </c>
    </row>
    <row r="22" spans="1:11">
      <c r="A22" s="75" t="s">
        <v>69</v>
      </c>
      <c r="B22" s="95">
        <v>20</v>
      </c>
      <c r="C22" s="76">
        <f t="shared" si="0"/>
        <v>0.508</v>
      </c>
      <c r="D22" s="76">
        <f t="shared" si="1"/>
        <v>0.56896</v>
      </c>
      <c r="E22" s="75" t="s">
        <v>34</v>
      </c>
      <c r="F22" s="96" t="s">
        <v>25</v>
      </c>
      <c r="G22" s="95" t="s">
        <v>26</v>
      </c>
      <c r="H22" s="95">
        <f t="shared" si="2"/>
        <v>19.655</v>
      </c>
      <c r="I22" s="78">
        <f t="shared" si="3"/>
        <v>235.8</v>
      </c>
      <c r="J22" s="20">
        <v>262</v>
      </c>
      <c r="K22" s="75">
        <f t="shared" si="4"/>
        <v>275.1</v>
      </c>
    </row>
    <row r="23" spans="1:11">
      <c r="A23" s="75" t="s">
        <v>69</v>
      </c>
      <c r="B23" s="95">
        <v>24</v>
      </c>
      <c r="C23" s="76">
        <f t="shared" si="0"/>
        <v>0.6096</v>
      </c>
      <c r="D23" s="76">
        <f t="shared" si="1"/>
        <v>0.67056</v>
      </c>
      <c r="E23" s="99" t="s">
        <v>35</v>
      </c>
      <c r="F23" s="96" t="s">
        <v>25</v>
      </c>
      <c r="G23" s="95" t="s">
        <v>26</v>
      </c>
      <c r="H23" s="95">
        <f t="shared" si="2"/>
        <v>19.88</v>
      </c>
      <c r="I23" s="78">
        <f t="shared" si="3"/>
        <v>238.5</v>
      </c>
      <c r="J23" s="20">
        <v>265</v>
      </c>
      <c r="K23" s="75">
        <f t="shared" si="4"/>
        <v>278.25</v>
      </c>
    </row>
    <row r="24" spans="1:11">
      <c r="A24" s="75" t="s">
        <v>69</v>
      </c>
      <c r="B24" s="95">
        <v>28</v>
      </c>
      <c r="C24" s="76">
        <f t="shared" si="0"/>
        <v>0.7112</v>
      </c>
      <c r="D24" s="76">
        <f t="shared" si="1"/>
        <v>0.77216</v>
      </c>
      <c r="E24" s="75" t="s">
        <v>36</v>
      </c>
      <c r="F24" s="96" t="s">
        <v>25</v>
      </c>
      <c r="G24" s="95" t="s">
        <v>26</v>
      </c>
      <c r="H24" s="95">
        <f t="shared" si="2"/>
        <v>21.755</v>
      </c>
      <c r="I24" s="78">
        <f t="shared" si="3"/>
        <v>261</v>
      </c>
      <c r="J24" s="20">
        <v>290</v>
      </c>
      <c r="K24" s="75">
        <f t="shared" si="4"/>
        <v>304.5</v>
      </c>
    </row>
    <row r="25" spans="1:11">
      <c r="A25" s="75" t="s">
        <v>69</v>
      </c>
      <c r="B25" s="95">
        <v>37</v>
      </c>
      <c r="C25" s="76">
        <f t="shared" si="0"/>
        <v>0.9398</v>
      </c>
      <c r="D25" s="76">
        <f t="shared" si="1"/>
        <v>1.00076</v>
      </c>
      <c r="E25" s="99" t="s">
        <v>37</v>
      </c>
      <c r="F25" s="96" t="s">
        <v>25</v>
      </c>
      <c r="G25" s="95" t="s">
        <v>26</v>
      </c>
      <c r="H25" s="95">
        <f t="shared" si="2"/>
        <v>23.706</v>
      </c>
      <c r="I25" s="78">
        <f t="shared" si="3"/>
        <v>284.4</v>
      </c>
      <c r="J25" s="20">
        <v>316</v>
      </c>
      <c r="K25" s="75">
        <f t="shared" si="4"/>
        <v>331.8</v>
      </c>
    </row>
    <row r="26" spans="1:11">
      <c r="A26" s="75" t="s">
        <v>69</v>
      </c>
      <c r="B26" s="75">
        <v>41</v>
      </c>
      <c r="C26" s="76">
        <f t="shared" si="0"/>
        <v>1.0414</v>
      </c>
      <c r="D26" s="76">
        <f t="shared" si="1"/>
        <v>1.10236</v>
      </c>
      <c r="E26" s="75" t="s">
        <v>38</v>
      </c>
      <c r="F26" s="77" t="s">
        <v>25</v>
      </c>
      <c r="G26" s="95" t="s">
        <v>26</v>
      </c>
      <c r="H26" s="95">
        <f t="shared" si="2"/>
        <v>25.056</v>
      </c>
      <c r="I26" s="78">
        <f t="shared" si="3"/>
        <v>300.6</v>
      </c>
      <c r="J26" s="20">
        <v>334</v>
      </c>
      <c r="K26" s="75">
        <f t="shared" si="4"/>
        <v>350.7</v>
      </c>
    </row>
    <row r="27" spans="1:11">
      <c r="A27" s="75" t="s">
        <v>69</v>
      </c>
      <c r="B27" s="75">
        <v>45</v>
      </c>
      <c r="C27" s="76">
        <f t="shared" si="0"/>
        <v>1.143</v>
      </c>
      <c r="D27" s="76">
        <f t="shared" si="1"/>
        <v>1.20396</v>
      </c>
      <c r="E27" s="75" t="s">
        <v>38</v>
      </c>
      <c r="F27" s="77" t="s">
        <v>25</v>
      </c>
      <c r="G27" s="95" t="s">
        <v>26</v>
      </c>
      <c r="H27" s="95">
        <f t="shared" si="2"/>
        <v>25.506</v>
      </c>
      <c r="I27" s="78">
        <f t="shared" si="3"/>
        <v>306</v>
      </c>
      <c r="J27" s="20">
        <v>340</v>
      </c>
      <c r="K27" s="75">
        <f t="shared" si="4"/>
        <v>357</v>
      </c>
    </row>
    <row r="28" spans="1:11">
      <c r="A28" s="75" t="s">
        <v>69</v>
      </c>
      <c r="B28" s="75">
        <v>49</v>
      </c>
      <c r="C28" s="76">
        <f t="shared" si="0"/>
        <v>1.2446</v>
      </c>
      <c r="D28" s="76">
        <f t="shared" si="1"/>
        <v>1.30556</v>
      </c>
      <c r="E28" s="75" t="s">
        <v>39</v>
      </c>
      <c r="F28" s="77" t="s">
        <v>25</v>
      </c>
      <c r="G28" s="95" t="s">
        <v>26</v>
      </c>
      <c r="H28" s="95">
        <f t="shared" si="2"/>
        <v>27.907</v>
      </c>
      <c r="I28" s="78">
        <f t="shared" si="3"/>
        <v>334.8</v>
      </c>
      <c r="J28" s="20">
        <v>372</v>
      </c>
      <c r="K28" s="75">
        <f t="shared" si="4"/>
        <v>390.6</v>
      </c>
    </row>
    <row r="29" spans="1:11">
      <c r="A29" s="75" t="s">
        <v>69</v>
      </c>
      <c r="B29" s="75">
        <v>57</v>
      </c>
      <c r="C29" s="76">
        <f t="shared" si="0"/>
        <v>1.4478</v>
      </c>
      <c r="D29" s="76">
        <f t="shared" si="1"/>
        <v>1.50876</v>
      </c>
      <c r="E29" s="75" t="s">
        <v>40</v>
      </c>
      <c r="F29" s="77" t="s">
        <v>25</v>
      </c>
      <c r="G29" s="95" t="s">
        <v>26</v>
      </c>
      <c r="H29" s="95">
        <f t="shared" si="2"/>
        <v>30.158</v>
      </c>
      <c r="I29" s="78">
        <f t="shared" si="3"/>
        <v>361.8</v>
      </c>
      <c r="J29" s="20">
        <v>402</v>
      </c>
      <c r="K29" s="75">
        <f t="shared" si="4"/>
        <v>422.1</v>
      </c>
    </row>
    <row r="30" spans="1:11">
      <c r="A30" s="75" t="s">
        <v>69</v>
      </c>
      <c r="B30" s="95">
        <v>2</v>
      </c>
      <c r="C30" s="76">
        <f t="shared" si="0"/>
        <v>0.0508</v>
      </c>
      <c r="D30" s="76">
        <f t="shared" si="1"/>
        <v>0.11176</v>
      </c>
      <c r="E30" s="99" t="s">
        <v>24</v>
      </c>
      <c r="F30" s="96" t="s">
        <v>41</v>
      </c>
      <c r="G30" s="95" t="s">
        <v>26</v>
      </c>
      <c r="H30" s="95">
        <f t="shared" si="2"/>
        <v>9.752</v>
      </c>
      <c r="I30" s="78">
        <f t="shared" si="3"/>
        <v>117</v>
      </c>
      <c r="J30" s="20">
        <v>130</v>
      </c>
      <c r="K30" s="75">
        <f t="shared" si="4"/>
        <v>136.5</v>
      </c>
    </row>
    <row r="31" spans="1:11">
      <c r="A31" s="75" t="s">
        <v>69</v>
      </c>
      <c r="B31" s="95">
        <v>2.5</v>
      </c>
      <c r="C31" s="76">
        <f t="shared" si="0"/>
        <v>0.0635</v>
      </c>
      <c r="D31" s="76">
        <f>(B31+1.3)*25.4*0.001</f>
        <v>0.09652</v>
      </c>
      <c r="E31" s="99" t="s">
        <v>70</v>
      </c>
      <c r="F31" s="96" t="s">
        <v>41</v>
      </c>
      <c r="G31" s="95" t="s">
        <v>26</v>
      </c>
      <c r="H31" s="95">
        <f t="shared" si="2"/>
        <v>10.128</v>
      </c>
      <c r="I31" s="78">
        <f t="shared" si="3"/>
        <v>121.5</v>
      </c>
      <c r="J31" s="20">
        <v>135</v>
      </c>
      <c r="K31" s="75">
        <f t="shared" si="4"/>
        <v>141.75</v>
      </c>
    </row>
    <row r="32" spans="1:11">
      <c r="A32" s="75" t="s">
        <v>69</v>
      </c>
      <c r="B32" s="95">
        <v>3</v>
      </c>
      <c r="C32" s="76">
        <f t="shared" si="0"/>
        <v>0.0762</v>
      </c>
      <c r="D32" s="76">
        <f>(B32+1.2)*25.4*0.001</f>
        <v>0.10668</v>
      </c>
      <c r="E32" s="95" t="s">
        <v>27</v>
      </c>
      <c r="F32" s="96" t="s">
        <v>41</v>
      </c>
      <c r="G32" s="95" t="s">
        <v>26</v>
      </c>
      <c r="H32" s="95">
        <f t="shared" si="2"/>
        <v>10.128</v>
      </c>
      <c r="I32" s="78">
        <f t="shared" si="3"/>
        <v>121.5</v>
      </c>
      <c r="J32" s="20">
        <v>135</v>
      </c>
      <c r="K32" s="75">
        <f t="shared" si="4"/>
        <v>141.75</v>
      </c>
    </row>
    <row r="33" spans="1:11">
      <c r="A33" s="25" t="s">
        <v>69</v>
      </c>
      <c r="B33" s="119">
        <v>3</v>
      </c>
      <c r="C33" s="26">
        <f t="shared" si="0"/>
        <v>0.0762</v>
      </c>
      <c r="D33" s="26">
        <f>(B33+1.2)*25.4*0.001</f>
        <v>0.10668</v>
      </c>
      <c r="E33" s="119" t="s">
        <v>27</v>
      </c>
      <c r="F33" s="120" t="s">
        <v>41</v>
      </c>
      <c r="G33" s="119" t="s">
        <v>72</v>
      </c>
      <c r="H33" s="119">
        <f t="shared" si="2"/>
        <v>11.253</v>
      </c>
      <c r="I33" s="38">
        <f t="shared" si="3"/>
        <v>135</v>
      </c>
      <c r="J33" s="25">
        <v>150</v>
      </c>
      <c r="K33" s="25">
        <f t="shared" si="4"/>
        <v>157.5</v>
      </c>
    </row>
    <row r="34" spans="1:11">
      <c r="A34" s="75" t="s">
        <v>69</v>
      </c>
      <c r="B34" s="95">
        <v>4</v>
      </c>
      <c r="C34" s="76">
        <f t="shared" si="0"/>
        <v>0.1016</v>
      </c>
      <c r="D34" s="76">
        <f t="shared" ref="D34:D50" si="5">(B34+1.2)*25.4*0.001</f>
        <v>0.13208</v>
      </c>
      <c r="E34" s="95" t="s">
        <v>28</v>
      </c>
      <c r="F34" s="96" t="s">
        <v>41</v>
      </c>
      <c r="G34" s="95" t="s">
        <v>26</v>
      </c>
      <c r="H34" s="95">
        <f t="shared" si="2"/>
        <v>10.203</v>
      </c>
      <c r="I34" s="78">
        <f t="shared" si="3"/>
        <v>122.4</v>
      </c>
      <c r="J34" s="20">
        <v>136</v>
      </c>
      <c r="K34" s="75">
        <f t="shared" si="4"/>
        <v>142.8</v>
      </c>
    </row>
    <row r="35" spans="1:11">
      <c r="A35" s="75" t="s">
        <v>69</v>
      </c>
      <c r="B35" s="95">
        <v>5</v>
      </c>
      <c r="C35" s="76">
        <f t="shared" si="0"/>
        <v>0.127</v>
      </c>
      <c r="D35" s="76">
        <f t="shared" si="5"/>
        <v>0.15748</v>
      </c>
      <c r="E35" s="95" t="s">
        <v>28</v>
      </c>
      <c r="F35" s="96" t="s">
        <v>41</v>
      </c>
      <c r="G35" s="95" t="s">
        <v>26</v>
      </c>
      <c r="H35" s="95">
        <f t="shared" si="2"/>
        <v>10.353</v>
      </c>
      <c r="I35" s="78">
        <f t="shared" si="3"/>
        <v>124.2</v>
      </c>
      <c r="J35" s="20">
        <v>138</v>
      </c>
      <c r="K35" s="75">
        <f t="shared" si="4"/>
        <v>144.9</v>
      </c>
    </row>
    <row r="36" spans="1:11">
      <c r="A36" s="75" t="s">
        <v>69</v>
      </c>
      <c r="B36" s="95">
        <v>6</v>
      </c>
      <c r="C36" s="76">
        <f t="shared" si="0"/>
        <v>0.1524</v>
      </c>
      <c r="D36" s="76">
        <f t="shared" si="5"/>
        <v>0.18288</v>
      </c>
      <c r="E36" s="95" t="s">
        <v>29</v>
      </c>
      <c r="F36" s="96" t="s">
        <v>41</v>
      </c>
      <c r="G36" s="95" t="s">
        <v>26</v>
      </c>
      <c r="H36" s="95">
        <f t="shared" si="2"/>
        <v>10.353</v>
      </c>
      <c r="I36" s="78">
        <f t="shared" si="3"/>
        <v>124.2</v>
      </c>
      <c r="J36" s="20">
        <v>138</v>
      </c>
      <c r="K36" s="75">
        <f t="shared" si="4"/>
        <v>144.9</v>
      </c>
    </row>
    <row r="37" spans="1:11">
      <c r="A37" s="75" t="s">
        <v>69</v>
      </c>
      <c r="B37" s="95">
        <v>8</v>
      </c>
      <c r="C37" s="76">
        <f t="shared" si="0"/>
        <v>0.2032</v>
      </c>
      <c r="D37" s="76">
        <f t="shared" si="5"/>
        <v>0.23368</v>
      </c>
      <c r="E37" s="95" t="s">
        <v>30</v>
      </c>
      <c r="F37" s="96" t="s">
        <v>41</v>
      </c>
      <c r="G37" s="95" t="s">
        <v>26</v>
      </c>
      <c r="H37" s="95">
        <f t="shared" si="2"/>
        <v>10.353</v>
      </c>
      <c r="I37" s="78">
        <f t="shared" si="3"/>
        <v>124.2</v>
      </c>
      <c r="J37" s="20">
        <v>138</v>
      </c>
      <c r="K37" s="75">
        <f t="shared" si="4"/>
        <v>144.9</v>
      </c>
    </row>
    <row r="38" spans="1:11">
      <c r="A38" s="75" t="s">
        <v>69</v>
      </c>
      <c r="B38" s="95">
        <v>10</v>
      </c>
      <c r="C38" s="76">
        <f t="shared" si="0"/>
        <v>0.254</v>
      </c>
      <c r="D38" s="76">
        <f t="shared" si="5"/>
        <v>0.28448</v>
      </c>
      <c r="E38" s="95" t="s">
        <v>31</v>
      </c>
      <c r="F38" s="96" t="s">
        <v>41</v>
      </c>
      <c r="G38" s="95" t="s">
        <v>26</v>
      </c>
      <c r="H38" s="95">
        <f t="shared" si="2"/>
        <v>12.378</v>
      </c>
      <c r="I38" s="78">
        <f t="shared" si="3"/>
        <v>148.5</v>
      </c>
      <c r="J38" s="20">
        <v>165</v>
      </c>
      <c r="K38" s="75">
        <f t="shared" si="4"/>
        <v>173.25</v>
      </c>
    </row>
    <row r="39" spans="1:11">
      <c r="A39" s="75" t="s">
        <v>69</v>
      </c>
      <c r="B39" s="95">
        <v>12</v>
      </c>
      <c r="C39" s="76">
        <f t="shared" si="0"/>
        <v>0.3048</v>
      </c>
      <c r="D39" s="76">
        <f t="shared" si="5"/>
        <v>0.33528</v>
      </c>
      <c r="E39" s="99" t="s">
        <v>32</v>
      </c>
      <c r="F39" s="96" t="s">
        <v>41</v>
      </c>
      <c r="G39" s="95" t="s">
        <v>26</v>
      </c>
      <c r="H39" s="95">
        <f t="shared" si="2"/>
        <v>12.603</v>
      </c>
      <c r="I39" s="78">
        <f t="shared" si="3"/>
        <v>151.2</v>
      </c>
      <c r="J39" s="20">
        <v>168</v>
      </c>
      <c r="K39" s="75">
        <f t="shared" si="4"/>
        <v>176.4</v>
      </c>
    </row>
    <row r="40" spans="1:11">
      <c r="A40" s="75" t="s">
        <v>69</v>
      </c>
      <c r="B40" s="95">
        <v>14</v>
      </c>
      <c r="C40" s="76">
        <f t="shared" si="0"/>
        <v>0.3556</v>
      </c>
      <c r="D40" s="76">
        <f t="shared" si="5"/>
        <v>0.38608</v>
      </c>
      <c r="E40" s="99" t="s">
        <v>33</v>
      </c>
      <c r="F40" s="96" t="s">
        <v>41</v>
      </c>
      <c r="G40" s="95" t="s">
        <v>26</v>
      </c>
      <c r="H40" s="95">
        <f t="shared" si="2"/>
        <v>12.378</v>
      </c>
      <c r="I40" s="78">
        <f t="shared" si="3"/>
        <v>148.5</v>
      </c>
      <c r="J40" s="20">
        <v>165</v>
      </c>
      <c r="K40" s="75">
        <f t="shared" si="4"/>
        <v>173.25</v>
      </c>
    </row>
    <row r="41" spans="1:11">
      <c r="A41" s="75" t="s">
        <v>69</v>
      </c>
      <c r="B41" s="75">
        <v>16</v>
      </c>
      <c r="C41" s="76">
        <f t="shared" si="0"/>
        <v>0.4064</v>
      </c>
      <c r="D41" s="76">
        <f t="shared" si="5"/>
        <v>0.43688</v>
      </c>
      <c r="E41" s="99" t="s">
        <v>33</v>
      </c>
      <c r="F41" s="77" t="s">
        <v>41</v>
      </c>
      <c r="G41" s="75" t="s">
        <v>26</v>
      </c>
      <c r="H41" s="95">
        <f t="shared" si="2"/>
        <v>12.603</v>
      </c>
      <c r="I41" s="78">
        <f t="shared" si="3"/>
        <v>151.2</v>
      </c>
      <c r="J41" s="20">
        <v>168</v>
      </c>
      <c r="K41" s="75">
        <f t="shared" si="4"/>
        <v>176.4</v>
      </c>
    </row>
    <row r="42" spans="1:11">
      <c r="A42" s="75" t="s">
        <v>69</v>
      </c>
      <c r="B42" s="95">
        <v>20</v>
      </c>
      <c r="C42" s="76">
        <f t="shared" si="0"/>
        <v>0.508</v>
      </c>
      <c r="D42" s="76">
        <f t="shared" si="5"/>
        <v>0.53848</v>
      </c>
      <c r="E42" s="75" t="s">
        <v>34</v>
      </c>
      <c r="F42" s="96" t="s">
        <v>41</v>
      </c>
      <c r="G42" s="95" t="s">
        <v>26</v>
      </c>
      <c r="H42" s="95">
        <f t="shared" si="2"/>
        <v>14.854</v>
      </c>
      <c r="I42" s="78">
        <f t="shared" si="3"/>
        <v>178.2</v>
      </c>
      <c r="J42" s="20">
        <v>198</v>
      </c>
      <c r="K42" s="75">
        <f t="shared" si="4"/>
        <v>207.9</v>
      </c>
    </row>
    <row r="43" spans="1:11">
      <c r="A43" s="75" t="s">
        <v>69</v>
      </c>
      <c r="B43" s="95">
        <v>24</v>
      </c>
      <c r="C43" s="76">
        <f t="shared" si="0"/>
        <v>0.6096</v>
      </c>
      <c r="D43" s="76">
        <f t="shared" si="5"/>
        <v>0.64008</v>
      </c>
      <c r="E43" s="99" t="s">
        <v>35</v>
      </c>
      <c r="F43" s="96" t="s">
        <v>41</v>
      </c>
      <c r="G43" s="95" t="s">
        <v>26</v>
      </c>
      <c r="H43" s="95">
        <f t="shared" si="2"/>
        <v>15.154</v>
      </c>
      <c r="I43" s="78">
        <f t="shared" si="3"/>
        <v>181.8</v>
      </c>
      <c r="J43" s="20">
        <v>202</v>
      </c>
      <c r="K43" s="75">
        <f t="shared" si="4"/>
        <v>212.1</v>
      </c>
    </row>
    <row r="44" spans="1:11">
      <c r="A44" s="75" t="s">
        <v>69</v>
      </c>
      <c r="B44" s="95">
        <v>28</v>
      </c>
      <c r="C44" s="76">
        <f t="shared" si="0"/>
        <v>0.7112</v>
      </c>
      <c r="D44" s="76">
        <f t="shared" si="5"/>
        <v>0.74168</v>
      </c>
      <c r="E44" s="99" t="s">
        <v>43</v>
      </c>
      <c r="F44" s="96" t="s">
        <v>41</v>
      </c>
      <c r="G44" s="95" t="s">
        <v>26</v>
      </c>
      <c r="H44" s="95">
        <f t="shared" si="2"/>
        <v>16.879</v>
      </c>
      <c r="I44" s="78">
        <f t="shared" si="3"/>
        <v>202.5</v>
      </c>
      <c r="J44" s="20">
        <v>225</v>
      </c>
      <c r="K44" s="75">
        <f t="shared" si="4"/>
        <v>236.25</v>
      </c>
    </row>
    <row r="45" spans="1:11">
      <c r="A45" s="25" t="s">
        <v>69</v>
      </c>
      <c r="B45" s="119">
        <v>30.31</v>
      </c>
      <c r="C45" s="26">
        <f t="shared" si="0"/>
        <v>0.769874</v>
      </c>
      <c r="D45" s="26">
        <f t="shared" si="5"/>
        <v>0.800354</v>
      </c>
      <c r="E45" s="121" t="s">
        <v>43</v>
      </c>
      <c r="F45" s="120" t="s">
        <v>41</v>
      </c>
      <c r="G45" s="119" t="s">
        <v>26</v>
      </c>
      <c r="H45" s="119">
        <f t="shared" si="2"/>
        <v>17.254</v>
      </c>
      <c r="I45" s="38">
        <f t="shared" si="3"/>
        <v>207</v>
      </c>
      <c r="J45" s="25">
        <v>230</v>
      </c>
      <c r="K45" s="25">
        <f t="shared" si="4"/>
        <v>241.5</v>
      </c>
    </row>
    <row r="46" spans="1:11">
      <c r="A46" s="75" t="s">
        <v>69</v>
      </c>
      <c r="B46" s="95">
        <v>38</v>
      </c>
      <c r="C46" s="76">
        <f t="shared" si="0"/>
        <v>0.9652</v>
      </c>
      <c r="D46" s="76">
        <f t="shared" si="5"/>
        <v>0.99568</v>
      </c>
      <c r="E46" s="99" t="s">
        <v>37</v>
      </c>
      <c r="F46" s="96" t="s">
        <v>41</v>
      </c>
      <c r="G46" s="95" t="s">
        <v>26</v>
      </c>
      <c r="H46" s="95">
        <f t="shared" si="2"/>
        <v>18.755</v>
      </c>
      <c r="I46" s="78">
        <f t="shared" si="3"/>
        <v>225</v>
      </c>
      <c r="J46" s="20">
        <v>250</v>
      </c>
      <c r="K46" s="75">
        <f t="shared" si="4"/>
        <v>262.5</v>
      </c>
    </row>
    <row r="47" spans="1:11">
      <c r="A47" s="75" t="s">
        <v>69</v>
      </c>
      <c r="B47" s="75">
        <v>42</v>
      </c>
      <c r="C47" s="76">
        <f t="shared" si="0"/>
        <v>1.0668</v>
      </c>
      <c r="D47" s="76">
        <f t="shared" si="5"/>
        <v>1.09728</v>
      </c>
      <c r="E47" s="75" t="s">
        <v>38</v>
      </c>
      <c r="F47" s="77" t="s">
        <v>41</v>
      </c>
      <c r="G47" s="75" t="s">
        <v>26</v>
      </c>
      <c r="H47" s="95">
        <f t="shared" si="2"/>
        <v>20.63</v>
      </c>
      <c r="I47" s="78">
        <f t="shared" si="3"/>
        <v>247.5</v>
      </c>
      <c r="J47" s="20">
        <v>275</v>
      </c>
      <c r="K47" s="75">
        <f t="shared" si="4"/>
        <v>288.75</v>
      </c>
    </row>
    <row r="48" spans="1:11">
      <c r="A48" s="75" t="s">
        <v>69</v>
      </c>
      <c r="B48" s="75">
        <v>46</v>
      </c>
      <c r="C48" s="76">
        <f t="shared" si="0"/>
        <v>1.1684</v>
      </c>
      <c r="D48" s="76">
        <f t="shared" si="5"/>
        <v>1.19888</v>
      </c>
      <c r="E48" s="75" t="s">
        <v>38</v>
      </c>
      <c r="F48" s="77" t="s">
        <v>41</v>
      </c>
      <c r="G48" s="75" t="s">
        <v>26</v>
      </c>
      <c r="H48" s="95">
        <f t="shared" si="2"/>
        <v>21.38</v>
      </c>
      <c r="I48" s="78">
        <f t="shared" si="3"/>
        <v>256.5</v>
      </c>
      <c r="J48" s="20">
        <v>285</v>
      </c>
      <c r="K48" s="75">
        <f t="shared" si="4"/>
        <v>299.25</v>
      </c>
    </row>
    <row r="49" spans="1:11">
      <c r="A49" s="75" t="s">
        <v>69</v>
      </c>
      <c r="B49" s="75">
        <v>50</v>
      </c>
      <c r="C49" s="76">
        <f t="shared" si="0"/>
        <v>1.27</v>
      </c>
      <c r="D49" s="76">
        <f t="shared" si="5"/>
        <v>1.30048</v>
      </c>
      <c r="E49" s="75" t="s">
        <v>39</v>
      </c>
      <c r="F49" s="77" t="s">
        <v>41</v>
      </c>
      <c r="G49" s="75" t="s">
        <v>26</v>
      </c>
      <c r="H49" s="95">
        <f t="shared" si="2"/>
        <v>23.256</v>
      </c>
      <c r="I49" s="78">
        <f t="shared" si="3"/>
        <v>279</v>
      </c>
      <c r="J49" s="20">
        <v>310</v>
      </c>
      <c r="K49" s="75">
        <f t="shared" si="4"/>
        <v>325.5</v>
      </c>
    </row>
    <row r="50" spans="1:11">
      <c r="A50" s="75" t="s">
        <v>69</v>
      </c>
      <c r="B50" s="75">
        <v>58</v>
      </c>
      <c r="C50" s="76">
        <f t="shared" si="0"/>
        <v>1.4732</v>
      </c>
      <c r="D50" s="76">
        <f t="shared" si="5"/>
        <v>1.50368</v>
      </c>
      <c r="E50" s="75" t="s">
        <v>40</v>
      </c>
      <c r="F50" s="77" t="s">
        <v>41</v>
      </c>
      <c r="G50" s="75" t="s">
        <v>26</v>
      </c>
      <c r="H50" s="95">
        <f t="shared" si="2"/>
        <v>25.506</v>
      </c>
      <c r="I50" s="78">
        <f t="shared" si="3"/>
        <v>306</v>
      </c>
      <c r="J50" s="20">
        <v>340</v>
      </c>
      <c r="K50" s="75">
        <f t="shared" si="4"/>
        <v>357</v>
      </c>
    </row>
    <row r="51" spans="1:11">
      <c r="A51" s="75" t="s">
        <v>69</v>
      </c>
      <c r="B51" s="75">
        <v>4</v>
      </c>
      <c r="C51" s="76">
        <f t="shared" si="0"/>
        <v>0.1016</v>
      </c>
      <c r="D51" s="76">
        <f>(B51+5.2)*25.4*0.001</f>
        <v>0.23368</v>
      </c>
      <c r="E51" s="75" t="s">
        <v>45</v>
      </c>
      <c r="F51" s="77" t="s">
        <v>46</v>
      </c>
      <c r="G51" s="75" t="s">
        <v>26</v>
      </c>
      <c r="H51" s="95">
        <f t="shared" si="2"/>
        <v>26.332</v>
      </c>
      <c r="I51" s="78">
        <f t="shared" si="3"/>
        <v>315.9</v>
      </c>
      <c r="J51" s="20">
        <v>351</v>
      </c>
      <c r="K51" s="75">
        <f t="shared" si="4"/>
        <v>368.55</v>
      </c>
    </row>
    <row r="52" spans="1:11">
      <c r="A52" s="25" t="s">
        <v>69</v>
      </c>
      <c r="B52" s="25">
        <v>2.5</v>
      </c>
      <c r="C52" s="26">
        <f t="shared" si="0"/>
        <v>0.0635</v>
      </c>
      <c r="D52" s="26">
        <f>(B52+5.2)*25.4*0.001</f>
        <v>0.19558</v>
      </c>
      <c r="E52" s="25" t="s">
        <v>70</v>
      </c>
      <c r="F52" s="27" t="s">
        <v>46</v>
      </c>
      <c r="G52" s="25" t="s">
        <v>26</v>
      </c>
      <c r="H52" s="119">
        <f t="shared" si="2"/>
        <v>26.107</v>
      </c>
      <c r="I52" s="38">
        <f t="shared" si="3"/>
        <v>313.2</v>
      </c>
      <c r="J52" s="25">
        <v>348</v>
      </c>
      <c r="K52" s="25">
        <f t="shared" si="4"/>
        <v>365.4</v>
      </c>
    </row>
    <row r="53" spans="1:1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</row>
    <row r="54" ht="21" spans="1:11">
      <c r="A54" s="123" t="s">
        <v>73</v>
      </c>
      <c r="B54" s="123"/>
      <c r="C54" s="123"/>
      <c r="D54" s="123"/>
      <c r="E54" s="123"/>
      <c r="F54" s="123"/>
      <c r="G54" s="123"/>
      <c r="H54" s="123"/>
      <c r="I54" s="123"/>
      <c r="J54" s="123"/>
      <c r="K54" s="123"/>
    </row>
    <row r="55" ht="19.8" customHeight="1" spans="1:11">
      <c r="A55" s="111" t="s">
        <v>12</v>
      </c>
      <c r="B55" s="111" t="s">
        <v>49</v>
      </c>
      <c r="C55" s="111" t="s">
        <v>50</v>
      </c>
      <c r="D55" s="111" t="s">
        <v>51</v>
      </c>
      <c r="E55" s="111" t="s">
        <v>52</v>
      </c>
      <c r="F55" s="112" t="s">
        <v>53</v>
      </c>
      <c r="G55" s="113" t="s">
        <v>54</v>
      </c>
      <c r="H55" s="33" t="s">
        <v>55</v>
      </c>
      <c r="I55" s="34"/>
      <c r="J55" s="33" t="s">
        <v>56</v>
      </c>
      <c r="K55" s="34"/>
    </row>
    <row r="56" spans="1:11">
      <c r="A56" s="25" t="s">
        <v>74</v>
      </c>
      <c r="B56" s="25">
        <v>106</v>
      </c>
      <c r="C56" s="36">
        <v>0.72</v>
      </c>
      <c r="D56" s="35">
        <v>300</v>
      </c>
      <c r="E56" s="37" t="s">
        <v>58</v>
      </c>
      <c r="F56" s="119">
        <v>3937</v>
      </c>
      <c r="G56" s="25">
        <f t="shared" ref="G56:G65" si="6">ROUND(H56*300/3937,3)</f>
        <v>2.515</v>
      </c>
      <c r="H56" s="86">
        <v>33</v>
      </c>
      <c r="I56" s="86"/>
      <c r="J56" s="38">
        <f t="shared" ref="J56:J65" si="7">ROUND(H56*D56,2)</f>
        <v>9900</v>
      </c>
      <c r="K56" s="38"/>
    </row>
    <row r="57" spans="1:11">
      <c r="A57" s="75" t="s">
        <v>74</v>
      </c>
      <c r="B57" s="75">
        <v>106</v>
      </c>
      <c r="C57" s="81">
        <v>0.75</v>
      </c>
      <c r="D57" s="80">
        <v>300</v>
      </c>
      <c r="E57" s="82" t="s">
        <v>58</v>
      </c>
      <c r="F57" s="95">
        <v>3937</v>
      </c>
      <c r="G57" s="75">
        <f t="shared" si="6"/>
        <v>2.743</v>
      </c>
      <c r="H57" s="84">
        <v>36</v>
      </c>
      <c r="I57" s="84"/>
      <c r="J57" s="78">
        <f t="shared" si="7"/>
        <v>10800</v>
      </c>
      <c r="K57" s="78"/>
    </row>
    <row r="58" spans="1:11">
      <c r="A58" s="75" t="s">
        <v>74</v>
      </c>
      <c r="B58" s="75">
        <v>106</v>
      </c>
      <c r="C58" s="81">
        <v>0.76</v>
      </c>
      <c r="D58" s="80">
        <v>300</v>
      </c>
      <c r="E58" s="82" t="s">
        <v>58</v>
      </c>
      <c r="F58" s="95">
        <v>3937</v>
      </c>
      <c r="G58" s="75">
        <f t="shared" si="6"/>
        <v>2.819</v>
      </c>
      <c r="H58" s="84">
        <v>37</v>
      </c>
      <c r="I58" s="84"/>
      <c r="J58" s="78">
        <f t="shared" si="7"/>
        <v>11100</v>
      </c>
      <c r="K58" s="78"/>
    </row>
    <row r="59" spans="1:11">
      <c r="A59" s="25" t="s">
        <v>74</v>
      </c>
      <c r="B59" s="25">
        <v>1037</v>
      </c>
      <c r="C59" s="36">
        <v>0.73</v>
      </c>
      <c r="D59" s="35">
        <v>300</v>
      </c>
      <c r="E59" s="37" t="s">
        <v>58</v>
      </c>
      <c r="F59" s="119">
        <v>3937</v>
      </c>
      <c r="G59" s="25">
        <f t="shared" si="6"/>
        <v>3.505</v>
      </c>
      <c r="H59" s="86">
        <v>46</v>
      </c>
      <c r="I59" s="86"/>
      <c r="J59" s="38">
        <f t="shared" si="7"/>
        <v>13800</v>
      </c>
      <c r="K59" s="38"/>
    </row>
    <row r="60" spans="1:11">
      <c r="A60" s="25" t="s">
        <v>74</v>
      </c>
      <c r="B60" s="25">
        <v>1067</v>
      </c>
      <c r="C60" s="36">
        <v>0.75</v>
      </c>
      <c r="D60" s="35">
        <v>300</v>
      </c>
      <c r="E60" s="37" t="s">
        <v>58</v>
      </c>
      <c r="F60" s="119">
        <v>3937</v>
      </c>
      <c r="G60" s="25">
        <f t="shared" si="6"/>
        <v>3.048</v>
      </c>
      <c r="H60" s="86">
        <v>40</v>
      </c>
      <c r="I60" s="86"/>
      <c r="J60" s="38">
        <f t="shared" si="7"/>
        <v>12000</v>
      </c>
      <c r="K60" s="38"/>
    </row>
    <row r="61" spans="1:11">
      <c r="A61" s="75" t="s">
        <v>74</v>
      </c>
      <c r="B61" s="124">
        <v>1080</v>
      </c>
      <c r="C61" s="125">
        <v>0.62</v>
      </c>
      <c r="D61" s="126">
        <v>300</v>
      </c>
      <c r="E61" s="126" t="s">
        <v>59</v>
      </c>
      <c r="F61" s="127">
        <v>3937</v>
      </c>
      <c r="G61" s="75">
        <f t="shared" si="6"/>
        <v>2.591</v>
      </c>
      <c r="H61" s="84">
        <v>34</v>
      </c>
      <c r="I61" s="84"/>
      <c r="J61" s="78">
        <f t="shared" si="7"/>
        <v>10200</v>
      </c>
      <c r="K61" s="78"/>
    </row>
    <row r="62" spans="1:11">
      <c r="A62" s="75" t="s">
        <v>74</v>
      </c>
      <c r="B62" s="124">
        <v>1080</v>
      </c>
      <c r="C62" s="125">
        <v>0.65</v>
      </c>
      <c r="D62" s="126">
        <v>300</v>
      </c>
      <c r="E62" s="126" t="s">
        <v>59</v>
      </c>
      <c r="F62" s="127">
        <v>3937</v>
      </c>
      <c r="G62" s="75">
        <f t="shared" si="6"/>
        <v>2.667</v>
      </c>
      <c r="H62" s="84">
        <v>35</v>
      </c>
      <c r="I62" s="84"/>
      <c r="J62" s="78">
        <f t="shared" si="7"/>
        <v>10500</v>
      </c>
      <c r="K62" s="78"/>
    </row>
    <row r="63" spans="1:11">
      <c r="A63" s="75" t="s">
        <v>74</v>
      </c>
      <c r="B63" s="124">
        <v>1080</v>
      </c>
      <c r="C63" s="125">
        <v>0.66</v>
      </c>
      <c r="D63" s="126">
        <v>300</v>
      </c>
      <c r="E63" s="126" t="s">
        <v>59</v>
      </c>
      <c r="F63" s="127">
        <v>3937</v>
      </c>
      <c r="G63" s="75">
        <f t="shared" si="6"/>
        <v>2.667</v>
      </c>
      <c r="H63" s="84">
        <v>35</v>
      </c>
      <c r="I63" s="84"/>
      <c r="J63" s="78">
        <f t="shared" si="7"/>
        <v>10500</v>
      </c>
      <c r="K63" s="78"/>
    </row>
    <row r="64" spans="1:11">
      <c r="A64" s="75" t="s">
        <v>74</v>
      </c>
      <c r="B64" s="124">
        <v>1080</v>
      </c>
      <c r="C64" s="125">
        <v>0.68</v>
      </c>
      <c r="D64" s="126">
        <v>300</v>
      </c>
      <c r="E64" s="126" t="s">
        <v>59</v>
      </c>
      <c r="F64" s="127">
        <v>3937</v>
      </c>
      <c r="G64" s="75">
        <f t="shared" si="6"/>
        <v>2.743</v>
      </c>
      <c r="H64" s="84">
        <v>36</v>
      </c>
      <c r="I64" s="84"/>
      <c r="J64" s="78">
        <f t="shared" si="7"/>
        <v>10800</v>
      </c>
      <c r="K64" s="78"/>
    </row>
    <row r="65" spans="1:11">
      <c r="A65" s="25" t="s">
        <v>74</v>
      </c>
      <c r="B65" s="128">
        <v>1080</v>
      </c>
      <c r="C65" s="129">
        <v>0.69</v>
      </c>
      <c r="D65" s="130">
        <v>300</v>
      </c>
      <c r="E65" s="130" t="s">
        <v>59</v>
      </c>
      <c r="F65" s="131">
        <v>3937</v>
      </c>
      <c r="G65" s="25">
        <f t="shared" si="6"/>
        <v>2.819</v>
      </c>
      <c r="H65" s="86">
        <v>37</v>
      </c>
      <c r="I65" s="86"/>
      <c r="J65" s="38">
        <f t="shared" si="7"/>
        <v>11100</v>
      </c>
      <c r="K65" s="38"/>
    </row>
    <row r="66" spans="1:11">
      <c r="A66" s="75" t="s">
        <v>74</v>
      </c>
      <c r="B66" s="124">
        <v>1080</v>
      </c>
      <c r="C66" s="125">
        <v>0.7</v>
      </c>
      <c r="D66" s="126">
        <v>300</v>
      </c>
      <c r="E66" s="126" t="s">
        <v>59</v>
      </c>
      <c r="F66" s="127">
        <v>3937</v>
      </c>
      <c r="G66" s="75">
        <f t="shared" ref="G66:G73" si="8">ROUND(H66*300/3937,3)</f>
        <v>2.819</v>
      </c>
      <c r="H66" s="84">
        <v>37</v>
      </c>
      <c r="I66" s="84"/>
      <c r="J66" s="78">
        <f t="shared" ref="J66:J73" si="9">ROUND(H66*D66,2)</f>
        <v>11100</v>
      </c>
      <c r="K66" s="78"/>
    </row>
    <row r="67" spans="1:11">
      <c r="A67" s="75" t="s">
        <v>74</v>
      </c>
      <c r="B67" s="124">
        <v>2116</v>
      </c>
      <c r="C67" s="125">
        <v>0.55</v>
      </c>
      <c r="D67" s="126">
        <v>200</v>
      </c>
      <c r="E67" s="126" t="s">
        <v>59</v>
      </c>
      <c r="F67" s="127">
        <v>2624.7</v>
      </c>
      <c r="G67" s="75">
        <f t="shared" si="8"/>
        <v>2.743</v>
      </c>
      <c r="H67" s="84">
        <v>36</v>
      </c>
      <c r="I67" s="84"/>
      <c r="J67" s="78">
        <f t="shared" si="9"/>
        <v>7200</v>
      </c>
      <c r="K67" s="78"/>
    </row>
    <row r="68" spans="1:11">
      <c r="A68" s="75" t="s">
        <v>74</v>
      </c>
      <c r="B68" s="124">
        <v>2116</v>
      </c>
      <c r="C68" s="125">
        <v>0.56</v>
      </c>
      <c r="D68" s="126">
        <v>200</v>
      </c>
      <c r="E68" s="126" t="s">
        <v>59</v>
      </c>
      <c r="F68" s="127">
        <v>2624.7</v>
      </c>
      <c r="G68" s="75">
        <f t="shared" si="8"/>
        <v>2.819</v>
      </c>
      <c r="H68" s="84">
        <v>37</v>
      </c>
      <c r="I68" s="84"/>
      <c r="J68" s="78">
        <f t="shared" si="9"/>
        <v>7400</v>
      </c>
      <c r="K68" s="78"/>
    </row>
    <row r="69" spans="1:11">
      <c r="A69" s="75" t="s">
        <v>74</v>
      </c>
      <c r="B69" s="124">
        <v>2116</v>
      </c>
      <c r="C69" s="125">
        <v>0.58</v>
      </c>
      <c r="D69" s="126">
        <v>200</v>
      </c>
      <c r="E69" s="126" t="s">
        <v>59</v>
      </c>
      <c r="F69" s="127">
        <v>2624.7</v>
      </c>
      <c r="G69" s="75">
        <f t="shared" si="8"/>
        <v>2.896</v>
      </c>
      <c r="H69" s="84">
        <v>38</v>
      </c>
      <c r="I69" s="84"/>
      <c r="J69" s="78">
        <f t="shared" si="9"/>
        <v>7600</v>
      </c>
      <c r="K69" s="78"/>
    </row>
    <row r="70" spans="1:11">
      <c r="A70" s="75" t="s">
        <v>74</v>
      </c>
      <c r="B70" s="124">
        <v>2116</v>
      </c>
      <c r="C70" s="125">
        <v>0.6</v>
      </c>
      <c r="D70" s="126">
        <v>200</v>
      </c>
      <c r="E70" s="126" t="s">
        <v>59</v>
      </c>
      <c r="F70" s="127">
        <v>2624.7</v>
      </c>
      <c r="G70" s="75">
        <f t="shared" si="8"/>
        <v>2.972</v>
      </c>
      <c r="H70" s="84">
        <v>39</v>
      </c>
      <c r="I70" s="84"/>
      <c r="J70" s="78">
        <f t="shared" si="9"/>
        <v>7800</v>
      </c>
      <c r="K70" s="78"/>
    </row>
    <row r="71" spans="1:11">
      <c r="A71" s="75" t="s">
        <v>74</v>
      </c>
      <c r="B71" s="75">
        <v>7628</v>
      </c>
      <c r="C71" s="81">
        <v>0.43</v>
      </c>
      <c r="D71" s="126">
        <v>150</v>
      </c>
      <c r="E71" s="126" t="s">
        <v>59</v>
      </c>
      <c r="F71" s="127">
        <v>1968.5</v>
      </c>
      <c r="G71" s="75">
        <f t="shared" si="8"/>
        <v>2.667</v>
      </c>
      <c r="H71" s="84">
        <v>35</v>
      </c>
      <c r="I71" s="84"/>
      <c r="J71" s="78">
        <f t="shared" si="9"/>
        <v>5250</v>
      </c>
      <c r="K71" s="78"/>
    </row>
    <row r="72" spans="1:11">
      <c r="A72" s="75" t="s">
        <v>74</v>
      </c>
      <c r="B72" s="75">
        <v>7628</v>
      </c>
      <c r="C72" s="81">
        <v>0.48</v>
      </c>
      <c r="D72" s="80">
        <v>150</v>
      </c>
      <c r="E72" s="82" t="s">
        <v>58</v>
      </c>
      <c r="F72" s="95">
        <v>1968.5</v>
      </c>
      <c r="G72" s="75">
        <f t="shared" si="8"/>
        <v>2.819</v>
      </c>
      <c r="H72" s="84">
        <v>37</v>
      </c>
      <c r="I72" s="84"/>
      <c r="J72" s="78">
        <f t="shared" si="9"/>
        <v>5550</v>
      </c>
      <c r="K72" s="78"/>
    </row>
    <row r="73" spans="1:11">
      <c r="A73" s="75" t="s">
        <v>74</v>
      </c>
      <c r="B73" s="75">
        <v>7628</v>
      </c>
      <c r="C73" s="81">
        <v>0.5</v>
      </c>
      <c r="D73" s="80">
        <v>150</v>
      </c>
      <c r="E73" s="82" t="s">
        <v>58</v>
      </c>
      <c r="F73" s="95">
        <v>1968.5</v>
      </c>
      <c r="G73" s="75">
        <f t="shared" si="8"/>
        <v>2.896</v>
      </c>
      <c r="H73" s="84">
        <v>38</v>
      </c>
      <c r="I73" s="84"/>
      <c r="J73" s="78">
        <f t="shared" si="9"/>
        <v>5700</v>
      </c>
      <c r="K73" s="78"/>
    </row>
    <row r="75" spans="1:11">
      <c r="A75" s="43" t="s">
        <v>60</v>
      </c>
      <c r="B75" s="5"/>
      <c r="C75" s="5"/>
      <c r="D75" s="5"/>
      <c r="E75" s="10"/>
      <c r="F75" s="5"/>
      <c r="G75" s="5"/>
      <c r="H75" s="5"/>
      <c r="I75" s="5"/>
      <c r="J75" s="5"/>
      <c r="K75" s="87"/>
    </row>
    <row r="76" spans="1:11">
      <c r="A76" s="46" t="s">
        <v>61</v>
      </c>
      <c r="B76" s="5"/>
      <c r="C76" s="5"/>
      <c r="D76" s="5"/>
      <c r="E76" s="10"/>
      <c r="F76" s="5"/>
      <c r="G76" s="5"/>
      <c r="H76" s="5"/>
      <c r="I76" s="5"/>
      <c r="J76" s="5"/>
      <c r="K76" s="87"/>
    </row>
    <row r="77" spans="1:11">
      <c r="A77" s="43" t="s">
        <v>62</v>
      </c>
      <c r="B77" s="88"/>
      <c r="C77" s="88"/>
      <c r="D77" s="88"/>
      <c r="E77" s="89"/>
      <c r="F77" s="88"/>
      <c r="G77" s="88"/>
      <c r="H77" s="88"/>
      <c r="I77" s="5"/>
      <c r="J77" s="5"/>
      <c r="K77" s="87"/>
    </row>
    <row r="78" spans="1:11">
      <c r="A78" s="43" t="s">
        <v>63</v>
      </c>
      <c r="B78" s="88"/>
      <c r="C78" s="88"/>
      <c r="D78" s="88"/>
      <c r="E78" s="89"/>
      <c r="F78" s="88"/>
      <c r="G78" s="88"/>
      <c r="H78" s="88"/>
      <c r="I78" s="5"/>
      <c r="J78" s="5"/>
      <c r="K78" s="87"/>
    </row>
    <row r="79" spans="1:11">
      <c r="A79" s="43" t="s">
        <v>64</v>
      </c>
      <c r="B79" s="88"/>
      <c r="C79" s="88"/>
      <c r="D79" s="88"/>
      <c r="E79" s="89"/>
      <c r="F79" s="88"/>
      <c r="G79" s="88"/>
      <c r="H79" s="88"/>
      <c r="I79" s="5"/>
      <c r="J79" s="5"/>
      <c r="K79" s="87"/>
    </row>
    <row r="80" spans="1:11">
      <c r="A80" s="5" t="s">
        <v>65</v>
      </c>
      <c r="B80" s="5"/>
      <c r="C80" s="5"/>
      <c r="D80" s="5"/>
      <c r="E80" s="5"/>
      <c r="F80" s="5"/>
      <c r="G80" s="5"/>
      <c r="H80" s="5"/>
      <c r="I80" s="5"/>
      <c r="J80" s="5"/>
      <c r="K80" s="73"/>
    </row>
    <row r="81" spans="1:11">
      <c r="A81" s="90"/>
      <c r="B81" s="91"/>
      <c r="C81" s="91"/>
      <c r="D81" s="91"/>
      <c r="E81" s="91"/>
      <c r="F81" s="91"/>
      <c r="G81" s="91"/>
      <c r="H81" s="92"/>
      <c r="I81" s="73"/>
      <c r="J81" s="73"/>
      <c r="K81" s="73"/>
    </row>
    <row r="82" ht="15.5" spans="1:11">
      <c r="A82" s="73"/>
      <c r="B82" s="93"/>
      <c r="C82" s="93"/>
      <c r="D82" s="93"/>
      <c r="E82" s="93"/>
      <c r="F82" s="93"/>
      <c r="G82" s="73"/>
      <c r="H82" s="73"/>
      <c r="I82" s="73"/>
      <c r="J82" s="73"/>
      <c r="K82" s="73"/>
    </row>
    <row r="83" ht="15.5" spans="1:11">
      <c r="A83" s="93" t="s">
        <v>66</v>
      </c>
      <c r="B83" s="73"/>
      <c r="C83" s="93"/>
      <c r="D83" s="93"/>
      <c r="E83" s="93"/>
      <c r="F83" s="93"/>
      <c r="G83" s="73"/>
      <c r="H83" s="93" t="s">
        <v>67</v>
      </c>
      <c r="I83" s="93"/>
      <c r="J83" s="93"/>
      <c r="K83" s="73"/>
    </row>
    <row r="84" spans="1:1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</row>
  </sheetData>
  <mergeCells count="43">
    <mergeCell ref="A1:K1"/>
    <mergeCell ref="A2:K2"/>
    <mergeCell ref="A3:K3"/>
    <mergeCell ref="A9:K9"/>
    <mergeCell ref="A54:K54"/>
    <mergeCell ref="H55:I55"/>
    <mergeCell ref="J55:K55"/>
    <mergeCell ref="H56:I56"/>
    <mergeCell ref="J56:K56"/>
    <mergeCell ref="H57:I57"/>
    <mergeCell ref="J57:K5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H68:I68"/>
    <mergeCell ref="J68:K68"/>
    <mergeCell ref="H69:I69"/>
    <mergeCell ref="J69:K69"/>
    <mergeCell ref="H70:I70"/>
    <mergeCell ref="J70:K70"/>
    <mergeCell ref="H71:I71"/>
    <mergeCell ref="J71:K71"/>
    <mergeCell ref="H72:I72"/>
    <mergeCell ref="J72:K72"/>
    <mergeCell ref="H73:I73"/>
    <mergeCell ref="J73:K73"/>
  </mergeCells>
  <pageMargins left="0.25" right="0.25" top="0.75" bottom="0.75" header="0.3" footer="0.3"/>
  <pageSetup paperSize="9" scale="63" fitToWidth="0" fitToHeight="0" orientation="portrait" horizontalDpi="600" verticalDpi="6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K112"/>
  <sheetViews>
    <sheetView zoomScaleSheetLayoutView="60" topLeftCell="A74" workbookViewId="0">
      <selection activeCell="H81" sqref="H81:I81"/>
    </sheetView>
  </sheetViews>
  <sheetFormatPr defaultColWidth="8.8" defaultRowHeight="15"/>
  <cols>
    <col min="1" max="5" width="8.8" style="71"/>
    <col min="6" max="11" width="7.8" style="71" customWidth="1"/>
    <col min="12" max="16384" width="8.8" style="71"/>
  </cols>
  <sheetData>
    <row r="1" ht="27.5" spans="1:11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>
      <c r="A3" s="51" t="s">
        <v>2</v>
      </c>
      <c r="B3" s="51"/>
      <c r="C3" s="51"/>
      <c r="D3" s="51"/>
      <c r="E3" s="51"/>
      <c r="F3" s="51"/>
      <c r="G3" s="51"/>
      <c r="H3" s="51"/>
      <c r="I3" s="51"/>
      <c r="J3" s="51"/>
      <c r="K3" s="51"/>
    </row>
    <row r="4" spans="1:11">
      <c r="A4" s="52"/>
      <c r="B4" s="7"/>
      <c r="C4" s="51"/>
      <c r="D4" s="51"/>
      <c r="E4" s="53"/>
      <c r="F4" s="53"/>
      <c r="G4" s="53"/>
      <c r="H4" s="52"/>
      <c r="I4" s="52"/>
      <c r="J4" s="52"/>
      <c r="K4" s="51"/>
    </row>
    <row r="5" spans="1:11">
      <c r="A5" s="7" t="s">
        <v>3</v>
      </c>
      <c r="B5" s="7" t="s">
        <v>4</v>
      </c>
      <c r="C5" s="12"/>
      <c r="D5" s="12"/>
      <c r="E5" s="54"/>
      <c r="F5" s="54"/>
      <c r="G5" s="54"/>
      <c r="H5" s="55"/>
      <c r="I5" s="12" t="s">
        <v>5</v>
      </c>
      <c r="J5" s="7" t="s">
        <v>6</v>
      </c>
      <c r="K5" s="114"/>
    </row>
    <row r="6" spans="1:11">
      <c r="A6" s="12" t="s">
        <v>7</v>
      </c>
      <c r="B6" s="12" t="s">
        <v>75</v>
      </c>
      <c r="C6" s="12"/>
      <c r="D6" s="12"/>
      <c r="E6" s="54"/>
      <c r="F6" s="54"/>
      <c r="G6" s="54"/>
      <c r="H6" s="55"/>
      <c r="I6" s="12" t="s">
        <v>9</v>
      </c>
      <c r="J6" s="12"/>
      <c r="K6" s="114"/>
    </row>
    <row r="7" spans="1:11">
      <c r="A7" s="12"/>
      <c r="B7" s="12"/>
      <c r="C7" s="12"/>
      <c r="D7" s="12"/>
      <c r="E7" s="54"/>
      <c r="F7" s="54"/>
      <c r="G7" s="54"/>
      <c r="H7" s="12"/>
      <c r="I7" s="13" t="s">
        <v>10</v>
      </c>
      <c r="J7" s="57"/>
      <c r="K7" s="57"/>
    </row>
    <row r="8" ht="21" spans="1:11">
      <c r="A8" s="58" t="s">
        <v>76</v>
      </c>
      <c r="B8" s="58"/>
      <c r="C8" s="58"/>
      <c r="D8" s="58"/>
      <c r="E8" s="58"/>
      <c r="F8" s="58"/>
      <c r="G8" s="58"/>
      <c r="H8" s="58"/>
      <c r="I8" s="58"/>
      <c r="J8" s="58"/>
      <c r="K8" s="58"/>
    </row>
    <row r="9" ht="19.2" customHeight="1" spans="1:11">
      <c r="A9" s="16" t="s">
        <v>12</v>
      </c>
      <c r="B9" s="17" t="s">
        <v>13</v>
      </c>
      <c r="C9" s="17" t="s">
        <v>14</v>
      </c>
      <c r="D9" s="17" t="s">
        <v>15</v>
      </c>
      <c r="E9" s="16" t="s">
        <v>16</v>
      </c>
      <c r="F9" s="17" t="s">
        <v>17</v>
      </c>
      <c r="G9" s="17" t="s">
        <v>18</v>
      </c>
      <c r="H9" s="59" t="s">
        <v>19</v>
      </c>
      <c r="I9" s="60" t="s">
        <v>20</v>
      </c>
      <c r="J9" s="60" t="s">
        <v>21</v>
      </c>
      <c r="K9" s="60" t="s">
        <v>22</v>
      </c>
    </row>
    <row r="10" ht="18" customHeight="1" spans="1:11">
      <c r="A10" s="115" t="s">
        <v>77</v>
      </c>
      <c r="B10" s="116">
        <v>2</v>
      </c>
      <c r="C10" s="76">
        <f t="shared" ref="C10:C19" si="0">B10*25.4*0.001</f>
        <v>0.0508</v>
      </c>
      <c r="D10" s="76">
        <f>(B10+2.6)*25.4*0.001</f>
        <v>0.11684</v>
      </c>
      <c r="E10" s="117" t="s">
        <v>78</v>
      </c>
      <c r="F10" s="115" t="s">
        <v>72</v>
      </c>
      <c r="G10" s="118" t="s">
        <v>25</v>
      </c>
      <c r="H10" s="115">
        <f t="shared" ref="H10:H19" si="1">ROUND(J10/13.33,3)</f>
        <v>15.604</v>
      </c>
      <c r="I10" s="116">
        <f t="shared" ref="I10:I19" si="2">J10*0.9</f>
        <v>187.2</v>
      </c>
      <c r="J10" s="115">
        <v>208</v>
      </c>
      <c r="K10" s="115">
        <f t="shared" ref="K10:K19" si="3">J10*1.05</f>
        <v>218.4</v>
      </c>
    </row>
    <row r="11" ht="18" customHeight="1" spans="1:11">
      <c r="A11" s="115" t="s">
        <v>77</v>
      </c>
      <c r="B11" s="116">
        <v>2.5</v>
      </c>
      <c r="C11" s="76">
        <f t="shared" si="0"/>
        <v>0.0635</v>
      </c>
      <c r="D11" s="76">
        <f>(B11+2.6)*25.4*0.001</f>
        <v>0.12954</v>
      </c>
      <c r="E11" s="117" t="s">
        <v>70</v>
      </c>
      <c r="F11" s="115" t="s">
        <v>72</v>
      </c>
      <c r="G11" s="118" t="s">
        <v>25</v>
      </c>
      <c r="H11" s="115">
        <f t="shared" si="1"/>
        <v>15.379</v>
      </c>
      <c r="I11" s="116">
        <f t="shared" si="2"/>
        <v>184.5</v>
      </c>
      <c r="J11" s="115">
        <v>205</v>
      </c>
      <c r="K11" s="115">
        <f t="shared" si="3"/>
        <v>215.25</v>
      </c>
    </row>
    <row r="12" ht="18" customHeight="1" spans="1:11">
      <c r="A12" s="115" t="s">
        <v>77</v>
      </c>
      <c r="B12" s="116">
        <v>2.5</v>
      </c>
      <c r="C12" s="76">
        <f t="shared" si="0"/>
        <v>0.0635</v>
      </c>
      <c r="D12" s="76">
        <f>(B12+2.6)*25.4*0.001</f>
        <v>0.12954</v>
      </c>
      <c r="E12" s="117" t="s">
        <v>79</v>
      </c>
      <c r="F12" s="115" t="s">
        <v>72</v>
      </c>
      <c r="G12" s="118" t="s">
        <v>25</v>
      </c>
      <c r="H12" s="115">
        <f t="shared" si="1"/>
        <v>15.379</v>
      </c>
      <c r="I12" s="116">
        <f t="shared" si="2"/>
        <v>184.5</v>
      </c>
      <c r="J12" s="115">
        <v>205</v>
      </c>
      <c r="K12" s="115">
        <f t="shared" si="3"/>
        <v>215.25</v>
      </c>
    </row>
    <row r="13" ht="18" customHeight="1" spans="1:11">
      <c r="A13" s="75" t="s">
        <v>77</v>
      </c>
      <c r="B13" s="105">
        <v>3</v>
      </c>
      <c r="C13" s="76">
        <f t="shared" si="0"/>
        <v>0.0762</v>
      </c>
      <c r="D13" s="76">
        <f>(B13+2.6)*25.4*0.001</f>
        <v>0.14224</v>
      </c>
      <c r="E13" s="106" t="s">
        <v>80</v>
      </c>
      <c r="F13" s="75" t="s">
        <v>72</v>
      </c>
      <c r="G13" s="106" t="s">
        <v>25</v>
      </c>
      <c r="H13" s="115">
        <f t="shared" si="1"/>
        <v>15.604</v>
      </c>
      <c r="I13" s="116">
        <f t="shared" si="2"/>
        <v>187.2</v>
      </c>
      <c r="J13" s="115">
        <v>208</v>
      </c>
      <c r="K13" s="115">
        <f t="shared" si="3"/>
        <v>218.4</v>
      </c>
    </row>
    <row r="14" ht="18" customHeight="1" spans="1:11">
      <c r="A14" s="75" t="s">
        <v>77</v>
      </c>
      <c r="B14" s="105">
        <v>3</v>
      </c>
      <c r="C14" s="76">
        <f t="shared" si="0"/>
        <v>0.0762</v>
      </c>
      <c r="D14" s="76">
        <f>(B14+2.6)*25.4*0.001</f>
        <v>0.14224</v>
      </c>
      <c r="E14" s="106" t="s">
        <v>81</v>
      </c>
      <c r="F14" s="75" t="s">
        <v>72</v>
      </c>
      <c r="G14" s="106" t="s">
        <v>25</v>
      </c>
      <c r="H14" s="115">
        <f t="shared" si="1"/>
        <v>15.604</v>
      </c>
      <c r="I14" s="116">
        <f t="shared" si="2"/>
        <v>187.2</v>
      </c>
      <c r="J14" s="115">
        <v>208</v>
      </c>
      <c r="K14" s="115">
        <f t="shared" si="3"/>
        <v>218.4</v>
      </c>
    </row>
    <row r="15" ht="18" customHeight="1" spans="1:11">
      <c r="A15" s="25" t="s">
        <v>77</v>
      </c>
      <c r="B15" s="107">
        <v>3</v>
      </c>
      <c r="C15" s="26">
        <f t="shared" si="0"/>
        <v>0.0762</v>
      </c>
      <c r="D15" s="26">
        <f>(B15+2)*25.4*0.001</f>
        <v>0.127</v>
      </c>
      <c r="E15" s="108" t="s">
        <v>80</v>
      </c>
      <c r="F15" s="25" t="s">
        <v>72</v>
      </c>
      <c r="G15" s="108" t="s">
        <v>71</v>
      </c>
      <c r="H15" s="25">
        <f t="shared" si="1"/>
        <v>15.154</v>
      </c>
      <c r="I15" s="107">
        <f t="shared" si="2"/>
        <v>181.8</v>
      </c>
      <c r="J15" s="25">
        <v>202</v>
      </c>
      <c r="K15" s="25">
        <f t="shared" si="3"/>
        <v>212.1</v>
      </c>
    </row>
    <row r="16" ht="18" customHeight="1" spans="1:11">
      <c r="A16" s="115" t="s">
        <v>77</v>
      </c>
      <c r="B16" s="116">
        <v>3.5</v>
      </c>
      <c r="C16" s="76">
        <f t="shared" si="0"/>
        <v>0.0889</v>
      </c>
      <c r="D16" s="76">
        <f>(B16+2.6)*25.4*0.001</f>
        <v>0.15494</v>
      </c>
      <c r="E16" s="117" t="s">
        <v>82</v>
      </c>
      <c r="F16" s="115" t="s">
        <v>72</v>
      </c>
      <c r="G16" s="118" t="s">
        <v>25</v>
      </c>
      <c r="H16" s="115">
        <f t="shared" si="1"/>
        <v>15.904</v>
      </c>
      <c r="I16" s="116">
        <f t="shared" si="2"/>
        <v>190.8</v>
      </c>
      <c r="J16" s="115">
        <v>212</v>
      </c>
      <c r="K16" s="115">
        <f t="shared" si="3"/>
        <v>222.6</v>
      </c>
    </row>
    <row r="17" ht="18" customHeight="1" spans="1:11">
      <c r="A17" s="115" t="s">
        <v>77</v>
      </c>
      <c r="B17" s="116">
        <v>4</v>
      </c>
      <c r="C17" s="76">
        <f t="shared" si="0"/>
        <v>0.1016</v>
      </c>
      <c r="D17" s="76">
        <f>(B17+2.6)*25.4*0.001</f>
        <v>0.16764</v>
      </c>
      <c r="E17" s="117" t="s">
        <v>83</v>
      </c>
      <c r="F17" s="115" t="s">
        <v>72</v>
      </c>
      <c r="G17" s="118" t="s">
        <v>25</v>
      </c>
      <c r="H17" s="115">
        <f t="shared" si="1"/>
        <v>15.604</v>
      </c>
      <c r="I17" s="116">
        <f t="shared" si="2"/>
        <v>187.2</v>
      </c>
      <c r="J17" s="115">
        <v>208</v>
      </c>
      <c r="K17" s="115">
        <f t="shared" si="3"/>
        <v>218.4</v>
      </c>
    </row>
    <row r="18" ht="18" customHeight="1" spans="1:11">
      <c r="A18" s="115" t="s">
        <v>77</v>
      </c>
      <c r="B18" s="116">
        <v>4</v>
      </c>
      <c r="C18" s="76">
        <f t="shared" si="0"/>
        <v>0.1016</v>
      </c>
      <c r="D18" s="76">
        <f>(B18+2.6)*25.4*0.001</f>
        <v>0.16764</v>
      </c>
      <c r="E18" s="117" t="s">
        <v>84</v>
      </c>
      <c r="F18" s="115" t="s">
        <v>72</v>
      </c>
      <c r="G18" s="118" t="s">
        <v>25</v>
      </c>
      <c r="H18" s="115">
        <f t="shared" si="1"/>
        <v>17.254</v>
      </c>
      <c r="I18" s="116">
        <f t="shared" si="2"/>
        <v>207</v>
      </c>
      <c r="J18" s="115">
        <v>230</v>
      </c>
      <c r="K18" s="115">
        <f t="shared" si="3"/>
        <v>241.5</v>
      </c>
    </row>
    <row r="19" ht="18" customHeight="1" spans="1:11">
      <c r="A19" s="25" t="s">
        <v>77</v>
      </c>
      <c r="B19" s="107">
        <v>4</v>
      </c>
      <c r="C19" s="26">
        <f t="shared" si="0"/>
        <v>0.1016</v>
      </c>
      <c r="D19" s="26">
        <f>(B19+2.6)*25.4*0.001</f>
        <v>0.16764</v>
      </c>
      <c r="E19" s="108" t="s">
        <v>85</v>
      </c>
      <c r="F19" s="25" t="s">
        <v>72</v>
      </c>
      <c r="G19" s="108" t="s">
        <v>25</v>
      </c>
      <c r="H19" s="25">
        <f t="shared" si="1"/>
        <v>15.904</v>
      </c>
      <c r="I19" s="107">
        <f t="shared" si="2"/>
        <v>190.8</v>
      </c>
      <c r="J19" s="25">
        <v>212</v>
      </c>
      <c r="K19" s="25">
        <f t="shared" si="3"/>
        <v>222.6</v>
      </c>
    </row>
    <row r="20" ht="18" customHeight="1" spans="1:11">
      <c r="A20" s="115" t="s">
        <v>77</v>
      </c>
      <c r="B20" s="116">
        <v>5</v>
      </c>
      <c r="C20" s="76">
        <f t="shared" ref="C20:C41" si="4">B20*25.4*0.001</f>
        <v>0.127</v>
      </c>
      <c r="D20" s="76">
        <f t="shared" ref="D20:D40" si="5">(B20+2.6)*25.4*0.001</f>
        <v>0.19304</v>
      </c>
      <c r="E20" s="117" t="s">
        <v>86</v>
      </c>
      <c r="F20" s="115" t="s">
        <v>72</v>
      </c>
      <c r="G20" s="118" t="s">
        <v>25</v>
      </c>
      <c r="H20" s="115">
        <f t="shared" ref="H20:H47" si="6">ROUND(J20/13.33,3)</f>
        <v>17.629</v>
      </c>
      <c r="I20" s="116">
        <f t="shared" ref="I20:I47" si="7">J20*0.9</f>
        <v>211.5</v>
      </c>
      <c r="J20" s="115">
        <v>235</v>
      </c>
      <c r="K20" s="115">
        <f t="shared" ref="K20:K47" si="8">J20*1.05</f>
        <v>246.75</v>
      </c>
    </row>
    <row r="21" ht="18" customHeight="1" spans="1:11">
      <c r="A21" s="115" t="s">
        <v>77</v>
      </c>
      <c r="B21" s="116">
        <v>5</v>
      </c>
      <c r="C21" s="76">
        <f t="shared" si="4"/>
        <v>0.127</v>
      </c>
      <c r="D21" s="76">
        <f t="shared" si="5"/>
        <v>0.19304</v>
      </c>
      <c r="E21" s="117" t="s">
        <v>83</v>
      </c>
      <c r="F21" s="115" t="s">
        <v>72</v>
      </c>
      <c r="G21" s="118" t="s">
        <v>25</v>
      </c>
      <c r="H21" s="115">
        <f t="shared" si="6"/>
        <v>15.604</v>
      </c>
      <c r="I21" s="116">
        <f t="shared" si="7"/>
        <v>187.2</v>
      </c>
      <c r="J21" s="115">
        <v>208</v>
      </c>
      <c r="K21" s="115">
        <f t="shared" si="8"/>
        <v>218.4</v>
      </c>
    </row>
    <row r="22" ht="18" customHeight="1" spans="1:11">
      <c r="A22" s="115" t="s">
        <v>77</v>
      </c>
      <c r="B22" s="116">
        <v>6</v>
      </c>
      <c r="C22" s="76">
        <f t="shared" si="4"/>
        <v>0.1524</v>
      </c>
      <c r="D22" s="76">
        <f t="shared" si="5"/>
        <v>0.21844</v>
      </c>
      <c r="E22" s="117" t="s">
        <v>87</v>
      </c>
      <c r="F22" s="115" t="s">
        <v>72</v>
      </c>
      <c r="G22" s="118" t="s">
        <v>25</v>
      </c>
      <c r="H22" s="115">
        <f t="shared" si="6"/>
        <v>15.754</v>
      </c>
      <c r="I22" s="116">
        <f t="shared" si="7"/>
        <v>189</v>
      </c>
      <c r="J22" s="115">
        <v>210</v>
      </c>
      <c r="K22" s="115">
        <f t="shared" si="8"/>
        <v>220.5</v>
      </c>
    </row>
    <row r="23" ht="18" customHeight="1" spans="1:11">
      <c r="A23" s="115" t="s">
        <v>77</v>
      </c>
      <c r="B23" s="116">
        <v>6</v>
      </c>
      <c r="C23" s="76">
        <f t="shared" si="4"/>
        <v>0.1524</v>
      </c>
      <c r="D23" s="76">
        <f t="shared" si="5"/>
        <v>0.21844</v>
      </c>
      <c r="E23" s="117" t="s">
        <v>86</v>
      </c>
      <c r="F23" s="115" t="s">
        <v>72</v>
      </c>
      <c r="G23" s="118" t="s">
        <v>25</v>
      </c>
      <c r="H23" s="115">
        <f t="shared" si="6"/>
        <v>17.629</v>
      </c>
      <c r="I23" s="116">
        <f t="shared" si="7"/>
        <v>211.5</v>
      </c>
      <c r="J23" s="115">
        <v>235</v>
      </c>
      <c r="K23" s="115">
        <f t="shared" si="8"/>
        <v>246.75</v>
      </c>
    </row>
    <row r="24" ht="18" customHeight="1" spans="1:11">
      <c r="A24" s="115" t="s">
        <v>77</v>
      </c>
      <c r="B24" s="116">
        <v>8</v>
      </c>
      <c r="C24" s="76">
        <f t="shared" si="4"/>
        <v>0.2032</v>
      </c>
      <c r="D24" s="76">
        <f t="shared" si="5"/>
        <v>0.26924</v>
      </c>
      <c r="E24" s="117" t="s">
        <v>30</v>
      </c>
      <c r="F24" s="115" t="s">
        <v>72</v>
      </c>
      <c r="G24" s="118" t="s">
        <v>25</v>
      </c>
      <c r="H24" s="115">
        <f t="shared" si="6"/>
        <v>15.604</v>
      </c>
      <c r="I24" s="116">
        <f t="shared" si="7"/>
        <v>187.2</v>
      </c>
      <c r="J24" s="115">
        <v>208</v>
      </c>
      <c r="K24" s="115">
        <f t="shared" si="8"/>
        <v>218.4</v>
      </c>
    </row>
    <row r="25" ht="18" customHeight="1" spans="1:11">
      <c r="A25" s="115" t="s">
        <v>77</v>
      </c>
      <c r="B25" s="116">
        <v>8</v>
      </c>
      <c r="C25" s="76">
        <f t="shared" si="4"/>
        <v>0.2032</v>
      </c>
      <c r="D25" s="76">
        <f t="shared" si="5"/>
        <v>0.26924</v>
      </c>
      <c r="E25" s="117" t="s">
        <v>88</v>
      </c>
      <c r="F25" s="115" t="s">
        <v>72</v>
      </c>
      <c r="G25" s="118" t="s">
        <v>25</v>
      </c>
      <c r="H25" s="115">
        <f t="shared" si="6"/>
        <v>18.005</v>
      </c>
      <c r="I25" s="116">
        <f t="shared" si="7"/>
        <v>216</v>
      </c>
      <c r="J25" s="115">
        <v>240</v>
      </c>
      <c r="K25" s="115">
        <f t="shared" si="8"/>
        <v>252</v>
      </c>
    </row>
    <row r="26" ht="18" customHeight="1" spans="1:11">
      <c r="A26" s="115" t="s">
        <v>77</v>
      </c>
      <c r="B26" s="116">
        <v>10</v>
      </c>
      <c r="C26" s="76">
        <f t="shared" si="4"/>
        <v>0.254</v>
      </c>
      <c r="D26" s="76">
        <f t="shared" si="5"/>
        <v>0.32004</v>
      </c>
      <c r="E26" s="117" t="s">
        <v>88</v>
      </c>
      <c r="F26" s="115" t="s">
        <v>72</v>
      </c>
      <c r="G26" s="118" t="s">
        <v>25</v>
      </c>
      <c r="H26" s="115">
        <f t="shared" si="6"/>
        <v>18.155</v>
      </c>
      <c r="I26" s="116">
        <f t="shared" si="7"/>
        <v>217.8</v>
      </c>
      <c r="J26" s="115">
        <v>242</v>
      </c>
      <c r="K26" s="115">
        <f t="shared" si="8"/>
        <v>254.1</v>
      </c>
    </row>
    <row r="27" ht="18" customHeight="1" spans="1:11">
      <c r="A27" s="115" t="s">
        <v>77</v>
      </c>
      <c r="B27" s="116">
        <v>12</v>
      </c>
      <c r="C27" s="76">
        <f t="shared" si="4"/>
        <v>0.3048</v>
      </c>
      <c r="D27" s="76">
        <f t="shared" si="5"/>
        <v>0.37084</v>
      </c>
      <c r="E27" s="117" t="s">
        <v>32</v>
      </c>
      <c r="F27" s="115" t="s">
        <v>72</v>
      </c>
      <c r="G27" s="118" t="s">
        <v>25</v>
      </c>
      <c r="H27" s="115">
        <f t="shared" si="6"/>
        <v>18.38</v>
      </c>
      <c r="I27" s="116">
        <f t="shared" si="7"/>
        <v>220.5</v>
      </c>
      <c r="J27" s="115">
        <v>245</v>
      </c>
      <c r="K27" s="115">
        <f t="shared" si="8"/>
        <v>257.25</v>
      </c>
    </row>
    <row r="28" ht="18" customHeight="1" spans="1:11">
      <c r="A28" s="115" t="s">
        <v>77</v>
      </c>
      <c r="B28" s="116">
        <v>14</v>
      </c>
      <c r="C28" s="76">
        <f t="shared" si="4"/>
        <v>0.3556</v>
      </c>
      <c r="D28" s="76">
        <f t="shared" si="5"/>
        <v>0.42164</v>
      </c>
      <c r="E28" s="117" t="s">
        <v>33</v>
      </c>
      <c r="F28" s="115" t="s">
        <v>72</v>
      </c>
      <c r="G28" s="118" t="s">
        <v>25</v>
      </c>
      <c r="H28" s="115">
        <f t="shared" si="6"/>
        <v>18.155</v>
      </c>
      <c r="I28" s="116">
        <f t="shared" si="7"/>
        <v>217.8</v>
      </c>
      <c r="J28" s="115">
        <v>242</v>
      </c>
      <c r="K28" s="115">
        <f t="shared" si="8"/>
        <v>254.1</v>
      </c>
    </row>
    <row r="29" ht="18" customHeight="1" spans="1:11">
      <c r="A29" s="115" t="s">
        <v>77</v>
      </c>
      <c r="B29" s="116">
        <v>15</v>
      </c>
      <c r="C29" s="76">
        <f t="shared" si="4"/>
        <v>0.381</v>
      </c>
      <c r="D29" s="76">
        <f t="shared" si="5"/>
        <v>0.44704</v>
      </c>
      <c r="E29" s="117" t="s">
        <v>33</v>
      </c>
      <c r="F29" s="115" t="s">
        <v>72</v>
      </c>
      <c r="G29" s="118" t="s">
        <v>25</v>
      </c>
      <c r="H29" s="115">
        <f t="shared" si="6"/>
        <v>18.38</v>
      </c>
      <c r="I29" s="116">
        <f t="shared" si="7"/>
        <v>220.5</v>
      </c>
      <c r="J29" s="115">
        <v>245</v>
      </c>
      <c r="K29" s="115">
        <f t="shared" si="8"/>
        <v>257.25</v>
      </c>
    </row>
    <row r="30" ht="18" customHeight="1" spans="1:11">
      <c r="A30" s="115" t="s">
        <v>77</v>
      </c>
      <c r="B30" s="116">
        <v>16</v>
      </c>
      <c r="C30" s="76">
        <f t="shared" si="4"/>
        <v>0.4064</v>
      </c>
      <c r="D30" s="76">
        <f t="shared" si="5"/>
        <v>0.47244</v>
      </c>
      <c r="E30" s="117" t="s">
        <v>33</v>
      </c>
      <c r="F30" s="115" t="s">
        <v>72</v>
      </c>
      <c r="G30" s="118" t="s">
        <v>25</v>
      </c>
      <c r="H30" s="115">
        <f t="shared" si="6"/>
        <v>18.38</v>
      </c>
      <c r="I30" s="116">
        <f t="shared" si="7"/>
        <v>220.5</v>
      </c>
      <c r="J30" s="115">
        <v>245</v>
      </c>
      <c r="K30" s="115">
        <f t="shared" si="8"/>
        <v>257.25</v>
      </c>
    </row>
    <row r="31" ht="18" customHeight="1" spans="1:11">
      <c r="A31" s="115" t="s">
        <v>77</v>
      </c>
      <c r="B31" s="116">
        <v>18</v>
      </c>
      <c r="C31" s="76">
        <f t="shared" si="4"/>
        <v>0.4572</v>
      </c>
      <c r="D31" s="76">
        <f t="shared" si="5"/>
        <v>0.52324</v>
      </c>
      <c r="E31" s="117" t="s">
        <v>89</v>
      </c>
      <c r="F31" s="115" t="s">
        <v>72</v>
      </c>
      <c r="G31" s="118" t="s">
        <v>25</v>
      </c>
      <c r="H31" s="115">
        <f t="shared" si="6"/>
        <v>20.63</v>
      </c>
      <c r="I31" s="116">
        <f t="shared" si="7"/>
        <v>247.5</v>
      </c>
      <c r="J31" s="115">
        <v>275</v>
      </c>
      <c r="K31" s="115">
        <f t="shared" si="8"/>
        <v>288.75</v>
      </c>
    </row>
    <row r="32" ht="18" customHeight="1" spans="1:11">
      <c r="A32" s="115" t="s">
        <v>77</v>
      </c>
      <c r="B32" s="116">
        <v>20</v>
      </c>
      <c r="C32" s="76">
        <f t="shared" si="4"/>
        <v>0.508</v>
      </c>
      <c r="D32" s="76">
        <f t="shared" si="5"/>
        <v>0.57404</v>
      </c>
      <c r="E32" s="117" t="s">
        <v>89</v>
      </c>
      <c r="F32" s="115" t="s">
        <v>72</v>
      </c>
      <c r="G32" s="118" t="s">
        <v>25</v>
      </c>
      <c r="H32" s="115">
        <f t="shared" si="6"/>
        <v>21.005</v>
      </c>
      <c r="I32" s="116">
        <f t="shared" si="7"/>
        <v>252</v>
      </c>
      <c r="J32" s="115">
        <v>280</v>
      </c>
      <c r="K32" s="115">
        <f t="shared" si="8"/>
        <v>294</v>
      </c>
    </row>
    <row r="33" ht="18" customHeight="1" spans="1:11">
      <c r="A33" s="115" t="s">
        <v>77</v>
      </c>
      <c r="B33" s="116">
        <v>21</v>
      </c>
      <c r="C33" s="76">
        <f t="shared" si="4"/>
        <v>0.5334</v>
      </c>
      <c r="D33" s="76">
        <f t="shared" si="5"/>
        <v>0.59944</v>
      </c>
      <c r="E33" s="117" t="s">
        <v>90</v>
      </c>
      <c r="F33" s="115" t="s">
        <v>72</v>
      </c>
      <c r="G33" s="118" t="s">
        <v>25</v>
      </c>
      <c r="H33" s="115">
        <f t="shared" si="6"/>
        <v>21.005</v>
      </c>
      <c r="I33" s="116">
        <f t="shared" si="7"/>
        <v>252</v>
      </c>
      <c r="J33" s="115">
        <v>280</v>
      </c>
      <c r="K33" s="115">
        <f t="shared" si="8"/>
        <v>294</v>
      </c>
    </row>
    <row r="34" ht="18" customHeight="1" spans="1:11">
      <c r="A34" s="115" t="s">
        <v>77</v>
      </c>
      <c r="B34" s="116">
        <v>24</v>
      </c>
      <c r="C34" s="76">
        <f t="shared" si="4"/>
        <v>0.6096</v>
      </c>
      <c r="D34" s="76">
        <f t="shared" si="5"/>
        <v>0.67564</v>
      </c>
      <c r="E34" s="117" t="s">
        <v>90</v>
      </c>
      <c r="F34" s="115" t="s">
        <v>72</v>
      </c>
      <c r="G34" s="118" t="s">
        <v>25</v>
      </c>
      <c r="H34" s="115">
        <f t="shared" si="6"/>
        <v>21.38</v>
      </c>
      <c r="I34" s="116">
        <f t="shared" si="7"/>
        <v>256.5</v>
      </c>
      <c r="J34" s="115">
        <v>285</v>
      </c>
      <c r="K34" s="115">
        <f t="shared" si="8"/>
        <v>299.25</v>
      </c>
    </row>
    <row r="35" ht="18" customHeight="1" spans="1:11">
      <c r="A35" s="115" t="s">
        <v>77</v>
      </c>
      <c r="B35" s="116">
        <v>28</v>
      </c>
      <c r="C35" s="76">
        <f t="shared" si="4"/>
        <v>0.7112</v>
      </c>
      <c r="D35" s="76">
        <f t="shared" si="5"/>
        <v>0.77724</v>
      </c>
      <c r="E35" s="117" t="s">
        <v>91</v>
      </c>
      <c r="F35" s="115" t="s">
        <v>72</v>
      </c>
      <c r="G35" s="118" t="s">
        <v>25</v>
      </c>
      <c r="H35" s="115">
        <f t="shared" si="6"/>
        <v>23.256</v>
      </c>
      <c r="I35" s="116">
        <f t="shared" si="7"/>
        <v>279</v>
      </c>
      <c r="J35" s="115">
        <v>310</v>
      </c>
      <c r="K35" s="115">
        <f t="shared" si="8"/>
        <v>325.5</v>
      </c>
    </row>
    <row r="36" ht="18" customHeight="1" spans="1:11">
      <c r="A36" s="115" t="s">
        <v>77</v>
      </c>
      <c r="B36" s="116">
        <v>31</v>
      </c>
      <c r="C36" s="76">
        <f t="shared" si="4"/>
        <v>0.7874</v>
      </c>
      <c r="D36" s="76">
        <f t="shared" si="5"/>
        <v>0.85344</v>
      </c>
      <c r="E36" s="117" t="s">
        <v>91</v>
      </c>
      <c r="F36" s="115" t="s">
        <v>72</v>
      </c>
      <c r="G36" s="118" t="s">
        <v>25</v>
      </c>
      <c r="H36" s="115">
        <f t="shared" si="6"/>
        <v>23.631</v>
      </c>
      <c r="I36" s="116">
        <f t="shared" si="7"/>
        <v>283.5</v>
      </c>
      <c r="J36" s="115">
        <v>315</v>
      </c>
      <c r="K36" s="115">
        <f t="shared" si="8"/>
        <v>330.75</v>
      </c>
    </row>
    <row r="37" ht="18" customHeight="1" spans="1:11">
      <c r="A37" s="115" t="s">
        <v>77</v>
      </c>
      <c r="B37" s="116">
        <v>34</v>
      </c>
      <c r="C37" s="76">
        <f t="shared" si="4"/>
        <v>0.8636</v>
      </c>
      <c r="D37" s="76">
        <f t="shared" si="5"/>
        <v>0.92964</v>
      </c>
      <c r="E37" s="117" t="s">
        <v>92</v>
      </c>
      <c r="F37" s="115" t="s">
        <v>72</v>
      </c>
      <c r="G37" s="118" t="s">
        <v>25</v>
      </c>
      <c r="H37" s="115">
        <f t="shared" si="6"/>
        <v>26.257</v>
      </c>
      <c r="I37" s="116">
        <f t="shared" si="7"/>
        <v>315</v>
      </c>
      <c r="J37" s="115">
        <v>350</v>
      </c>
      <c r="K37" s="115">
        <f t="shared" si="8"/>
        <v>367.5</v>
      </c>
    </row>
    <row r="38" ht="18" customHeight="1" spans="1:11">
      <c r="A38" s="115" t="s">
        <v>77</v>
      </c>
      <c r="B38" s="116">
        <v>39</v>
      </c>
      <c r="C38" s="76">
        <f t="shared" si="4"/>
        <v>0.9906</v>
      </c>
      <c r="D38" s="76">
        <f t="shared" si="5"/>
        <v>1.05664</v>
      </c>
      <c r="E38" s="117" t="s">
        <v>92</v>
      </c>
      <c r="F38" s="115" t="s">
        <v>72</v>
      </c>
      <c r="G38" s="118" t="s">
        <v>25</v>
      </c>
      <c r="H38" s="115">
        <f t="shared" si="6"/>
        <v>27.007</v>
      </c>
      <c r="I38" s="116">
        <f t="shared" si="7"/>
        <v>324</v>
      </c>
      <c r="J38" s="115">
        <v>360</v>
      </c>
      <c r="K38" s="115">
        <f t="shared" si="8"/>
        <v>378</v>
      </c>
    </row>
    <row r="39" ht="18" customHeight="1" spans="1:11">
      <c r="A39" s="115" t="s">
        <v>77</v>
      </c>
      <c r="B39" s="116">
        <v>45</v>
      </c>
      <c r="C39" s="76">
        <f t="shared" si="4"/>
        <v>1.143</v>
      </c>
      <c r="D39" s="76">
        <f t="shared" si="5"/>
        <v>1.20904</v>
      </c>
      <c r="E39" s="117" t="s">
        <v>93</v>
      </c>
      <c r="F39" s="115" t="s">
        <v>72</v>
      </c>
      <c r="G39" s="118" t="s">
        <v>25</v>
      </c>
      <c r="H39" s="115">
        <f t="shared" si="6"/>
        <v>29.257</v>
      </c>
      <c r="I39" s="116">
        <f t="shared" si="7"/>
        <v>351</v>
      </c>
      <c r="J39" s="115">
        <v>390</v>
      </c>
      <c r="K39" s="115">
        <f t="shared" si="8"/>
        <v>409.5</v>
      </c>
    </row>
    <row r="40" ht="18" customHeight="1" spans="1:11">
      <c r="A40" s="115" t="s">
        <v>77</v>
      </c>
      <c r="B40" s="116">
        <v>48.82</v>
      </c>
      <c r="C40" s="76">
        <f t="shared" si="4"/>
        <v>1.240028</v>
      </c>
      <c r="D40" s="76">
        <f t="shared" si="5"/>
        <v>1.306068</v>
      </c>
      <c r="E40" s="117" t="s">
        <v>94</v>
      </c>
      <c r="F40" s="115" t="s">
        <v>72</v>
      </c>
      <c r="G40" s="118" t="s">
        <v>25</v>
      </c>
      <c r="H40" s="115">
        <f t="shared" si="6"/>
        <v>31.508</v>
      </c>
      <c r="I40" s="116">
        <f t="shared" si="7"/>
        <v>378</v>
      </c>
      <c r="J40" s="115">
        <v>420</v>
      </c>
      <c r="K40" s="115">
        <f t="shared" si="8"/>
        <v>441</v>
      </c>
    </row>
    <row r="41" ht="18" customHeight="1" spans="1:11">
      <c r="A41" s="115" t="s">
        <v>77</v>
      </c>
      <c r="B41" s="116">
        <v>2</v>
      </c>
      <c r="C41" s="76">
        <f t="shared" si="4"/>
        <v>0.0508</v>
      </c>
      <c r="D41" s="76">
        <f>(B41+1.3)*25.4*0.001</f>
        <v>0.08382</v>
      </c>
      <c r="E41" s="117" t="s">
        <v>78</v>
      </c>
      <c r="F41" s="115" t="s">
        <v>72</v>
      </c>
      <c r="G41" s="118" t="s">
        <v>41</v>
      </c>
      <c r="H41" s="115">
        <f t="shared" si="6"/>
        <v>10.503</v>
      </c>
      <c r="I41" s="116">
        <f t="shared" si="7"/>
        <v>126</v>
      </c>
      <c r="J41" s="20">
        <v>140</v>
      </c>
      <c r="K41" s="115">
        <f t="shared" si="8"/>
        <v>147</v>
      </c>
    </row>
    <row r="42" ht="18" customHeight="1" spans="1:11">
      <c r="A42" s="115" t="s">
        <v>77</v>
      </c>
      <c r="B42" s="116">
        <v>2.5</v>
      </c>
      <c r="C42" s="76">
        <f t="shared" ref="C42:C69" si="9">B42*25.4*0.001</f>
        <v>0.0635</v>
      </c>
      <c r="D42" s="76">
        <f t="shared" ref="D42:D68" si="10">(B42+1.3)*25.4*0.001</f>
        <v>0.09652</v>
      </c>
      <c r="E42" s="117" t="s">
        <v>70</v>
      </c>
      <c r="F42" s="115" t="s">
        <v>72</v>
      </c>
      <c r="G42" s="118" t="s">
        <v>41</v>
      </c>
      <c r="H42" s="115">
        <f t="shared" si="6"/>
        <v>10.503</v>
      </c>
      <c r="I42" s="116">
        <f t="shared" si="7"/>
        <v>126</v>
      </c>
      <c r="J42" s="20">
        <v>140</v>
      </c>
      <c r="K42" s="115">
        <f t="shared" si="8"/>
        <v>147</v>
      </c>
    </row>
    <row r="43" ht="18" customHeight="1" spans="1:11">
      <c r="A43" s="75" t="s">
        <v>77</v>
      </c>
      <c r="B43" s="105">
        <v>3</v>
      </c>
      <c r="C43" s="76">
        <f t="shared" si="9"/>
        <v>0.0762</v>
      </c>
      <c r="D43" s="76">
        <f t="shared" si="10"/>
        <v>0.10922</v>
      </c>
      <c r="E43" s="106" t="s">
        <v>80</v>
      </c>
      <c r="F43" s="75" t="s">
        <v>72</v>
      </c>
      <c r="G43" s="117" t="s">
        <v>41</v>
      </c>
      <c r="H43" s="115">
        <f t="shared" si="6"/>
        <v>10.503</v>
      </c>
      <c r="I43" s="116">
        <f t="shared" si="7"/>
        <v>126</v>
      </c>
      <c r="J43" s="20">
        <v>140</v>
      </c>
      <c r="K43" s="115">
        <f t="shared" si="8"/>
        <v>147</v>
      </c>
    </row>
    <row r="44" ht="18" customHeight="1" spans="1:11">
      <c r="A44" s="75" t="s">
        <v>77</v>
      </c>
      <c r="B44" s="105">
        <v>3</v>
      </c>
      <c r="C44" s="76">
        <f t="shared" si="9"/>
        <v>0.0762</v>
      </c>
      <c r="D44" s="76">
        <f t="shared" si="10"/>
        <v>0.10922</v>
      </c>
      <c r="E44" s="106" t="s">
        <v>81</v>
      </c>
      <c r="F44" s="75" t="s">
        <v>72</v>
      </c>
      <c r="G44" s="118" t="s">
        <v>41</v>
      </c>
      <c r="H44" s="115">
        <f t="shared" si="6"/>
        <v>10.503</v>
      </c>
      <c r="I44" s="116">
        <f t="shared" si="7"/>
        <v>126</v>
      </c>
      <c r="J44" s="20">
        <v>140</v>
      </c>
      <c r="K44" s="115">
        <f t="shared" si="8"/>
        <v>147</v>
      </c>
    </row>
    <row r="45" ht="18" customHeight="1" spans="1:11">
      <c r="A45" s="115" t="s">
        <v>77</v>
      </c>
      <c r="B45" s="116">
        <v>3.5</v>
      </c>
      <c r="C45" s="76">
        <f t="shared" si="9"/>
        <v>0.0889</v>
      </c>
      <c r="D45" s="76">
        <f t="shared" si="10"/>
        <v>0.12192</v>
      </c>
      <c r="E45" s="117" t="s">
        <v>82</v>
      </c>
      <c r="F45" s="115" t="s">
        <v>72</v>
      </c>
      <c r="G45" s="118" t="s">
        <v>41</v>
      </c>
      <c r="H45" s="115">
        <f t="shared" si="6"/>
        <v>10.878</v>
      </c>
      <c r="I45" s="116">
        <f t="shared" si="7"/>
        <v>130.5</v>
      </c>
      <c r="J45" s="20">
        <v>145</v>
      </c>
      <c r="K45" s="115">
        <f t="shared" si="8"/>
        <v>152.25</v>
      </c>
    </row>
    <row r="46" ht="18" customHeight="1" spans="1:11">
      <c r="A46" s="115" t="s">
        <v>77</v>
      </c>
      <c r="B46" s="116">
        <v>4</v>
      </c>
      <c r="C46" s="76">
        <f t="shared" si="9"/>
        <v>0.1016</v>
      </c>
      <c r="D46" s="76">
        <f t="shared" si="10"/>
        <v>0.13462</v>
      </c>
      <c r="E46" s="117" t="s">
        <v>83</v>
      </c>
      <c r="F46" s="115" t="s">
        <v>72</v>
      </c>
      <c r="G46" s="118" t="s">
        <v>41</v>
      </c>
      <c r="H46" s="115">
        <f t="shared" si="6"/>
        <v>10.653</v>
      </c>
      <c r="I46" s="116">
        <f t="shared" si="7"/>
        <v>127.8</v>
      </c>
      <c r="J46" s="20">
        <v>142</v>
      </c>
      <c r="K46" s="115">
        <f t="shared" si="8"/>
        <v>149.1</v>
      </c>
    </row>
    <row r="47" ht="18" customHeight="1" spans="1:11">
      <c r="A47" s="115" t="s">
        <v>77</v>
      </c>
      <c r="B47" s="116">
        <v>4</v>
      </c>
      <c r="C47" s="76">
        <f t="shared" si="9"/>
        <v>0.1016</v>
      </c>
      <c r="D47" s="76">
        <f t="shared" si="10"/>
        <v>0.13462</v>
      </c>
      <c r="E47" s="117" t="s">
        <v>84</v>
      </c>
      <c r="F47" s="115" t="s">
        <v>72</v>
      </c>
      <c r="G47" s="118" t="s">
        <v>41</v>
      </c>
      <c r="H47" s="115">
        <f t="shared" si="6"/>
        <v>12.153</v>
      </c>
      <c r="I47" s="116">
        <f t="shared" si="7"/>
        <v>145.8</v>
      </c>
      <c r="J47" s="20">
        <v>162</v>
      </c>
      <c r="K47" s="115">
        <f t="shared" si="8"/>
        <v>170.1</v>
      </c>
    </row>
    <row r="48" ht="18" customHeight="1" spans="1:11">
      <c r="A48" s="115" t="s">
        <v>77</v>
      </c>
      <c r="B48" s="116">
        <v>5</v>
      </c>
      <c r="C48" s="76">
        <f t="shared" si="9"/>
        <v>0.127</v>
      </c>
      <c r="D48" s="76">
        <f t="shared" si="10"/>
        <v>0.16002</v>
      </c>
      <c r="E48" s="117" t="s">
        <v>86</v>
      </c>
      <c r="F48" s="115" t="s">
        <v>72</v>
      </c>
      <c r="G48" s="118" t="s">
        <v>41</v>
      </c>
      <c r="H48" s="115">
        <f t="shared" ref="H48:H69" si="11">ROUND(J48/13.33,3)</f>
        <v>11.928</v>
      </c>
      <c r="I48" s="116">
        <f t="shared" ref="I48:I69" si="12">J48*0.9</f>
        <v>143.1</v>
      </c>
      <c r="J48" s="20">
        <v>159</v>
      </c>
      <c r="K48" s="115">
        <f t="shared" ref="K48:K69" si="13">J48*1.05</f>
        <v>166.95</v>
      </c>
    </row>
    <row r="49" ht="18" customHeight="1" spans="1:11">
      <c r="A49" s="115" t="s">
        <v>77</v>
      </c>
      <c r="B49" s="116">
        <v>5</v>
      </c>
      <c r="C49" s="76">
        <f t="shared" si="9"/>
        <v>0.127</v>
      </c>
      <c r="D49" s="76">
        <f t="shared" si="10"/>
        <v>0.16002</v>
      </c>
      <c r="E49" s="117" t="s">
        <v>83</v>
      </c>
      <c r="F49" s="115" t="s">
        <v>72</v>
      </c>
      <c r="G49" s="118" t="s">
        <v>41</v>
      </c>
      <c r="H49" s="115">
        <f t="shared" si="11"/>
        <v>9.977</v>
      </c>
      <c r="I49" s="116">
        <f t="shared" si="12"/>
        <v>119.7</v>
      </c>
      <c r="J49" s="20">
        <v>133</v>
      </c>
      <c r="K49" s="115">
        <f t="shared" si="13"/>
        <v>139.65</v>
      </c>
    </row>
    <row r="50" ht="18" customHeight="1" spans="1:11">
      <c r="A50" s="115" t="s">
        <v>77</v>
      </c>
      <c r="B50" s="116">
        <v>6</v>
      </c>
      <c r="C50" s="76">
        <f t="shared" si="9"/>
        <v>0.1524</v>
      </c>
      <c r="D50" s="76">
        <f t="shared" si="10"/>
        <v>0.18542</v>
      </c>
      <c r="E50" s="117" t="s">
        <v>87</v>
      </c>
      <c r="F50" s="115" t="s">
        <v>72</v>
      </c>
      <c r="G50" s="118" t="s">
        <v>41</v>
      </c>
      <c r="H50" s="115">
        <f t="shared" si="11"/>
        <v>10.728</v>
      </c>
      <c r="I50" s="116">
        <f t="shared" si="12"/>
        <v>128.7</v>
      </c>
      <c r="J50" s="20">
        <v>143</v>
      </c>
      <c r="K50" s="115">
        <f t="shared" si="13"/>
        <v>150.15</v>
      </c>
    </row>
    <row r="51" ht="18" customHeight="1" spans="1:11">
      <c r="A51" s="115" t="s">
        <v>77</v>
      </c>
      <c r="B51" s="116">
        <v>6</v>
      </c>
      <c r="C51" s="76">
        <f t="shared" si="9"/>
        <v>0.1524</v>
      </c>
      <c r="D51" s="76">
        <f t="shared" si="10"/>
        <v>0.18542</v>
      </c>
      <c r="E51" s="117" t="s">
        <v>86</v>
      </c>
      <c r="F51" s="115" t="s">
        <v>72</v>
      </c>
      <c r="G51" s="118" t="s">
        <v>41</v>
      </c>
      <c r="H51" s="115">
        <f t="shared" si="11"/>
        <v>12.078</v>
      </c>
      <c r="I51" s="116">
        <f t="shared" si="12"/>
        <v>144.9</v>
      </c>
      <c r="J51" s="20">
        <v>161</v>
      </c>
      <c r="K51" s="115">
        <f t="shared" si="13"/>
        <v>169.05</v>
      </c>
    </row>
    <row r="52" ht="18" customHeight="1" spans="1:11">
      <c r="A52" s="115" t="s">
        <v>77</v>
      </c>
      <c r="B52" s="116">
        <v>8</v>
      </c>
      <c r="C52" s="76">
        <f t="shared" si="9"/>
        <v>0.2032</v>
      </c>
      <c r="D52" s="76">
        <f t="shared" si="10"/>
        <v>0.23622</v>
      </c>
      <c r="E52" s="117" t="s">
        <v>30</v>
      </c>
      <c r="F52" s="115" t="s">
        <v>72</v>
      </c>
      <c r="G52" s="118" t="s">
        <v>41</v>
      </c>
      <c r="H52" s="115">
        <f t="shared" si="11"/>
        <v>10.278</v>
      </c>
      <c r="I52" s="116">
        <f t="shared" si="12"/>
        <v>123.3</v>
      </c>
      <c r="J52" s="20">
        <v>137</v>
      </c>
      <c r="K52" s="115">
        <f t="shared" si="13"/>
        <v>143.85</v>
      </c>
    </row>
    <row r="53" ht="18" customHeight="1" spans="1:11">
      <c r="A53" s="115" t="s">
        <v>77</v>
      </c>
      <c r="B53" s="116">
        <v>8</v>
      </c>
      <c r="C53" s="76">
        <f t="shared" si="9"/>
        <v>0.2032</v>
      </c>
      <c r="D53" s="76">
        <f t="shared" si="10"/>
        <v>0.23622</v>
      </c>
      <c r="E53" s="117" t="s">
        <v>88</v>
      </c>
      <c r="F53" s="115" t="s">
        <v>72</v>
      </c>
      <c r="G53" s="118" t="s">
        <v>41</v>
      </c>
      <c r="H53" s="115">
        <f t="shared" si="11"/>
        <v>12.153</v>
      </c>
      <c r="I53" s="116">
        <f t="shared" si="12"/>
        <v>145.8</v>
      </c>
      <c r="J53" s="20">
        <v>162</v>
      </c>
      <c r="K53" s="115">
        <f t="shared" si="13"/>
        <v>170.1</v>
      </c>
    </row>
    <row r="54" ht="18" customHeight="1" spans="1:11">
      <c r="A54" s="115" t="s">
        <v>77</v>
      </c>
      <c r="B54" s="116">
        <v>10</v>
      </c>
      <c r="C54" s="76">
        <f t="shared" si="9"/>
        <v>0.254</v>
      </c>
      <c r="D54" s="76">
        <f t="shared" si="10"/>
        <v>0.28702</v>
      </c>
      <c r="E54" s="117" t="s">
        <v>88</v>
      </c>
      <c r="F54" s="115" t="s">
        <v>72</v>
      </c>
      <c r="G54" s="118" t="s">
        <v>41</v>
      </c>
      <c r="H54" s="115">
        <f t="shared" si="11"/>
        <v>12.303</v>
      </c>
      <c r="I54" s="116">
        <f t="shared" si="12"/>
        <v>147.6</v>
      </c>
      <c r="J54" s="20">
        <v>164</v>
      </c>
      <c r="K54" s="115">
        <f t="shared" si="13"/>
        <v>172.2</v>
      </c>
    </row>
    <row r="55" ht="18" customHeight="1" spans="1:11">
      <c r="A55" s="115" t="s">
        <v>77</v>
      </c>
      <c r="B55" s="116">
        <v>12</v>
      </c>
      <c r="C55" s="76">
        <f t="shared" si="9"/>
        <v>0.3048</v>
      </c>
      <c r="D55" s="76">
        <f t="shared" si="10"/>
        <v>0.33782</v>
      </c>
      <c r="E55" s="117" t="s">
        <v>32</v>
      </c>
      <c r="F55" s="115" t="s">
        <v>72</v>
      </c>
      <c r="G55" s="118" t="s">
        <v>41</v>
      </c>
      <c r="H55" s="115">
        <f t="shared" si="11"/>
        <v>12.678</v>
      </c>
      <c r="I55" s="116">
        <f t="shared" si="12"/>
        <v>152.1</v>
      </c>
      <c r="J55" s="20">
        <v>169</v>
      </c>
      <c r="K55" s="115">
        <f t="shared" si="13"/>
        <v>177.45</v>
      </c>
    </row>
    <row r="56" ht="18" customHeight="1" spans="1:11">
      <c r="A56" s="115" t="s">
        <v>77</v>
      </c>
      <c r="B56" s="116">
        <v>14</v>
      </c>
      <c r="C56" s="76">
        <f t="shared" si="9"/>
        <v>0.3556</v>
      </c>
      <c r="D56" s="76">
        <f t="shared" si="10"/>
        <v>0.38862</v>
      </c>
      <c r="E56" s="117" t="s">
        <v>33</v>
      </c>
      <c r="F56" s="115" t="s">
        <v>72</v>
      </c>
      <c r="G56" s="118" t="s">
        <v>41</v>
      </c>
      <c r="H56" s="115">
        <f t="shared" si="11"/>
        <v>12.978</v>
      </c>
      <c r="I56" s="116">
        <f t="shared" si="12"/>
        <v>155.7</v>
      </c>
      <c r="J56" s="20">
        <v>173</v>
      </c>
      <c r="K56" s="115">
        <f t="shared" si="13"/>
        <v>181.65</v>
      </c>
    </row>
    <row r="57" ht="18" customHeight="1" spans="1:11">
      <c r="A57" s="115" t="s">
        <v>77</v>
      </c>
      <c r="B57" s="116">
        <v>15</v>
      </c>
      <c r="C57" s="76">
        <f t="shared" si="9"/>
        <v>0.381</v>
      </c>
      <c r="D57" s="76">
        <f t="shared" si="10"/>
        <v>0.41402</v>
      </c>
      <c r="E57" s="117" t="s">
        <v>33</v>
      </c>
      <c r="F57" s="115" t="s">
        <v>72</v>
      </c>
      <c r="G57" s="118" t="s">
        <v>41</v>
      </c>
      <c r="H57" s="115">
        <f t="shared" si="11"/>
        <v>13.128</v>
      </c>
      <c r="I57" s="116">
        <f t="shared" si="12"/>
        <v>157.5</v>
      </c>
      <c r="J57" s="20">
        <v>175</v>
      </c>
      <c r="K57" s="115">
        <f t="shared" si="13"/>
        <v>183.75</v>
      </c>
    </row>
    <row r="58" ht="18" customHeight="1" spans="1:11">
      <c r="A58" s="115" t="s">
        <v>77</v>
      </c>
      <c r="B58" s="116">
        <v>16</v>
      </c>
      <c r="C58" s="76">
        <f t="shared" si="9"/>
        <v>0.4064</v>
      </c>
      <c r="D58" s="76">
        <f t="shared" si="10"/>
        <v>0.43942</v>
      </c>
      <c r="E58" s="117" t="s">
        <v>33</v>
      </c>
      <c r="F58" s="115" t="s">
        <v>72</v>
      </c>
      <c r="G58" s="118" t="s">
        <v>41</v>
      </c>
      <c r="H58" s="115">
        <f t="shared" si="11"/>
        <v>13.278</v>
      </c>
      <c r="I58" s="116">
        <f t="shared" si="12"/>
        <v>159.3</v>
      </c>
      <c r="J58" s="20">
        <v>177</v>
      </c>
      <c r="K58" s="115">
        <f t="shared" si="13"/>
        <v>185.85</v>
      </c>
    </row>
    <row r="59" ht="18" customHeight="1" spans="1:11">
      <c r="A59" s="115" t="s">
        <v>77</v>
      </c>
      <c r="B59" s="116">
        <v>18</v>
      </c>
      <c r="C59" s="76">
        <f t="shared" si="9"/>
        <v>0.4572</v>
      </c>
      <c r="D59" s="76">
        <f t="shared" si="10"/>
        <v>0.49022</v>
      </c>
      <c r="E59" s="117" t="s">
        <v>89</v>
      </c>
      <c r="F59" s="115" t="s">
        <v>72</v>
      </c>
      <c r="G59" s="118" t="s">
        <v>41</v>
      </c>
      <c r="H59" s="115">
        <f t="shared" si="11"/>
        <v>15.454</v>
      </c>
      <c r="I59" s="116">
        <f t="shared" si="12"/>
        <v>185.4</v>
      </c>
      <c r="J59" s="20">
        <v>206</v>
      </c>
      <c r="K59" s="115">
        <f t="shared" si="13"/>
        <v>216.3</v>
      </c>
    </row>
    <row r="60" ht="18" customHeight="1" spans="1:11">
      <c r="A60" s="115" t="s">
        <v>77</v>
      </c>
      <c r="B60" s="116">
        <v>20</v>
      </c>
      <c r="C60" s="76">
        <f t="shared" si="9"/>
        <v>0.508</v>
      </c>
      <c r="D60" s="76">
        <f t="shared" si="10"/>
        <v>0.54102</v>
      </c>
      <c r="E60" s="117" t="s">
        <v>89</v>
      </c>
      <c r="F60" s="115" t="s">
        <v>72</v>
      </c>
      <c r="G60" s="118" t="s">
        <v>41</v>
      </c>
      <c r="H60" s="115">
        <f t="shared" si="11"/>
        <v>15.754</v>
      </c>
      <c r="I60" s="116">
        <f t="shared" si="12"/>
        <v>189</v>
      </c>
      <c r="J60" s="115">
        <v>210</v>
      </c>
      <c r="K60" s="115">
        <f t="shared" si="13"/>
        <v>220.5</v>
      </c>
    </row>
    <row r="61" ht="18" customHeight="1" spans="1:11">
      <c r="A61" s="115" t="s">
        <v>77</v>
      </c>
      <c r="B61" s="116">
        <v>24</v>
      </c>
      <c r="C61" s="76">
        <f t="shared" si="9"/>
        <v>0.6096</v>
      </c>
      <c r="D61" s="76">
        <f t="shared" si="10"/>
        <v>0.64262</v>
      </c>
      <c r="E61" s="117" t="s">
        <v>90</v>
      </c>
      <c r="F61" s="115" t="s">
        <v>72</v>
      </c>
      <c r="G61" s="118" t="s">
        <v>41</v>
      </c>
      <c r="H61" s="115">
        <f t="shared" si="11"/>
        <v>15.979</v>
      </c>
      <c r="I61" s="116">
        <f t="shared" si="12"/>
        <v>191.7</v>
      </c>
      <c r="J61" s="115">
        <v>213</v>
      </c>
      <c r="K61" s="115">
        <f t="shared" si="13"/>
        <v>223.65</v>
      </c>
    </row>
    <row r="62" ht="18" customHeight="1" spans="1:11">
      <c r="A62" s="115" t="s">
        <v>77</v>
      </c>
      <c r="B62" s="116">
        <v>28</v>
      </c>
      <c r="C62" s="76">
        <f t="shared" si="9"/>
        <v>0.7112</v>
      </c>
      <c r="D62" s="76">
        <f t="shared" si="10"/>
        <v>0.74422</v>
      </c>
      <c r="E62" s="117" t="s">
        <v>91</v>
      </c>
      <c r="F62" s="115" t="s">
        <v>72</v>
      </c>
      <c r="G62" s="118" t="s">
        <v>41</v>
      </c>
      <c r="H62" s="115">
        <f t="shared" si="11"/>
        <v>18.53</v>
      </c>
      <c r="I62" s="116">
        <f t="shared" si="12"/>
        <v>222.3</v>
      </c>
      <c r="J62" s="115">
        <v>247</v>
      </c>
      <c r="K62" s="115">
        <f t="shared" si="13"/>
        <v>259.35</v>
      </c>
    </row>
    <row r="63" ht="18" customHeight="1" spans="1:11">
      <c r="A63" s="115" t="s">
        <v>77</v>
      </c>
      <c r="B63" s="116">
        <v>31</v>
      </c>
      <c r="C63" s="76">
        <f t="shared" si="9"/>
        <v>0.7874</v>
      </c>
      <c r="D63" s="76">
        <f t="shared" si="10"/>
        <v>0.82042</v>
      </c>
      <c r="E63" s="117" t="s">
        <v>91</v>
      </c>
      <c r="F63" s="115" t="s">
        <v>72</v>
      </c>
      <c r="G63" s="118" t="s">
        <v>41</v>
      </c>
      <c r="H63" s="115">
        <f t="shared" si="11"/>
        <v>19.43</v>
      </c>
      <c r="I63" s="116">
        <f t="shared" si="12"/>
        <v>233.1</v>
      </c>
      <c r="J63" s="115">
        <v>259</v>
      </c>
      <c r="K63" s="115">
        <f t="shared" si="13"/>
        <v>271.95</v>
      </c>
    </row>
    <row r="64" ht="18" customHeight="1" spans="1:11">
      <c r="A64" s="115" t="s">
        <v>77</v>
      </c>
      <c r="B64" s="116">
        <v>38</v>
      </c>
      <c r="C64" s="76">
        <f t="shared" si="9"/>
        <v>0.9652</v>
      </c>
      <c r="D64" s="76">
        <f t="shared" si="10"/>
        <v>0.99822</v>
      </c>
      <c r="E64" s="117" t="s">
        <v>92</v>
      </c>
      <c r="F64" s="115" t="s">
        <v>72</v>
      </c>
      <c r="G64" s="118" t="s">
        <v>41</v>
      </c>
      <c r="H64" s="115">
        <f t="shared" si="11"/>
        <v>21.98</v>
      </c>
      <c r="I64" s="116">
        <f t="shared" si="12"/>
        <v>263.7</v>
      </c>
      <c r="J64" s="115">
        <v>293</v>
      </c>
      <c r="K64" s="115">
        <f t="shared" si="13"/>
        <v>307.65</v>
      </c>
    </row>
    <row r="65" ht="18" customHeight="1" spans="1:11">
      <c r="A65" s="115" t="s">
        <v>77</v>
      </c>
      <c r="B65" s="116">
        <v>39</v>
      </c>
      <c r="C65" s="76">
        <f t="shared" si="9"/>
        <v>0.9906</v>
      </c>
      <c r="D65" s="76">
        <f t="shared" si="10"/>
        <v>1.02362</v>
      </c>
      <c r="E65" s="117" t="s">
        <v>92</v>
      </c>
      <c r="F65" s="115" t="s">
        <v>72</v>
      </c>
      <c r="G65" s="118" t="s">
        <v>41</v>
      </c>
      <c r="H65" s="115">
        <f t="shared" si="11"/>
        <v>22.881</v>
      </c>
      <c r="I65" s="116">
        <f t="shared" si="12"/>
        <v>274.5</v>
      </c>
      <c r="J65" s="115">
        <v>305</v>
      </c>
      <c r="K65" s="115">
        <f t="shared" si="13"/>
        <v>320.25</v>
      </c>
    </row>
    <row r="66" ht="18" customHeight="1" spans="1:11">
      <c r="A66" s="25" t="s">
        <v>77</v>
      </c>
      <c r="B66" s="107">
        <v>42.13</v>
      </c>
      <c r="C66" s="26">
        <f t="shared" si="9"/>
        <v>1.070102</v>
      </c>
      <c r="D66" s="26">
        <f t="shared" si="10"/>
        <v>1.103122</v>
      </c>
      <c r="E66" s="108" t="s">
        <v>93</v>
      </c>
      <c r="F66" s="25" t="s">
        <v>72</v>
      </c>
      <c r="G66" s="108" t="s">
        <v>41</v>
      </c>
      <c r="H66" s="25">
        <f t="shared" si="11"/>
        <v>25.131</v>
      </c>
      <c r="I66" s="107">
        <f t="shared" si="12"/>
        <v>301.5</v>
      </c>
      <c r="J66" s="25">
        <v>335</v>
      </c>
      <c r="K66" s="25">
        <f t="shared" si="13"/>
        <v>351.75</v>
      </c>
    </row>
    <row r="67" ht="18" customHeight="1" spans="1:11">
      <c r="A67" s="115" t="s">
        <v>77</v>
      </c>
      <c r="B67" s="116">
        <v>46</v>
      </c>
      <c r="C67" s="76">
        <f t="shared" si="9"/>
        <v>1.1684</v>
      </c>
      <c r="D67" s="76">
        <f t="shared" si="10"/>
        <v>1.20142</v>
      </c>
      <c r="E67" s="117" t="s">
        <v>93</v>
      </c>
      <c r="F67" s="115" t="s">
        <v>72</v>
      </c>
      <c r="G67" s="118" t="s">
        <v>41</v>
      </c>
      <c r="H67" s="115">
        <f t="shared" si="11"/>
        <v>26.257</v>
      </c>
      <c r="I67" s="116">
        <f t="shared" si="12"/>
        <v>315</v>
      </c>
      <c r="J67" s="115">
        <v>350</v>
      </c>
      <c r="K67" s="115">
        <f t="shared" si="13"/>
        <v>367.5</v>
      </c>
    </row>
    <row r="68" ht="18" customHeight="1" spans="1:11">
      <c r="A68" s="115" t="s">
        <v>77</v>
      </c>
      <c r="B68" s="116">
        <v>50</v>
      </c>
      <c r="C68" s="76">
        <f t="shared" si="9"/>
        <v>1.27</v>
      </c>
      <c r="D68" s="76">
        <f t="shared" si="10"/>
        <v>1.30302</v>
      </c>
      <c r="E68" s="117" t="s">
        <v>94</v>
      </c>
      <c r="F68" s="115" t="s">
        <v>72</v>
      </c>
      <c r="G68" s="118" t="s">
        <v>41</v>
      </c>
      <c r="H68" s="115">
        <f t="shared" si="11"/>
        <v>27.157</v>
      </c>
      <c r="I68" s="116">
        <f t="shared" si="12"/>
        <v>325.8</v>
      </c>
      <c r="J68" s="115">
        <v>362</v>
      </c>
      <c r="K68" s="115">
        <f t="shared" si="13"/>
        <v>380.1</v>
      </c>
    </row>
    <row r="69" s="74" customFormat="1" spans="1:11">
      <c r="A69" s="115" t="s">
        <v>77</v>
      </c>
      <c r="B69" s="75">
        <v>61.81</v>
      </c>
      <c r="C69" s="76">
        <f t="shared" si="9"/>
        <v>1.569974</v>
      </c>
      <c r="D69" s="76">
        <f>(B69+1.2)*25.4*0.001</f>
        <v>1.600454</v>
      </c>
      <c r="E69" s="75" t="s">
        <v>40</v>
      </c>
      <c r="F69" s="115" t="s">
        <v>72</v>
      </c>
      <c r="G69" s="118" t="s">
        <v>41</v>
      </c>
      <c r="H69" s="95">
        <f t="shared" si="11"/>
        <v>29.332</v>
      </c>
      <c r="I69" s="78">
        <f t="shared" si="12"/>
        <v>351.9</v>
      </c>
      <c r="J69" s="100">
        <v>391</v>
      </c>
      <c r="K69" s="75">
        <f t="shared" si="13"/>
        <v>410.55</v>
      </c>
    </row>
    <row r="71" ht="21" spans="1:11">
      <c r="A71" s="58" t="s">
        <v>95</v>
      </c>
      <c r="B71" s="58"/>
      <c r="C71" s="58"/>
      <c r="D71" s="58"/>
      <c r="E71" s="58"/>
      <c r="F71" s="58"/>
      <c r="G71" s="58"/>
      <c r="H71" s="58"/>
      <c r="I71" s="58"/>
      <c r="J71" s="58"/>
      <c r="K71" s="58"/>
    </row>
    <row r="72" spans="1:11">
      <c r="A72" s="30" t="s">
        <v>12</v>
      </c>
      <c r="B72" s="30" t="s">
        <v>49</v>
      </c>
      <c r="C72" s="30" t="s">
        <v>50</v>
      </c>
      <c r="D72" s="30" t="s">
        <v>51</v>
      </c>
      <c r="E72" s="30" t="s">
        <v>52</v>
      </c>
      <c r="F72" s="31" t="s">
        <v>53</v>
      </c>
      <c r="G72" s="32" t="s">
        <v>54</v>
      </c>
      <c r="H72" s="33" t="s">
        <v>55</v>
      </c>
      <c r="I72" s="34"/>
      <c r="J72" s="33" t="s">
        <v>56</v>
      </c>
      <c r="K72" s="34"/>
    </row>
    <row r="73" ht="18" customHeight="1" spans="1:11">
      <c r="A73" s="80" t="s">
        <v>96</v>
      </c>
      <c r="B73" s="80">
        <v>106</v>
      </c>
      <c r="C73" s="81">
        <v>0.7</v>
      </c>
      <c r="D73" s="80">
        <v>300</v>
      </c>
      <c r="E73" s="82" t="s">
        <v>58</v>
      </c>
      <c r="F73" s="75">
        <v>3937</v>
      </c>
      <c r="G73" s="75">
        <f>ROUND(H73*300/3937,3)</f>
        <v>2.515</v>
      </c>
      <c r="H73" s="84">
        <v>33</v>
      </c>
      <c r="I73" s="84"/>
      <c r="J73" s="42">
        <f>H73*300</f>
        <v>9900</v>
      </c>
      <c r="K73" s="42"/>
    </row>
    <row r="74" ht="18" customHeight="1" spans="1:11">
      <c r="A74" s="80" t="s">
        <v>96</v>
      </c>
      <c r="B74" s="80">
        <v>106</v>
      </c>
      <c r="C74" s="81">
        <v>0.72</v>
      </c>
      <c r="D74" s="80">
        <v>300</v>
      </c>
      <c r="E74" s="82" t="s">
        <v>58</v>
      </c>
      <c r="F74" s="75">
        <v>3937</v>
      </c>
      <c r="G74" s="75">
        <f>ROUND(H74*300/3937,3)</f>
        <v>2.591</v>
      </c>
      <c r="H74" s="84">
        <v>34</v>
      </c>
      <c r="I74" s="84"/>
      <c r="J74" s="42">
        <f>H74*300</f>
        <v>10200</v>
      </c>
      <c r="K74" s="42"/>
    </row>
    <row r="75" ht="18" customHeight="1" spans="1:11">
      <c r="A75" s="80" t="s">
        <v>96</v>
      </c>
      <c r="B75" s="80">
        <v>106</v>
      </c>
      <c r="C75" s="81">
        <v>0.75</v>
      </c>
      <c r="D75" s="80">
        <v>300</v>
      </c>
      <c r="E75" s="82" t="s">
        <v>58</v>
      </c>
      <c r="F75" s="75">
        <v>3937</v>
      </c>
      <c r="G75" s="75">
        <f>ROUND(H75*300/3937,3)</f>
        <v>2.743</v>
      </c>
      <c r="H75" s="84">
        <v>36</v>
      </c>
      <c r="I75" s="84"/>
      <c r="J75" s="42">
        <f>H75*300</f>
        <v>10800</v>
      </c>
      <c r="K75" s="42"/>
    </row>
    <row r="76" ht="18" customHeight="1" spans="1:11">
      <c r="A76" s="35" t="s">
        <v>96</v>
      </c>
      <c r="B76" s="35">
        <v>1067</v>
      </c>
      <c r="C76" s="36">
        <v>0.72</v>
      </c>
      <c r="D76" s="35">
        <v>300</v>
      </c>
      <c r="E76" s="37" t="s">
        <v>58</v>
      </c>
      <c r="F76" s="25">
        <v>3937</v>
      </c>
      <c r="G76" s="25">
        <f>ROUND(H76*300/3937,3)</f>
        <v>3.2</v>
      </c>
      <c r="H76" s="86">
        <v>42</v>
      </c>
      <c r="I76" s="86"/>
      <c r="J76" s="38">
        <f>H76*300</f>
        <v>12600</v>
      </c>
      <c r="K76" s="38"/>
    </row>
    <row r="77" ht="18" customHeight="1" spans="1:11">
      <c r="A77" s="80" t="s">
        <v>96</v>
      </c>
      <c r="B77" s="80">
        <v>1067</v>
      </c>
      <c r="C77" s="81">
        <v>0.75</v>
      </c>
      <c r="D77" s="80">
        <v>300</v>
      </c>
      <c r="E77" s="82" t="s">
        <v>58</v>
      </c>
      <c r="F77" s="75">
        <v>3937</v>
      </c>
      <c r="G77" s="75">
        <f t="shared" ref="G77:G84" si="14">ROUND(H77*300/3937,3)</f>
        <v>3.353</v>
      </c>
      <c r="H77" s="84">
        <v>44</v>
      </c>
      <c r="I77" s="84"/>
      <c r="J77" s="42">
        <f t="shared" ref="J77:J83" si="15">H77*300</f>
        <v>13200</v>
      </c>
      <c r="K77" s="42"/>
    </row>
    <row r="78" ht="18" customHeight="1" spans="1:11">
      <c r="A78" s="80" t="s">
        <v>96</v>
      </c>
      <c r="B78" s="80">
        <v>1080</v>
      </c>
      <c r="C78" s="81">
        <v>0.63</v>
      </c>
      <c r="D78" s="80">
        <v>300</v>
      </c>
      <c r="E78" s="82" t="s">
        <v>58</v>
      </c>
      <c r="F78" s="75">
        <v>3937</v>
      </c>
      <c r="G78" s="75">
        <f t="shared" si="14"/>
        <v>2.896</v>
      </c>
      <c r="H78" s="64">
        <v>38</v>
      </c>
      <c r="I78" s="64"/>
      <c r="J78" s="42">
        <f t="shared" si="15"/>
        <v>11400</v>
      </c>
      <c r="K78" s="42"/>
    </row>
    <row r="79" ht="18" customHeight="1" spans="1:11">
      <c r="A79" s="80" t="s">
        <v>96</v>
      </c>
      <c r="B79" s="80">
        <v>1080</v>
      </c>
      <c r="C79" s="81">
        <v>0.65</v>
      </c>
      <c r="D79" s="80">
        <v>300</v>
      </c>
      <c r="E79" s="82" t="s">
        <v>58</v>
      </c>
      <c r="F79" s="75">
        <v>3937</v>
      </c>
      <c r="G79" s="75">
        <f t="shared" si="14"/>
        <v>2.972</v>
      </c>
      <c r="H79" s="64">
        <v>39</v>
      </c>
      <c r="I79" s="64"/>
      <c r="J79" s="42">
        <f t="shared" si="15"/>
        <v>11700</v>
      </c>
      <c r="K79" s="42"/>
    </row>
    <row r="80" ht="18" customHeight="1" spans="1:11">
      <c r="A80" s="80" t="s">
        <v>96</v>
      </c>
      <c r="B80" s="80">
        <v>1080</v>
      </c>
      <c r="C80" s="81">
        <v>0.66</v>
      </c>
      <c r="D80" s="80">
        <v>300</v>
      </c>
      <c r="E80" s="82" t="s">
        <v>58</v>
      </c>
      <c r="F80" s="75">
        <v>3937</v>
      </c>
      <c r="G80" s="75">
        <f t="shared" si="14"/>
        <v>2.972</v>
      </c>
      <c r="H80" s="64">
        <v>39</v>
      </c>
      <c r="I80" s="64"/>
      <c r="J80" s="42">
        <f t="shared" si="15"/>
        <v>11700</v>
      </c>
      <c r="K80" s="42"/>
    </row>
    <row r="81" ht="18" customHeight="1" spans="1:11">
      <c r="A81" s="80" t="s">
        <v>96</v>
      </c>
      <c r="B81" s="80">
        <v>1080</v>
      </c>
      <c r="C81" s="81">
        <v>0.68</v>
      </c>
      <c r="D81" s="80">
        <v>300</v>
      </c>
      <c r="E81" s="82" t="s">
        <v>58</v>
      </c>
      <c r="F81" s="75">
        <v>3937</v>
      </c>
      <c r="G81" s="75">
        <f t="shared" si="14"/>
        <v>3.048</v>
      </c>
      <c r="H81" s="64">
        <v>40</v>
      </c>
      <c r="I81" s="64"/>
      <c r="J81" s="42">
        <f t="shared" si="15"/>
        <v>12000</v>
      </c>
      <c r="K81" s="42"/>
    </row>
    <row r="82" ht="18" customHeight="1" spans="1:11">
      <c r="A82" s="80" t="s">
        <v>96</v>
      </c>
      <c r="B82" s="80">
        <v>1080</v>
      </c>
      <c r="C82" s="81">
        <v>0.69</v>
      </c>
      <c r="D82" s="80">
        <v>300</v>
      </c>
      <c r="E82" s="82" t="s">
        <v>58</v>
      </c>
      <c r="F82" s="75">
        <v>3937</v>
      </c>
      <c r="G82" s="75">
        <f t="shared" si="14"/>
        <v>3.048</v>
      </c>
      <c r="H82" s="64">
        <v>40</v>
      </c>
      <c r="I82" s="64"/>
      <c r="J82" s="42">
        <f t="shared" si="15"/>
        <v>12000</v>
      </c>
      <c r="K82" s="42"/>
    </row>
    <row r="83" ht="18" customHeight="1" spans="1:11">
      <c r="A83" s="80" t="s">
        <v>96</v>
      </c>
      <c r="B83" s="80">
        <v>1080</v>
      </c>
      <c r="C83" s="81">
        <v>0.72</v>
      </c>
      <c r="D83" s="80">
        <v>300</v>
      </c>
      <c r="E83" s="82" t="s">
        <v>58</v>
      </c>
      <c r="F83" s="75">
        <v>3937</v>
      </c>
      <c r="G83" s="75">
        <f t="shared" si="14"/>
        <v>3.277</v>
      </c>
      <c r="H83" s="64">
        <v>43</v>
      </c>
      <c r="I83" s="64"/>
      <c r="J83" s="42">
        <f t="shared" si="15"/>
        <v>12900</v>
      </c>
      <c r="K83" s="42"/>
    </row>
    <row r="84" ht="18" customHeight="1" spans="1:11">
      <c r="A84" s="80" t="s">
        <v>96</v>
      </c>
      <c r="B84" s="80">
        <v>1086</v>
      </c>
      <c r="C84" s="81">
        <v>0.65</v>
      </c>
      <c r="D84" s="80">
        <v>300</v>
      </c>
      <c r="E84" s="82" t="s">
        <v>58</v>
      </c>
      <c r="F84" s="75">
        <v>3937</v>
      </c>
      <c r="G84" s="75">
        <f t="shared" si="14"/>
        <v>3.048</v>
      </c>
      <c r="H84" s="84">
        <v>40</v>
      </c>
      <c r="I84" s="84"/>
      <c r="J84" s="42">
        <f t="shared" ref="J84:J92" si="16">H84*300</f>
        <v>12000</v>
      </c>
      <c r="K84" s="42"/>
    </row>
    <row r="85" ht="18" customHeight="1" spans="1:11">
      <c r="A85" s="80" t="s">
        <v>96</v>
      </c>
      <c r="B85" s="80">
        <v>1086</v>
      </c>
      <c r="C85" s="81">
        <v>0.68</v>
      </c>
      <c r="D85" s="80">
        <v>300</v>
      </c>
      <c r="E85" s="82" t="s">
        <v>58</v>
      </c>
      <c r="F85" s="75">
        <v>3937</v>
      </c>
      <c r="G85" s="75">
        <f t="shared" ref="G85:G90" si="17">ROUND(H85*300/3937,3)</f>
        <v>3.277</v>
      </c>
      <c r="H85" s="84">
        <v>43</v>
      </c>
      <c r="I85" s="84"/>
      <c r="J85" s="42">
        <f t="shared" si="16"/>
        <v>12900</v>
      </c>
      <c r="K85" s="42"/>
    </row>
    <row r="86" ht="18" customHeight="1" spans="1:11">
      <c r="A86" s="80" t="s">
        <v>96</v>
      </c>
      <c r="B86" s="80">
        <v>1078</v>
      </c>
      <c r="C86" s="81">
        <v>0.62</v>
      </c>
      <c r="D86" s="80">
        <v>300</v>
      </c>
      <c r="E86" s="82" t="s">
        <v>58</v>
      </c>
      <c r="F86" s="75">
        <v>3937</v>
      </c>
      <c r="G86" s="75">
        <f t="shared" si="17"/>
        <v>2.896</v>
      </c>
      <c r="H86" s="84">
        <v>38</v>
      </c>
      <c r="I86" s="84"/>
      <c r="J86" s="42">
        <f t="shared" si="16"/>
        <v>11400</v>
      </c>
      <c r="K86" s="42"/>
    </row>
    <row r="87" ht="18" customHeight="1" spans="1:11">
      <c r="A87" s="80" t="s">
        <v>96</v>
      </c>
      <c r="B87" s="80">
        <v>1078</v>
      </c>
      <c r="C87" s="81">
        <v>0.65</v>
      </c>
      <c r="D87" s="80">
        <v>300</v>
      </c>
      <c r="E87" s="82" t="s">
        <v>58</v>
      </c>
      <c r="F87" s="75">
        <v>3937</v>
      </c>
      <c r="G87" s="75">
        <f t="shared" si="17"/>
        <v>2.972</v>
      </c>
      <c r="H87" s="84">
        <v>39</v>
      </c>
      <c r="I87" s="84"/>
      <c r="J87" s="42">
        <f t="shared" si="16"/>
        <v>11700</v>
      </c>
      <c r="K87" s="42"/>
    </row>
    <row r="88" ht="18" customHeight="1" spans="1:11">
      <c r="A88" s="80" t="s">
        <v>96</v>
      </c>
      <c r="B88" s="80">
        <v>1078</v>
      </c>
      <c r="C88" s="81">
        <v>0.68</v>
      </c>
      <c r="D88" s="80">
        <v>300</v>
      </c>
      <c r="E88" s="82" t="s">
        <v>58</v>
      </c>
      <c r="F88" s="75">
        <v>3937</v>
      </c>
      <c r="G88" s="75">
        <f t="shared" si="17"/>
        <v>2.972</v>
      </c>
      <c r="H88" s="84">
        <v>39</v>
      </c>
      <c r="I88" s="84"/>
      <c r="J88" s="42">
        <f t="shared" si="16"/>
        <v>11700</v>
      </c>
      <c r="K88" s="42"/>
    </row>
    <row r="89" ht="18" customHeight="1" spans="1:11">
      <c r="A89" s="80" t="s">
        <v>96</v>
      </c>
      <c r="B89" s="80">
        <v>1078</v>
      </c>
      <c r="C89" s="81">
        <v>0.7</v>
      </c>
      <c r="D89" s="80">
        <v>300</v>
      </c>
      <c r="E89" s="82" t="s">
        <v>58</v>
      </c>
      <c r="F89" s="75">
        <v>3937</v>
      </c>
      <c r="G89" s="75">
        <f t="shared" si="17"/>
        <v>3.048</v>
      </c>
      <c r="H89" s="84">
        <v>40</v>
      </c>
      <c r="I89" s="84"/>
      <c r="J89" s="42">
        <f t="shared" si="16"/>
        <v>12000</v>
      </c>
      <c r="K89" s="42"/>
    </row>
    <row r="90" ht="18" customHeight="1" spans="1:11">
      <c r="A90" s="35" t="s">
        <v>96</v>
      </c>
      <c r="B90" s="35">
        <v>3313</v>
      </c>
      <c r="C90" s="36">
        <v>0.56</v>
      </c>
      <c r="D90" s="35">
        <v>300</v>
      </c>
      <c r="E90" s="37" t="s">
        <v>58</v>
      </c>
      <c r="F90" s="25">
        <v>3937</v>
      </c>
      <c r="G90" s="25">
        <f t="shared" si="17"/>
        <v>3.2</v>
      </c>
      <c r="H90" s="86">
        <v>42</v>
      </c>
      <c r="I90" s="86"/>
      <c r="J90" s="38">
        <f t="shared" si="16"/>
        <v>12600</v>
      </c>
      <c r="K90" s="38"/>
    </row>
    <row r="91" ht="18" customHeight="1" spans="1:11">
      <c r="A91" s="80" t="s">
        <v>96</v>
      </c>
      <c r="B91" s="80">
        <v>3313</v>
      </c>
      <c r="C91" s="81">
        <v>0.57</v>
      </c>
      <c r="D91" s="80">
        <v>300</v>
      </c>
      <c r="E91" s="82" t="s">
        <v>58</v>
      </c>
      <c r="F91" s="75">
        <v>3937</v>
      </c>
      <c r="G91" s="75">
        <f t="shared" ref="G91:G102" si="18">ROUND(H91*300/3937,3)</f>
        <v>3.277</v>
      </c>
      <c r="H91" s="84">
        <v>43</v>
      </c>
      <c r="I91" s="84"/>
      <c r="J91" s="42">
        <f t="shared" si="16"/>
        <v>12900</v>
      </c>
      <c r="K91" s="42"/>
    </row>
    <row r="92" ht="18" customHeight="1" spans="1:11">
      <c r="A92" s="80" t="s">
        <v>96</v>
      </c>
      <c r="B92" s="80">
        <v>3313</v>
      </c>
      <c r="C92" s="81">
        <v>0.61</v>
      </c>
      <c r="D92" s="80">
        <v>300</v>
      </c>
      <c r="E92" s="82" t="s">
        <v>58</v>
      </c>
      <c r="F92" s="75">
        <v>3937</v>
      </c>
      <c r="G92" s="75">
        <f t="shared" si="18"/>
        <v>3.429</v>
      </c>
      <c r="H92" s="84">
        <v>45</v>
      </c>
      <c r="I92" s="84"/>
      <c r="J92" s="42">
        <f t="shared" si="16"/>
        <v>13500</v>
      </c>
      <c r="K92" s="42"/>
    </row>
    <row r="93" ht="18" customHeight="1" spans="1:11">
      <c r="A93" s="80" t="s">
        <v>96</v>
      </c>
      <c r="B93" s="80">
        <v>2116</v>
      </c>
      <c r="C93" s="81">
        <v>0.53</v>
      </c>
      <c r="D93" s="80">
        <v>200</v>
      </c>
      <c r="E93" s="82" t="s">
        <v>58</v>
      </c>
      <c r="F93" s="75">
        <v>2624.7</v>
      </c>
      <c r="G93" s="75">
        <f t="shared" si="18"/>
        <v>3.277</v>
      </c>
      <c r="H93" s="84">
        <v>43</v>
      </c>
      <c r="I93" s="84"/>
      <c r="J93" s="78">
        <f t="shared" ref="J93:J102" si="19">ROUND(H93*D93,2)</f>
        <v>8600</v>
      </c>
      <c r="K93" s="78"/>
    </row>
    <row r="94" ht="18" customHeight="1" spans="1:11">
      <c r="A94" s="80" t="s">
        <v>96</v>
      </c>
      <c r="B94" s="80">
        <v>2116</v>
      </c>
      <c r="C94" s="81">
        <v>0.55</v>
      </c>
      <c r="D94" s="80">
        <v>200</v>
      </c>
      <c r="E94" s="82" t="s">
        <v>58</v>
      </c>
      <c r="F94" s="75">
        <v>2624.7</v>
      </c>
      <c r="G94" s="75">
        <f t="shared" si="18"/>
        <v>3.353</v>
      </c>
      <c r="H94" s="84">
        <v>44</v>
      </c>
      <c r="I94" s="84"/>
      <c r="J94" s="78">
        <f t="shared" si="19"/>
        <v>8800</v>
      </c>
      <c r="K94" s="78"/>
    </row>
    <row r="95" ht="18" customHeight="1" spans="1:11">
      <c r="A95" s="80" t="s">
        <v>96</v>
      </c>
      <c r="B95" s="80">
        <v>2116</v>
      </c>
      <c r="C95" s="81">
        <v>0.57</v>
      </c>
      <c r="D95" s="80">
        <v>200</v>
      </c>
      <c r="E95" s="82" t="s">
        <v>58</v>
      </c>
      <c r="F95" s="75">
        <v>2624.7</v>
      </c>
      <c r="G95" s="75">
        <f t="shared" si="18"/>
        <v>3.429</v>
      </c>
      <c r="H95" s="84">
        <v>45</v>
      </c>
      <c r="I95" s="84"/>
      <c r="J95" s="78">
        <f t="shared" si="19"/>
        <v>9000</v>
      </c>
      <c r="K95" s="78"/>
    </row>
    <row r="96" ht="18" customHeight="1" spans="1:11">
      <c r="A96" s="80" t="s">
        <v>96</v>
      </c>
      <c r="B96" s="80">
        <v>2116</v>
      </c>
      <c r="C96" s="81">
        <v>0.59</v>
      </c>
      <c r="D96" s="80">
        <v>200</v>
      </c>
      <c r="E96" s="82" t="s">
        <v>58</v>
      </c>
      <c r="F96" s="75">
        <v>2624.7</v>
      </c>
      <c r="G96" s="75">
        <f t="shared" si="18"/>
        <v>3.505</v>
      </c>
      <c r="H96" s="84">
        <v>46</v>
      </c>
      <c r="I96" s="84"/>
      <c r="J96" s="78">
        <f t="shared" si="19"/>
        <v>9200</v>
      </c>
      <c r="K96" s="78"/>
    </row>
    <row r="97" ht="18" customHeight="1" spans="1:11">
      <c r="A97" s="80" t="s">
        <v>96</v>
      </c>
      <c r="B97" s="80">
        <v>2116</v>
      </c>
      <c r="C97" s="81">
        <v>0.6</v>
      </c>
      <c r="D97" s="80">
        <v>200</v>
      </c>
      <c r="E97" s="82" t="s">
        <v>58</v>
      </c>
      <c r="F97" s="75">
        <v>2624.7</v>
      </c>
      <c r="G97" s="75">
        <f t="shared" si="18"/>
        <v>3.658</v>
      </c>
      <c r="H97" s="84">
        <v>48</v>
      </c>
      <c r="I97" s="84"/>
      <c r="J97" s="78">
        <f t="shared" si="19"/>
        <v>9600</v>
      </c>
      <c r="K97" s="78"/>
    </row>
    <row r="98" ht="18" customHeight="1" spans="1:11">
      <c r="A98" s="80" t="s">
        <v>96</v>
      </c>
      <c r="B98" s="80">
        <v>1506</v>
      </c>
      <c r="C98" s="81">
        <v>0.48</v>
      </c>
      <c r="D98" s="80">
        <v>150</v>
      </c>
      <c r="E98" s="82" t="s">
        <v>58</v>
      </c>
      <c r="F98" s="75">
        <v>1968.5</v>
      </c>
      <c r="G98" s="75">
        <f t="shared" si="18"/>
        <v>3.81</v>
      </c>
      <c r="H98" s="84">
        <v>50</v>
      </c>
      <c r="I98" s="84"/>
      <c r="J98" s="78">
        <f t="shared" si="19"/>
        <v>7500</v>
      </c>
      <c r="K98" s="78"/>
    </row>
    <row r="99" ht="18" customHeight="1" spans="1:11">
      <c r="A99" s="80" t="s">
        <v>96</v>
      </c>
      <c r="B99" s="80">
        <v>1506</v>
      </c>
      <c r="C99" s="81">
        <v>0.51</v>
      </c>
      <c r="D99" s="80">
        <v>150</v>
      </c>
      <c r="E99" s="82" t="s">
        <v>58</v>
      </c>
      <c r="F99" s="75">
        <v>1968.5</v>
      </c>
      <c r="G99" s="75">
        <f t="shared" si="18"/>
        <v>4.039</v>
      </c>
      <c r="H99" s="84">
        <v>53</v>
      </c>
      <c r="I99" s="84"/>
      <c r="J99" s="78">
        <f t="shared" si="19"/>
        <v>7950</v>
      </c>
      <c r="K99" s="78"/>
    </row>
    <row r="100" ht="18" customHeight="1" spans="1:11">
      <c r="A100" s="80" t="s">
        <v>96</v>
      </c>
      <c r="B100" s="80">
        <v>7628</v>
      </c>
      <c r="C100" s="81">
        <v>0.43</v>
      </c>
      <c r="D100" s="80">
        <v>150</v>
      </c>
      <c r="E100" s="82" t="s">
        <v>58</v>
      </c>
      <c r="F100" s="75">
        <v>1968.5</v>
      </c>
      <c r="G100" s="75">
        <f t="shared" si="18"/>
        <v>3.353</v>
      </c>
      <c r="H100" s="84">
        <v>44</v>
      </c>
      <c r="I100" s="84"/>
      <c r="J100" s="78">
        <f t="shared" si="19"/>
        <v>6600</v>
      </c>
      <c r="K100" s="78"/>
    </row>
    <row r="101" ht="18" customHeight="1" spans="1:11">
      <c r="A101" s="80" t="s">
        <v>96</v>
      </c>
      <c r="B101" s="80">
        <v>7628</v>
      </c>
      <c r="C101" s="81">
        <v>0.46</v>
      </c>
      <c r="D101" s="80">
        <v>150</v>
      </c>
      <c r="E101" s="82" t="s">
        <v>58</v>
      </c>
      <c r="F101" s="75">
        <v>1968.5</v>
      </c>
      <c r="G101" s="75">
        <f t="shared" si="18"/>
        <v>3.505</v>
      </c>
      <c r="H101" s="84">
        <v>46</v>
      </c>
      <c r="I101" s="84"/>
      <c r="J101" s="78">
        <f t="shared" si="19"/>
        <v>6900</v>
      </c>
      <c r="K101" s="78"/>
    </row>
    <row r="102" ht="18" customHeight="1" spans="1:11">
      <c r="A102" s="80" t="s">
        <v>96</v>
      </c>
      <c r="B102" s="80">
        <v>7628</v>
      </c>
      <c r="C102" s="81">
        <v>0.49</v>
      </c>
      <c r="D102" s="80">
        <v>150</v>
      </c>
      <c r="E102" s="82" t="s">
        <v>58</v>
      </c>
      <c r="F102" s="75">
        <v>1968.5</v>
      </c>
      <c r="G102" s="75">
        <f t="shared" si="18"/>
        <v>3.81</v>
      </c>
      <c r="H102" s="84">
        <v>50</v>
      </c>
      <c r="I102" s="84"/>
      <c r="J102" s="78">
        <f t="shared" si="19"/>
        <v>7500</v>
      </c>
      <c r="K102" s="78"/>
    </row>
    <row r="104" spans="1:11">
      <c r="A104" s="43" t="s">
        <v>60</v>
      </c>
      <c r="B104" s="44"/>
      <c r="C104" s="44"/>
      <c r="D104" s="44"/>
      <c r="E104" s="45"/>
      <c r="F104" s="44"/>
      <c r="G104" s="44"/>
      <c r="H104" s="44"/>
      <c r="I104" s="44"/>
      <c r="J104" s="44"/>
      <c r="K104" s="70"/>
    </row>
    <row r="105" spans="1:11">
      <c r="A105" s="46" t="s">
        <v>61</v>
      </c>
      <c r="B105" s="44"/>
      <c r="C105" s="44"/>
      <c r="D105" s="44"/>
      <c r="E105" s="45"/>
      <c r="F105" s="44"/>
      <c r="G105" s="44"/>
      <c r="H105" s="44"/>
      <c r="I105" s="44"/>
      <c r="J105" s="44"/>
      <c r="K105" s="70"/>
    </row>
    <row r="106" spans="1:11">
      <c r="A106" s="43" t="s">
        <v>62</v>
      </c>
      <c r="B106" s="47"/>
      <c r="C106" s="47"/>
      <c r="D106" s="47"/>
      <c r="E106" s="48"/>
      <c r="F106" s="47"/>
      <c r="G106" s="47"/>
      <c r="H106" s="47"/>
      <c r="I106" s="44"/>
      <c r="J106" s="44"/>
      <c r="K106" s="70"/>
    </row>
    <row r="107" spans="1:11">
      <c r="A107" s="43" t="s">
        <v>97</v>
      </c>
      <c r="B107" s="47"/>
      <c r="C107" s="47"/>
      <c r="D107" s="47"/>
      <c r="E107" s="48"/>
      <c r="F107" s="47"/>
      <c r="G107" s="47"/>
      <c r="H107" s="47"/>
      <c r="I107" s="44"/>
      <c r="J107" s="44"/>
      <c r="K107" s="70"/>
    </row>
    <row r="108" spans="1:11">
      <c r="A108" s="43" t="s">
        <v>64</v>
      </c>
      <c r="B108" s="47"/>
      <c r="C108" s="47"/>
      <c r="D108" s="47"/>
      <c r="E108" s="48"/>
      <c r="F108" s="47"/>
      <c r="G108" s="47"/>
      <c r="H108" s="47"/>
      <c r="I108" s="44"/>
      <c r="J108" s="44"/>
      <c r="K108" s="70"/>
    </row>
    <row r="109" spans="1:11">
      <c r="A109" s="44" t="s">
        <v>65</v>
      </c>
      <c r="B109" s="44"/>
      <c r="C109" s="44"/>
      <c r="D109" s="44"/>
      <c r="E109" s="44"/>
      <c r="F109" s="44"/>
      <c r="G109" s="44"/>
      <c r="H109" s="44"/>
      <c r="I109" s="44"/>
      <c r="J109" s="44"/>
    </row>
    <row r="110" spans="1:11">
      <c r="A110" s="90"/>
      <c r="B110" s="91"/>
      <c r="C110" s="91"/>
      <c r="D110" s="91"/>
      <c r="E110" s="91"/>
      <c r="F110" s="91"/>
      <c r="G110" s="91"/>
      <c r="H110" s="92"/>
    </row>
    <row r="111" ht="15.5" spans="1:11">
      <c r="A111" s="93" t="s">
        <v>66</v>
      </c>
      <c r="B111" s="73"/>
      <c r="C111" s="93"/>
      <c r="D111" s="93"/>
      <c r="E111" s="93"/>
      <c r="F111" s="93"/>
      <c r="G111" s="73"/>
      <c r="H111" s="93" t="s">
        <v>67</v>
      </c>
      <c r="I111" s="93"/>
      <c r="J111" s="93"/>
      <c r="K111" s="73"/>
    </row>
    <row r="112" s="49" customFormat="1" ht="13.2" customHeight="1"/>
  </sheetData>
  <mergeCells count="65">
    <mergeCell ref="A1:K1"/>
    <mergeCell ref="A2:K2"/>
    <mergeCell ref="A3:K3"/>
    <mergeCell ref="A8:K8"/>
    <mergeCell ref="A71:K71"/>
    <mergeCell ref="H73:I73"/>
    <mergeCell ref="J73:K73"/>
    <mergeCell ref="H74:I74"/>
    <mergeCell ref="J74:K74"/>
    <mergeCell ref="H75:I75"/>
    <mergeCell ref="J75:K75"/>
    <mergeCell ref="H76:I76"/>
    <mergeCell ref="J76:K76"/>
    <mergeCell ref="H77:I77"/>
    <mergeCell ref="J77:K77"/>
    <mergeCell ref="H78:I78"/>
    <mergeCell ref="J78:K78"/>
    <mergeCell ref="H79:I79"/>
    <mergeCell ref="J79:K79"/>
    <mergeCell ref="H80:I80"/>
    <mergeCell ref="J80:K80"/>
    <mergeCell ref="H81:I81"/>
    <mergeCell ref="J81:K81"/>
    <mergeCell ref="H82:I82"/>
    <mergeCell ref="J82:K82"/>
    <mergeCell ref="H83:I83"/>
    <mergeCell ref="J83:K83"/>
    <mergeCell ref="H84:I84"/>
    <mergeCell ref="J84:K84"/>
    <mergeCell ref="H85:I85"/>
    <mergeCell ref="J85:K85"/>
    <mergeCell ref="H86:I86"/>
    <mergeCell ref="J86:K86"/>
    <mergeCell ref="H87:I87"/>
    <mergeCell ref="J87:K87"/>
    <mergeCell ref="H88:I88"/>
    <mergeCell ref="J88:K88"/>
    <mergeCell ref="H89:I89"/>
    <mergeCell ref="J89:K89"/>
    <mergeCell ref="H90:I90"/>
    <mergeCell ref="J90:K90"/>
    <mergeCell ref="H91:I91"/>
    <mergeCell ref="J91:K91"/>
    <mergeCell ref="H92:I92"/>
    <mergeCell ref="J92:K92"/>
    <mergeCell ref="H93:I93"/>
    <mergeCell ref="J93:K93"/>
    <mergeCell ref="H94:I94"/>
    <mergeCell ref="J94:K94"/>
    <mergeCell ref="H95:I95"/>
    <mergeCell ref="J95:K95"/>
    <mergeCell ref="H96:I96"/>
    <mergeCell ref="J96:K96"/>
    <mergeCell ref="H97:I97"/>
    <mergeCell ref="J97:K97"/>
    <mergeCell ref="H98:I98"/>
    <mergeCell ref="J98:K98"/>
    <mergeCell ref="H99:I99"/>
    <mergeCell ref="J99:K99"/>
    <mergeCell ref="H100:I100"/>
    <mergeCell ref="J100:K100"/>
    <mergeCell ref="H101:I101"/>
    <mergeCell ref="J101:K101"/>
    <mergeCell ref="H102:I102"/>
    <mergeCell ref="J102:K102"/>
  </mergeCells>
  <pageMargins left="0.25" right="0.25" top="0.75" bottom="0.75" header="0.3" footer="0.3"/>
  <pageSetup paperSize="9" scale="77" fitToWidth="0" fitToHeight="0" orientation="portrait" horizontalDpi="600" verticalDpi="600"/>
  <headerFooter/>
  <rowBreaks count="1" manualBreakCount="1">
    <brk id="47" max="11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view="pageBreakPreview" zoomScaleNormal="100" workbookViewId="0">
      <selection activeCell="A59" sqref="A59:K59"/>
    </sheetView>
  </sheetViews>
  <sheetFormatPr defaultColWidth="8.8" defaultRowHeight="15"/>
  <cols>
    <col min="1" max="4" width="8.8" style="73"/>
    <col min="5" max="5" width="9.58333333333333" style="73" customWidth="1"/>
    <col min="6" max="6" width="8.58333333333333" style="73" customWidth="1"/>
    <col min="7" max="7" width="8.41666666666667" style="73" customWidth="1"/>
    <col min="8" max="8" width="9" style="73" customWidth="1"/>
    <col min="9" max="9" width="8.66666666666667" style="73" customWidth="1"/>
    <col min="10" max="10" width="8.5" style="73" customWidth="1"/>
    <col min="11" max="11" width="10" style="73" customWidth="1"/>
    <col min="12" max="16384" width="8.8" style="73"/>
  </cols>
  <sheetData>
    <row r="1" ht="27.5" spans="1:1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4"/>
      <c r="B4" s="5"/>
      <c r="C4" s="3"/>
      <c r="D4" s="3"/>
      <c r="E4" s="6"/>
      <c r="F4" s="6"/>
      <c r="G4" s="6"/>
      <c r="H4" s="4"/>
      <c r="I4" s="4"/>
      <c r="J4" s="4"/>
      <c r="K4" s="3"/>
    </row>
    <row r="5" spans="1:11">
      <c r="A5" s="7" t="s">
        <v>3</v>
      </c>
      <c r="B5" s="7" t="s">
        <v>4</v>
      </c>
      <c r="C5" s="8"/>
      <c r="D5" s="8"/>
      <c r="E5" s="9"/>
      <c r="F5" s="9"/>
      <c r="G5" s="9"/>
      <c r="H5" s="10"/>
      <c r="I5" s="8" t="s">
        <v>5</v>
      </c>
      <c r="J5" s="5" t="s">
        <v>6</v>
      </c>
      <c r="K5" s="11"/>
    </row>
    <row r="6" spans="1:11">
      <c r="A6" s="12" t="s">
        <v>7</v>
      </c>
      <c r="B6" s="12" t="s">
        <v>75</v>
      </c>
      <c r="C6" s="8"/>
      <c r="D6" s="8"/>
      <c r="E6" s="9"/>
      <c r="F6" s="9"/>
      <c r="G6" s="9"/>
      <c r="H6" s="10"/>
      <c r="I6" s="8" t="s">
        <v>9</v>
      </c>
      <c r="J6" s="8"/>
      <c r="K6" s="11"/>
    </row>
    <row r="7" spans="1:11">
      <c r="A7" s="12"/>
      <c r="B7" s="12"/>
      <c r="C7" s="8"/>
      <c r="D7" s="8"/>
      <c r="E7" s="9"/>
      <c r="F7" s="9"/>
      <c r="G7" s="9"/>
      <c r="H7" s="8"/>
      <c r="I7" s="13" t="s">
        <v>10</v>
      </c>
      <c r="J7" s="14"/>
      <c r="K7" s="14"/>
    </row>
    <row r="8" spans="1:11">
      <c r="A8" s="12"/>
      <c r="B8" s="12"/>
      <c r="C8" s="8"/>
      <c r="D8" s="8"/>
      <c r="E8" s="9"/>
      <c r="F8" s="9"/>
      <c r="G8" s="9"/>
      <c r="H8" s="8"/>
      <c r="I8" s="13"/>
      <c r="J8" s="14"/>
      <c r="K8" s="14"/>
    </row>
    <row r="9" ht="21" spans="1:11">
      <c r="A9" s="15" t="s">
        <v>98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0" ht="21" customHeight="1" spans="1:11">
      <c r="A10" s="16" t="s">
        <v>12</v>
      </c>
      <c r="B10" s="17" t="s">
        <v>13</v>
      </c>
      <c r="C10" s="17" t="s">
        <v>14</v>
      </c>
      <c r="D10" s="17" t="s">
        <v>15</v>
      </c>
      <c r="E10" s="16" t="s">
        <v>16</v>
      </c>
      <c r="F10" s="17" t="s">
        <v>17</v>
      </c>
      <c r="G10" s="17" t="s">
        <v>18</v>
      </c>
      <c r="H10" s="59" t="s">
        <v>19</v>
      </c>
      <c r="I10" s="60" t="s">
        <v>20</v>
      </c>
      <c r="J10" s="60" t="s">
        <v>21</v>
      </c>
      <c r="K10" s="60" t="s">
        <v>22</v>
      </c>
    </row>
    <row r="11" ht="18" customHeight="1" spans="1:11">
      <c r="A11" s="75" t="s">
        <v>99</v>
      </c>
      <c r="B11" s="105">
        <v>2</v>
      </c>
      <c r="C11" s="76">
        <f t="shared" ref="C11:C16" si="0">B11*25.4*0.001</f>
        <v>0.0508</v>
      </c>
      <c r="D11" s="76">
        <f t="shared" ref="D11:D16" si="1">(B11+2.6)*25.4*0.001</f>
        <v>0.11684</v>
      </c>
      <c r="E11" s="106" t="s">
        <v>24</v>
      </c>
      <c r="F11" s="75" t="s">
        <v>100</v>
      </c>
      <c r="G11" s="106" t="s">
        <v>25</v>
      </c>
      <c r="H11" s="18">
        <f t="shared" ref="H11:H30" si="2">ROUND(J11/13.33,3)</f>
        <v>16.129</v>
      </c>
      <c r="I11" s="78">
        <f t="shared" ref="I11:I30" si="3">J11*0.9</f>
        <v>193.5</v>
      </c>
      <c r="J11" s="75">
        <v>215</v>
      </c>
      <c r="K11" s="75">
        <f t="shared" ref="K11:K30" si="4">J11*1.05</f>
        <v>225.75</v>
      </c>
    </row>
    <row r="12" ht="18" customHeight="1" spans="1:11">
      <c r="A12" s="75" t="s">
        <v>99</v>
      </c>
      <c r="B12" s="105">
        <v>2.5</v>
      </c>
      <c r="C12" s="76">
        <f t="shared" si="0"/>
        <v>0.0635</v>
      </c>
      <c r="D12" s="76">
        <f t="shared" si="1"/>
        <v>0.12954</v>
      </c>
      <c r="E12" s="106" t="s">
        <v>24</v>
      </c>
      <c r="F12" s="75" t="s">
        <v>100</v>
      </c>
      <c r="G12" s="106" t="s">
        <v>25</v>
      </c>
      <c r="H12" s="18">
        <f t="shared" si="2"/>
        <v>16.129</v>
      </c>
      <c r="I12" s="78">
        <f t="shared" si="3"/>
        <v>193.5</v>
      </c>
      <c r="J12" s="75">
        <v>215</v>
      </c>
      <c r="K12" s="75">
        <f t="shared" si="4"/>
        <v>225.75</v>
      </c>
    </row>
    <row r="13" ht="18" customHeight="1" spans="1:11">
      <c r="A13" s="75" t="s">
        <v>99</v>
      </c>
      <c r="B13" s="105">
        <v>3</v>
      </c>
      <c r="C13" s="76">
        <f t="shared" si="0"/>
        <v>0.0762</v>
      </c>
      <c r="D13" s="76">
        <f t="shared" si="1"/>
        <v>0.14224</v>
      </c>
      <c r="E13" s="106" t="s">
        <v>81</v>
      </c>
      <c r="F13" s="75" t="s">
        <v>100</v>
      </c>
      <c r="G13" s="106" t="s">
        <v>25</v>
      </c>
      <c r="H13" s="18">
        <f t="shared" si="2"/>
        <v>15.679</v>
      </c>
      <c r="I13" s="78">
        <f t="shared" si="3"/>
        <v>188.1</v>
      </c>
      <c r="J13" s="75">
        <v>209</v>
      </c>
      <c r="K13" s="75">
        <f t="shared" si="4"/>
        <v>219.45</v>
      </c>
    </row>
    <row r="14" ht="18" customHeight="1" spans="1:11">
      <c r="A14" s="75" t="s">
        <v>99</v>
      </c>
      <c r="B14" s="105">
        <v>3.5</v>
      </c>
      <c r="C14" s="76">
        <f t="shared" si="0"/>
        <v>0.0889</v>
      </c>
      <c r="D14" s="76">
        <f t="shared" si="1"/>
        <v>0.15494</v>
      </c>
      <c r="E14" s="106" t="s">
        <v>85</v>
      </c>
      <c r="F14" s="75" t="s">
        <v>100</v>
      </c>
      <c r="G14" s="106" t="s">
        <v>25</v>
      </c>
      <c r="H14" s="18">
        <f t="shared" si="2"/>
        <v>15.679</v>
      </c>
      <c r="I14" s="78">
        <f t="shared" si="3"/>
        <v>188.1</v>
      </c>
      <c r="J14" s="75">
        <v>209</v>
      </c>
      <c r="K14" s="75">
        <f t="shared" si="4"/>
        <v>219.45</v>
      </c>
    </row>
    <row r="15" ht="18" customHeight="1" spans="1:11">
      <c r="A15" s="75" t="s">
        <v>99</v>
      </c>
      <c r="B15" s="105">
        <v>4</v>
      </c>
      <c r="C15" s="76">
        <f t="shared" si="0"/>
        <v>0.1016</v>
      </c>
      <c r="D15" s="76">
        <f t="shared" si="1"/>
        <v>0.16764</v>
      </c>
      <c r="E15" s="106" t="s">
        <v>83</v>
      </c>
      <c r="F15" s="75" t="s">
        <v>100</v>
      </c>
      <c r="G15" s="106" t="s">
        <v>25</v>
      </c>
      <c r="H15" s="18">
        <f t="shared" si="2"/>
        <v>15.679</v>
      </c>
      <c r="I15" s="78">
        <f t="shared" si="3"/>
        <v>188.1</v>
      </c>
      <c r="J15" s="75">
        <v>209</v>
      </c>
      <c r="K15" s="75">
        <f t="shared" si="4"/>
        <v>219.45</v>
      </c>
    </row>
    <row r="16" ht="18" customHeight="1" spans="1:11">
      <c r="A16" s="75" t="s">
        <v>99</v>
      </c>
      <c r="B16" s="105">
        <v>4</v>
      </c>
      <c r="C16" s="76">
        <f t="shared" si="0"/>
        <v>0.1016</v>
      </c>
      <c r="D16" s="76">
        <f t="shared" si="1"/>
        <v>0.16764</v>
      </c>
      <c r="E16" s="106" t="s">
        <v>82</v>
      </c>
      <c r="F16" s="75" t="s">
        <v>100</v>
      </c>
      <c r="G16" s="106" t="s">
        <v>25</v>
      </c>
      <c r="H16" s="18">
        <f t="shared" si="2"/>
        <v>16.429</v>
      </c>
      <c r="I16" s="78">
        <f t="shared" si="3"/>
        <v>197.1</v>
      </c>
      <c r="J16" s="75">
        <v>219</v>
      </c>
      <c r="K16" s="75">
        <f t="shared" si="4"/>
        <v>229.95</v>
      </c>
    </row>
    <row r="17" ht="18" customHeight="1" spans="1:11">
      <c r="A17" s="75" t="s">
        <v>99</v>
      </c>
      <c r="B17" s="105">
        <v>4</v>
      </c>
      <c r="C17" s="76">
        <f t="shared" ref="C17:C38" si="5">B17*25.4*0.001</f>
        <v>0.1016</v>
      </c>
      <c r="D17" s="76">
        <f t="shared" ref="D17:D35" si="6">(B17+2.6)*25.4*0.001</f>
        <v>0.16764</v>
      </c>
      <c r="E17" s="106" t="s">
        <v>84</v>
      </c>
      <c r="F17" s="75" t="s">
        <v>100</v>
      </c>
      <c r="G17" s="106" t="s">
        <v>25</v>
      </c>
      <c r="H17" s="18">
        <f t="shared" si="2"/>
        <v>17.854</v>
      </c>
      <c r="I17" s="78">
        <f t="shared" si="3"/>
        <v>214.2</v>
      </c>
      <c r="J17" s="75">
        <v>238</v>
      </c>
      <c r="K17" s="75">
        <f t="shared" si="4"/>
        <v>249.9</v>
      </c>
    </row>
    <row r="18" ht="18" customHeight="1" spans="1:11">
      <c r="A18" s="75" t="s">
        <v>99</v>
      </c>
      <c r="B18" s="105">
        <v>5</v>
      </c>
      <c r="C18" s="76">
        <f t="shared" si="5"/>
        <v>0.127</v>
      </c>
      <c r="D18" s="76">
        <f t="shared" si="6"/>
        <v>0.19304</v>
      </c>
      <c r="E18" s="106" t="s">
        <v>86</v>
      </c>
      <c r="F18" s="75" t="s">
        <v>100</v>
      </c>
      <c r="G18" s="106" t="s">
        <v>25</v>
      </c>
      <c r="H18" s="18">
        <f t="shared" si="2"/>
        <v>17.854</v>
      </c>
      <c r="I18" s="78">
        <f t="shared" si="3"/>
        <v>214.2</v>
      </c>
      <c r="J18" s="75">
        <v>238</v>
      </c>
      <c r="K18" s="75">
        <f t="shared" si="4"/>
        <v>249.9</v>
      </c>
    </row>
    <row r="19" ht="18" customHeight="1" spans="1:11">
      <c r="A19" s="75" t="s">
        <v>99</v>
      </c>
      <c r="B19" s="105">
        <v>5</v>
      </c>
      <c r="C19" s="76">
        <f t="shared" si="5"/>
        <v>0.127</v>
      </c>
      <c r="D19" s="76">
        <f t="shared" si="6"/>
        <v>0.19304</v>
      </c>
      <c r="E19" s="106" t="s">
        <v>83</v>
      </c>
      <c r="F19" s="75" t="s">
        <v>100</v>
      </c>
      <c r="G19" s="106" t="s">
        <v>25</v>
      </c>
      <c r="H19" s="18">
        <f t="shared" si="2"/>
        <v>15.754</v>
      </c>
      <c r="I19" s="78">
        <f t="shared" si="3"/>
        <v>189</v>
      </c>
      <c r="J19" s="75">
        <v>210</v>
      </c>
      <c r="K19" s="75">
        <f t="shared" si="4"/>
        <v>220.5</v>
      </c>
    </row>
    <row r="20" ht="18" customHeight="1" spans="1:11">
      <c r="A20" s="75" t="s">
        <v>99</v>
      </c>
      <c r="B20" s="105">
        <v>6</v>
      </c>
      <c r="C20" s="76">
        <f t="shared" si="5"/>
        <v>0.1524</v>
      </c>
      <c r="D20" s="76">
        <f t="shared" si="6"/>
        <v>0.21844</v>
      </c>
      <c r="E20" s="106" t="s">
        <v>86</v>
      </c>
      <c r="F20" s="75" t="s">
        <v>100</v>
      </c>
      <c r="G20" s="106" t="s">
        <v>25</v>
      </c>
      <c r="H20" s="18">
        <f t="shared" si="2"/>
        <v>18.23</v>
      </c>
      <c r="I20" s="78">
        <f t="shared" si="3"/>
        <v>218.7</v>
      </c>
      <c r="J20" s="75">
        <v>243</v>
      </c>
      <c r="K20" s="75">
        <f t="shared" si="4"/>
        <v>255.15</v>
      </c>
    </row>
    <row r="21" ht="18" customHeight="1" spans="1:11">
      <c r="A21" s="75" t="s">
        <v>99</v>
      </c>
      <c r="B21" s="105">
        <v>6</v>
      </c>
      <c r="C21" s="76">
        <f t="shared" si="5"/>
        <v>0.1524</v>
      </c>
      <c r="D21" s="76">
        <f t="shared" si="6"/>
        <v>0.21844</v>
      </c>
      <c r="E21" s="106" t="s">
        <v>29</v>
      </c>
      <c r="F21" s="75" t="s">
        <v>100</v>
      </c>
      <c r="G21" s="106" t="s">
        <v>25</v>
      </c>
      <c r="H21" s="18">
        <f t="shared" si="2"/>
        <v>16.279</v>
      </c>
      <c r="I21" s="78">
        <f t="shared" si="3"/>
        <v>195.3</v>
      </c>
      <c r="J21" s="75">
        <v>217</v>
      </c>
      <c r="K21" s="75">
        <f t="shared" si="4"/>
        <v>227.85</v>
      </c>
    </row>
    <row r="22" ht="18" customHeight="1" spans="1:11">
      <c r="A22" s="75" t="s">
        <v>99</v>
      </c>
      <c r="B22" s="105">
        <v>8</v>
      </c>
      <c r="C22" s="76">
        <f t="shared" si="5"/>
        <v>0.2032</v>
      </c>
      <c r="D22" s="76">
        <f t="shared" si="6"/>
        <v>0.26924</v>
      </c>
      <c r="E22" s="106" t="s">
        <v>30</v>
      </c>
      <c r="F22" s="75" t="s">
        <v>100</v>
      </c>
      <c r="G22" s="106" t="s">
        <v>25</v>
      </c>
      <c r="H22" s="18">
        <f t="shared" si="2"/>
        <v>16.654</v>
      </c>
      <c r="I22" s="78">
        <f t="shared" si="3"/>
        <v>199.8</v>
      </c>
      <c r="J22" s="75">
        <v>222</v>
      </c>
      <c r="K22" s="75">
        <f t="shared" si="4"/>
        <v>233.1</v>
      </c>
    </row>
    <row r="23" ht="18" customHeight="1" spans="1:11">
      <c r="A23" s="75" t="s">
        <v>99</v>
      </c>
      <c r="B23" s="105">
        <v>8</v>
      </c>
      <c r="C23" s="76">
        <f t="shared" si="5"/>
        <v>0.2032</v>
      </c>
      <c r="D23" s="76">
        <f t="shared" si="6"/>
        <v>0.26924</v>
      </c>
      <c r="E23" s="106" t="s">
        <v>31</v>
      </c>
      <c r="F23" s="75" t="s">
        <v>100</v>
      </c>
      <c r="G23" s="106" t="s">
        <v>25</v>
      </c>
      <c r="H23" s="18">
        <f t="shared" si="2"/>
        <v>18.53</v>
      </c>
      <c r="I23" s="78">
        <f t="shared" si="3"/>
        <v>222.3</v>
      </c>
      <c r="J23" s="75">
        <v>247</v>
      </c>
      <c r="K23" s="75">
        <f t="shared" si="4"/>
        <v>259.35</v>
      </c>
    </row>
    <row r="24" ht="18" customHeight="1" spans="1:11">
      <c r="A24" s="75" t="s">
        <v>99</v>
      </c>
      <c r="B24" s="105">
        <v>10</v>
      </c>
      <c r="C24" s="76">
        <f t="shared" si="5"/>
        <v>0.254</v>
      </c>
      <c r="D24" s="76">
        <f t="shared" si="6"/>
        <v>0.32004</v>
      </c>
      <c r="E24" s="106" t="s">
        <v>88</v>
      </c>
      <c r="F24" s="75" t="s">
        <v>100</v>
      </c>
      <c r="G24" s="106" t="s">
        <v>25</v>
      </c>
      <c r="H24" s="18">
        <f t="shared" si="2"/>
        <v>18.98</v>
      </c>
      <c r="I24" s="78">
        <f t="shared" si="3"/>
        <v>227.7</v>
      </c>
      <c r="J24" s="75">
        <v>253</v>
      </c>
      <c r="K24" s="75">
        <f t="shared" si="4"/>
        <v>265.65</v>
      </c>
    </row>
    <row r="25" ht="18" customHeight="1" spans="1:11">
      <c r="A25" s="75" t="s">
        <v>99</v>
      </c>
      <c r="B25" s="105">
        <v>12</v>
      </c>
      <c r="C25" s="76">
        <f t="shared" si="5"/>
        <v>0.3048</v>
      </c>
      <c r="D25" s="76">
        <f t="shared" si="6"/>
        <v>0.37084</v>
      </c>
      <c r="E25" s="106" t="s">
        <v>101</v>
      </c>
      <c r="F25" s="75" t="s">
        <v>100</v>
      </c>
      <c r="G25" s="106" t="s">
        <v>25</v>
      </c>
      <c r="H25" s="18">
        <f t="shared" si="2"/>
        <v>19.13</v>
      </c>
      <c r="I25" s="78">
        <f t="shared" si="3"/>
        <v>229.5</v>
      </c>
      <c r="J25" s="75">
        <v>255</v>
      </c>
      <c r="K25" s="75">
        <f t="shared" si="4"/>
        <v>267.75</v>
      </c>
    </row>
    <row r="26" ht="18" customHeight="1" spans="1:11">
      <c r="A26" s="75" t="s">
        <v>99</v>
      </c>
      <c r="B26" s="105">
        <v>14</v>
      </c>
      <c r="C26" s="76">
        <f t="shared" si="5"/>
        <v>0.3556</v>
      </c>
      <c r="D26" s="76">
        <f t="shared" si="6"/>
        <v>0.42164</v>
      </c>
      <c r="E26" s="106" t="s">
        <v>33</v>
      </c>
      <c r="F26" s="75" t="s">
        <v>100</v>
      </c>
      <c r="G26" s="106" t="s">
        <v>25</v>
      </c>
      <c r="H26" s="18">
        <f t="shared" si="2"/>
        <v>19.13</v>
      </c>
      <c r="I26" s="78">
        <f t="shared" si="3"/>
        <v>229.5</v>
      </c>
      <c r="J26" s="75">
        <v>255</v>
      </c>
      <c r="K26" s="75">
        <f t="shared" si="4"/>
        <v>267.75</v>
      </c>
    </row>
    <row r="27" ht="18" customHeight="1" spans="1:11">
      <c r="A27" s="75" t="s">
        <v>99</v>
      </c>
      <c r="B27" s="105">
        <v>16</v>
      </c>
      <c r="C27" s="76">
        <f t="shared" si="5"/>
        <v>0.4064</v>
      </c>
      <c r="D27" s="76">
        <f t="shared" si="6"/>
        <v>0.47244</v>
      </c>
      <c r="E27" s="106" t="s">
        <v>33</v>
      </c>
      <c r="F27" s="75" t="s">
        <v>100</v>
      </c>
      <c r="G27" s="106" t="s">
        <v>25</v>
      </c>
      <c r="H27" s="18">
        <f t="shared" si="2"/>
        <v>19.355</v>
      </c>
      <c r="I27" s="78">
        <f t="shared" si="3"/>
        <v>232.2</v>
      </c>
      <c r="J27" s="75">
        <v>258</v>
      </c>
      <c r="K27" s="75">
        <f t="shared" si="4"/>
        <v>270.9</v>
      </c>
    </row>
    <row r="28" ht="18" customHeight="1" spans="1:11">
      <c r="A28" s="75" t="s">
        <v>99</v>
      </c>
      <c r="B28" s="105">
        <v>18</v>
      </c>
      <c r="C28" s="76">
        <f t="shared" si="5"/>
        <v>0.4572</v>
      </c>
      <c r="D28" s="76">
        <f t="shared" si="6"/>
        <v>0.52324</v>
      </c>
      <c r="E28" s="106" t="s">
        <v>89</v>
      </c>
      <c r="F28" s="75" t="s">
        <v>100</v>
      </c>
      <c r="G28" s="106" t="s">
        <v>25</v>
      </c>
      <c r="H28" s="18">
        <f t="shared" si="2"/>
        <v>21.83</v>
      </c>
      <c r="I28" s="78">
        <f t="shared" si="3"/>
        <v>261.9</v>
      </c>
      <c r="J28" s="75">
        <v>291</v>
      </c>
      <c r="K28" s="75">
        <f t="shared" si="4"/>
        <v>305.55</v>
      </c>
    </row>
    <row r="29" ht="18" customHeight="1" spans="1:11">
      <c r="A29" s="75" t="s">
        <v>99</v>
      </c>
      <c r="B29" s="105">
        <v>20</v>
      </c>
      <c r="C29" s="76">
        <f t="shared" si="5"/>
        <v>0.508</v>
      </c>
      <c r="D29" s="76">
        <f t="shared" si="6"/>
        <v>0.57404</v>
      </c>
      <c r="E29" s="106" t="s">
        <v>89</v>
      </c>
      <c r="F29" s="75" t="s">
        <v>100</v>
      </c>
      <c r="G29" s="106" t="s">
        <v>25</v>
      </c>
      <c r="H29" s="18">
        <f t="shared" si="2"/>
        <v>22.056</v>
      </c>
      <c r="I29" s="78">
        <f t="shared" si="3"/>
        <v>264.6</v>
      </c>
      <c r="J29" s="75">
        <v>294</v>
      </c>
      <c r="K29" s="75">
        <f t="shared" si="4"/>
        <v>308.7</v>
      </c>
    </row>
    <row r="30" ht="18" customHeight="1" spans="1:11">
      <c r="A30" s="75" t="s">
        <v>99</v>
      </c>
      <c r="B30" s="105">
        <v>20</v>
      </c>
      <c r="C30" s="76">
        <f t="shared" si="5"/>
        <v>0.508</v>
      </c>
      <c r="D30" s="76">
        <f t="shared" si="6"/>
        <v>0.57404</v>
      </c>
      <c r="E30" s="106" t="s">
        <v>102</v>
      </c>
      <c r="F30" s="75" t="s">
        <v>100</v>
      </c>
      <c r="G30" s="106" t="s">
        <v>25</v>
      </c>
      <c r="H30" s="18">
        <f t="shared" si="2"/>
        <v>26.407</v>
      </c>
      <c r="I30" s="78">
        <f t="shared" si="3"/>
        <v>316.8</v>
      </c>
      <c r="J30" s="75">
        <v>352</v>
      </c>
      <c r="K30" s="75">
        <f t="shared" si="4"/>
        <v>369.6</v>
      </c>
    </row>
    <row r="31" ht="18" customHeight="1" spans="1:11">
      <c r="A31" s="75" t="s">
        <v>99</v>
      </c>
      <c r="B31" s="105">
        <v>24</v>
      </c>
      <c r="C31" s="76">
        <f t="shared" si="5"/>
        <v>0.6096</v>
      </c>
      <c r="D31" s="76">
        <f t="shared" si="6"/>
        <v>0.67564</v>
      </c>
      <c r="E31" s="106" t="s">
        <v>35</v>
      </c>
      <c r="F31" s="75" t="s">
        <v>100</v>
      </c>
      <c r="G31" s="106" t="s">
        <v>25</v>
      </c>
      <c r="H31" s="18">
        <f t="shared" ref="H31:H59" si="7">ROUND(J31/13.33,3)</f>
        <v>22.806</v>
      </c>
      <c r="I31" s="78">
        <f t="shared" ref="I31:I59" si="8">J31*0.9</f>
        <v>273.6</v>
      </c>
      <c r="J31" s="75">
        <v>304</v>
      </c>
      <c r="K31" s="75">
        <f t="shared" ref="K31:K59" si="9">J31*1.05</f>
        <v>319.2</v>
      </c>
    </row>
    <row r="32" ht="18" customHeight="1" spans="1:11">
      <c r="A32" s="75" t="s">
        <v>99</v>
      </c>
      <c r="B32" s="105">
        <v>28</v>
      </c>
      <c r="C32" s="76">
        <f t="shared" si="5"/>
        <v>0.7112</v>
      </c>
      <c r="D32" s="76">
        <f t="shared" si="6"/>
        <v>0.77724</v>
      </c>
      <c r="E32" s="106" t="s">
        <v>43</v>
      </c>
      <c r="F32" s="75" t="s">
        <v>100</v>
      </c>
      <c r="G32" s="106" t="s">
        <v>25</v>
      </c>
      <c r="H32" s="18">
        <f t="shared" si="7"/>
        <v>24.306</v>
      </c>
      <c r="I32" s="78">
        <f t="shared" si="8"/>
        <v>291.6</v>
      </c>
      <c r="J32" s="75">
        <v>324</v>
      </c>
      <c r="K32" s="75">
        <f t="shared" si="9"/>
        <v>340.2</v>
      </c>
    </row>
    <row r="33" ht="18" customHeight="1" spans="1:11">
      <c r="A33" s="75" t="s">
        <v>99</v>
      </c>
      <c r="B33" s="105">
        <v>30</v>
      </c>
      <c r="C33" s="76">
        <f t="shared" si="5"/>
        <v>0.762</v>
      </c>
      <c r="D33" s="76">
        <f t="shared" si="6"/>
        <v>0.82804</v>
      </c>
      <c r="E33" s="106" t="s">
        <v>91</v>
      </c>
      <c r="F33" s="75" t="s">
        <v>100</v>
      </c>
      <c r="G33" s="106" t="s">
        <v>25</v>
      </c>
      <c r="H33" s="18">
        <f t="shared" si="7"/>
        <v>24.531</v>
      </c>
      <c r="I33" s="78">
        <f t="shared" si="8"/>
        <v>294.3</v>
      </c>
      <c r="J33" s="75">
        <v>327</v>
      </c>
      <c r="K33" s="75">
        <f t="shared" si="9"/>
        <v>343.35</v>
      </c>
    </row>
    <row r="34" ht="18" customHeight="1" spans="1:11">
      <c r="A34" s="75" t="s">
        <v>99</v>
      </c>
      <c r="B34" s="105">
        <v>35</v>
      </c>
      <c r="C34" s="76">
        <f t="shared" si="5"/>
        <v>0.889</v>
      </c>
      <c r="D34" s="76">
        <f t="shared" si="6"/>
        <v>0.95504</v>
      </c>
      <c r="E34" s="106" t="s">
        <v>92</v>
      </c>
      <c r="F34" s="75" t="s">
        <v>100</v>
      </c>
      <c r="G34" s="106" t="s">
        <v>25</v>
      </c>
      <c r="H34" s="18">
        <f t="shared" si="7"/>
        <v>27.382</v>
      </c>
      <c r="I34" s="78">
        <f t="shared" si="8"/>
        <v>328.5</v>
      </c>
      <c r="J34" s="75">
        <v>365</v>
      </c>
      <c r="K34" s="75">
        <f t="shared" si="9"/>
        <v>383.25</v>
      </c>
    </row>
    <row r="35" ht="18" customHeight="1" spans="1:11">
      <c r="A35" s="75" t="s">
        <v>99</v>
      </c>
      <c r="B35" s="105">
        <v>39</v>
      </c>
      <c r="C35" s="76">
        <f t="shared" si="5"/>
        <v>0.9906</v>
      </c>
      <c r="D35" s="76">
        <f t="shared" si="6"/>
        <v>1.05664</v>
      </c>
      <c r="E35" s="106" t="s">
        <v>92</v>
      </c>
      <c r="F35" s="75" t="s">
        <v>100</v>
      </c>
      <c r="G35" s="106" t="s">
        <v>25</v>
      </c>
      <c r="H35" s="18">
        <f t="shared" si="7"/>
        <v>28.132</v>
      </c>
      <c r="I35" s="78">
        <f t="shared" si="8"/>
        <v>337.5</v>
      </c>
      <c r="J35" s="75">
        <v>375</v>
      </c>
      <c r="K35" s="75">
        <f t="shared" si="9"/>
        <v>393.75</v>
      </c>
    </row>
    <row r="36" ht="18" customHeight="1" spans="1:11">
      <c r="A36" s="75" t="s">
        <v>99</v>
      </c>
      <c r="B36" s="105">
        <v>2</v>
      </c>
      <c r="C36" s="76">
        <f t="shared" si="5"/>
        <v>0.0508</v>
      </c>
      <c r="D36" s="76">
        <f>(B36+1.3)*25.4*0.001</f>
        <v>0.08382</v>
      </c>
      <c r="E36" s="106" t="s">
        <v>24</v>
      </c>
      <c r="F36" s="75" t="s">
        <v>100</v>
      </c>
      <c r="G36" s="106" t="s">
        <v>41</v>
      </c>
      <c r="H36" s="18">
        <f t="shared" si="7"/>
        <v>11.478</v>
      </c>
      <c r="I36" s="78">
        <f t="shared" si="8"/>
        <v>137.7</v>
      </c>
      <c r="J36" s="75">
        <v>153</v>
      </c>
      <c r="K36" s="75">
        <f t="shared" si="9"/>
        <v>160.65</v>
      </c>
    </row>
    <row r="37" ht="18" customHeight="1" spans="1:11">
      <c r="A37" s="75" t="s">
        <v>99</v>
      </c>
      <c r="B37" s="105">
        <v>2.5</v>
      </c>
      <c r="C37" s="76">
        <f t="shared" si="5"/>
        <v>0.0635</v>
      </c>
      <c r="D37" s="76">
        <f t="shared" ref="D37:D58" si="10">(B37+1.3)*25.4*0.001</f>
        <v>0.09652</v>
      </c>
      <c r="E37" s="106" t="s">
        <v>24</v>
      </c>
      <c r="F37" s="75" t="s">
        <v>100</v>
      </c>
      <c r="G37" s="106" t="s">
        <v>41</v>
      </c>
      <c r="H37" s="18">
        <f t="shared" si="7"/>
        <v>11.403</v>
      </c>
      <c r="I37" s="78">
        <f t="shared" si="8"/>
        <v>136.8</v>
      </c>
      <c r="J37" s="75">
        <v>152</v>
      </c>
      <c r="K37" s="75">
        <f t="shared" si="9"/>
        <v>159.6</v>
      </c>
    </row>
    <row r="38" ht="18" customHeight="1" spans="1:11">
      <c r="A38" s="75" t="s">
        <v>99</v>
      </c>
      <c r="B38" s="105">
        <v>3</v>
      </c>
      <c r="C38" s="76">
        <f t="shared" si="5"/>
        <v>0.0762</v>
      </c>
      <c r="D38" s="76">
        <f t="shared" si="10"/>
        <v>0.10922</v>
      </c>
      <c r="E38" s="106" t="s">
        <v>81</v>
      </c>
      <c r="F38" s="75" t="s">
        <v>100</v>
      </c>
      <c r="G38" s="106" t="s">
        <v>41</v>
      </c>
      <c r="H38" s="18">
        <f t="shared" si="7"/>
        <v>10.728</v>
      </c>
      <c r="I38" s="78">
        <f t="shared" si="8"/>
        <v>128.7</v>
      </c>
      <c r="J38" s="75">
        <v>143</v>
      </c>
      <c r="K38" s="75">
        <f t="shared" si="9"/>
        <v>150.15</v>
      </c>
    </row>
    <row r="39" ht="18" customHeight="1" spans="1:11">
      <c r="A39" s="75" t="s">
        <v>99</v>
      </c>
      <c r="B39" s="105">
        <v>3.5</v>
      </c>
      <c r="C39" s="76">
        <f t="shared" ref="C39:C59" si="11">B39*25.4*0.001</f>
        <v>0.0889</v>
      </c>
      <c r="D39" s="76">
        <f t="shared" si="10"/>
        <v>0.12192</v>
      </c>
      <c r="E39" s="106" t="s">
        <v>82</v>
      </c>
      <c r="F39" s="75" t="s">
        <v>100</v>
      </c>
      <c r="G39" s="106" t="s">
        <v>41</v>
      </c>
      <c r="H39" s="18">
        <f t="shared" si="7"/>
        <v>10.728</v>
      </c>
      <c r="I39" s="78">
        <f t="shared" si="8"/>
        <v>128.7</v>
      </c>
      <c r="J39" s="75">
        <v>143</v>
      </c>
      <c r="K39" s="75">
        <f t="shared" si="9"/>
        <v>150.15</v>
      </c>
    </row>
    <row r="40" ht="18" customHeight="1" spans="1:11">
      <c r="A40" s="75" t="s">
        <v>99</v>
      </c>
      <c r="B40" s="105">
        <v>4</v>
      </c>
      <c r="C40" s="76">
        <f t="shared" si="11"/>
        <v>0.1016</v>
      </c>
      <c r="D40" s="76">
        <f t="shared" si="10"/>
        <v>0.13462</v>
      </c>
      <c r="E40" s="106" t="s">
        <v>83</v>
      </c>
      <c r="F40" s="75" t="s">
        <v>100</v>
      </c>
      <c r="G40" s="106" t="s">
        <v>41</v>
      </c>
      <c r="H40" s="18">
        <f t="shared" si="7"/>
        <v>10.953</v>
      </c>
      <c r="I40" s="78">
        <f t="shared" si="8"/>
        <v>131.4</v>
      </c>
      <c r="J40" s="75">
        <v>146</v>
      </c>
      <c r="K40" s="75">
        <f t="shared" si="9"/>
        <v>153.3</v>
      </c>
    </row>
    <row r="41" ht="18" customHeight="1" spans="1:11">
      <c r="A41" s="75" t="s">
        <v>99</v>
      </c>
      <c r="B41" s="105">
        <v>4</v>
      </c>
      <c r="C41" s="76">
        <f t="shared" si="11"/>
        <v>0.1016</v>
      </c>
      <c r="D41" s="76">
        <f t="shared" si="10"/>
        <v>0.13462</v>
      </c>
      <c r="E41" s="106" t="s">
        <v>84</v>
      </c>
      <c r="F41" s="75" t="s">
        <v>100</v>
      </c>
      <c r="G41" s="106" t="s">
        <v>41</v>
      </c>
      <c r="H41" s="18">
        <f t="shared" si="7"/>
        <v>13.803</v>
      </c>
      <c r="I41" s="78">
        <f t="shared" si="8"/>
        <v>165.6</v>
      </c>
      <c r="J41" s="75">
        <v>184</v>
      </c>
      <c r="K41" s="75">
        <f t="shared" si="9"/>
        <v>193.2</v>
      </c>
    </row>
    <row r="42" ht="18" customHeight="1" spans="1:11">
      <c r="A42" s="75" t="s">
        <v>99</v>
      </c>
      <c r="B42" s="105">
        <v>5</v>
      </c>
      <c r="C42" s="76">
        <f t="shared" si="11"/>
        <v>0.127</v>
      </c>
      <c r="D42" s="76">
        <f t="shared" si="10"/>
        <v>0.16002</v>
      </c>
      <c r="E42" s="106" t="s">
        <v>86</v>
      </c>
      <c r="F42" s="75" t="s">
        <v>100</v>
      </c>
      <c r="G42" s="106" t="s">
        <v>41</v>
      </c>
      <c r="H42" s="18">
        <f t="shared" si="7"/>
        <v>13.278</v>
      </c>
      <c r="I42" s="78">
        <f t="shared" si="8"/>
        <v>159.3</v>
      </c>
      <c r="J42" s="75">
        <v>177</v>
      </c>
      <c r="K42" s="75">
        <f t="shared" si="9"/>
        <v>185.85</v>
      </c>
    </row>
    <row r="43" ht="18" customHeight="1" spans="1:11">
      <c r="A43" s="75" t="s">
        <v>99</v>
      </c>
      <c r="B43" s="105">
        <v>5</v>
      </c>
      <c r="C43" s="76">
        <f t="shared" si="11"/>
        <v>0.127</v>
      </c>
      <c r="D43" s="76">
        <f t="shared" si="10"/>
        <v>0.16002</v>
      </c>
      <c r="E43" s="106" t="s">
        <v>83</v>
      </c>
      <c r="F43" s="75" t="s">
        <v>100</v>
      </c>
      <c r="G43" s="106" t="s">
        <v>41</v>
      </c>
      <c r="H43" s="18">
        <f t="shared" si="7"/>
        <v>11.403</v>
      </c>
      <c r="I43" s="78">
        <f t="shared" si="8"/>
        <v>136.8</v>
      </c>
      <c r="J43" s="75">
        <v>152</v>
      </c>
      <c r="K43" s="75">
        <f t="shared" si="9"/>
        <v>159.6</v>
      </c>
    </row>
    <row r="44" ht="18" customHeight="1" spans="1:11">
      <c r="A44" s="75" t="s">
        <v>99</v>
      </c>
      <c r="B44" s="105">
        <v>6</v>
      </c>
      <c r="C44" s="76">
        <f t="shared" si="11"/>
        <v>0.1524</v>
      </c>
      <c r="D44" s="76">
        <f t="shared" si="10"/>
        <v>0.18542</v>
      </c>
      <c r="E44" s="106" t="s">
        <v>86</v>
      </c>
      <c r="F44" s="75" t="s">
        <v>100</v>
      </c>
      <c r="G44" s="106" t="s">
        <v>41</v>
      </c>
      <c r="H44" s="18">
        <f t="shared" si="7"/>
        <v>13.653</v>
      </c>
      <c r="I44" s="78">
        <f t="shared" si="8"/>
        <v>163.8</v>
      </c>
      <c r="J44" s="75">
        <v>182</v>
      </c>
      <c r="K44" s="75">
        <f t="shared" si="9"/>
        <v>191.1</v>
      </c>
    </row>
    <row r="45" ht="18" customHeight="1" spans="1:11">
      <c r="A45" s="75" t="s">
        <v>99</v>
      </c>
      <c r="B45" s="105">
        <v>6</v>
      </c>
      <c r="C45" s="76">
        <f t="shared" si="11"/>
        <v>0.1524</v>
      </c>
      <c r="D45" s="76">
        <f t="shared" si="10"/>
        <v>0.18542</v>
      </c>
      <c r="E45" s="106" t="s">
        <v>29</v>
      </c>
      <c r="F45" s="75" t="s">
        <v>100</v>
      </c>
      <c r="G45" s="106" t="s">
        <v>41</v>
      </c>
      <c r="H45" s="18">
        <f t="shared" si="7"/>
        <v>11.703</v>
      </c>
      <c r="I45" s="78">
        <f t="shared" si="8"/>
        <v>140.4</v>
      </c>
      <c r="J45" s="75">
        <v>156</v>
      </c>
      <c r="K45" s="75">
        <f t="shared" si="9"/>
        <v>163.8</v>
      </c>
    </row>
    <row r="46" ht="18" customHeight="1" spans="1:11">
      <c r="A46" s="75" t="s">
        <v>99</v>
      </c>
      <c r="B46" s="105">
        <v>8</v>
      </c>
      <c r="C46" s="76">
        <f t="shared" si="11"/>
        <v>0.2032</v>
      </c>
      <c r="D46" s="76">
        <f t="shared" si="10"/>
        <v>0.23622</v>
      </c>
      <c r="E46" s="106" t="s">
        <v>88</v>
      </c>
      <c r="F46" s="75" t="s">
        <v>100</v>
      </c>
      <c r="G46" s="106" t="s">
        <v>41</v>
      </c>
      <c r="H46" s="18">
        <f t="shared" si="7"/>
        <v>13.953</v>
      </c>
      <c r="I46" s="78">
        <f t="shared" si="8"/>
        <v>167.4</v>
      </c>
      <c r="J46" s="75">
        <v>186</v>
      </c>
      <c r="K46" s="75">
        <f t="shared" si="9"/>
        <v>195.3</v>
      </c>
    </row>
    <row r="47" ht="18" customHeight="1" spans="1:11">
      <c r="A47" s="75" t="s">
        <v>99</v>
      </c>
      <c r="B47" s="105">
        <v>8</v>
      </c>
      <c r="C47" s="76">
        <f t="shared" si="11"/>
        <v>0.2032</v>
      </c>
      <c r="D47" s="76">
        <f t="shared" si="10"/>
        <v>0.23622</v>
      </c>
      <c r="E47" s="106" t="s">
        <v>103</v>
      </c>
      <c r="F47" s="75" t="s">
        <v>100</v>
      </c>
      <c r="G47" s="106" t="s">
        <v>41</v>
      </c>
      <c r="H47" s="18">
        <f t="shared" si="7"/>
        <v>14.254</v>
      </c>
      <c r="I47" s="78">
        <f t="shared" si="8"/>
        <v>171</v>
      </c>
      <c r="J47" s="75">
        <v>190</v>
      </c>
      <c r="K47" s="75">
        <f t="shared" si="9"/>
        <v>199.5</v>
      </c>
    </row>
    <row r="48" ht="18" customHeight="1" spans="1:11">
      <c r="A48" s="75" t="s">
        <v>99</v>
      </c>
      <c r="B48" s="105">
        <v>10</v>
      </c>
      <c r="C48" s="76">
        <f t="shared" si="11"/>
        <v>0.254</v>
      </c>
      <c r="D48" s="76">
        <f t="shared" si="10"/>
        <v>0.28702</v>
      </c>
      <c r="E48" s="106" t="s">
        <v>88</v>
      </c>
      <c r="F48" s="75" t="s">
        <v>100</v>
      </c>
      <c r="G48" s="106" t="s">
        <v>41</v>
      </c>
      <c r="H48" s="18">
        <f t="shared" si="7"/>
        <v>14.104</v>
      </c>
      <c r="I48" s="78">
        <f t="shared" si="8"/>
        <v>169.2</v>
      </c>
      <c r="J48" s="75">
        <v>188</v>
      </c>
      <c r="K48" s="75">
        <f t="shared" si="9"/>
        <v>197.4</v>
      </c>
    </row>
    <row r="49" ht="18" customHeight="1" spans="1:11">
      <c r="A49" s="75" t="s">
        <v>99</v>
      </c>
      <c r="B49" s="105">
        <v>12</v>
      </c>
      <c r="C49" s="76">
        <f t="shared" si="11"/>
        <v>0.3048</v>
      </c>
      <c r="D49" s="76">
        <f t="shared" si="10"/>
        <v>0.33782</v>
      </c>
      <c r="E49" s="106" t="s">
        <v>101</v>
      </c>
      <c r="F49" s="75" t="s">
        <v>100</v>
      </c>
      <c r="G49" s="106" t="s">
        <v>41</v>
      </c>
      <c r="H49" s="18">
        <f t="shared" si="7"/>
        <v>14.854</v>
      </c>
      <c r="I49" s="78">
        <f t="shared" si="8"/>
        <v>178.2</v>
      </c>
      <c r="J49" s="75">
        <v>198</v>
      </c>
      <c r="K49" s="75">
        <f t="shared" si="9"/>
        <v>207.9</v>
      </c>
    </row>
    <row r="50" ht="18" customHeight="1" spans="1:11">
      <c r="A50" s="75" t="s">
        <v>99</v>
      </c>
      <c r="B50" s="105">
        <v>14</v>
      </c>
      <c r="C50" s="76">
        <f t="shared" si="11"/>
        <v>0.3556</v>
      </c>
      <c r="D50" s="76">
        <f t="shared" si="10"/>
        <v>0.38862</v>
      </c>
      <c r="E50" s="106" t="s">
        <v>33</v>
      </c>
      <c r="F50" s="75" t="s">
        <v>100</v>
      </c>
      <c r="G50" s="106" t="s">
        <v>41</v>
      </c>
      <c r="H50" s="18">
        <f t="shared" si="7"/>
        <v>14.854</v>
      </c>
      <c r="I50" s="78">
        <f t="shared" si="8"/>
        <v>178.2</v>
      </c>
      <c r="J50" s="75">
        <v>198</v>
      </c>
      <c r="K50" s="75">
        <f t="shared" si="9"/>
        <v>207.9</v>
      </c>
    </row>
    <row r="51" ht="18" customHeight="1" spans="1:11">
      <c r="A51" s="75" t="s">
        <v>99</v>
      </c>
      <c r="B51" s="105">
        <v>16</v>
      </c>
      <c r="C51" s="76">
        <f t="shared" si="11"/>
        <v>0.4064</v>
      </c>
      <c r="D51" s="76">
        <f t="shared" si="10"/>
        <v>0.43942</v>
      </c>
      <c r="E51" s="106" t="s">
        <v>33</v>
      </c>
      <c r="F51" s="75" t="s">
        <v>100</v>
      </c>
      <c r="G51" s="106" t="s">
        <v>41</v>
      </c>
      <c r="H51" s="18">
        <f t="shared" si="7"/>
        <v>15.004</v>
      </c>
      <c r="I51" s="78">
        <f t="shared" si="8"/>
        <v>180</v>
      </c>
      <c r="J51" s="75">
        <v>200</v>
      </c>
      <c r="K51" s="75">
        <f t="shared" si="9"/>
        <v>210</v>
      </c>
    </row>
    <row r="52" ht="18" customHeight="1" spans="1:11">
      <c r="A52" s="75" t="s">
        <v>99</v>
      </c>
      <c r="B52" s="105">
        <v>18</v>
      </c>
      <c r="C52" s="76">
        <f t="shared" si="11"/>
        <v>0.4572</v>
      </c>
      <c r="D52" s="76">
        <f t="shared" si="10"/>
        <v>0.49022</v>
      </c>
      <c r="E52" s="106" t="s">
        <v>89</v>
      </c>
      <c r="F52" s="75" t="s">
        <v>100</v>
      </c>
      <c r="G52" s="106" t="s">
        <v>41</v>
      </c>
      <c r="H52" s="18">
        <f t="shared" si="7"/>
        <v>17.629</v>
      </c>
      <c r="I52" s="78">
        <f t="shared" si="8"/>
        <v>211.5</v>
      </c>
      <c r="J52" s="75">
        <v>235</v>
      </c>
      <c r="K52" s="75">
        <f t="shared" si="9"/>
        <v>246.75</v>
      </c>
    </row>
    <row r="53" ht="18" customHeight="1" spans="1:11">
      <c r="A53" s="75" t="s">
        <v>99</v>
      </c>
      <c r="B53" s="105">
        <v>20</v>
      </c>
      <c r="C53" s="76">
        <f t="shared" si="11"/>
        <v>0.508</v>
      </c>
      <c r="D53" s="76">
        <f t="shared" si="10"/>
        <v>0.54102</v>
      </c>
      <c r="E53" s="106" t="s">
        <v>89</v>
      </c>
      <c r="F53" s="75" t="s">
        <v>100</v>
      </c>
      <c r="G53" s="106" t="s">
        <v>41</v>
      </c>
      <c r="H53" s="18">
        <f t="shared" si="7"/>
        <v>17.854</v>
      </c>
      <c r="I53" s="78">
        <f t="shared" si="8"/>
        <v>214.2</v>
      </c>
      <c r="J53" s="75">
        <v>238</v>
      </c>
      <c r="K53" s="75">
        <f t="shared" si="9"/>
        <v>249.9</v>
      </c>
    </row>
    <row r="54" ht="18" customHeight="1" spans="1:11">
      <c r="A54" s="75" t="s">
        <v>99</v>
      </c>
      <c r="B54" s="105">
        <v>24</v>
      </c>
      <c r="C54" s="76">
        <f t="shared" si="11"/>
        <v>0.6096</v>
      </c>
      <c r="D54" s="76">
        <f t="shared" si="10"/>
        <v>0.64262</v>
      </c>
      <c r="E54" s="106" t="s">
        <v>35</v>
      </c>
      <c r="F54" s="75" t="s">
        <v>100</v>
      </c>
      <c r="G54" s="106" t="s">
        <v>41</v>
      </c>
      <c r="H54" s="18">
        <f t="shared" si="7"/>
        <v>17.854</v>
      </c>
      <c r="I54" s="78">
        <f t="shared" si="8"/>
        <v>214.2</v>
      </c>
      <c r="J54" s="75">
        <v>238</v>
      </c>
      <c r="K54" s="75">
        <f t="shared" si="9"/>
        <v>249.9</v>
      </c>
    </row>
    <row r="55" ht="18" customHeight="1" spans="1:11">
      <c r="A55" s="75" t="s">
        <v>99</v>
      </c>
      <c r="B55" s="105">
        <v>28</v>
      </c>
      <c r="C55" s="76">
        <f t="shared" si="11"/>
        <v>0.7112</v>
      </c>
      <c r="D55" s="76">
        <f t="shared" si="10"/>
        <v>0.74422</v>
      </c>
      <c r="E55" s="106" t="s">
        <v>43</v>
      </c>
      <c r="F55" s="75" t="s">
        <v>100</v>
      </c>
      <c r="G55" s="106" t="s">
        <v>41</v>
      </c>
      <c r="H55" s="18">
        <f t="shared" si="7"/>
        <v>20.48</v>
      </c>
      <c r="I55" s="78">
        <f t="shared" si="8"/>
        <v>245.7</v>
      </c>
      <c r="J55" s="75">
        <v>273</v>
      </c>
      <c r="K55" s="75">
        <f t="shared" si="9"/>
        <v>286.65</v>
      </c>
    </row>
    <row r="56" ht="18" customHeight="1" spans="1:11">
      <c r="A56" s="75" t="s">
        <v>99</v>
      </c>
      <c r="B56" s="105">
        <v>30</v>
      </c>
      <c r="C56" s="76">
        <f t="shared" si="11"/>
        <v>0.762</v>
      </c>
      <c r="D56" s="76">
        <f t="shared" si="10"/>
        <v>0.79502</v>
      </c>
      <c r="E56" s="106" t="s">
        <v>91</v>
      </c>
      <c r="F56" s="75" t="s">
        <v>100</v>
      </c>
      <c r="G56" s="106" t="s">
        <v>41</v>
      </c>
      <c r="H56" s="18">
        <f t="shared" si="7"/>
        <v>20.63</v>
      </c>
      <c r="I56" s="78">
        <f t="shared" si="8"/>
        <v>247.5</v>
      </c>
      <c r="J56" s="75">
        <v>275</v>
      </c>
      <c r="K56" s="75">
        <f t="shared" si="9"/>
        <v>288.75</v>
      </c>
    </row>
    <row r="57" ht="18" customHeight="1" spans="1:11">
      <c r="A57" s="75" t="s">
        <v>99</v>
      </c>
      <c r="B57" s="105">
        <v>35</v>
      </c>
      <c r="C57" s="76">
        <f t="shared" si="11"/>
        <v>0.889</v>
      </c>
      <c r="D57" s="76">
        <f t="shared" si="10"/>
        <v>0.92202</v>
      </c>
      <c r="E57" s="106" t="s">
        <v>92</v>
      </c>
      <c r="F57" s="75" t="s">
        <v>100</v>
      </c>
      <c r="G57" s="106" t="s">
        <v>41</v>
      </c>
      <c r="H57" s="18">
        <f t="shared" si="7"/>
        <v>23.406</v>
      </c>
      <c r="I57" s="78">
        <f t="shared" si="8"/>
        <v>280.8</v>
      </c>
      <c r="J57" s="75">
        <v>312</v>
      </c>
      <c r="K57" s="75">
        <f t="shared" si="9"/>
        <v>327.6</v>
      </c>
    </row>
    <row r="58" ht="18" customHeight="1" spans="1:11">
      <c r="A58" s="75" t="s">
        <v>99</v>
      </c>
      <c r="B58" s="105">
        <v>39</v>
      </c>
      <c r="C58" s="76">
        <f t="shared" si="11"/>
        <v>0.9906</v>
      </c>
      <c r="D58" s="76">
        <f t="shared" si="10"/>
        <v>1.02362</v>
      </c>
      <c r="E58" s="106" t="s">
        <v>92</v>
      </c>
      <c r="F58" s="75" t="s">
        <v>100</v>
      </c>
      <c r="G58" s="106" t="s">
        <v>41</v>
      </c>
      <c r="H58" s="18">
        <f t="shared" si="7"/>
        <v>23.631</v>
      </c>
      <c r="I58" s="78">
        <f t="shared" si="8"/>
        <v>283.5</v>
      </c>
      <c r="J58" s="75">
        <v>315</v>
      </c>
      <c r="K58" s="75">
        <f t="shared" si="9"/>
        <v>330.75</v>
      </c>
    </row>
    <row r="59" spans="1:11">
      <c r="A59" s="25" t="s">
        <v>99</v>
      </c>
      <c r="B59" s="107">
        <v>5</v>
      </c>
      <c r="C59" s="26">
        <f t="shared" si="11"/>
        <v>0.127</v>
      </c>
      <c r="D59" s="26">
        <f>(B59+5.2)*25.4*0.001</f>
        <v>0.25908</v>
      </c>
      <c r="E59" s="108" t="s">
        <v>83</v>
      </c>
      <c r="F59" s="25" t="s">
        <v>72</v>
      </c>
      <c r="G59" s="108" t="s">
        <v>46</v>
      </c>
      <c r="H59" s="109">
        <f t="shared" si="7"/>
        <v>31.358</v>
      </c>
      <c r="I59" s="38">
        <f t="shared" si="8"/>
        <v>376.2</v>
      </c>
      <c r="J59" s="25">
        <v>418</v>
      </c>
      <c r="K59" s="25">
        <f t="shared" si="9"/>
        <v>438.9</v>
      </c>
    </row>
    <row r="60" ht="21" spans="1:11">
      <c r="A60" s="110" t="s">
        <v>104</v>
      </c>
      <c r="B60" s="110"/>
      <c r="C60" s="110"/>
      <c r="D60" s="110"/>
      <c r="E60" s="110"/>
      <c r="F60" s="110"/>
      <c r="G60" s="110"/>
      <c r="H60" s="110"/>
      <c r="I60" s="110"/>
      <c r="J60" s="110"/>
      <c r="K60" s="110"/>
    </row>
    <row r="61" ht="20.4" customHeight="1" spans="1:11">
      <c r="A61" s="111" t="s">
        <v>12</v>
      </c>
      <c r="B61" s="111" t="s">
        <v>49</v>
      </c>
      <c r="C61" s="111" t="s">
        <v>50</v>
      </c>
      <c r="D61" s="111" t="s">
        <v>51</v>
      </c>
      <c r="E61" s="111" t="s">
        <v>52</v>
      </c>
      <c r="F61" s="112" t="s">
        <v>53</v>
      </c>
      <c r="G61" s="113" t="s">
        <v>54</v>
      </c>
      <c r="H61" s="33" t="s">
        <v>55</v>
      </c>
      <c r="I61" s="34"/>
      <c r="J61" s="33" t="s">
        <v>56</v>
      </c>
      <c r="K61" s="34"/>
    </row>
    <row r="62" ht="18" customHeight="1" spans="1:11">
      <c r="A62" s="80" t="s">
        <v>105</v>
      </c>
      <c r="B62" s="80">
        <v>106</v>
      </c>
      <c r="C62" s="81">
        <v>0.72</v>
      </c>
      <c r="D62" s="80">
        <v>300</v>
      </c>
      <c r="E62" s="82" t="s">
        <v>58</v>
      </c>
      <c r="F62" s="75">
        <v>3937</v>
      </c>
      <c r="G62" s="75">
        <f>ROUND(H62*300/3937,3)</f>
        <v>2.972</v>
      </c>
      <c r="H62" s="75">
        <v>39</v>
      </c>
      <c r="I62" s="75"/>
      <c r="J62" s="78">
        <f>ROUND(H62*D62,2)</f>
        <v>11700</v>
      </c>
      <c r="K62" s="78"/>
    </row>
    <row r="63" ht="18" customHeight="1" spans="1:11">
      <c r="A63" s="80" t="s">
        <v>105</v>
      </c>
      <c r="B63" s="80">
        <v>106</v>
      </c>
      <c r="C63" s="81">
        <v>0.75</v>
      </c>
      <c r="D63" s="80">
        <v>300</v>
      </c>
      <c r="E63" s="82" t="s">
        <v>58</v>
      </c>
      <c r="F63" s="75">
        <v>3937</v>
      </c>
      <c r="G63" s="75">
        <f>ROUND(H63*300/3937,3)</f>
        <v>3.124</v>
      </c>
      <c r="H63" s="75">
        <v>41</v>
      </c>
      <c r="I63" s="75"/>
      <c r="J63" s="78">
        <f>ROUND(H63*D63,2)</f>
        <v>12300</v>
      </c>
      <c r="K63" s="78"/>
    </row>
    <row r="64" ht="18" customHeight="1" spans="1:11">
      <c r="A64" s="35" t="s">
        <v>105</v>
      </c>
      <c r="B64" s="35">
        <v>1067</v>
      </c>
      <c r="C64" s="36">
        <v>0.73</v>
      </c>
      <c r="D64" s="35">
        <v>300</v>
      </c>
      <c r="E64" s="37" t="s">
        <v>58</v>
      </c>
      <c r="F64" s="25">
        <v>3937</v>
      </c>
      <c r="G64" s="25">
        <f>ROUND(H64*300/3937,3)</f>
        <v>3.429</v>
      </c>
      <c r="H64" s="25">
        <v>45</v>
      </c>
      <c r="I64" s="25"/>
      <c r="J64" s="38">
        <f>ROUND(H64*D64,2)</f>
        <v>13500</v>
      </c>
      <c r="K64" s="38"/>
    </row>
    <row r="65" ht="18" customHeight="1" spans="1:11">
      <c r="A65" s="35" t="s">
        <v>105</v>
      </c>
      <c r="B65" s="35">
        <v>1067</v>
      </c>
      <c r="C65" s="36">
        <v>0.76</v>
      </c>
      <c r="D65" s="35">
        <v>300</v>
      </c>
      <c r="E65" s="37" t="s">
        <v>58</v>
      </c>
      <c r="F65" s="25">
        <v>3937</v>
      </c>
      <c r="G65" s="25">
        <f>ROUND(H65*300/3937,3)</f>
        <v>3.658</v>
      </c>
      <c r="H65" s="25">
        <v>48</v>
      </c>
      <c r="I65" s="25"/>
      <c r="J65" s="38">
        <f>ROUND(H65*D65,2)</f>
        <v>14400</v>
      </c>
      <c r="K65" s="38"/>
    </row>
    <row r="66" ht="18" customHeight="1" spans="1:11">
      <c r="A66" s="80" t="s">
        <v>105</v>
      </c>
      <c r="B66" s="80">
        <v>1080</v>
      </c>
      <c r="C66" s="81">
        <v>0.63</v>
      </c>
      <c r="D66" s="80">
        <v>300</v>
      </c>
      <c r="E66" s="82" t="s">
        <v>58</v>
      </c>
      <c r="F66" s="75">
        <v>3937</v>
      </c>
      <c r="G66" s="75">
        <f t="shared" ref="G66:G82" si="12">ROUND(H66*300/3937,3)</f>
        <v>3.277</v>
      </c>
      <c r="H66" s="75">
        <v>43</v>
      </c>
      <c r="I66" s="75"/>
      <c r="J66" s="78">
        <f t="shared" ref="J66:J82" si="13">ROUND(H66*D66,2)</f>
        <v>12900</v>
      </c>
      <c r="K66" s="78"/>
    </row>
    <row r="67" ht="18" customHeight="1" spans="1:11">
      <c r="A67" s="80" t="s">
        <v>105</v>
      </c>
      <c r="B67" s="80">
        <v>1080</v>
      </c>
      <c r="C67" s="81">
        <v>0.65</v>
      </c>
      <c r="D67" s="80">
        <v>300</v>
      </c>
      <c r="E67" s="82" t="s">
        <v>58</v>
      </c>
      <c r="F67" s="75">
        <v>3937</v>
      </c>
      <c r="G67" s="75">
        <f t="shared" si="12"/>
        <v>3.353</v>
      </c>
      <c r="H67" s="75">
        <v>44</v>
      </c>
      <c r="I67" s="75"/>
      <c r="J67" s="78">
        <f t="shared" si="13"/>
        <v>13200</v>
      </c>
      <c r="K67" s="78"/>
    </row>
    <row r="68" ht="18" customHeight="1" spans="1:11">
      <c r="A68" s="80" t="s">
        <v>105</v>
      </c>
      <c r="B68" s="80">
        <v>1080</v>
      </c>
      <c r="C68" s="81">
        <v>0.69</v>
      </c>
      <c r="D68" s="80">
        <v>300</v>
      </c>
      <c r="E68" s="82" t="s">
        <v>58</v>
      </c>
      <c r="F68" s="75">
        <v>3937</v>
      </c>
      <c r="G68" s="75">
        <f t="shared" si="12"/>
        <v>3.505</v>
      </c>
      <c r="H68" s="75">
        <v>46</v>
      </c>
      <c r="I68" s="75"/>
      <c r="J68" s="78">
        <f t="shared" si="13"/>
        <v>13800</v>
      </c>
      <c r="K68" s="78"/>
    </row>
    <row r="69" ht="18" customHeight="1" spans="1:11">
      <c r="A69" s="80" t="s">
        <v>105</v>
      </c>
      <c r="B69" s="80">
        <v>1080</v>
      </c>
      <c r="C69" s="81">
        <v>0.72</v>
      </c>
      <c r="D69" s="80">
        <v>300</v>
      </c>
      <c r="E69" s="82" t="s">
        <v>58</v>
      </c>
      <c r="F69" s="75">
        <v>3937</v>
      </c>
      <c r="G69" s="75">
        <f t="shared" si="12"/>
        <v>3.81</v>
      </c>
      <c r="H69" s="75">
        <v>50</v>
      </c>
      <c r="I69" s="75"/>
      <c r="J69" s="78">
        <f t="shared" si="13"/>
        <v>15000</v>
      </c>
      <c r="K69" s="78"/>
    </row>
    <row r="70" ht="18" customHeight="1" spans="1:11">
      <c r="A70" s="80" t="s">
        <v>105</v>
      </c>
      <c r="B70" s="80">
        <v>1078</v>
      </c>
      <c r="C70" s="81">
        <v>0.62</v>
      </c>
      <c r="D70" s="80">
        <v>300</v>
      </c>
      <c r="E70" s="82" t="s">
        <v>58</v>
      </c>
      <c r="F70" s="75">
        <v>3937</v>
      </c>
      <c r="G70" s="75">
        <f t="shared" si="12"/>
        <v>3.277</v>
      </c>
      <c r="H70" s="75">
        <v>43</v>
      </c>
      <c r="I70" s="75"/>
      <c r="J70" s="78">
        <f t="shared" si="13"/>
        <v>12900</v>
      </c>
      <c r="K70" s="78"/>
    </row>
    <row r="71" ht="18" customHeight="1" spans="1:11">
      <c r="A71" s="80" t="s">
        <v>105</v>
      </c>
      <c r="B71" s="80">
        <v>1078</v>
      </c>
      <c r="C71" s="81">
        <v>0.65</v>
      </c>
      <c r="D71" s="80">
        <v>300</v>
      </c>
      <c r="E71" s="82" t="s">
        <v>58</v>
      </c>
      <c r="F71" s="75">
        <v>3937</v>
      </c>
      <c r="G71" s="75">
        <f t="shared" si="12"/>
        <v>3.429</v>
      </c>
      <c r="H71" s="75">
        <v>45</v>
      </c>
      <c r="I71" s="75"/>
      <c r="J71" s="78">
        <f t="shared" si="13"/>
        <v>13500</v>
      </c>
      <c r="K71" s="78"/>
    </row>
    <row r="72" ht="18" customHeight="1" spans="1:11">
      <c r="A72" s="80" t="s">
        <v>105</v>
      </c>
      <c r="B72" s="80">
        <v>1078</v>
      </c>
      <c r="C72" s="81">
        <v>0.68</v>
      </c>
      <c r="D72" s="80">
        <v>300</v>
      </c>
      <c r="E72" s="82" t="s">
        <v>58</v>
      </c>
      <c r="F72" s="75">
        <v>3937</v>
      </c>
      <c r="G72" s="75">
        <f t="shared" si="12"/>
        <v>3.734</v>
      </c>
      <c r="H72" s="75">
        <v>49</v>
      </c>
      <c r="I72" s="75"/>
      <c r="J72" s="78">
        <f t="shared" si="13"/>
        <v>14700</v>
      </c>
      <c r="K72" s="78"/>
    </row>
    <row r="73" ht="18" customHeight="1" spans="1:11">
      <c r="A73" s="80" t="s">
        <v>105</v>
      </c>
      <c r="B73" s="80">
        <v>1078</v>
      </c>
      <c r="C73" s="81">
        <v>0.72</v>
      </c>
      <c r="D73" s="80">
        <v>300</v>
      </c>
      <c r="E73" s="82" t="s">
        <v>58</v>
      </c>
      <c r="F73" s="75">
        <v>3937</v>
      </c>
      <c r="G73" s="75">
        <f t="shared" si="12"/>
        <v>4.039</v>
      </c>
      <c r="H73" s="75">
        <v>53</v>
      </c>
      <c r="I73" s="75"/>
      <c r="J73" s="78">
        <f t="shared" si="13"/>
        <v>15900</v>
      </c>
      <c r="K73" s="78"/>
    </row>
    <row r="74" ht="18" customHeight="1" spans="1:11">
      <c r="A74" s="80" t="s">
        <v>105</v>
      </c>
      <c r="B74" s="80">
        <v>3313</v>
      </c>
      <c r="C74" s="81">
        <v>0.57</v>
      </c>
      <c r="D74" s="80">
        <v>300</v>
      </c>
      <c r="E74" s="82" t="s">
        <v>58</v>
      </c>
      <c r="F74" s="75">
        <v>3937</v>
      </c>
      <c r="G74" s="75">
        <f t="shared" si="12"/>
        <v>3.429</v>
      </c>
      <c r="H74" s="75">
        <v>45</v>
      </c>
      <c r="I74" s="75"/>
      <c r="J74" s="78">
        <f t="shared" si="13"/>
        <v>13500</v>
      </c>
      <c r="K74" s="78"/>
    </row>
    <row r="75" ht="18" customHeight="1" spans="1:11">
      <c r="A75" s="80" t="s">
        <v>105</v>
      </c>
      <c r="B75" s="80">
        <v>3313</v>
      </c>
      <c r="C75" s="81">
        <v>0.595</v>
      </c>
      <c r="D75" s="80">
        <v>300</v>
      </c>
      <c r="E75" s="82" t="s">
        <v>58</v>
      </c>
      <c r="F75" s="75">
        <v>3937</v>
      </c>
      <c r="G75" s="75">
        <f t="shared" si="12"/>
        <v>3.505</v>
      </c>
      <c r="H75" s="75">
        <v>46</v>
      </c>
      <c r="I75" s="75"/>
      <c r="J75" s="78">
        <f t="shared" si="13"/>
        <v>13800</v>
      </c>
      <c r="K75" s="78"/>
    </row>
    <row r="76" ht="18" customHeight="1" spans="1:11">
      <c r="A76" s="80" t="s">
        <v>105</v>
      </c>
      <c r="B76" s="80">
        <v>3313</v>
      </c>
      <c r="C76" s="81">
        <v>0.61</v>
      </c>
      <c r="D76" s="80">
        <v>300</v>
      </c>
      <c r="E76" s="82" t="s">
        <v>58</v>
      </c>
      <c r="F76" s="75">
        <v>3937</v>
      </c>
      <c r="G76" s="75">
        <f t="shared" si="12"/>
        <v>3.734</v>
      </c>
      <c r="H76" s="75">
        <v>49</v>
      </c>
      <c r="I76" s="75"/>
      <c r="J76" s="78">
        <f t="shared" si="13"/>
        <v>14700</v>
      </c>
      <c r="K76" s="78"/>
    </row>
    <row r="77" ht="18" customHeight="1" spans="1:11">
      <c r="A77" s="80" t="s">
        <v>105</v>
      </c>
      <c r="B77" s="80">
        <v>2116</v>
      </c>
      <c r="C77" s="81">
        <v>0.53</v>
      </c>
      <c r="D77" s="80">
        <v>200</v>
      </c>
      <c r="E77" s="82" t="s">
        <v>58</v>
      </c>
      <c r="F77" s="75">
        <v>2624.7</v>
      </c>
      <c r="G77" s="75">
        <f t="shared" si="12"/>
        <v>3.353</v>
      </c>
      <c r="H77" s="75">
        <v>44</v>
      </c>
      <c r="I77" s="75"/>
      <c r="J77" s="78">
        <f t="shared" si="13"/>
        <v>8800</v>
      </c>
      <c r="K77" s="78"/>
    </row>
    <row r="78" ht="18" customHeight="1" spans="1:11">
      <c r="A78" s="80" t="s">
        <v>105</v>
      </c>
      <c r="B78" s="80">
        <v>2116</v>
      </c>
      <c r="C78" s="81">
        <v>0.55</v>
      </c>
      <c r="D78" s="80">
        <v>200</v>
      </c>
      <c r="E78" s="82" t="s">
        <v>58</v>
      </c>
      <c r="F78" s="75">
        <v>2624.7</v>
      </c>
      <c r="G78" s="75">
        <f t="shared" si="12"/>
        <v>3.429</v>
      </c>
      <c r="H78" s="75">
        <v>45</v>
      </c>
      <c r="I78" s="75"/>
      <c r="J78" s="78">
        <f t="shared" si="13"/>
        <v>9000</v>
      </c>
      <c r="K78" s="78"/>
    </row>
    <row r="79" ht="18" customHeight="1" spans="1:11">
      <c r="A79" s="80" t="s">
        <v>105</v>
      </c>
      <c r="B79" s="80">
        <v>2116</v>
      </c>
      <c r="C79" s="81">
        <v>0.57</v>
      </c>
      <c r="D79" s="80">
        <v>200</v>
      </c>
      <c r="E79" s="82" t="s">
        <v>58</v>
      </c>
      <c r="F79" s="75">
        <v>2624.7</v>
      </c>
      <c r="G79" s="75">
        <f t="shared" si="12"/>
        <v>3.505</v>
      </c>
      <c r="H79" s="75">
        <v>46</v>
      </c>
      <c r="I79" s="75"/>
      <c r="J79" s="78">
        <f t="shared" si="13"/>
        <v>9200</v>
      </c>
      <c r="K79" s="78"/>
    </row>
    <row r="80" ht="18" customHeight="1" spans="1:11">
      <c r="A80" s="80" t="s">
        <v>105</v>
      </c>
      <c r="B80" s="80">
        <v>2116</v>
      </c>
      <c r="C80" s="81">
        <v>0.59</v>
      </c>
      <c r="D80" s="80">
        <v>200</v>
      </c>
      <c r="E80" s="82" t="s">
        <v>58</v>
      </c>
      <c r="F80" s="75">
        <v>2624.7</v>
      </c>
      <c r="G80" s="75">
        <f t="shared" si="12"/>
        <v>3.734</v>
      </c>
      <c r="H80" s="75">
        <v>49</v>
      </c>
      <c r="I80" s="75"/>
      <c r="J80" s="78">
        <f t="shared" si="13"/>
        <v>9800</v>
      </c>
      <c r="K80" s="78"/>
    </row>
    <row r="81" ht="18" customHeight="1" spans="1:11">
      <c r="A81" s="80" t="s">
        <v>105</v>
      </c>
      <c r="B81" s="80">
        <v>7628</v>
      </c>
      <c r="C81" s="81">
        <v>0.46</v>
      </c>
      <c r="D81" s="80">
        <v>150</v>
      </c>
      <c r="E81" s="82" t="s">
        <v>58</v>
      </c>
      <c r="F81" s="75">
        <v>1968.5</v>
      </c>
      <c r="G81" s="75">
        <f t="shared" si="12"/>
        <v>3.886</v>
      </c>
      <c r="H81" s="75">
        <v>51</v>
      </c>
      <c r="I81" s="75"/>
      <c r="J81" s="78">
        <f t="shared" si="13"/>
        <v>7650</v>
      </c>
      <c r="K81" s="78"/>
    </row>
    <row r="82" ht="18" customHeight="1" spans="1:11">
      <c r="A82" s="80" t="s">
        <v>105</v>
      </c>
      <c r="B82" s="80">
        <v>7628</v>
      </c>
      <c r="C82" s="81">
        <v>0.5</v>
      </c>
      <c r="D82" s="80">
        <v>150</v>
      </c>
      <c r="E82" s="82" t="s">
        <v>58</v>
      </c>
      <c r="F82" s="75">
        <v>1968.5</v>
      </c>
      <c r="G82" s="75">
        <f t="shared" si="12"/>
        <v>4.191</v>
      </c>
      <c r="H82" s="75">
        <v>55</v>
      </c>
      <c r="I82" s="75"/>
      <c r="J82" s="78">
        <f t="shared" si="13"/>
        <v>8250</v>
      </c>
      <c r="K82" s="78"/>
    </row>
    <row r="84" spans="1:11">
      <c r="A84" s="43" t="s">
        <v>60</v>
      </c>
      <c r="B84" s="44"/>
      <c r="C84" s="44"/>
      <c r="D84" s="44"/>
      <c r="E84" s="45"/>
      <c r="F84" s="44"/>
      <c r="G84" s="44"/>
      <c r="H84" s="44"/>
      <c r="I84" s="44"/>
      <c r="J84" s="44"/>
      <c r="K84" s="70"/>
    </row>
    <row r="85" spans="1:11">
      <c r="A85" s="46" t="s">
        <v>61</v>
      </c>
      <c r="B85" s="44"/>
      <c r="C85" s="44"/>
      <c r="D85" s="44"/>
      <c r="E85" s="45"/>
      <c r="F85" s="44"/>
      <c r="G85" s="44"/>
      <c r="H85" s="44"/>
      <c r="I85" s="44"/>
      <c r="J85" s="44"/>
      <c r="K85" s="70"/>
    </row>
    <row r="86" spans="1:11">
      <c r="A86" s="43" t="s">
        <v>62</v>
      </c>
      <c r="B86" s="47"/>
      <c r="C86" s="47"/>
      <c r="D86" s="47"/>
      <c r="E86" s="48"/>
      <c r="F86" s="47"/>
      <c r="G86" s="47"/>
      <c r="H86" s="47"/>
      <c r="I86" s="44"/>
      <c r="J86" s="44"/>
      <c r="K86" s="70"/>
    </row>
    <row r="87" spans="1:11">
      <c r="A87" s="43" t="s">
        <v>106</v>
      </c>
      <c r="B87" s="47"/>
      <c r="C87" s="47"/>
      <c r="D87" s="47"/>
      <c r="E87" s="48"/>
      <c r="F87" s="47"/>
      <c r="G87" s="47"/>
      <c r="H87" s="47"/>
      <c r="I87" s="44"/>
      <c r="J87" s="44"/>
      <c r="K87" s="70"/>
    </row>
    <row r="88" spans="1:11">
      <c r="A88" s="43" t="s">
        <v>64</v>
      </c>
      <c r="B88" s="47"/>
      <c r="C88" s="47"/>
      <c r="D88" s="47"/>
      <c r="E88" s="48"/>
      <c r="F88" s="47"/>
      <c r="G88" s="47"/>
      <c r="H88" s="47"/>
      <c r="I88" s="44"/>
      <c r="J88" s="44"/>
      <c r="K88" s="70"/>
    </row>
    <row r="89" spans="1:11">
      <c r="A89" s="44" t="s">
        <v>65</v>
      </c>
      <c r="B89" s="44"/>
      <c r="C89" s="44"/>
      <c r="D89" s="44"/>
      <c r="E89" s="44"/>
      <c r="F89" s="44"/>
      <c r="G89" s="44"/>
      <c r="H89" s="44"/>
      <c r="I89" s="44"/>
      <c r="J89" s="44"/>
      <c r="K89" s="71"/>
    </row>
    <row r="90" spans="1:11">
      <c r="A90" s="90"/>
      <c r="B90" s="91"/>
      <c r="C90" s="91"/>
      <c r="D90" s="91"/>
      <c r="E90" s="91"/>
      <c r="F90" s="91"/>
      <c r="G90" s="91"/>
      <c r="H90" s="92"/>
      <c r="I90" s="71"/>
      <c r="J90" s="71"/>
      <c r="K90" s="71"/>
    </row>
    <row r="91" ht="15.5" spans="1:11">
      <c r="A91" s="71"/>
      <c r="B91" s="72"/>
      <c r="C91" s="72"/>
      <c r="D91" s="72"/>
      <c r="E91" s="72"/>
      <c r="F91" s="72"/>
      <c r="G91" s="71"/>
      <c r="H91" s="71"/>
      <c r="I91" s="71"/>
      <c r="J91" s="71"/>
      <c r="K91" s="71"/>
    </row>
    <row r="92" s="104" customFormat="1" ht="28.8" customHeight="1" spans="1:11">
      <c r="A92" s="93" t="s">
        <v>66</v>
      </c>
      <c r="B92" s="73"/>
      <c r="C92" s="93"/>
      <c r="D92" s="93"/>
      <c r="E92" s="93"/>
      <c r="F92" s="93"/>
      <c r="G92" s="73"/>
      <c r="H92" s="93" t="s">
        <v>67</v>
      </c>
      <c r="I92" s="93"/>
      <c r="J92" s="93"/>
      <c r="K92" s="73"/>
    </row>
    <row r="93" ht="13.05" customHeight="1"/>
  </sheetData>
  <mergeCells count="49">
    <mergeCell ref="A1:K1"/>
    <mergeCell ref="A2:K2"/>
    <mergeCell ref="A3:K3"/>
    <mergeCell ref="A9:K9"/>
    <mergeCell ref="A60:K60"/>
    <mergeCell ref="H61:I61"/>
    <mergeCell ref="J61:K61"/>
    <mergeCell ref="H62:I62"/>
    <mergeCell ref="J62:K6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H68:I68"/>
    <mergeCell ref="J68:K68"/>
    <mergeCell ref="H69:I69"/>
    <mergeCell ref="J69:K69"/>
    <mergeCell ref="H70:I70"/>
    <mergeCell ref="J70:K70"/>
    <mergeCell ref="H71:I71"/>
    <mergeCell ref="J71:K71"/>
    <mergeCell ref="H72:I72"/>
    <mergeCell ref="J72:K72"/>
    <mergeCell ref="H73:I73"/>
    <mergeCell ref="J73:K73"/>
    <mergeCell ref="H74:I74"/>
    <mergeCell ref="J74:K74"/>
    <mergeCell ref="H75:I75"/>
    <mergeCell ref="J75:K75"/>
    <mergeCell ref="H76:I76"/>
    <mergeCell ref="J76:K76"/>
    <mergeCell ref="H77:I77"/>
    <mergeCell ref="J77:K77"/>
    <mergeCell ref="H78:I78"/>
    <mergeCell ref="J78:K78"/>
    <mergeCell ref="H79:I79"/>
    <mergeCell ref="J79:K79"/>
    <mergeCell ref="H80:I80"/>
    <mergeCell ref="J80:K80"/>
    <mergeCell ref="H81:I81"/>
    <mergeCell ref="J81:K81"/>
    <mergeCell ref="H82:I82"/>
    <mergeCell ref="J82:K82"/>
  </mergeCells>
  <pageMargins left="0.25" right="0.25" top="0.75" bottom="0.75" header="0.3" footer="0.3"/>
  <pageSetup paperSize="9" scale="82" fitToWidth="0" fitToHeight="0" orientation="portrait" horizontalDpi="600" verticalDpi="6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9"/>
  <sheetViews>
    <sheetView tabSelected="1" view="pageBreakPreview" zoomScaleNormal="100" workbookViewId="0">
      <selection activeCell="N52" sqref="N52"/>
    </sheetView>
  </sheetViews>
  <sheetFormatPr defaultColWidth="8.1" defaultRowHeight="15"/>
  <cols>
    <col min="1" max="4" width="8.1" style="74"/>
    <col min="5" max="5" width="11.3333333333333" style="74" customWidth="1"/>
    <col min="6" max="11" width="8.1" style="74"/>
    <col min="12" max="12" width="8.41666666666667" style="74" hidden="1" customWidth="1"/>
    <col min="13" max="16384" width="8.1" style="74"/>
  </cols>
  <sheetData>
    <row r="1" s="74" customFormat="1" ht="27.5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="74" customFormat="1" spans="1:12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="74" customFormat="1" spans="1:12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="74" customFormat="1" spans="1:12">
      <c r="A4" s="4"/>
      <c r="B4" s="5"/>
      <c r="C4" s="3"/>
      <c r="D4" s="3"/>
      <c r="E4" s="6"/>
      <c r="F4" s="6"/>
      <c r="G4" s="6"/>
      <c r="H4" s="4"/>
      <c r="I4" s="4"/>
      <c r="J4" s="4"/>
      <c r="K4" s="3"/>
    </row>
    <row r="5" s="74" customFormat="1" spans="1:12">
      <c r="A5" s="5" t="s">
        <v>3</v>
      </c>
      <c r="B5" s="5" t="s">
        <v>4</v>
      </c>
      <c r="C5" s="8"/>
      <c r="D5" s="8"/>
      <c r="E5" s="9"/>
      <c r="F5" s="9"/>
      <c r="G5" s="9"/>
      <c r="H5" s="10"/>
      <c r="I5" s="8" t="s">
        <v>5</v>
      </c>
      <c r="J5" s="5" t="s">
        <v>6</v>
      </c>
      <c r="K5" s="11"/>
    </row>
    <row r="6" s="74" customFormat="1" spans="1:12">
      <c r="A6" s="8" t="s">
        <v>7</v>
      </c>
      <c r="B6" s="8" t="s">
        <v>75</v>
      </c>
      <c r="C6" s="8"/>
      <c r="D6" s="8"/>
      <c r="E6" s="9"/>
      <c r="F6" s="9"/>
      <c r="G6" s="9"/>
      <c r="H6" s="10"/>
      <c r="I6" s="8" t="s">
        <v>9</v>
      </c>
      <c r="J6" s="8"/>
      <c r="K6" s="11"/>
    </row>
    <row r="7" s="74" customFormat="1" spans="1:12">
      <c r="A7" s="8"/>
      <c r="B7" s="8"/>
      <c r="C7" s="8"/>
      <c r="D7" s="8"/>
      <c r="E7" s="9"/>
      <c r="F7" s="9"/>
      <c r="G7" s="9"/>
      <c r="H7" s="8"/>
      <c r="I7" s="13" t="s">
        <v>10</v>
      </c>
      <c r="J7" s="14"/>
      <c r="K7" s="14"/>
    </row>
    <row r="8" s="74" customFormat="1" spans="1:12">
      <c r="A8" s="8"/>
      <c r="B8" s="8"/>
      <c r="C8" s="8"/>
      <c r="D8" s="8"/>
      <c r="E8" s="9"/>
      <c r="F8" s="9"/>
      <c r="G8" s="9"/>
      <c r="H8" s="8"/>
      <c r="I8" s="13"/>
      <c r="J8" s="14"/>
      <c r="K8" s="14"/>
    </row>
    <row r="9" s="74" customFormat="1" ht="21" spans="1:12">
      <c r="A9" s="15" t="s">
        <v>107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0" s="74" customFormat="1" ht="19.2" customHeight="1" spans="1:12">
      <c r="A10" s="16" t="s">
        <v>12</v>
      </c>
      <c r="B10" s="17" t="s">
        <v>13</v>
      </c>
      <c r="C10" s="17" t="s">
        <v>14</v>
      </c>
      <c r="D10" s="17" t="s">
        <v>15</v>
      </c>
      <c r="E10" s="16" t="s">
        <v>16</v>
      </c>
      <c r="F10" s="17" t="s">
        <v>17</v>
      </c>
      <c r="G10" s="17" t="s">
        <v>18</v>
      </c>
      <c r="H10" s="59" t="s">
        <v>19</v>
      </c>
      <c r="I10" s="60" t="s">
        <v>20</v>
      </c>
      <c r="J10" s="60" t="s">
        <v>21</v>
      </c>
      <c r="K10" s="60" t="s">
        <v>22</v>
      </c>
      <c r="L10" s="94" t="s">
        <v>108</v>
      </c>
    </row>
    <row r="11" s="74" customFormat="1" spans="1:12">
      <c r="A11" s="75" t="s">
        <v>109</v>
      </c>
      <c r="B11" s="95">
        <v>3</v>
      </c>
      <c r="C11" s="76">
        <f t="shared" ref="C11:C44" si="0">B11*25.4*0.001</f>
        <v>0.0762</v>
      </c>
      <c r="D11" s="76">
        <f t="shared" ref="D11:D27" si="1">(B11+2.4)*25.4*0.001</f>
        <v>0.13716</v>
      </c>
      <c r="E11" s="95" t="s">
        <v>27</v>
      </c>
      <c r="F11" s="96" t="s">
        <v>25</v>
      </c>
      <c r="G11" s="95" t="s">
        <v>26</v>
      </c>
      <c r="H11" s="95">
        <f t="shared" ref="H11:H44" si="2">ROUND(J11/13.33,3)</f>
        <v>13.278</v>
      </c>
      <c r="I11" s="78">
        <f t="shared" ref="I11:I44" si="3">ROUND(H11*12,0)</f>
        <v>159</v>
      </c>
      <c r="J11" s="75">
        <v>177</v>
      </c>
      <c r="K11" s="75">
        <f t="shared" ref="K11:K44" si="4">ROUND(H11*14,0)</f>
        <v>186</v>
      </c>
      <c r="L11" s="97">
        <v>79</v>
      </c>
    </row>
    <row r="12" s="74" customFormat="1" spans="1:12">
      <c r="A12" s="75" t="s">
        <v>109</v>
      </c>
      <c r="B12" s="95">
        <v>4</v>
      </c>
      <c r="C12" s="76">
        <f t="shared" si="0"/>
        <v>0.1016</v>
      </c>
      <c r="D12" s="76">
        <f t="shared" si="1"/>
        <v>0.16256</v>
      </c>
      <c r="E12" s="95" t="s">
        <v>28</v>
      </c>
      <c r="F12" s="96" t="s">
        <v>25</v>
      </c>
      <c r="G12" s="95" t="s">
        <v>26</v>
      </c>
      <c r="H12" s="95">
        <f t="shared" si="2"/>
        <v>13.278</v>
      </c>
      <c r="I12" s="98">
        <f t="shared" si="3"/>
        <v>159</v>
      </c>
      <c r="J12" s="98">
        <v>177</v>
      </c>
      <c r="K12" s="98">
        <f t="shared" si="4"/>
        <v>186</v>
      </c>
      <c r="L12" s="97">
        <v>85</v>
      </c>
    </row>
    <row r="13" s="74" customFormat="1" spans="1:12">
      <c r="A13" s="75" t="s">
        <v>109</v>
      </c>
      <c r="B13" s="95">
        <v>5</v>
      </c>
      <c r="C13" s="76">
        <f t="shared" si="0"/>
        <v>0.127</v>
      </c>
      <c r="D13" s="76">
        <f t="shared" si="1"/>
        <v>0.18796</v>
      </c>
      <c r="E13" s="95" t="s">
        <v>28</v>
      </c>
      <c r="F13" s="96" t="s">
        <v>25</v>
      </c>
      <c r="G13" s="95" t="s">
        <v>26</v>
      </c>
      <c r="H13" s="95">
        <f t="shared" si="2"/>
        <v>13.503</v>
      </c>
      <c r="I13" s="78">
        <f t="shared" si="3"/>
        <v>162</v>
      </c>
      <c r="J13" s="75">
        <v>180</v>
      </c>
      <c r="K13" s="75">
        <f t="shared" si="4"/>
        <v>189</v>
      </c>
      <c r="L13" s="97">
        <v>85</v>
      </c>
    </row>
    <row r="14" s="74" customFormat="1" spans="1:12">
      <c r="A14" s="75" t="s">
        <v>109</v>
      </c>
      <c r="B14" s="95">
        <v>6</v>
      </c>
      <c r="C14" s="76">
        <f t="shared" si="0"/>
        <v>0.1524</v>
      </c>
      <c r="D14" s="76">
        <f t="shared" si="1"/>
        <v>0.21336</v>
      </c>
      <c r="E14" s="95" t="s">
        <v>29</v>
      </c>
      <c r="F14" s="96" t="s">
        <v>25</v>
      </c>
      <c r="G14" s="95" t="s">
        <v>26</v>
      </c>
      <c r="H14" s="95">
        <f t="shared" si="2"/>
        <v>13.728</v>
      </c>
      <c r="I14" s="78">
        <f t="shared" si="3"/>
        <v>165</v>
      </c>
      <c r="J14" s="75">
        <v>183</v>
      </c>
      <c r="K14" s="75">
        <f t="shared" si="4"/>
        <v>192</v>
      </c>
      <c r="L14" s="97">
        <v>85</v>
      </c>
    </row>
    <row r="15" s="74" customFormat="1" spans="1:12">
      <c r="A15" s="75" t="s">
        <v>109</v>
      </c>
      <c r="B15" s="95">
        <v>8</v>
      </c>
      <c r="C15" s="76">
        <f t="shared" si="0"/>
        <v>0.2032</v>
      </c>
      <c r="D15" s="76">
        <f t="shared" si="1"/>
        <v>0.26416</v>
      </c>
      <c r="E15" s="95" t="s">
        <v>30</v>
      </c>
      <c r="F15" s="96" t="s">
        <v>25</v>
      </c>
      <c r="G15" s="95" t="s">
        <v>26</v>
      </c>
      <c r="H15" s="95">
        <f t="shared" si="2"/>
        <v>13.653</v>
      </c>
      <c r="I15" s="78">
        <f t="shared" si="3"/>
        <v>164</v>
      </c>
      <c r="J15" s="75">
        <v>182</v>
      </c>
      <c r="K15" s="75">
        <f t="shared" si="4"/>
        <v>191</v>
      </c>
      <c r="L15" s="97">
        <v>87</v>
      </c>
    </row>
    <row r="16" s="74" customFormat="1" spans="1:12">
      <c r="A16" s="75" t="s">
        <v>109</v>
      </c>
      <c r="B16" s="95">
        <v>10</v>
      </c>
      <c r="C16" s="76">
        <f t="shared" si="0"/>
        <v>0.254</v>
      </c>
      <c r="D16" s="76">
        <f t="shared" si="1"/>
        <v>0.31496</v>
      </c>
      <c r="E16" s="95" t="s">
        <v>31</v>
      </c>
      <c r="F16" s="96" t="s">
        <v>25</v>
      </c>
      <c r="G16" s="95" t="s">
        <v>26</v>
      </c>
      <c r="H16" s="95">
        <f t="shared" si="2"/>
        <v>15.229</v>
      </c>
      <c r="I16" s="78">
        <f t="shared" si="3"/>
        <v>183</v>
      </c>
      <c r="J16" s="75">
        <v>203</v>
      </c>
      <c r="K16" s="75">
        <f t="shared" si="4"/>
        <v>213</v>
      </c>
      <c r="L16" s="97">
        <v>100</v>
      </c>
    </row>
    <row r="17" s="74" customFormat="1" spans="1:12">
      <c r="A17" s="75" t="s">
        <v>109</v>
      </c>
      <c r="B17" s="95">
        <v>12</v>
      </c>
      <c r="C17" s="76">
        <f t="shared" si="0"/>
        <v>0.3048</v>
      </c>
      <c r="D17" s="76">
        <f t="shared" si="1"/>
        <v>0.36576</v>
      </c>
      <c r="E17" s="99" t="s">
        <v>32</v>
      </c>
      <c r="F17" s="96" t="s">
        <v>25</v>
      </c>
      <c r="G17" s="95" t="s">
        <v>26</v>
      </c>
      <c r="H17" s="95">
        <f t="shared" si="2"/>
        <v>15.604</v>
      </c>
      <c r="I17" s="78">
        <f t="shared" si="3"/>
        <v>187</v>
      </c>
      <c r="J17" s="75">
        <v>208</v>
      </c>
      <c r="K17" s="75">
        <f t="shared" si="4"/>
        <v>218</v>
      </c>
      <c r="L17" s="97">
        <v>102</v>
      </c>
    </row>
    <row r="18" s="74" customFormat="1" spans="1:12">
      <c r="A18" s="75" t="s">
        <v>109</v>
      </c>
      <c r="B18" s="95">
        <v>14</v>
      </c>
      <c r="C18" s="76">
        <f t="shared" si="0"/>
        <v>0.3556</v>
      </c>
      <c r="D18" s="76">
        <f t="shared" si="1"/>
        <v>0.41656</v>
      </c>
      <c r="E18" s="99" t="s">
        <v>33</v>
      </c>
      <c r="F18" s="96" t="s">
        <v>25</v>
      </c>
      <c r="G18" s="95" t="s">
        <v>26</v>
      </c>
      <c r="H18" s="95">
        <f t="shared" si="2"/>
        <v>15.454</v>
      </c>
      <c r="I18" s="78">
        <f t="shared" si="3"/>
        <v>185</v>
      </c>
      <c r="J18" s="75">
        <v>206</v>
      </c>
      <c r="K18" s="75">
        <f t="shared" si="4"/>
        <v>216</v>
      </c>
      <c r="L18" s="97">
        <v>102</v>
      </c>
    </row>
    <row r="19" s="74" customFormat="1" spans="1:12">
      <c r="A19" s="75" t="s">
        <v>109</v>
      </c>
      <c r="B19" s="95">
        <v>16</v>
      </c>
      <c r="C19" s="76">
        <f t="shared" si="0"/>
        <v>0.4064</v>
      </c>
      <c r="D19" s="76">
        <f t="shared" si="1"/>
        <v>0.46736</v>
      </c>
      <c r="E19" s="99" t="s">
        <v>33</v>
      </c>
      <c r="F19" s="96" t="s">
        <v>25</v>
      </c>
      <c r="G19" s="95" t="s">
        <v>26</v>
      </c>
      <c r="H19" s="95">
        <f t="shared" si="2"/>
        <v>15.604</v>
      </c>
      <c r="I19" s="78">
        <f t="shared" si="3"/>
        <v>187</v>
      </c>
      <c r="J19" s="75">
        <v>208</v>
      </c>
      <c r="K19" s="75">
        <f t="shared" si="4"/>
        <v>218</v>
      </c>
      <c r="L19" s="97">
        <v>106</v>
      </c>
    </row>
    <row r="20" s="74" customFormat="1" spans="1:12">
      <c r="A20" s="75" t="s">
        <v>109</v>
      </c>
      <c r="B20" s="95">
        <v>20</v>
      </c>
      <c r="C20" s="76">
        <f t="shared" si="0"/>
        <v>0.508</v>
      </c>
      <c r="D20" s="76">
        <f t="shared" si="1"/>
        <v>0.56896</v>
      </c>
      <c r="E20" s="75" t="s">
        <v>34</v>
      </c>
      <c r="F20" s="96" t="s">
        <v>25</v>
      </c>
      <c r="G20" s="95" t="s">
        <v>26</v>
      </c>
      <c r="H20" s="95">
        <f t="shared" si="2"/>
        <v>16.879</v>
      </c>
      <c r="I20" s="78">
        <f t="shared" si="3"/>
        <v>203</v>
      </c>
      <c r="J20" s="75">
        <v>225</v>
      </c>
      <c r="K20" s="75">
        <f t="shared" si="4"/>
        <v>236</v>
      </c>
      <c r="L20" s="97">
        <v>110</v>
      </c>
    </row>
    <row r="21" s="74" customFormat="1" spans="1:12">
      <c r="A21" s="75" t="s">
        <v>109</v>
      </c>
      <c r="B21" s="95">
        <v>24</v>
      </c>
      <c r="C21" s="76">
        <f t="shared" si="0"/>
        <v>0.6096</v>
      </c>
      <c r="D21" s="76">
        <f t="shared" si="1"/>
        <v>0.67056</v>
      </c>
      <c r="E21" s="99" t="s">
        <v>35</v>
      </c>
      <c r="F21" s="96" t="s">
        <v>25</v>
      </c>
      <c r="G21" s="95" t="s">
        <v>26</v>
      </c>
      <c r="H21" s="95">
        <f t="shared" si="2"/>
        <v>17.104</v>
      </c>
      <c r="I21" s="78">
        <f t="shared" si="3"/>
        <v>205</v>
      </c>
      <c r="J21" s="75">
        <v>228</v>
      </c>
      <c r="K21" s="75">
        <f t="shared" si="4"/>
        <v>239</v>
      </c>
      <c r="L21" s="97">
        <v>120</v>
      </c>
    </row>
    <row r="22" s="74" customFormat="1" spans="1:12">
      <c r="A22" s="75" t="s">
        <v>109</v>
      </c>
      <c r="B22" s="95">
        <v>28</v>
      </c>
      <c r="C22" s="76">
        <f t="shared" si="0"/>
        <v>0.7112</v>
      </c>
      <c r="D22" s="76">
        <f t="shared" si="1"/>
        <v>0.77216</v>
      </c>
      <c r="E22" s="75" t="s">
        <v>36</v>
      </c>
      <c r="F22" s="96" t="s">
        <v>25</v>
      </c>
      <c r="G22" s="95" t="s">
        <v>26</v>
      </c>
      <c r="H22" s="95">
        <f t="shared" si="2"/>
        <v>18.53</v>
      </c>
      <c r="I22" s="78">
        <f t="shared" si="3"/>
        <v>222</v>
      </c>
      <c r="J22" s="75">
        <v>247</v>
      </c>
      <c r="K22" s="75">
        <f t="shared" si="4"/>
        <v>259</v>
      </c>
      <c r="L22" s="97">
        <v>118</v>
      </c>
    </row>
    <row r="23" s="74" customFormat="1" spans="1:12">
      <c r="A23" s="75" t="s">
        <v>109</v>
      </c>
      <c r="B23" s="95">
        <v>37</v>
      </c>
      <c r="C23" s="76">
        <f t="shared" si="0"/>
        <v>0.9398</v>
      </c>
      <c r="D23" s="76">
        <f t="shared" si="1"/>
        <v>1.00076</v>
      </c>
      <c r="E23" s="99" t="s">
        <v>37</v>
      </c>
      <c r="F23" s="96" t="s">
        <v>25</v>
      </c>
      <c r="G23" s="95" t="s">
        <v>26</v>
      </c>
      <c r="H23" s="95">
        <f t="shared" si="2"/>
        <v>20.63</v>
      </c>
      <c r="I23" s="78">
        <f t="shared" si="3"/>
        <v>248</v>
      </c>
      <c r="J23" s="75">
        <v>275</v>
      </c>
      <c r="K23" s="75">
        <f t="shared" si="4"/>
        <v>289</v>
      </c>
      <c r="L23" s="97">
        <v>145</v>
      </c>
    </row>
    <row r="24" s="74" customFormat="1" spans="1:12">
      <c r="A24" s="75" t="s">
        <v>109</v>
      </c>
      <c r="B24" s="75">
        <v>41</v>
      </c>
      <c r="C24" s="76">
        <f t="shared" si="0"/>
        <v>1.0414</v>
      </c>
      <c r="D24" s="76">
        <f t="shared" si="1"/>
        <v>1.10236</v>
      </c>
      <c r="E24" s="75" t="s">
        <v>38</v>
      </c>
      <c r="F24" s="77" t="s">
        <v>25</v>
      </c>
      <c r="G24" s="95" t="s">
        <v>26</v>
      </c>
      <c r="H24" s="95">
        <f t="shared" si="2"/>
        <v>22.356</v>
      </c>
      <c r="I24" s="78">
        <f t="shared" si="3"/>
        <v>268</v>
      </c>
      <c r="J24" s="75">
        <v>298</v>
      </c>
      <c r="K24" s="75">
        <f t="shared" si="4"/>
        <v>313</v>
      </c>
      <c r="L24" s="100">
        <v>151</v>
      </c>
    </row>
    <row r="25" s="74" customFormat="1" spans="1:12">
      <c r="A25" s="75" t="s">
        <v>109</v>
      </c>
      <c r="B25" s="75">
        <v>45</v>
      </c>
      <c r="C25" s="76">
        <f t="shared" si="0"/>
        <v>1.143</v>
      </c>
      <c r="D25" s="76">
        <f t="shared" si="1"/>
        <v>1.20396</v>
      </c>
      <c r="E25" s="75" t="s">
        <v>38</v>
      </c>
      <c r="F25" s="77" t="s">
        <v>25</v>
      </c>
      <c r="G25" s="95" t="s">
        <v>26</v>
      </c>
      <c r="H25" s="95">
        <f t="shared" si="2"/>
        <v>22.506</v>
      </c>
      <c r="I25" s="78">
        <f t="shared" si="3"/>
        <v>270</v>
      </c>
      <c r="J25" s="75">
        <v>300</v>
      </c>
      <c r="K25" s="75">
        <f t="shared" si="4"/>
        <v>315</v>
      </c>
      <c r="L25" s="100">
        <v>162</v>
      </c>
    </row>
    <row r="26" s="74" customFormat="1" spans="1:12">
      <c r="A26" s="75" t="s">
        <v>109</v>
      </c>
      <c r="B26" s="75">
        <v>49</v>
      </c>
      <c r="C26" s="76">
        <f t="shared" si="0"/>
        <v>1.2446</v>
      </c>
      <c r="D26" s="76">
        <f t="shared" si="1"/>
        <v>1.30556</v>
      </c>
      <c r="E26" s="75" t="s">
        <v>39</v>
      </c>
      <c r="F26" s="77" t="s">
        <v>25</v>
      </c>
      <c r="G26" s="95" t="s">
        <v>26</v>
      </c>
      <c r="H26" s="95">
        <f t="shared" si="2"/>
        <v>24.231</v>
      </c>
      <c r="I26" s="78">
        <f t="shared" si="3"/>
        <v>291</v>
      </c>
      <c r="J26" s="75">
        <v>323</v>
      </c>
      <c r="K26" s="75">
        <f t="shared" si="4"/>
        <v>339</v>
      </c>
      <c r="L26" s="100">
        <v>172</v>
      </c>
    </row>
    <row r="27" s="74" customFormat="1" spans="1:12">
      <c r="A27" s="75" t="s">
        <v>109</v>
      </c>
      <c r="B27" s="75">
        <v>57</v>
      </c>
      <c r="C27" s="76">
        <f t="shared" si="0"/>
        <v>1.4478</v>
      </c>
      <c r="D27" s="76">
        <f t="shared" si="1"/>
        <v>1.50876</v>
      </c>
      <c r="E27" s="75" t="s">
        <v>40</v>
      </c>
      <c r="F27" s="77" t="s">
        <v>25</v>
      </c>
      <c r="G27" s="95" t="s">
        <v>26</v>
      </c>
      <c r="H27" s="95">
        <f t="shared" si="2"/>
        <v>26.107</v>
      </c>
      <c r="I27" s="78">
        <f t="shared" si="3"/>
        <v>313</v>
      </c>
      <c r="J27" s="75">
        <v>348</v>
      </c>
      <c r="K27" s="75">
        <f t="shared" si="4"/>
        <v>365</v>
      </c>
      <c r="L27" s="100">
        <v>180</v>
      </c>
    </row>
    <row r="28" s="74" customFormat="1" spans="1:12">
      <c r="A28" s="75" t="s">
        <v>109</v>
      </c>
      <c r="B28" s="95">
        <v>3</v>
      </c>
      <c r="C28" s="76">
        <f t="shared" si="0"/>
        <v>0.0762</v>
      </c>
      <c r="D28" s="76">
        <f t="shared" ref="D28:D44" si="5">(B28+1.2)*25.4*0.001</f>
        <v>0.10668</v>
      </c>
      <c r="E28" s="95" t="s">
        <v>27</v>
      </c>
      <c r="F28" s="96" t="s">
        <v>41</v>
      </c>
      <c r="G28" s="95" t="s">
        <v>26</v>
      </c>
      <c r="H28" s="95">
        <f t="shared" si="2"/>
        <v>8.402</v>
      </c>
      <c r="I28" s="78">
        <f t="shared" si="3"/>
        <v>101</v>
      </c>
      <c r="J28" s="75">
        <v>112</v>
      </c>
      <c r="K28" s="75">
        <f t="shared" si="4"/>
        <v>118</v>
      </c>
      <c r="L28" s="97">
        <v>55</v>
      </c>
    </row>
    <row r="29" s="74" customFormat="1" spans="1:12">
      <c r="A29" s="75" t="s">
        <v>109</v>
      </c>
      <c r="B29" s="95">
        <v>4</v>
      </c>
      <c r="C29" s="76">
        <f t="shared" si="0"/>
        <v>0.1016</v>
      </c>
      <c r="D29" s="76">
        <f t="shared" si="5"/>
        <v>0.13208</v>
      </c>
      <c r="E29" s="95" t="s">
        <v>28</v>
      </c>
      <c r="F29" s="96" t="s">
        <v>41</v>
      </c>
      <c r="G29" s="95" t="s">
        <v>26</v>
      </c>
      <c r="H29" s="95">
        <f t="shared" si="2"/>
        <v>8.702</v>
      </c>
      <c r="I29" s="78">
        <f t="shared" si="3"/>
        <v>104</v>
      </c>
      <c r="J29" s="75">
        <v>116</v>
      </c>
      <c r="K29" s="75">
        <f t="shared" si="4"/>
        <v>122</v>
      </c>
      <c r="L29" s="97">
        <v>55</v>
      </c>
    </row>
    <row r="30" s="74" customFormat="1" spans="1:12">
      <c r="A30" s="75" t="s">
        <v>109</v>
      </c>
      <c r="B30" s="95">
        <v>5</v>
      </c>
      <c r="C30" s="76">
        <f t="shared" si="0"/>
        <v>0.127</v>
      </c>
      <c r="D30" s="76">
        <f t="shared" si="5"/>
        <v>0.15748</v>
      </c>
      <c r="E30" s="95" t="s">
        <v>28</v>
      </c>
      <c r="F30" s="96" t="s">
        <v>41</v>
      </c>
      <c r="G30" s="95" t="s">
        <v>26</v>
      </c>
      <c r="H30" s="95">
        <f t="shared" si="2"/>
        <v>8.702</v>
      </c>
      <c r="I30" s="78">
        <f t="shared" si="3"/>
        <v>104</v>
      </c>
      <c r="J30" s="75">
        <v>116</v>
      </c>
      <c r="K30" s="75">
        <f t="shared" si="4"/>
        <v>122</v>
      </c>
      <c r="L30" s="97">
        <v>55</v>
      </c>
    </row>
    <row r="31" s="74" customFormat="1" spans="1:12">
      <c r="A31" s="75" t="s">
        <v>109</v>
      </c>
      <c r="B31" s="95">
        <v>6</v>
      </c>
      <c r="C31" s="76">
        <f t="shared" si="0"/>
        <v>0.1524</v>
      </c>
      <c r="D31" s="76">
        <f t="shared" si="5"/>
        <v>0.18288</v>
      </c>
      <c r="E31" s="95" t="s">
        <v>29</v>
      </c>
      <c r="F31" s="96" t="s">
        <v>41</v>
      </c>
      <c r="G31" s="95" t="s">
        <v>26</v>
      </c>
      <c r="H31" s="95">
        <f t="shared" si="2"/>
        <v>8.927</v>
      </c>
      <c r="I31" s="78">
        <f t="shared" si="3"/>
        <v>107</v>
      </c>
      <c r="J31" s="75">
        <v>119</v>
      </c>
      <c r="K31" s="75">
        <f t="shared" si="4"/>
        <v>125</v>
      </c>
      <c r="L31" s="97">
        <v>57</v>
      </c>
    </row>
    <row r="32" s="74" customFormat="1" spans="1:12">
      <c r="A32" s="75" t="s">
        <v>109</v>
      </c>
      <c r="B32" s="95">
        <v>8</v>
      </c>
      <c r="C32" s="76">
        <f t="shared" si="0"/>
        <v>0.2032</v>
      </c>
      <c r="D32" s="76">
        <f t="shared" si="5"/>
        <v>0.23368</v>
      </c>
      <c r="E32" s="95" t="s">
        <v>30</v>
      </c>
      <c r="F32" s="96" t="s">
        <v>41</v>
      </c>
      <c r="G32" s="95" t="s">
        <v>26</v>
      </c>
      <c r="H32" s="95">
        <f t="shared" si="2"/>
        <v>8.927</v>
      </c>
      <c r="I32" s="78">
        <f t="shared" si="3"/>
        <v>107</v>
      </c>
      <c r="J32" s="75">
        <v>119</v>
      </c>
      <c r="K32" s="75">
        <f t="shared" si="4"/>
        <v>125</v>
      </c>
      <c r="L32" s="97">
        <v>57</v>
      </c>
    </row>
    <row r="33" s="74" customFormat="1" spans="1:16">
      <c r="A33" s="75" t="s">
        <v>109</v>
      </c>
      <c r="B33" s="95">
        <v>10</v>
      </c>
      <c r="C33" s="76">
        <f t="shared" si="0"/>
        <v>0.254</v>
      </c>
      <c r="D33" s="76">
        <f t="shared" si="5"/>
        <v>0.28448</v>
      </c>
      <c r="E33" s="95" t="s">
        <v>31</v>
      </c>
      <c r="F33" s="96" t="s">
        <v>41</v>
      </c>
      <c r="G33" s="95" t="s">
        <v>26</v>
      </c>
      <c r="H33" s="95">
        <f t="shared" si="2"/>
        <v>10.728</v>
      </c>
      <c r="I33" s="78">
        <f t="shared" si="3"/>
        <v>129</v>
      </c>
      <c r="J33" s="75">
        <v>143</v>
      </c>
      <c r="K33" s="75">
        <f t="shared" si="4"/>
        <v>150</v>
      </c>
      <c r="L33" s="97">
        <v>72</v>
      </c>
    </row>
    <row r="34" s="74" customFormat="1" spans="1:16">
      <c r="A34" s="75" t="s">
        <v>109</v>
      </c>
      <c r="B34" s="95">
        <v>12</v>
      </c>
      <c r="C34" s="76">
        <f t="shared" si="0"/>
        <v>0.3048</v>
      </c>
      <c r="D34" s="76">
        <f t="shared" si="5"/>
        <v>0.33528</v>
      </c>
      <c r="E34" s="99" t="s">
        <v>32</v>
      </c>
      <c r="F34" s="96" t="s">
        <v>41</v>
      </c>
      <c r="G34" s="95" t="s">
        <v>26</v>
      </c>
      <c r="H34" s="95">
        <f t="shared" si="2"/>
        <v>10.878</v>
      </c>
      <c r="I34" s="78">
        <f t="shared" si="3"/>
        <v>131</v>
      </c>
      <c r="J34" s="75">
        <v>145</v>
      </c>
      <c r="K34" s="75">
        <f t="shared" si="4"/>
        <v>152</v>
      </c>
      <c r="L34" s="97">
        <v>73</v>
      </c>
    </row>
    <row r="35" s="74" customFormat="1" spans="1:16">
      <c r="A35" s="75" t="s">
        <v>109</v>
      </c>
      <c r="B35" s="95">
        <v>14</v>
      </c>
      <c r="C35" s="76">
        <f t="shared" si="0"/>
        <v>0.3556</v>
      </c>
      <c r="D35" s="76">
        <f t="shared" si="5"/>
        <v>0.38608</v>
      </c>
      <c r="E35" s="99" t="s">
        <v>33</v>
      </c>
      <c r="F35" s="96" t="s">
        <v>41</v>
      </c>
      <c r="G35" s="95" t="s">
        <v>26</v>
      </c>
      <c r="H35" s="95">
        <f t="shared" si="2"/>
        <v>10.728</v>
      </c>
      <c r="I35" s="78">
        <f t="shared" si="3"/>
        <v>129</v>
      </c>
      <c r="J35" s="75">
        <v>143</v>
      </c>
      <c r="K35" s="75">
        <f t="shared" si="4"/>
        <v>150</v>
      </c>
      <c r="L35" s="97">
        <v>75</v>
      </c>
    </row>
    <row r="36" s="74" customFormat="1" spans="1:16">
      <c r="A36" s="75" t="s">
        <v>109</v>
      </c>
      <c r="B36" s="75">
        <v>16</v>
      </c>
      <c r="C36" s="76">
        <f t="shared" si="0"/>
        <v>0.4064</v>
      </c>
      <c r="D36" s="76">
        <f t="shared" si="5"/>
        <v>0.43688</v>
      </c>
      <c r="E36" s="99" t="s">
        <v>33</v>
      </c>
      <c r="F36" s="77" t="s">
        <v>41</v>
      </c>
      <c r="G36" s="75" t="s">
        <v>26</v>
      </c>
      <c r="H36" s="95">
        <f t="shared" si="2"/>
        <v>10.878</v>
      </c>
      <c r="I36" s="78">
        <f t="shared" si="3"/>
        <v>131</v>
      </c>
      <c r="J36" s="75">
        <v>145</v>
      </c>
      <c r="K36" s="75">
        <f t="shared" si="4"/>
        <v>152</v>
      </c>
      <c r="L36" s="97">
        <v>77</v>
      </c>
    </row>
    <row r="37" s="74" customFormat="1" spans="1:16">
      <c r="A37" s="75" t="s">
        <v>109</v>
      </c>
      <c r="B37" s="95">
        <v>20</v>
      </c>
      <c r="C37" s="76">
        <f t="shared" si="0"/>
        <v>0.508</v>
      </c>
      <c r="D37" s="76">
        <f t="shared" si="5"/>
        <v>0.53848</v>
      </c>
      <c r="E37" s="99" t="s">
        <v>90</v>
      </c>
      <c r="F37" s="96" t="s">
        <v>41</v>
      </c>
      <c r="G37" s="95" t="s">
        <v>26</v>
      </c>
      <c r="H37" s="95">
        <f t="shared" si="2"/>
        <v>12.603</v>
      </c>
      <c r="I37" s="78">
        <f t="shared" si="3"/>
        <v>151</v>
      </c>
      <c r="J37" s="75">
        <v>168</v>
      </c>
      <c r="K37" s="75">
        <f t="shared" si="4"/>
        <v>176</v>
      </c>
      <c r="L37" s="97">
        <v>83</v>
      </c>
    </row>
    <row r="38" s="74" customFormat="1" spans="1:16">
      <c r="A38" s="75" t="s">
        <v>109</v>
      </c>
      <c r="B38" s="95">
        <v>24</v>
      </c>
      <c r="C38" s="76">
        <f t="shared" si="0"/>
        <v>0.6096</v>
      </c>
      <c r="D38" s="76">
        <f t="shared" si="5"/>
        <v>0.64008</v>
      </c>
      <c r="E38" s="99" t="s">
        <v>35</v>
      </c>
      <c r="F38" s="96" t="s">
        <v>41</v>
      </c>
      <c r="G38" s="95" t="s">
        <v>26</v>
      </c>
      <c r="H38" s="95">
        <f t="shared" si="2"/>
        <v>12.753</v>
      </c>
      <c r="I38" s="78">
        <f t="shared" si="3"/>
        <v>153</v>
      </c>
      <c r="J38" s="75">
        <v>170</v>
      </c>
      <c r="K38" s="75">
        <f t="shared" si="4"/>
        <v>179</v>
      </c>
      <c r="L38" s="97">
        <v>94</v>
      </c>
    </row>
    <row r="39" s="74" customFormat="1" spans="1:16">
      <c r="A39" s="75" t="s">
        <v>109</v>
      </c>
      <c r="B39" s="95">
        <v>28</v>
      </c>
      <c r="C39" s="76">
        <f t="shared" si="0"/>
        <v>0.7112</v>
      </c>
      <c r="D39" s="76">
        <f t="shared" si="5"/>
        <v>0.74168</v>
      </c>
      <c r="E39" s="99" t="s">
        <v>43</v>
      </c>
      <c r="F39" s="96" t="s">
        <v>41</v>
      </c>
      <c r="G39" s="95" t="s">
        <v>26</v>
      </c>
      <c r="H39" s="95">
        <f t="shared" si="2"/>
        <v>14.479</v>
      </c>
      <c r="I39" s="78">
        <f t="shared" si="3"/>
        <v>174</v>
      </c>
      <c r="J39" s="75">
        <v>193</v>
      </c>
      <c r="K39" s="75">
        <f t="shared" si="4"/>
        <v>203</v>
      </c>
      <c r="L39" s="97">
        <v>105</v>
      </c>
    </row>
    <row r="40" s="74" customFormat="1" spans="1:16">
      <c r="A40" s="75" t="s">
        <v>109</v>
      </c>
      <c r="B40" s="95">
        <v>38</v>
      </c>
      <c r="C40" s="76">
        <f t="shared" si="0"/>
        <v>0.9652</v>
      </c>
      <c r="D40" s="76">
        <f t="shared" si="5"/>
        <v>0.99568</v>
      </c>
      <c r="E40" s="99" t="s">
        <v>37</v>
      </c>
      <c r="F40" s="96" t="s">
        <v>41</v>
      </c>
      <c r="G40" s="95" t="s">
        <v>26</v>
      </c>
      <c r="H40" s="95">
        <f t="shared" si="2"/>
        <v>16.279</v>
      </c>
      <c r="I40" s="78">
        <f t="shared" si="3"/>
        <v>195</v>
      </c>
      <c r="J40" s="75">
        <v>217</v>
      </c>
      <c r="K40" s="75">
        <f t="shared" si="4"/>
        <v>228</v>
      </c>
      <c r="L40" s="100">
        <v>120</v>
      </c>
    </row>
    <row r="41" s="74" customFormat="1" spans="1:16">
      <c r="A41" s="75" t="s">
        <v>109</v>
      </c>
      <c r="B41" s="75">
        <v>42</v>
      </c>
      <c r="C41" s="76">
        <f t="shared" si="0"/>
        <v>1.0668</v>
      </c>
      <c r="D41" s="76">
        <f t="shared" si="5"/>
        <v>1.09728</v>
      </c>
      <c r="E41" s="75" t="s">
        <v>38</v>
      </c>
      <c r="F41" s="77" t="s">
        <v>41</v>
      </c>
      <c r="G41" s="75" t="s">
        <v>26</v>
      </c>
      <c r="H41" s="95">
        <f t="shared" si="2"/>
        <v>18.155</v>
      </c>
      <c r="I41" s="78">
        <f t="shared" si="3"/>
        <v>218</v>
      </c>
      <c r="J41" s="75">
        <v>242</v>
      </c>
      <c r="K41" s="75">
        <f t="shared" si="4"/>
        <v>254</v>
      </c>
      <c r="L41" s="97">
        <v>133</v>
      </c>
    </row>
    <row r="42" s="74" customFormat="1" spans="1:16">
      <c r="A42" s="75" t="s">
        <v>109</v>
      </c>
      <c r="B42" s="75">
        <v>46</v>
      </c>
      <c r="C42" s="76">
        <f t="shared" si="0"/>
        <v>1.1684</v>
      </c>
      <c r="D42" s="76">
        <f t="shared" si="5"/>
        <v>1.19888</v>
      </c>
      <c r="E42" s="75" t="s">
        <v>38</v>
      </c>
      <c r="F42" s="77" t="s">
        <v>41</v>
      </c>
      <c r="G42" s="75" t="s">
        <v>26</v>
      </c>
      <c r="H42" s="95">
        <f t="shared" si="2"/>
        <v>18.305</v>
      </c>
      <c r="I42" s="78">
        <f t="shared" si="3"/>
        <v>220</v>
      </c>
      <c r="J42" s="75">
        <v>244</v>
      </c>
      <c r="K42" s="75">
        <f t="shared" si="4"/>
        <v>256</v>
      </c>
      <c r="L42" s="97">
        <v>138</v>
      </c>
      <c r="P42" s="101"/>
    </row>
    <row r="43" s="74" customFormat="1" spans="1:16">
      <c r="A43" s="75" t="s">
        <v>109</v>
      </c>
      <c r="B43" s="75">
        <v>50</v>
      </c>
      <c r="C43" s="76">
        <f t="shared" si="0"/>
        <v>1.27</v>
      </c>
      <c r="D43" s="76">
        <f t="shared" si="5"/>
        <v>1.30048</v>
      </c>
      <c r="E43" s="75" t="s">
        <v>39</v>
      </c>
      <c r="F43" s="77" t="s">
        <v>41</v>
      </c>
      <c r="G43" s="75" t="s">
        <v>26</v>
      </c>
      <c r="H43" s="95">
        <f t="shared" si="2"/>
        <v>20.105</v>
      </c>
      <c r="I43" s="78">
        <f t="shared" si="3"/>
        <v>241</v>
      </c>
      <c r="J43" s="75">
        <v>268</v>
      </c>
      <c r="K43" s="75">
        <f t="shared" si="4"/>
        <v>281</v>
      </c>
      <c r="L43" s="97">
        <v>138</v>
      </c>
    </row>
    <row r="44" s="74" customFormat="1" spans="1:16">
      <c r="A44" s="75" t="s">
        <v>109</v>
      </c>
      <c r="B44" s="75">
        <v>58</v>
      </c>
      <c r="C44" s="76">
        <f t="shared" si="0"/>
        <v>1.4732</v>
      </c>
      <c r="D44" s="76">
        <f t="shared" si="5"/>
        <v>1.50368</v>
      </c>
      <c r="E44" s="75" t="s">
        <v>40</v>
      </c>
      <c r="F44" s="77" t="s">
        <v>41</v>
      </c>
      <c r="G44" s="75" t="s">
        <v>26</v>
      </c>
      <c r="H44" s="95">
        <f t="shared" si="2"/>
        <v>21.905</v>
      </c>
      <c r="I44" s="78">
        <f t="shared" si="3"/>
        <v>263</v>
      </c>
      <c r="J44" s="75">
        <v>292</v>
      </c>
      <c r="K44" s="75">
        <f t="shared" si="4"/>
        <v>307</v>
      </c>
      <c r="L44" s="100">
        <v>150</v>
      </c>
    </row>
    <row r="45" s="74" customFormat="1" spans="1:16">
      <c r="A45" s="75" t="s">
        <v>109</v>
      </c>
      <c r="B45" s="75">
        <v>25.59</v>
      </c>
      <c r="C45" s="76">
        <f>B45*25.4*0.001</f>
        <v>0.649986</v>
      </c>
      <c r="D45" s="76">
        <f>(B45+3.9)*25.4*0.001</f>
        <v>0.749046</v>
      </c>
      <c r="E45" s="75" t="s">
        <v>110</v>
      </c>
      <c r="F45" s="77" t="s">
        <v>41</v>
      </c>
      <c r="G45" s="75" t="s">
        <v>26</v>
      </c>
      <c r="H45" s="95">
        <f>ROUND(J45/13.33,3)</f>
        <v>25.206</v>
      </c>
      <c r="I45" s="78">
        <f>ROUND(H45*12,0)</f>
        <v>302</v>
      </c>
      <c r="J45" s="75">
        <v>336</v>
      </c>
      <c r="K45" s="75">
        <f>ROUND(H45*14,0)</f>
        <v>353</v>
      </c>
      <c r="L45" s="94"/>
    </row>
    <row r="46" s="74" customFormat="1" ht="21" spans="1:16">
      <c r="A46" s="102" t="s">
        <v>111</v>
      </c>
      <c r="B46" s="102"/>
      <c r="C46" s="102"/>
      <c r="D46" s="102"/>
      <c r="E46" s="102"/>
      <c r="F46" s="102"/>
      <c r="G46" s="102"/>
      <c r="H46" s="102"/>
      <c r="I46" s="102"/>
      <c r="J46" s="102"/>
      <c r="K46" s="102"/>
    </row>
    <row r="47" s="74" customFormat="1" ht="20.4" customHeight="1" spans="1:16">
      <c r="A47" s="17" t="s">
        <v>12</v>
      </c>
      <c r="B47" s="17" t="s">
        <v>49</v>
      </c>
      <c r="C47" s="17" t="s">
        <v>50</v>
      </c>
      <c r="D47" s="17" t="s">
        <v>51</v>
      </c>
      <c r="E47" s="17" t="s">
        <v>52</v>
      </c>
      <c r="F47" s="79" t="s">
        <v>53</v>
      </c>
      <c r="G47" s="79" t="s">
        <v>54</v>
      </c>
      <c r="H47" s="103" t="s">
        <v>55</v>
      </c>
      <c r="I47" s="103"/>
      <c r="J47" s="103" t="s">
        <v>56</v>
      </c>
      <c r="K47" s="103"/>
      <c r="L47" s="100" t="s">
        <v>112</v>
      </c>
    </row>
    <row r="48" s="74" customFormat="1" spans="1:16">
      <c r="A48" s="75" t="s">
        <v>109</v>
      </c>
      <c r="B48" s="75">
        <v>106</v>
      </c>
      <c r="C48" s="81">
        <v>0.72</v>
      </c>
      <c r="D48" s="80">
        <v>300</v>
      </c>
      <c r="E48" s="82" t="s">
        <v>58</v>
      </c>
      <c r="F48" s="95">
        <v>3937</v>
      </c>
      <c r="G48" s="95">
        <f t="shared" ref="G48:G59" si="6">ROUND(H48*300/3937,3)</f>
        <v>2.21</v>
      </c>
      <c r="H48" s="84">
        <v>29</v>
      </c>
      <c r="I48" s="84"/>
      <c r="J48" s="78">
        <f t="shared" ref="J48:J59" si="7">ROUND(H48*D48,2)</f>
        <v>8700</v>
      </c>
      <c r="K48" s="78"/>
      <c r="L48" s="94">
        <v>10.5</v>
      </c>
    </row>
    <row r="49" s="74" customFormat="1" spans="1:12">
      <c r="A49" s="75" t="s">
        <v>109</v>
      </c>
      <c r="B49" s="75">
        <v>106</v>
      </c>
      <c r="C49" s="81">
        <v>0.75</v>
      </c>
      <c r="D49" s="80">
        <v>300</v>
      </c>
      <c r="E49" s="82" t="s">
        <v>58</v>
      </c>
      <c r="F49" s="95">
        <v>3937</v>
      </c>
      <c r="G49" s="95">
        <f t="shared" si="6"/>
        <v>2.286</v>
      </c>
      <c r="H49" s="84">
        <v>30</v>
      </c>
      <c r="I49" s="84"/>
      <c r="J49" s="78">
        <f t="shared" si="7"/>
        <v>9000</v>
      </c>
      <c r="K49" s="78"/>
      <c r="L49" s="94">
        <v>11</v>
      </c>
    </row>
    <row r="50" s="74" customFormat="1" spans="1:12">
      <c r="A50" s="75" t="s">
        <v>109</v>
      </c>
      <c r="B50" s="75">
        <v>1080</v>
      </c>
      <c r="C50" s="81">
        <v>0.62</v>
      </c>
      <c r="D50" s="80">
        <v>300</v>
      </c>
      <c r="E50" s="82" t="s">
        <v>58</v>
      </c>
      <c r="F50" s="95">
        <v>3937</v>
      </c>
      <c r="G50" s="95">
        <f t="shared" si="6"/>
        <v>2.134</v>
      </c>
      <c r="H50" s="84">
        <v>28</v>
      </c>
      <c r="I50" s="84"/>
      <c r="J50" s="78">
        <f t="shared" si="7"/>
        <v>8400</v>
      </c>
      <c r="K50" s="78"/>
      <c r="L50" s="94">
        <v>9.59</v>
      </c>
    </row>
    <row r="51" s="74" customFormat="1" spans="1:12">
      <c r="A51" s="75" t="s">
        <v>109</v>
      </c>
      <c r="B51" s="75">
        <v>1080</v>
      </c>
      <c r="C51" s="81">
        <v>0.65</v>
      </c>
      <c r="D51" s="80">
        <v>300</v>
      </c>
      <c r="E51" s="82" t="s">
        <v>58</v>
      </c>
      <c r="F51" s="95">
        <v>3937</v>
      </c>
      <c r="G51" s="95">
        <f t="shared" si="6"/>
        <v>2.21</v>
      </c>
      <c r="H51" s="84">
        <v>29</v>
      </c>
      <c r="I51" s="84"/>
      <c r="J51" s="78">
        <f t="shared" si="7"/>
        <v>8700</v>
      </c>
      <c r="K51" s="78"/>
      <c r="L51" s="94">
        <v>10.04</v>
      </c>
    </row>
    <row r="52" s="74" customFormat="1" spans="1:12">
      <c r="A52" s="75" t="s">
        <v>109</v>
      </c>
      <c r="B52" s="75">
        <v>1080</v>
      </c>
      <c r="C52" s="81">
        <v>0.68</v>
      </c>
      <c r="D52" s="80">
        <v>300</v>
      </c>
      <c r="E52" s="82" t="s">
        <v>58</v>
      </c>
      <c r="F52" s="95">
        <v>3937</v>
      </c>
      <c r="G52" s="95">
        <f t="shared" si="6"/>
        <v>2.286</v>
      </c>
      <c r="H52" s="84">
        <v>30</v>
      </c>
      <c r="I52" s="84"/>
      <c r="J52" s="78">
        <f t="shared" si="7"/>
        <v>9000</v>
      </c>
      <c r="K52" s="78"/>
      <c r="L52" s="94">
        <v>10.55</v>
      </c>
    </row>
    <row r="53" s="74" customFormat="1" spans="1:12">
      <c r="A53" s="75" t="s">
        <v>109</v>
      </c>
      <c r="B53" s="75">
        <v>1080</v>
      </c>
      <c r="C53" s="81">
        <v>0.7</v>
      </c>
      <c r="D53" s="80">
        <v>300</v>
      </c>
      <c r="E53" s="82" t="s">
        <v>58</v>
      </c>
      <c r="F53" s="95">
        <v>3937</v>
      </c>
      <c r="G53" s="95">
        <f t="shared" si="6"/>
        <v>2.362</v>
      </c>
      <c r="H53" s="84">
        <v>31</v>
      </c>
      <c r="I53" s="84"/>
      <c r="J53" s="78">
        <f t="shared" si="7"/>
        <v>9300</v>
      </c>
      <c r="K53" s="78"/>
      <c r="L53" s="94">
        <v>11.35</v>
      </c>
    </row>
    <row r="54" s="74" customFormat="1" spans="1:12">
      <c r="A54" s="75" t="s">
        <v>109</v>
      </c>
      <c r="B54" s="75">
        <v>2116</v>
      </c>
      <c r="C54" s="81">
        <v>0.55</v>
      </c>
      <c r="D54" s="80">
        <v>200</v>
      </c>
      <c r="E54" s="82" t="s">
        <v>58</v>
      </c>
      <c r="F54" s="95">
        <v>2624.7</v>
      </c>
      <c r="G54" s="95">
        <f t="shared" si="6"/>
        <v>2.286</v>
      </c>
      <c r="H54" s="84">
        <v>30</v>
      </c>
      <c r="I54" s="84"/>
      <c r="J54" s="78">
        <f t="shared" si="7"/>
        <v>6000</v>
      </c>
      <c r="K54" s="78"/>
      <c r="L54" s="94">
        <v>11.41</v>
      </c>
    </row>
    <row r="55" s="74" customFormat="1" spans="1:12">
      <c r="A55" s="75" t="s">
        <v>109</v>
      </c>
      <c r="B55" s="75">
        <v>2116</v>
      </c>
      <c r="C55" s="81">
        <v>0.58</v>
      </c>
      <c r="D55" s="80">
        <v>200</v>
      </c>
      <c r="E55" s="82" t="s">
        <v>58</v>
      </c>
      <c r="F55" s="95">
        <v>2624.7</v>
      </c>
      <c r="G55" s="95">
        <f t="shared" si="6"/>
        <v>2.362</v>
      </c>
      <c r="H55" s="84">
        <v>31</v>
      </c>
      <c r="I55" s="84"/>
      <c r="J55" s="78">
        <f t="shared" si="7"/>
        <v>6200</v>
      </c>
      <c r="K55" s="78"/>
      <c r="L55" s="94">
        <v>12.05</v>
      </c>
    </row>
    <row r="56" s="74" customFormat="1" spans="1:12">
      <c r="A56" s="75" t="s">
        <v>109</v>
      </c>
      <c r="B56" s="75">
        <v>2116</v>
      </c>
      <c r="C56" s="81">
        <v>0.6</v>
      </c>
      <c r="D56" s="80">
        <v>200</v>
      </c>
      <c r="E56" s="82" t="s">
        <v>58</v>
      </c>
      <c r="F56" s="95">
        <v>2624.7</v>
      </c>
      <c r="G56" s="95">
        <f t="shared" si="6"/>
        <v>2.362</v>
      </c>
      <c r="H56" s="84">
        <v>31</v>
      </c>
      <c r="I56" s="84"/>
      <c r="J56" s="78">
        <f t="shared" si="7"/>
        <v>6200</v>
      </c>
      <c r="K56" s="78"/>
      <c r="L56" s="94">
        <v>12.78</v>
      </c>
    </row>
    <row r="57" s="74" customFormat="1" spans="1:12">
      <c r="A57" s="75" t="s">
        <v>109</v>
      </c>
      <c r="B57" s="75">
        <v>1506</v>
      </c>
      <c r="C57" s="81">
        <v>0.45</v>
      </c>
      <c r="D57" s="80">
        <v>150</v>
      </c>
      <c r="E57" s="82" t="s">
        <v>58</v>
      </c>
      <c r="F57" s="95">
        <v>1968.5</v>
      </c>
      <c r="G57" s="95">
        <f t="shared" si="6"/>
        <v>2.515</v>
      </c>
      <c r="H57" s="84">
        <v>33</v>
      </c>
      <c r="I57" s="84"/>
      <c r="J57" s="78">
        <f t="shared" si="7"/>
        <v>4950</v>
      </c>
      <c r="K57" s="78"/>
      <c r="L57" s="100" t="s">
        <v>113</v>
      </c>
    </row>
    <row r="58" s="74" customFormat="1" spans="1:12">
      <c r="A58" s="75" t="s">
        <v>109</v>
      </c>
      <c r="B58" s="75">
        <v>7628</v>
      </c>
      <c r="C58" s="81">
        <v>0.48</v>
      </c>
      <c r="D58" s="80">
        <v>150</v>
      </c>
      <c r="E58" s="82" t="s">
        <v>58</v>
      </c>
      <c r="F58" s="95">
        <v>1968.5</v>
      </c>
      <c r="G58" s="95">
        <f t="shared" si="6"/>
        <v>2.286</v>
      </c>
      <c r="H58" s="84">
        <v>30</v>
      </c>
      <c r="I58" s="84"/>
      <c r="J58" s="78">
        <f t="shared" si="7"/>
        <v>4500</v>
      </c>
      <c r="K58" s="78"/>
      <c r="L58" s="94">
        <v>13.88</v>
      </c>
    </row>
    <row r="59" s="74" customFormat="1" spans="1:12">
      <c r="A59" s="75" t="s">
        <v>109</v>
      </c>
      <c r="B59" s="75">
        <v>7628</v>
      </c>
      <c r="C59" s="81">
        <v>0.5</v>
      </c>
      <c r="D59" s="80">
        <v>150</v>
      </c>
      <c r="E59" s="82" t="s">
        <v>58</v>
      </c>
      <c r="F59" s="95">
        <v>1968.5</v>
      </c>
      <c r="G59" s="95">
        <f t="shared" si="6"/>
        <v>2.362</v>
      </c>
      <c r="H59" s="84">
        <v>31</v>
      </c>
      <c r="I59" s="84"/>
      <c r="J59" s="78">
        <f t="shared" si="7"/>
        <v>4650</v>
      </c>
      <c r="K59" s="78"/>
      <c r="L59" s="94">
        <v>14.61</v>
      </c>
    </row>
    <row r="61" s="74" customFormat="1" spans="1:12">
      <c r="A61" s="43" t="s">
        <v>60</v>
      </c>
      <c r="B61" s="5"/>
      <c r="C61" s="5"/>
      <c r="D61" s="5"/>
      <c r="E61" s="10"/>
      <c r="F61" s="5"/>
      <c r="G61" s="5"/>
      <c r="H61" s="5"/>
      <c r="I61" s="5"/>
      <c r="J61" s="5"/>
      <c r="K61" s="87"/>
    </row>
    <row r="62" s="74" customFormat="1" spans="1:12">
      <c r="A62" s="46" t="s">
        <v>61</v>
      </c>
      <c r="B62" s="5"/>
      <c r="C62" s="5"/>
      <c r="D62" s="5"/>
      <c r="E62" s="10"/>
      <c r="F62" s="5"/>
      <c r="G62" s="5"/>
      <c r="H62" s="5"/>
      <c r="I62" s="5"/>
      <c r="J62" s="5"/>
      <c r="K62" s="87"/>
    </row>
    <row r="63" s="74" customFormat="1" spans="1:12">
      <c r="A63" s="43" t="s">
        <v>62</v>
      </c>
      <c r="B63" s="88"/>
      <c r="C63" s="88"/>
      <c r="D63" s="88"/>
      <c r="E63" s="89"/>
      <c r="F63" s="88"/>
      <c r="G63" s="88"/>
      <c r="H63" s="88"/>
      <c r="I63" s="5"/>
      <c r="J63" s="5"/>
      <c r="K63" s="87"/>
    </row>
    <row r="64" s="74" customFormat="1" spans="1:12">
      <c r="A64" s="43" t="s">
        <v>63</v>
      </c>
      <c r="B64" s="88"/>
      <c r="C64" s="88"/>
      <c r="D64" s="88"/>
      <c r="E64" s="89"/>
      <c r="F64" s="88"/>
      <c r="G64" s="88"/>
      <c r="H64" s="88"/>
      <c r="I64" s="5"/>
      <c r="J64" s="5"/>
      <c r="K64" s="87"/>
    </row>
    <row r="65" s="74" customFormat="1" spans="1:11">
      <c r="A65" s="43" t="s">
        <v>64</v>
      </c>
      <c r="B65" s="88"/>
      <c r="C65" s="88"/>
      <c r="D65" s="88"/>
      <c r="E65" s="89"/>
      <c r="F65" s="88"/>
      <c r="G65" s="88"/>
      <c r="H65" s="88"/>
      <c r="I65" s="5"/>
      <c r="J65" s="5"/>
      <c r="K65" s="87"/>
    </row>
    <row r="66" s="74" customFormat="1" spans="1:11">
      <c r="A66" s="5" t="s">
        <v>65</v>
      </c>
      <c r="B66" s="5"/>
      <c r="C66" s="5"/>
      <c r="D66" s="5"/>
      <c r="E66" s="5"/>
      <c r="F66" s="5"/>
      <c r="G66" s="5"/>
      <c r="H66" s="5"/>
      <c r="I66" s="5"/>
      <c r="J66" s="5"/>
      <c r="K66" s="73"/>
    </row>
    <row r="67" s="74" customFormat="1" ht="15.5" spans="1:11">
      <c r="A67" s="73"/>
      <c r="B67" s="93"/>
      <c r="C67" s="93"/>
      <c r="D67" s="93"/>
      <c r="E67" s="93"/>
      <c r="F67" s="93"/>
      <c r="G67" s="73"/>
      <c r="H67" s="73"/>
      <c r="I67" s="73"/>
      <c r="J67" s="73"/>
      <c r="K67" s="73"/>
    </row>
    <row r="68" s="74" customFormat="1" ht="15.5" spans="1:11">
      <c r="A68" s="93" t="s">
        <v>66</v>
      </c>
      <c r="B68" s="73"/>
      <c r="C68" s="93"/>
      <c r="D68" s="93"/>
      <c r="E68" s="93"/>
      <c r="F68" s="93"/>
      <c r="G68" s="73"/>
      <c r="H68" s="93" t="s">
        <v>67</v>
      </c>
      <c r="I68" s="93"/>
      <c r="J68" s="93"/>
      <c r="K68" s="73"/>
    </row>
    <row r="69" s="74" customFormat="1" spans="1:1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</row>
  </sheetData>
  <mergeCells count="31">
    <mergeCell ref="A1:K1"/>
    <mergeCell ref="A2:K2"/>
    <mergeCell ref="A3:K3"/>
    <mergeCell ref="A9:K9"/>
    <mergeCell ref="A46:K46"/>
    <mergeCell ref="H47:I47"/>
    <mergeCell ref="J47:K47"/>
    <mergeCell ref="H48:I48"/>
    <mergeCell ref="J48:K48"/>
    <mergeCell ref="H49:I49"/>
    <mergeCell ref="J49:K49"/>
    <mergeCell ref="H50:I50"/>
    <mergeCell ref="J50:K50"/>
    <mergeCell ref="H51:I51"/>
    <mergeCell ref="J51:K51"/>
    <mergeCell ref="H52:I52"/>
    <mergeCell ref="J52:K52"/>
    <mergeCell ref="H53:I53"/>
    <mergeCell ref="J53:K53"/>
    <mergeCell ref="H54:I54"/>
    <mergeCell ref="J54:K54"/>
    <mergeCell ref="H55:I55"/>
    <mergeCell ref="J55:K55"/>
    <mergeCell ref="H56:I56"/>
    <mergeCell ref="J56:K56"/>
    <mergeCell ref="H57:I57"/>
    <mergeCell ref="J57:K57"/>
    <mergeCell ref="H58:I58"/>
    <mergeCell ref="J58:K58"/>
    <mergeCell ref="H59:I59"/>
    <mergeCell ref="J59:K59"/>
  </mergeCells>
  <pageMargins left="0.75" right="0.75" top="1" bottom="1" header="0.5" footer="0.5"/>
  <pageSetup paperSize="9" scale="83" orientation="portrait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0"/>
  <sheetViews>
    <sheetView view="pageBreakPreview" zoomScaleNormal="100" workbookViewId="0">
      <selection activeCell="L59" sqref="L59"/>
    </sheetView>
  </sheetViews>
  <sheetFormatPr defaultColWidth="8.8" defaultRowHeight="15"/>
  <cols>
    <col min="1" max="4" width="8.2" style="74" customWidth="1"/>
    <col min="5" max="5" width="10" style="74" customWidth="1"/>
    <col min="6" max="10" width="8.2" style="74" customWidth="1"/>
    <col min="11" max="11" width="6.66666666666667" style="74" customWidth="1"/>
    <col min="12" max="16384" width="8.8" style="74"/>
  </cols>
  <sheetData>
    <row r="1" s="74" customFormat="1" ht="27.5" spans="1:1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="74" customFormat="1" spans="1:1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="74" customFormat="1" spans="1:11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="74" customFormat="1" spans="1:11">
      <c r="A4" s="4"/>
      <c r="B4" s="5"/>
      <c r="C4" s="3"/>
      <c r="D4" s="3"/>
      <c r="E4" s="6"/>
      <c r="F4" s="6"/>
      <c r="G4" s="6"/>
      <c r="H4" s="4"/>
      <c r="I4" s="4"/>
      <c r="J4" s="4"/>
      <c r="K4" s="3"/>
    </row>
    <row r="5" s="74" customFormat="1" spans="1:11">
      <c r="A5" s="5" t="s">
        <v>3</v>
      </c>
      <c r="B5" s="5" t="s">
        <v>4</v>
      </c>
      <c r="C5" s="8"/>
      <c r="D5" s="8"/>
      <c r="E5" s="9"/>
      <c r="F5" s="9"/>
      <c r="G5" s="9"/>
      <c r="H5" s="10"/>
      <c r="I5" s="8" t="s">
        <v>5</v>
      </c>
      <c r="J5" s="5" t="s">
        <v>6</v>
      </c>
      <c r="K5" s="11"/>
    </row>
    <row r="6" s="74" customFormat="1" spans="1:11">
      <c r="A6" s="8" t="s">
        <v>7</v>
      </c>
      <c r="B6" s="8" t="s">
        <v>75</v>
      </c>
      <c r="C6" s="8"/>
      <c r="D6" s="8"/>
      <c r="E6" s="9"/>
      <c r="F6" s="9"/>
      <c r="G6" s="9"/>
      <c r="H6" s="10"/>
      <c r="I6" s="8" t="s">
        <v>9</v>
      </c>
      <c r="J6" s="8"/>
      <c r="K6" s="11"/>
    </row>
    <row r="7" s="74" customFormat="1" spans="1:11">
      <c r="A7" s="8"/>
      <c r="B7" s="8"/>
      <c r="C7" s="8"/>
      <c r="D7" s="8"/>
      <c r="E7" s="9"/>
      <c r="F7" s="9"/>
      <c r="G7" s="9"/>
      <c r="H7" s="8"/>
      <c r="I7" s="13" t="s">
        <v>10</v>
      </c>
      <c r="J7" s="14"/>
      <c r="K7" s="14"/>
    </row>
    <row r="8" s="74" customFormat="1" spans="1:11">
      <c r="A8" s="8"/>
      <c r="B8" s="8"/>
      <c r="C8" s="8"/>
      <c r="D8" s="8"/>
      <c r="E8" s="9"/>
      <c r="F8" s="9"/>
      <c r="G8" s="9"/>
      <c r="H8" s="8"/>
      <c r="I8" s="13"/>
      <c r="J8" s="14"/>
      <c r="K8" s="14"/>
    </row>
    <row r="9" s="74" customFormat="1" ht="21" spans="1:11">
      <c r="A9" s="15" t="s">
        <v>114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0" s="74" customFormat="1" ht="21" customHeight="1" spans="1:11">
      <c r="A10" s="16" t="s">
        <v>12</v>
      </c>
      <c r="B10" s="17" t="s">
        <v>13</v>
      </c>
      <c r="C10" s="17" t="s">
        <v>14</v>
      </c>
      <c r="D10" s="17" t="s">
        <v>15</v>
      </c>
      <c r="E10" s="16" t="s">
        <v>16</v>
      </c>
      <c r="F10" s="17" t="s">
        <v>17</v>
      </c>
      <c r="G10" s="17" t="s">
        <v>18</v>
      </c>
      <c r="H10" s="59" t="s">
        <v>19</v>
      </c>
      <c r="I10" s="60" t="s">
        <v>20</v>
      </c>
      <c r="J10" s="60" t="s">
        <v>21</v>
      </c>
      <c r="K10" s="60" t="s">
        <v>22</v>
      </c>
    </row>
    <row r="11" s="74" customFormat="1" spans="1:11">
      <c r="A11" s="75" t="s">
        <v>115</v>
      </c>
      <c r="B11" s="75">
        <v>2</v>
      </c>
      <c r="C11" s="76">
        <f t="shared" ref="C11:C33" si="0">B11*25.4*0.001</f>
        <v>0.0508</v>
      </c>
      <c r="D11" s="76">
        <f t="shared" ref="D11:D31" si="1">(B11+2.4)*25.4*0.001</f>
        <v>0.11176</v>
      </c>
      <c r="E11" s="75" t="s">
        <v>24</v>
      </c>
      <c r="F11" s="77" t="s">
        <v>25</v>
      </c>
      <c r="G11" s="75" t="s">
        <v>26</v>
      </c>
      <c r="H11" s="75">
        <f t="shared" ref="H11:H33" si="2">ROUND(J11/13.33,3)</f>
        <v>14.029</v>
      </c>
      <c r="I11" s="78">
        <f t="shared" ref="I11:I33" si="3">J11*0.9</f>
        <v>168.3</v>
      </c>
      <c r="J11" s="75">
        <v>187</v>
      </c>
      <c r="K11" s="75">
        <f t="shared" ref="K11:K33" si="4">J11*1.05</f>
        <v>196.35</v>
      </c>
    </row>
    <row r="12" s="74" customFormat="1" spans="1:11">
      <c r="A12" s="75" t="s">
        <v>115</v>
      </c>
      <c r="B12" s="75">
        <v>2.5</v>
      </c>
      <c r="C12" s="76">
        <f t="shared" si="0"/>
        <v>0.0635</v>
      </c>
      <c r="D12" s="76">
        <f t="shared" si="1"/>
        <v>0.12446</v>
      </c>
      <c r="E12" s="75" t="s">
        <v>70</v>
      </c>
      <c r="F12" s="77" t="s">
        <v>25</v>
      </c>
      <c r="G12" s="75" t="s">
        <v>26</v>
      </c>
      <c r="H12" s="75">
        <f t="shared" si="2"/>
        <v>13.953</v>
      </c>
      <c r="I12" s="78">
        <f t="shared" si="3"/>
        <v>167.4</v>
      </c>
      <c r="J12" s="75">
        <v>186</v>
      </c>
      <c r="K12" s="75">
        <f t="shared" si="4"/>
        <v>195.3</v>
      </c>
    </row>
    <row r="13" s="74" customFormat="1" spans="1:11">
      <c r="A13" s="75" t="s">
        <v>115</v>
      </c>
      <c r="B13" s="75">
        <v>3</v>
      </c>
      <c r="C13" s="76">
        <f t="shared" si="0"/>
        <v>0.0762</v>
      </c>
      <c r="D13" s="76">
        <f t="shared" si="1"/>
        <v>0.13716</v>
      </c>
      <c r="E13" s="75" t="s">
        <v>27</v>
      </c>
      <c r="F13" s="77" t="s">
        <v>25</v>
      </c>
      <c r="G13" s="75" t="s">
        <v>26</v>
      </c>
      <c r="H13" s="75">
        <f t="shared" si="2"/>
        <v>13.803</v>
      </c>
      <c r="I13" s="78">
        <f t="shared" si="3"/>
        <v>165.6</v>
      </c>
      <c r="J13" s="75">
        <v>184</v>
      </c>
      <c r="K13" s="75">
        <f t="shared" si="4"/>
        <v>193.2</v>
      </c>
    </row>
    <row r="14" s="74" customFormat="1" spans="1:11">
      <c r="A14" s="75" t="s">
        <v>115</v>
      </c>
      <c r="B14" s="75">
        <v>4</v>
      </c>
      <c r="C14" s="76">
        <f t="shared" si="0"/>
        <v>0.1016</v>
      </c>
      <c r="D14" s="76">
        <f t="shared" si="1"/>
        <v>0.16256</v>
      </c>
      <c r="E14" s="75" t="s">
        <v>28</v>
      </c>
      <c r="F14" s="77" t="s">
        <v>25</v>
      </c>
      <c r="G14" s="75" t="s">
        <v>26</v>
      </c>
      <c r="H14" s="75">
        <f t="shared" si="2"/>
        <v>13.803</v>
      </c>
      <c r="I14" s="78">
        <f t="shared" si="3"/>
        <v>165.6</v>
      </c>
      <c r="J14" s="75">
        <v>184</v>
      </c>
      <c r="K14" s="75">
        <f t="shared" si="4"/>
        <v>193.2</v>
      </c>
    </row>
    <row r="15" s="74" customFormat="1" spans="1:11">
      <c r="A15" s="75" t="s">
        <v>115</v>
      </c>
      <c r="B15" s="75">
        <v>5</v>
      </c>
      <c r="C15" s="76">
        <f t="shared" si="0"/>
        <v>0.127</v>
      </c>
      <c r="D15" s="76">
        <f t="shared" si="1"/>
        <v>0.18796</v>
      </c>
      <c r="E15" s="75" t="s">
        <v>28</v>
      </c>
      <c r="F15" s="77" t="s">
        <v>25</v>
      </c>
      <c r="G15" s="75" t="s">
        <v>26</v>
      </c>
      <c r="H15" s="75">
        <f t="shared" si="2"/>
        <v>13.878</v>
      </c>
      <c r="I15" s="78">
        <f t="shared" si="3"/>
        <v>166.5</v>
      </c>
      <c r="J15" s="75">
        <v>185</v>
      </c>
      <c r="K15" s="75">
        <f t="shared" si="4"/>
        <v>194.25</v>
      </c>
    </row>
    <row r="16" s="74" customFormat="1" spans="1:11">
      <c r="A16" s="75" t="s">
        <v>115</v>
      </c>
      <c r="B16" s="75">
        <v>6</v>
      </c>
      <c r="C16" s="76">
        <f t="shared" si="0"/>
        <v>0.1524</v>
      </c>
      <c r="D16" s="76">
        <f t="shared" si="1"/>
        <v>0.21336</v>
      </c>
      <c r="E16" s="75" t="s">
        <v>29</v>
      </c>
      <c r="F16" s="77" t="s">
        <v>25</v>
      </c>
      <c r="G16" s="75" t="s">
        <v>26</v>
      </c>
      <c r="H16" s="75">
        <f t="shared" si="2"/>
        <v>14.029</v>
      </c>
      <c r="I16" s="78">
        <f t="shared" si="3"/>
        <v>168.3</v>
      </c>
      <c r="J16" s="75">
        <v>187</v>
      </c>
      <c r="K16" s="75">
        <f t="shared" si="4"/>
        <v>196.35</v>
      </c>
    </row>
    <row r="17" s="74" customFormat="1" spans="1:11">
      <c r="A17" s="75" t="s">
        <v>115</v>
      </c>
      <c r="B17" s="75">
        <v>7</v>
      </c>
      <c r="C17" s="76">
        <f t="shared" si="0"/>
        <v>0.1778</v>
      </c>
      <c r="D17" s="76">
        <f t="shared" si="1"/>
        <v>0.23876</v>
      </c>
      <c r="E17" s="75" t="s">
        <v>30</v>
      </c>
      <c r="F17" s="77" t="s">
        <v>25</v>
      </c>
      <c r="G17" s="75" t="s">
        <v>26</v>
      </c>
      <c r="H17" s="75">
        <f t="shared" si="2"/>
        <v>13.953</v>
      </c>
      <c r="I17" s="78">
        <f t="shared" si="3"/>
        <v>167.4</v>
      </c>
      <c r="J17" s="75">
        <v>186</v>
      </c>
      <c r="K17" s="75">
        <f t="shared" si="4"/>
        <v>195.3</v>
      </c>
    </row>
    <row r="18" s="74" customFormat="1" spans="1:11">
      <c r="A18" s="75" t="s">
        <v>115</v>
      </c>
      <c r="B18" s="75">
        <v>8</v>
      </c>
      <c r="C18" s="76">
        <f t="shared" si="0"/>
        <v>0.2032</v>
      </c>
      <c r="D18" s="76">
        <f t="shared" si="1"/>
        <v>0.26416</v>
      </c>
      <c r="E18" s="75" t="s">
        <v>30</v>
      </c>
      <c r="F18" s="77" t="s">
        <v>25</v>
      </c>
      <c r="G18" s="75" t="s">
        <v>26</v>
      </c>
      <c r="H18" s="75">
        <f t="shared" si="2"/>
        <v>13.953</v>
      </c>
      <c r="I18" s="78">
        <f t="shared" si="3"/>
        <v>167.4</v>
      </c>
      <c r="J18" s="75">
        <v>186</v>
      </c>
      <c r="K18" s="75">
        <f t="shared" si="4"/>
        <v>195.3</v>
      </c>
    </row>
    <row r="19" s="74" customFormat="1" spans="1:11">
      <c r="A19" s="75" t="s">
        <v>115</v>
      </c>
      <c r="B19" s="75">
        <v>10</v>
      </c>
      <c r="C19" s="76">
        <f t="shared" si="0"/>
        <v>0.254</v>
      </c>
      <c r="D19" s="76">
        <f t="shared" si="1"/>
        <v>0.31496</v>
      </c>
      <c r="E19" s="75" t="s">
        <v>31</v>
      </c>
      <c r="F19" s="77" t="s">
        <v>25</v>
      </c>
      <c r="G19" s="75" t="s">
        <v>26</v>
      </c>
      <c r="H19" s="75">
        <f t="shared" si="2"/>
        <v>16.279</v>
      </c>
      <c r="I19" s="78">
        <f t="shared" si="3"/>
        <v>195.3</v>
      </c>
      <c r="J19" s="75">
        <v>217</v>
      </c>
      <c r="K19" s="75">
        <f t="shared" si="4"/>
        <v>227.85</v>
      </c>
    </row>
    <row r="20" s="74" customFormat="1" spans="1:11">
      <c r="A20" s="75" t="s">
        <v>115</v>
      </c>
      <c r="B20" s="75">
        <v>12</v>
      </c>
      <c r="C20" s="76">
        <f t="shared" si="0"/>
        <v>0.3048</v>
      </c>
      <c r="D20" s="76">
        <f t="shared" si="1"/>
        <v>0.36576</v>
      </c>
      <c r="E20" s="75" t="s">
        <v>101</v>
      </c>
      <c r="F20" s="77" t="s">
        <v>25</v>
      </c>
      <c r="G20" s="75" t="s">
        <v>26</v>
      </c>
      <c r="H20" s="75">
        <f t="shared" si="2"/>
        <v>16.804</v>
      </c>
      <c r="I20" s="78">
        <f t="shared" si="3"/>
        <v>201.6</v>
      </c>
      <c r="J20" s="75">
        <v>224</v>
      </c>
      <c r="K20" s="75">
        <f t="shared" si="4"/>
        <v>235.2</v>
      </c>
    </row>
    <row r="21" s="74" customFormat="1" spans="1:11">
      <c r="A21" s="75" t="s">
        <v>115</v>
      </c>
      <c r="B21" s="75">
        <v>14</v>
      </c>
      <c r="C21" s="76">
        <f t="shared" si="0"/>
        <v>0.3556</v>
      </c>
      <c r="D21" s="76">
        <f t="shared" si="1"/>
        <v>0.41656</v>
      </c>
      <c r="E21" s="75" t="s">
        <v>116</v>
      </c>
      <c r="F21" s="77" t="s">
        <v>25</v>
      </c>
      <c r="G21" s="75" t="s">
        <v>26</v>
      </c>
      <c r="H21" s="75">
        <f t="shared" si="2"/>
        <v>16.579</v>
      </c>
      <c r="I21" s="78">
        <f t="shared" si="3"/>
        <v>198.9</v>
      </c>
      <c r="J21" s="75">
        <v>221</v>
      </c>
      <c r="K21" s="75">
        <f t="shared" si="4"/>
        <v>232.05</v>
      </c>
    </row>
    <row r="22" s="74" customFormat="1" spans="1:11">
      <c r="A22" s="75" t="s">
        <v>115</v>
      </c>
      <c r="B22" s="75">
        <v>16</v>
      </c>
      <c r="C22" s="76">
        <f t="shared" si="0"/>
        <v>0.4064</v>
      </c>
      <c r="D22" s="76">
        <f t="shared" si="1"/>
        <v>0.46736</v>
      </c>
      <c r="E22" s="75" t="s">
        <v>116</v>
      </c>
      <c r="F22" s="77" t="s">
        <v>25</v>
      </c>
      <c r="G22" s="75" t="s">
        <v>26</v>
      </c>
      <c r="H22" s="75">
        <f t="shared" si="2"/>
        <v>16.804</v>
      </c>
      <c r="I22" s="78">
        <f t="shared" si="3"/>
        <v>201.6</v>
      </c>
      <c r="J22" s="75">
        <v>224</v>
      </c>
      <c r="K22" s="75">
        <f t="shared" si="4"/>
        <v>235.2</v>
      </c>
    </row>
    <row r="23" s="74" customFormat="1" spans="1:11">
      <c r="A23" s="75" t="s">
        <v>115</v>
      </c>
      <c r="B23" s="75">
        <v>20</v>
      </c>
      <c r="C23" s="76">
        <f t="shared" si="0"/>
        <v>0.508</v>
      </c>
      <c r="D23" s="76">
        <f t="shared" si="1"/>
        <v>0.56896</v>
      </c>
      <c r="E23" s="75" t="s">
        <v>34</v>
      </c>
      <c r="F23" s="77" t="s">
        <v>25</v>
      </c>
      <c r="G23" s="75" t="s">
        <v>26</v>
      </c>
      <c r="H23" s="75">
        <f t="shared" si="2"/>
        <v>18.53</v>
      </c>
      <c r="I23" s="78">
        <f t="shared" si="3"/>
        <v>222.3</v>
      </c>
      <c r="J23" s="75">
        <v>247</v>
      </c>
      <c r="K23" s="75">
        <f t="shared" si="4"/>
        <v>259.35</v>
      </c>
    </row>
    <row r="24" s="74" customFormat="1" spans="1:11">
      <c r="A24" s="75" t="s">
        <v>115</v>
      </c>
      <c r="B24" s="75">
        <v>24</v>
      </c>
      <c r="C24" s="76">
        <f t="shared" si="0"/>
        <v>0.6096</v>
      </c>
      <c r="D24" s="76">
        <f t="shared" si="1"/>
        <v>0.67056</v>
      </c>
      <c r="E24" s="75" t="s">
        <v>34</v>
      </c>
      <c r="F24" s="77" t="s">
        <v>25</v>
      </c>
      <c r="G24" s="75" t="s">
        <v>26</v>
      </c>
      <c r="H24" s="75">
        <f t="shared" si="2"/>
        <v>18.68</v>
      </c>
      <c r="I24" s="78">
        <f t="shared" si="3"/>
        <v>224.1</v>
      </c>
      <c r="J24" s="75">
        <v>249</v>
      </c>
      <c r="K24" s="75">
        <f t="shared" si="4"/>
        <v>261.45</v>
      </c>
    </row>
    <row r="25" s="74" customFormat="1" spans="1:11">
      <c r="A25" s="75" t="s">
        <v>115</v>
      </c>
      <c r="B25" s="75">
        <v>26</v>
      </c>
      <c r="C25" s="76">
        <f t="shared" si="0"/>
        <v>0.6604</v>
      </c>
      <c r="D25" s="76">
        <f t="shared" si="1"/>
        <v>0.72136</v>
      </c>
      <c r="E25" s="75" t="s">
        <v>110</v>
      </c>
      <c r="F25" s="77" t="s">
        <v>25</v>
      </c>
      <c r="G25" s="75" t="s">
        <v>26</v>
      </c>
      <c r="H25" s="75">
        <f t="shared" si="2"/>
        <v>20.63</v>
      </c>
      <c r="I25" s="78">
        <f t="shared" si="3"/>
        <v>247.5</v>
      </c>
      <c r="J25" s="75">
        <v>275</v>
      </c>
      <c r="K25" s="75">
        <f t="shared" si="4"/>
        <v>288.75</v>
      </c>
    </row>
    <row r="26" s="74" customFormat="1" spans="1:11">
      <c r="A26" s="75" t="s">
        <v>115</v>
      </c>
      <c r="B26" s="75">
        <v>28</v>
      </c>
      <c r="C26" s="76">
        <f t="shared" si="0"/>
        <v>0.7112</v>
      </c>
      <c r="D26" s="76">
        <f t="shared" si="1"/>
        <v>0.77216</v>
      </c>
      <c r="E26" s="75" t="s">
        <v>36</v>
      </c>
      <c r="F26" s="77" t="s">
        <v>25</v>
      </c>
      <c r="G26" s="75" t="s">
        <v>26</v>
      </c>
      <c r="H26" s="75">
        <f t="shared" si="2"/>
        <v>20.63</v>
      </c>
      <c r="I26" s="78">
        <f t="shared" si="3"/>
        <v>247.5</v>
      </c>
      <c r="J26" s="75">
        <v>275</v>
      </c>
      <c r="K26" s="75">
        <f t="shared" si="4"/>
        <v>288.75</v>
      </c>
    </row>
    <row r="27" s="74" customFormat="1" spans="1:11">
      <c r="A27" s="75" t="s">
        <v>115</v>
      </c>
      <c r="B27" s="75">
        <v>37</v>
      </c>
      <c r="C27" s="76">
        <f t="shared" si="0"/>
        <v>0.9398</v>
      </c>
      <c r="D27" s="76">
        <f t="shared" si="1"/>
        <v>1.00076</v>
      </c>
      <c r="E27" s="75" t="s">
        <v>37</v>
      </c>
      <c r="F27" s="77" t="s">
        <v>25</v>
      </c>
      <c r="G27" s="75" t="s">
        <v>26</v>
      </c>
      <c r="H27" s="75">
        <f t="shared" si="2"/>
        <v>22.431</v>
      </c>
      <c r="I27" s="78">
        <f t="shared" si="3"/>
        <v>269.1</v>
      </c>
      <c r="J27" s="75">
        <v>299</v>
      </c>
      <c r="K27" s="75">
        <f t="shared" si="4"/>
        <v>313.95</v>
      </c>
    </row>
    <row r="28" s="74" customFormat="1" spans="1:11">
      <c r="A28" s="75" t="s">
        <v>115</v>
      </c>
      <c r="B28" s="75">
        <v>41</v>
      </c>
      <c r="C28" s="76">
        <f t="shared" si="0"/>
        <v>1.0414</v>
      </c>
      <c r="D28" s="76">
        <f t="shared" si="1"/>
        <v>1.10236</v>
      </c>
      <c r="E28" s="75" t="s">
        <v>38</v>
      </c>
      <c r="F28" s="77" t="s">
        <v>25</v>
      </c>
      <c r="G28" s="75" t="s">
        <v>26</v>
      </c>
      <c r="H28" s="75">
        <f t="shared" si="2"/>
        <v>24.231</v>
      </c>
      <c r="I28" s="78">
        <f t="shared" si="3"/>
        <v>290.7</v>
      </c>
      <c r="J28" s="75">
        <v>323</v>
      </c>
      <c r="K28" s="75">
        <f t="shared" si="4"/>
        <v>339.15</v>
      </c>
    </row>
    <row r="29" s="74" customFormat="1" spans="1:11">
      <c r="A29" s="75" t="s">
        <v>115</v>
      </c>
      <c r="B29" s="75">
        <v>45</v>
      </c>
      <c r="C29" s="76">
        <f t="shared" si="0"/>
        <v>1.143</v>
      </c>
      <c r="D29" s="76">
        <f t="shared" si="1"/>
        <v>1.20396</v>
      </c>
      <c r="E29" s="75" t="s">
        <v>38</v>
      </c>
      <c r="F29" s="77" t="s">
        <v>25</v>
      </c>
      <c r="G29" s="75" t="s">
        <v>26</v>
      </c>
      <c r="H29" s="75">
        <f t="shared" si="2"/>
        <v>24.531</v>
      </c>
      <c r="I29" s="78">
        <f t="shared" si="3"/>
        <v>294.3</v>
      </c>
      <c r="J29" s="75">
        <v>327</v>
      </c>
      <c r="K29" s="75">
        <f t="shared" si="4"/>
        <v>343.35</v>
      </c>
    </row>
    <row r="30" s="74" customFormat="1" spans="1:11">
      <c r="A30" s="75" t="s">
        <v>115</v>
      </c>
      <c r="B30" s="75">
        <v>49</v>
      </c>
      <c r="C30" s="76">
        <f t="shared" si="0"/>
        <v>1.2446</v>
      </c>
      <c r="D30" s="76">
        <f t="shared" si="1"/>
        <v>1.30556</v>
      </c>
      <c r="E30" s="75" t="s">
        <v>39</v>
      </c>
      <c r="F30" s="77" t="s">
        <v>25</v>
      </c>
      <c r="G30" s="75" t="s">
        <v>26</v>
      </c>
      <c r="H30" s="75">
        <f t="shared" si="2"/>
        <v>26.332</v>
      </c>
      <c r="I30" s="78">
        <f t="shared" si="3"/>
        <v>315.9</v>
      </c>
      <c r="J30" s="75">
        <v>351</v>
      </c>
      <c r="K30" s="75">
        <f t="shared" si="4"/>
        <v>368.55</v>
      </c>
    </row>
    <row r="31" s="74" customFormat="1" spans="1:11">
      <c r="A31" s="75" t="s">
        <v>115</v>
      </c>
      <c r="B31" s="75">
        <v>57</v>
      </c>
      <c r="C31" s="76">
        <f t="shared" si="0"/>
        <v>1.4478</v>
      </c>
      <c r="D31" s="76">
        <f t="shared" si="1"/>
        <v>1.50876</v>
      </c>
      <c r="E31" s="75" t="s">
        <v>40</v>
      </c>
      <c r="F31" s="77" t="s">
        <v>25</v>
      </c>
      <c r="G31" s="75" t="s">
        <v>26</v>
      </c>
      <c r="H31" s="75">
        <f t="shared" si="2"/>
        <v>28.132</v>
      </c>
      <c r="I31" s="78">
        <f t="shared" si="3"/>
        <v>337.5</v>
      </c>
      <c r="J31" s="75">
        <v>375</v>
      </c>
      <c r="K31" s="75">
        <f t="shared" si="4"/>
        <v>393.75</v>
      </c>
    </row>
    <row r="32" s="74" customFormat="1" spans="1:11">
      <c r="A32" s="75" t="s">
        <v>115</v>
      </c>
      <c r="B32" s="75">
        <v>2</v>
      </c>
      <c r="C32" s="76">
        <f t="shared" si="0"/>
        <v>0.0508</v>
      </c>
      <c r="D32" s="76">
        <f>(B32+1.2)*25.4*0.001</f>
        <v>0.08128</v>
      </c>
      <c r="E32" s="75" t="s">
        <v>24</v>
      </c>
      <c r="F32" s="77" t="s">
        <v>41</v>
      </c>
      <c r="G32" s="75" t="s">
        <v>26</v>
      </c>
      <c r="H32" s="75">
        <f t="shared" si="2"/>
        <v>9.227</v>
      </c>
      <c r="I32" s="78">
        <f t="shared" si="3"/>
        <v>110.7</v>
      </c>
      <c r="J32" s="75">
        <v>123</v>
      </c>
      <c r="K32" s="75">
        <f t="shared" si="4"/>
        <v>129.15</v>
      </c>
    </row>
    <row r="33" s="74" customFormat="1" spans="1:11">
      <c r="A33" s="25" t="s">
        <v>115</v>
      </c>
      <c r="B33" s="25">
        <v>2</v>
      </c>
      <c r="C33" s="26">
        <f t="shared" si="0"/>
        <v>0.0508</v>
      </c>
      <c r="D33" s="26">
        <f>(B33+1.2)*25.4*0.001</f>
        <v>0.08128</v>
      </c>
      <c r="E33" s="25" t="s">
        <v>79</v>
      </c>
      <c r="F33" s="27" t="s">
        <v>41</v>
      </c>
      <c r="G33" s="25" t="s">
        <v>72</v>
      </c>
      <c r="H33" s="25">
        <f t="shared" si="2"/>
        <v>10.878</v>
      </c>
      <c r="I33" s="38">
        <f t="shared" si="3"/>
        <v>130.5</v>
      </c>
      <c r="J33" s="25">
        <v>145</v>
      </c>
      <c r="K33" s="25">
        <f t="shared" si="4"/>
        <v>152.25</v>
      </c>
    </row>
    <row r="34" s="74" customFormat="1" spans="1:11">
      <c r="A34" s="75" t="s">
        <v>115</v>
      </c>
      <c r="B34" s="75">
        <v>2.4</v>
      </c>
      <c r="C34" s="76">
        <f t="shared" ref="C34:C54" si="5">B34*25.4*0.001</f>
        <v>0.06096</v>
      </c>
      <c r="D34" s="76">
        <f t="shared" ref="D34:D54" si="6">(B34+1.2)*25.4*0.001</f>
        <v>0.09144</v>
      </c>
      <c r="E34" s="75" t="s">
        <v>24</v>
      </c>
      <c r="F34" s="77" t="s">
        <v>41</v>
      </c>
      <c r="G34" s="75" t="s">
        <v>26</v>
      </c>
      <c r="H34" s="75">
        <f t="shared" ref="H34:H54" si="7">ROUND(J34/13.33,3)</f>
        <v>9.227</v>
      </c>
      <c r="I34" s="78">
        <f t="shared" ref="I34:I54" si="8">J34*0.9</f>
        <v>110.7</v>
      </c>
      <c r="J34" s="75">
        <v>123</v>
      </c>
      <c r="K34" s="75">
        <f t="shared" ref="K34:K54" si="9">J34*1.05</f>
        <v>129.15</v>
      </c>
    </row>
    <row r="35" s="74" customFormat="1" spans="1:11">
      <c r="A35" s="75" t="s">
        <v>115</v>
      </c>
      <c r="B35" s="75">
        <v>2.5</v>
      </c>
      <c r="C35" s="76">
        <f t="shared" si="5"/>
        <v>0.0635</v>
      </c>
      <c r="D35" s="76">
        <f t="shared" si="6"/>
        <v>0.09398</v>
      </c>
      <c r="E35" s="75" t="s">
        <v>70</v>
      </c>
      <c r="F35" s="77" t="s">
        <v>41</v>
      </c>
      <c r="G35" s="75" t="s">
        <v>26</v>
      </c>
      <c r="H35" s="75">
        <f t="shared" si="7"/>
        <v>9.227</v>
      </c>
      <c r="I35" s="78">
        <f t="shared" si="8"/>
        <v>110.7</v>
      </c>
      <c r="J35" s="75">
        <v>123</v>
      </c>
      <c r="K35" s="75">
        <f t="shared" si="9"/>
        <v>129.15</v>
      </c>
    </row>
    <row r="36" s="74" customFormat="1" spans="1:11">
      <c r="A36" s="75" t="s">
        <v>115</v>
      </c>
      <c r="B36" s="75">
        <v>3</v>
      </c>
      <c r="C36" s="76">
        <f t="shared" si="5"/>
        <v>0.0762</v>
      </c>
      <c r="D36" s="76">
        <f t="shared" si="6"/>
        <v>0.10668</v>
      </c>
      <c r="E36" s="75" t="s">
        <v>27</v>
      </c>
      <c r="F36" s="77" t="s">
        <v>41</v>
      </c>
      <c r="G36" s="75" t="s">
        <v>26</v>
      </c>
      <c r="H36" s="75">
        <f t="shared" si="7"/>
        <v>9.227</v>
      </c>
      <c r="I36" s="78">
        <f t="shared" si="8"/>
        <v>110.7</v>
      </c>
      <c r="J36" s="75">
        <v>123</v>
      </c>
      <c r="K36" s="75">
        <f t="shared" si="9"/>
        <v>129.15</v>
      </c>
    </row>
    <row r="37" s="74" customFormat="1" spans="1:11">
      <c r="A37" s="75" t="s">
        <v>115</v>
      </c>
      <c r="B37" s="75">
        <v>4</v>
      </c>
      <c r="C37" s="76">
        <f t="shared" si="5"/>
        <v>0.1016</v>
      </c>
      <c r="D37" s="76">
        <f t="shared" si="6"/>
        <v>0.13208</v>
      </c>
      <c r="E37" s="75" t="s">
        <v>28</v>
      </c>
      <c r="F37" s="77" t="s">
        <v>41</v>
      </c>
      <c r="G37" s="75" t="s">
        <v>26</v>
      </c>
      <c r="H37" s="75">
        <f t="shared" si="7"/>
        <v>9.077</v>
      </c>
      <c r="I37" s="78">
        <f t="shared" si="8"/>
        <v>108.9</v>
      </c>
      <c r="J37" s="75">
        <v>121</v>
      </c>
      <c r="K37" s="75">
        <f t="shared" si="9"/>
        <v>127.05</v>
      </c>
    </row>
    <row r="38" s="74" customFormat="1" spans="1:11">
      <c r="A38" s="75" t="s">
        <v>115</v>
      </c>
      <c r="B38" s="75">
        <v>5</v>
      </c>
      <c r="C38" s="76">
        <f t="shared" si="5"/>
        <v>0.127</v>
      </c>
      <c r="D38" s="76">
        <f t="shared" si="6"/>
        <v>0.15748</v>
      </c>
      <c r="E38" s="75" t="s">
        <v>28</v>
      </c>
      <c r="F38" s="77" t="s">
        <v>41</v>
      </c>
      <c r="G38" s="75" t="s">
        <v>26</v>
      </c>
      <c r="H38" s="75">
        <f t="shared" si="7"/>
        <v>9.227</v>
      </c>
      <c r="I38" s="78">
        <f t="shared" si="8"/>
        <v>110.7</v>
      </c>
      <c r="J38" s="75">
        <v>123</v>
      </c>
      <c r="K38" s="75">
        <f t="shared" si="9"/>
        <v>129.15</v>
      </c>
    </row>
    <row r="39" s="74" customFormat="1" spans="1:11">
      <c r="A39" s="75" t="s">
        <v>115</v>
      </c>
      <c r="B39" s="75">
        <v>6</v>
      </c>
      <c r="C39" s="76">
        <f t="shared" si="5"/>
        <v>0.1524</v>
      </c>
      <c r="D39" s="76">
        <f t="shared" si="6"/>
        <v>0.18288</v>
      </c>
      <c r="E39" s="75" t="s">
        <v>29</v>
      </c>
      <c r="F39" s="77" t="s">
        <v>41</v>
      </c>
      <c r="G39" s="75" t="s">
        <v>26</v>
      </c>
      <c r="H39" s="75">
        <f t="shared" si="7"/>
        <v>9.602</v>
      </c>
      <c r="I39" s="78">
        <f t="shared" si="8"/>
        <v>115.2</v>
      </c>
      <c r="J39" s="75">
        <v>128</v>
      </c>
      <c r="K39" s="75">
        <f t="shared" si="9"/>
        <v>134.4</v>
      </c>
    </row>
    <row r="40" s="74" customFormat="1" spans="1:11">
      <c r="A40" s="75" t="s">
        <v>115</v>
      </c>
      <c r="B40" s="75">
        <v>7</v>
      </c>
      <c r="C40" s="76">
        <f t="shared" si="5"/>
        <v>0.1778</v>
      </c>
      <c r="D40" s="76">
        <f t="shared" si="6"/>
        <v>0.20828</v>
      </c>
      <c r="E40" s="75" t="s">
        <v>30</v>
      </c>
      <c r="F40" s="77" t="s">
        <v>41</v>
      </c>
      <c r="G40" s="75" t="s">
        <v>26</v>
      </c>
      <c r="H40" s="75">
        <f t="shared" si="7"/>
        <v>9.452</v>
      </c>
      <c r="I40" s="78">
        <f t="shared" si="8"/>
        <v>113.4</v>
      </c>
      <c r="J40" s="75">
        <v>126</v>
      </c>
      <c r="K40" s="75">
        <f t="shared" si="9"/>
        <v>132.3</v>
      </c>
    </row>
    <row r="41" s="74" customFormat="1" spans="1:11">
      <c r="A41" s="75" t="s">
        <v>115</v>
      </c>
      <c r="B41" s="75">
        <v>8</v>
      </c>
      <c r="C41" s="76">
        <f t="shared" si="5"/>
        <v>0.2032</v>
      </c>
      <c r="D41" s="76">
        <f t="shared" si="6"/>
        <v>0.23368</v>
      </c>
      <c r="E41" s="75" t="s">
        <v>30</v>
      </c>
      <c r="F41" s="77" t="s">
        <v>41</v>
      </c>
      <c r="G41" s="75" t="s">
        <v>26</v>
      </c>
      <c r="H41" s="75">
        <f t="shared" si="7"/>
        <v>9.527</v>
      </c>
      <c r="I41" s="78">
        <f t="shared" si="8"/>
        <v>114.3</v>
      </c>
      <c r="J41" s="75">
        <v>127</v>
      </c>
      <c r="K41" s="75">
        <f t="shared" si="9"/>
        <v>133.35</v>
      </c>
    </row>
    <row r="42" s="74" customFormat="1" spans="1:11">
      <c r="A42" s="75" t="s">
        <v>115</v>
      </c>
      <c r="B42" s="75">
        <v>10</v>
      </c>
      <c r="C42" s="76">
        <f t="shared" si="5"/>
        <v>0.254</v>
      </c>
      <c r="D42" s="76">
        <f t="shared" si="6"/>
        <v>0.28448</v>
      </c>
      <c r="E42" s="75" t="s">
        <v>31</v>
      </c>
      <c r="F42" s="77" t="s">
        <v>41</v>
      </c>
      <c r="G42" s="75" t="s">
        <v>26</v>
      </c>
      <c r="H42" s="75">
        <f t="shared" si="7"/>
        <v>11.103</v>
      </c>
      <c r="I42" s="78">
        <f t="shared" si="8"/>
        <v>133.2</v>
      </c>
      <c r="J42" s="75">
        <v>148</v>
      </c>
      <c r="K42" s="75">
        <f t="shared" si="9"/>
        <v>155.4</v>
      </c>
    </row>
    <row r="43" s="74" customFormat="1" spans="1:11">
      <c r="A43" s="75" t="s">
        <v>115</v>
      </c>
      <c r="B43" s="75">
        <v>12</v>
      </c>
      <c r="C43" s="76">
        <f t="shared" si="5"/>
        <v>0.3048</v>
      </c>
      <c r="D43" s="76">
        <f t="shared" si="6"/>
        <v>0.33528</v>
      </c>
      <c r="E43" s="75" t="s">
        <v>101</v>
      </c>
      <c r="F43" s="77" t="s">
        <v>41</v>
      </c>
      <c r="G43" s="75" t="s">
        <v>26</v>
      </c>
      <c r="H43" s="75">
        <f t="shared" si="7"/>
        <v>11.478</v>
      </c>
      <c r="I43" s="78">
        <f t="shared" si="8"/>
        <v>137.7</v>
      </c>
      <c r="J43" s="75">
        <v>153</v>
      </c>
      <c r="K43" s="75">
        <f t="shared" si="9"/>
        <v>160.65</v>
      </c>
    </row>
    <row r="44" s="74" customFormat="1" spans="1:11">
      <c r="A44" s="75" t="s">
        <v>115</v>
      </c>
      <c r="B44" s="75">
        <v>14</v>
      </c>
      <c r="C44" s="76">
        <f t="shared" si="5"/>
        <v>0.3556</v>
      </c>
      <c r="D44" s="76">
        <f t="shared" si="6"/>
        <v>0.38608</v>
      </c>
      <c r="E44" s="75" t="s">
        <v>116</v>
      </c>
      <c r="F44" s="77" t="s">
        <v>41</v>
      </c>
      <c r="G44" s="75" t="s">
        <v>26</v>
      </c>
      <c r="H44" s="75">
        <f t="shared" si="7"/>
        <v>11.253</v>
      </c>
      <c r="I44" s="78">
        <f t="shared" si="8"/>
        <v>135</v>
      </c>
      <c r="J44" s="75">
        <v>150</v>
      </c>
      <c r="K44" s="75">
        <f t="shared" si="9"/>
        <v>157.5</v>
      </c>
    </row>
    <row r="45" s="74" customFormat="1" spans="1:11">
      <c r="A45" s="75" t="s">
        <v>115</v>
      </c>
      <c r="B45" s="75">
        <v>16</v>
      </c>
      <c r="C45" s="76">
        <f t="shared" si="5"/>
        <v>0.4064</v>
      </c>
      <c r="D45" s="76">
        <f t="shared" si="6"/>
        <v>0.43688</v>
      </c>
      <c r="E45" s="75" t="s">
        <v>116</v>
      </c>
      <c r="F45" s="77" t="s">
        <v>41</v>
      </c>
      <c r="G45" s="75" t="s">
        <v>26</v>
      </c>
      <c r="H45" s="75">
        <f t="shared" si="7"/>
        <v>11.328</v>
      </c>
      <c r="I45" s="78">
        <f t="shared" si="8"/>
        <v>135.9</v>
      </c>
      <c r="J45" s="75">
        <v>151</v>
      </c>
      <c r="K45" s="75">
        <f t="shared" si="9"/>
        <v>158.55</v>
      </c>
    </row>
    <row r="46" s="74" customFormat="1" spans="1:11">
      <c r="A46" s="75" t="s">
        <v>115</v>
      </c>
      <c r="B46" s="75">
        <v>20</v>
      </c>
      <c r="C46" s="76">
        <f t="shared" si="5"/>
        <v>0.508</v>
      </c>
      <c r="D46" s="76">
        <f t="shared" si="6"/>
        <v>0.53848</v>
      </c>
      <c r="E46" s="75" t="s">
        <v>34</v>
      </c>
      <c r="F46" s="77" t="s">
        <v>41</v>
      </c>
      <c r="G46" s="75" t="s">
        <v>26</v>
      </c>
      <c r="H46" s="75">
        <f t="shared" si="7"/>
        <v>13.428</v>
      </c>
      <c r="I46" s="78">
        <f t="shared" si="8"/>
        <v>161.1</v>
      </c>
      <c r="J46" s="75">
        <v>179</v>
      </c>
      <c r="K46" s="75">
        <f t="shared" si="9"/>
        <v>187.95</v>
      </c>
    </row>
    <row r="47" s="74" customFormat="1" spans="1:11">
      <c r="A47" s="75" t="s">
        <v>115</v>
      </c>
      <c r="B47" s="75">
        <v>24</v>
      </c>
      <c r="C47" s="76">
        <f t="shared" si="5"/>
        <v>0.6096</v>
      </c>
      <c r="D47" s="76">
        <f t="shared" si="6"/>
        <v>0.64008</v>
      </c>
      <c r="E47" s="75" t="s">
        <v>34</v>
      </c>
      <c r="F47" s="77" t="s">
        <v>41</v>
      </c>
      <c r="G47" s="75" t="s">
        <v>26</v>
      </c>
      <c r="H47" s="75">
        <f t="shared" si="7"/>
        <v>13.653</v>
      </c>
      <c r="I47" s="78">
        <f t="shared" si="8"/>
        <v>163.8</v>
      </c>
      <c r="J47" s="75">
        <v>182</v>
      </c>
      <c r="K47" s="75">
        <f t="shared" si="9"/>
        <v>191.1</v>
      </c>
    </row>
    <row r="48" s="74" customFormat="1" spans="1:11">
      <c r="A48" s="75" t="s">
        <v>115</v>
      </c>
      <c r="B48" s="75">
        <v>28</v>
      </c>
      <c r="C48" s="76">
        <f t="shared" si="5"/>
        <v>0.7112</v>
      </c>
      <c r="D48" s="76">
        <f t="shared" si="6"/>
        <v>0.74168</v>
      </c>
      <c r="E48" s="75" t="s">
        <v>36</v>
      </c>
      <c r="F48" s="77" t="s">
        <v>41</v>
      </c>
      <c r="G48" s="75" t="s">
        <v>26</v>
      </c>
      <c r="H48" s="75">
        <f t="shared" si="7"/>
        <v>15.454</v>
      </c>
      <c r="I48" s="78">
        <f t="shared" si="8"/>
        <v>185.4</v>
      </c>
      <c r="J48" s="75">
        <v>206</v>
      </c>
      <c r="K48" s="75">
        <f t="shared" si="9"/>
        <v>216.3</v>
      </c>
    </row>
    <row r="49" s="74" customFormat="1" spans="1:11">
      <c r="A49" s="25" t="s">
        <v>115</v>
      </c>
      <c r="B49" s="25">
        <v>30.31</v>
      </c>
      <c r="C49" s="26">
        <f t="shared" si="5"/>
        <v>0.769874</v>
      </c>
      <c r="D49" s="26">
        <f t="shared" si="6"/>
        <v>0.800354</v>
      </c>
      <c r="E49" s="25" t="s">
        <v>36</v>
      </c>
      <c r="F49" s="27" t="s">
        <v>41</v>
      </c>
      <c r="G49" s="25" t="s">
        <v>26</v>
      </c>
      <c r="H49" s="25">
        <f t="shared" si="7"/>
        <v>16.204</v>
      </c>
      <c r="I49" s="38">
        <f t="shared" si="8"/>
        <v>194.4</v>
      </c>
      <c r="J49" s="25">
        <v>216</v>
      </c>
      <c r="K49" s="25">
        <f t="shared" si="9"/>
        <v>226.8</v>
      </c>
    </row>
    <row r="50" s="74" customFormat="1" spans="1:11">
      <c r="A50" s="75" t="s">
        <v>115</v>
      </c>
      <c r="B50" s="75">
        <v>38</v>
      </c>
      <c r="C50" s="76">
        <f t="shared" si="5"/>
        <v>0.9652</v>
      </c>
      <c r="D50" s="76">
        <f t="shared" si="6"/>
        <v>0.99568</v>
      </c>
      <c r="E50" s="75" t="s">
        <v>37</v>
      </c>
      <c r="F50" s="77" t="s">
        <v>41</v>
      </c>
      <c r="G50" s="75" t="s">
        <v>26</v>
      </c>
      <c r="H50" s="75">
        <f t="shared" si="7"/>
        <v>17.254</v>
      </c>
      <c r="I50" s="78">
        <f t="shared" si="8"/>
        <v>207</v>
      </c>
      <c r="J50" s="75">
        <v>230</v>
      </c>
      <c r="K50" s="75">
        <f t="shared" si="9"/>
        <v>241.5</v>
      </c>
    </row>
    <row r="51" s="74" customFormat="1" spans="1:11">
      <c r="A51" s="75" t="s">
        <v>115</v>
      </c>
      <c r="B51" s="75">
        <v>42</v>
      </c>
      <c r="C51" s="76">
        <f t="shared" si="5"/>
        <v>1.0668</v>
      </c>
      <c r="D51" s="76">
        <f t="shared" si="6"/>
        <v>1.09728</v>
      </c>
      <c r="E51" s="75" t="s">
        <v>38</v>
      </c>
      <c r="F51" s="77" t="s">
        <v>41</v>
      </c>
      <c r="G51" s="75" t="s">
        <v>26</v>
      </c>
      <c r="H51" s="75">
        <f t="shared" si="7"/>
        <v>19.055</v>
      </c>
      <c r="I51" s="78">
        <f t="shared" si="8"/>
        <v>228.6</v>
      </c>
      <c r="J51" s="75">
        <v>254</v>
      </c>
      <c r="K51" s="75">
        <f t="shared" si="9"/>
        <v>266.7</v>
      </c>
    </row>
    <row r="52" s="74" customFormat="1" spans="1:11">
      <c r="A52" s="75" t="s">
        <v>115</v>
      </c>
      <c r="B52" s="75">
        <v>46</v>
      </c>
      <c r="C52" s="76">
        <f t="shared" si="5"/>
        <v>1.1684</v>
      </c>
      <c r="D52" s="76">
        <f t="shared" si="6"/>
        <v>1.19888</v>
      </c>
      <c r="E52" s="75" t="s">
        <v>38</v>
      </c>
      <c r="F52" s="77" t="s">
        <v>41</v>
      </c>
      <c r="G52" s="75" t="s">
        <v>26</v>
      </c>
      <c r="H52" s="75">
        <f t="shared" si="7"/>
        <v>19.355</v>
      </c>
      <c r="I52" s="78">
        <f t="shared" si="8"/>
        <v>232.2</v>
      </c>
      <c r="J52" s="75">
        <v>258</v>
      </c>
      <c r="K52" s="75">
        <f t="shared" si="9"/>
        <v>270.9</v>
      </c>
    </row>
    <row r="53" s="74" customFormat="1" spans="1:11">
      <c r="A53" s="75" t="s">
        <v>115</v>
      </c>
      <c r="B53" s="75">
        <v>50</v>
      </c>
      <c r="C53" s="76">
        <f t="shared" si="5"/>
        <v>1.27</v>
      </c>
      <c r="D53" s="76">
        <f t="shared" si="6"/>
        <v>1.30048</v>
      </c>
      <c r="E53" s="75" t="s">
        <v>39</v>
      </c>
      <c r="F53" s="77" t="s">
        <v>41</v>
      </c>
      <c r="G53" s="75" t="s">
        <v>26</v>
      </c>
      <c r="H53" s="75">
        <f t="shared" si="7"/>
        <v>21.155</v>
      </c>
      <c r="I53" s="78">
        <f t="shared" si="8"/>
        <v>253.8</v>
      </c>
      <c r="J53" s="75">
        <v>282</v>
      </c>
      <c r="K53" s="75">
        <f t="shared" si="9"/>
        <v>296.1</v>
      </c>
    </row>
    <row r="54" s="74" customFormat="1" spans="1:11">
      <c r="A54" s="75" t="s">
        <v>115</v>
      </c>
      <c r="B54" s="75">
        <v>58</v>
      </c>
      <c r="C54" s="76">
        <f t="shared" si="5"/>
        <v>1.4732</v>
      </c>
      <c r="D54" s="76">
        <f t="shared" si="6"/>
        <v>1.50368</v>
      </c>
      <c r="E54" s="75" t="s">
        <v>40</v>
      </c>
      <c r="F54" s="77" t="s">
        <v>41</v>
      </c>
      <c r="G54" s="75" t="s">
        <v>26</v>
      </c>
      <c r="H54" s="75">
        <f t="shared" si="7"/>
        <v>23.031</v>
      </c>
      <c r="I54" s="78">
        <f t="shared" si="8"/>
        <v>276.3</v>
      </c>
      <c r="J54" s="75">
        <v>307</v>
      </c>
      <c r="K54" s="75">
        <f t="shared" si="9"/>
        <v>322.35</v>
      </c>
    </row>
    <row r="55" s="74" customFormat="1" spans="1:1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</row>
    <row r="56" s="74" customFormat="1" ht="21" spans="1:11">
      <c r="A56" s="15" t="s">
        <v>117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</row>
    <row r="57" s="74" customFormat="1" ht="21.6" customHeight="1" spans="1:11">
      <c r="A57" s="17" t="s">
        <v>12</v>
      </c>
      <c r="B57" s="17" t="s">
        <v>49</v>
      </c>
      <c r="C57" s="17" t="s">
        <v>50</v>
      </c>
      <c r="D57" s="17" t="s">
        <v>51</v>
      </c>
      <c r="E57" s="17" t="s">
        <v>52</v>
      </c>
      <c r="F57" s="79" t="s">
        <v>53</v>
      </c>
      <c r="G57" s="79" t="s">
        <v>54</v>
      </c>
      <c r="H57" s="33" t="s">
        <v>55</v>
      </c>
      <c r="I57" s="34"/>
      <c r="J57" s="33" t="s">
        <v>56</v>
      </c>
      <c r="K57" s="34"/>
    </row>
    <row r="58" s="74" customFormat="1" spans="1:11">
      <c r="A58" s="75" t="s">
        <v>115</v>
      </c>
      <c r="B58" s="80">
        <v>106</v>
      </c>
      <c r="C58" s="81">
        <v>0.72</v>
      </c>
      <c r="D58" s="80">
        <v>300</v>
      </c>
      <c r="E58" s="82" t="s">
        <v>58</v>
      </c>
      <c r="F58" s="75">
        <v>3937</v>
      </c>
      <c r="G58" s="83">
        <f t="shared" ref="G58:G66" si="10">ROUND(H58*300/3937,3)</f>
        <v>2.286</v>
      </c>
      <c r="H58" s="84">
        <v>30</v>
      </c>
      <c r="I58" s="84"/>
      <c r="J58" s="78">
        <f t="shared" ref="J58:J66" si="11">ROUND(H58*D58,2)</f>
        <v>9000</v>
      </c>
      <c r="K58" s="78"/>
    </row>
    <row r="59" s="74" customFormat="1" spans="1:11">
      <c r="A59" s="75" t="s">
        <v>115</v>
      </c>
      <c r="B59" s="80">
        <v>106</v>
      </c>
      <c r="C59" s="81">
        <v>0.73</v>
      </c>
      <c r="D59" s="80">
        <v>300</v>
      </c>
      <c r="E59" s="82" t="s">
        <v>58</v>
      </c>
      <c r="F59" s="75">
        <v>3937</v>
      </c>
      <c r="G59" s="83">
        <f t="shared" si="10"/>
        <v>2.362</v>
      </c>
      <c r="H59" s="84">
        <v>31</v>
      </c>
      <c r="I59" s="84"/>
      <c r="J59" s="78">
        <f t="shared" si="11"/>
        <v>9300</v>
      </c>
      <c r="K59" s="78"/>
    </row>
    <row r="60" s="74" customFormat="1" spans="1:11">
      <c r="A60" s="75" t="s">
        <v>115</v>
      </c>
      <c r="B60" s="80">
        <v>106</v>
      </c>
      <c r="C60" s="81">
        <v>0.75</v>
      </c>
      <c r="D60" s="80">
        <v>300</v>
      </c>
      <c r="E60" s="82" t="s">
        <v>58</v>
      </c>
      <c r="F60" s="75">
        <v>3937</v>
      </c>
      <c r="G60" s="83">
        <f t="shared" si="10"/>
        <v>2.438</v>
      </c>
      <c r="H60" s="84">
        <v>32</v>
      </c>
      <c r="I60" s="84"/>
      <c r="J60" s="78">
        <f t="shared" si="11"/>
        <v>9600</v>
      </c>
      <c r="K60" s="78"/>
    </row>
    <row r="61" s="74" customFormat="1" spans="1:11">
      <c r="A61" s="75" t="s">
        <v>115</v>
      </c>
      <c r="B61" s="80">
        <v>106</v>
      </c>
      <c r="C61" s="81">
        <v>0.78</v>
      </c>
      <c r="D61" s="80">
        <v>300</v>
      </c>
      <c r="E61" s="82" t="s">
        <v>58</v>
      </c>
      <c r="F61" s="75">
        <v>3937</v>
      </c>
      <c r="G61" s="83">
        <f t="shared" si="10"/>
        <v>2.515</v>
      </c>
      <c r="H61" s="84">
        <v>33</v>
      </c>
      <c r="I61" s="84"/>
      <c r="J61" s="78">
        <f t="shared" si="11"/>
        <v>9900</v>
      </c>
      <c r="K61" s="78"/>
    </row>
    <row r="62" s="74" customFormat="1" spans="1:11">
      <c r="A62" s="75" t="s">
        <v>115</v>
      </c>
      <c r="B62" s="80">
        <v>1067</v>
      </c>
      <c r="C62" s="81">
        <v>0.7</v>
      </c>
      <c r="D62" s="80">
        <v>300</v>
      </c>
      <c r="E62" s="82" t="s">
        <v>58</v>
      </c>
      <c r="F62" s="75">
        <v>3937</v>
      </c>
      <c r="G62" s="83">
        <f t="shared" si="10"/>
        <v>2.438</v>
      </c>
      <c r="H62" s="84">
        <v>32</v>
      </c>
      <c r="I62" s="84"/>
      <c r="J62" s="78">
        <f t="shared" si="11"/>
        <v>9600</v>
      </c>
      <c r="K62" s="78"/>
    </row>
    <row r="63" s="74" customFormat="1" spans="1:11">
      <c r="A63" s="75" t="s">
        <v>115</v>
      </c>
      <c r="B63" s="80">
        <v>1067</v>
      </c>
      <c r="C63" s="81">
        <v>0.72</v>
      </c>
      <c r="D63" s="80">
        <v>300</v>
      </c>
      <c r="E63" s="82" t="s">
        <v>58</v>
      </c>
      <c r="F63" s="75">
        <v>3937</v>
      </c>
      <c r="G63" s="83">
        <f t="shared" si="10"/>
        <v>2.515</v>
      </c>
      <c r="H63" s="84">
        <v>33</v>
      </c>
      <c r="I63" s="84"/>
      <c r="J63" s="78">
        <f t="shared" si="11"/>
        <v>9900</v>
      </c>
      <c r="K63" s="78"/>
    </row>
    <row r="64" s="74" customFormat="1" spans="1:11">
      <c r="A64" s="75" t="s">
        <v>115</v>
      </c>
      <c r="B64" s="80">
        <v>1067</v>
      </c>
      <c r="C64" s="81">
        <v>0.74</v>
      </c>
      <c r="D64" s="80">
        <v>300</v>
      </c>
      <c r="E64" s="82" t="s">
        <v>58</v>
      </c>
      <c r="F64" s="75">
        <v>3937</v>
      </c>
      <c r="G64" s="83">
        <f t="shared" si="10"/>
        <v>2.591</v>
      </c>
      <c r="H64" s="84">
        <v>34</v>
      </c>
      <c r="I64" s="84"/>
      <c r="J64" s="78">
        <f t="shared" si="11"/>
        <v>10200</v>
      </c>
      <c r="K64" s="78"/>
    </row>
    <row r="65" s="74" customFormat="1" spans="1:11">
      <c r="A65" s="75" t="s">
        <v>115</v>
      </c>
      <c r="B65" s="80">
        <v>1080</v>
      </c>
      <c r="C65" s="81">
        <v>0.62</v>
      </c>
      <c r="D65" s="80">
        <v>300</v>
      </c>
      <c r="E65" s="82" t="s">
        <v>58</v>
      </c>
      <c r="F65" s="75">
        <v>3937</v>
      </c>
      <c r="G65" s="83">
        <f t="shared" si="10"/>
        <v>2.515</v>
      </c>
      <c r="H65" s="84">
        <v>33</v>
      </c>
      <c r="I65" s="84"/>
      <c r="J65" s="78">
        <f t="shared" si="11"/>
        <v>9900</v>
      </c>
      <c r="K65" s="78"/>
    </row>
    <row r="66" s="74" customFormat="1" spans="1:11">
      <c r="A66" s="25" t="s">
        <v>115</v>
      </c>
      <c r="B66" s="35">
        <v>1080</v>
      </c>
      <c r="C66" s="36">
        <v>0.63</v>
      </c>
      <c r="D66" s="35">
        <v>300</v>
      </c>
      <c r="E66" s="37" t="s">
        <v>58</v>
      </c>
      <c r="F66" s="25">
        <v>3937</v>
      </c>
      <c r="G66" s="85">
        <f t="shared" si="10"/>
        <v>2.515</v>
      </c>
      <c r="H66" s="86">
        <v>33</v>
      </c>
      <c r="I66" s="86"/>
      <c r="J66" s="38">
        <f t="shared" si="11"/>
        <v>9900</v>
      </c>
      <c r="K66" s="38"/>
    </row>
    <row r="67" s="74" customFormat="1" spans="1:11">
      <c r="A67" s="75" t="s">
        <v>115</v>
      </c>
      <c r="B67" s="80">
        <v>1080</v>
      </c>
      <c r="C67" s="81">
        <v>0.65</v>
      </c>
      <c r="D67" s="80">
        <v>300</v>
      </c>
      <c r="E67" s="82" t="s">
        <v>58</v>
      </c>
      <c r="F67" s="75">
        <v>3937</v>
      </c>
      <c r="G67" s="83">
        <f t="shared" ref="G67:G78" si="12">ROUND(H67*300/3937,3)</f>
        <v>2.553</v>
      </c>
      <c r="H67" s="84">
        <v>33.5</v>
      </c>
      <c r="I67" s="84"/>
      <c r="J67" s="78">
        <f t="shared" ref="J67:J78" si="13">ROUND(H67*D67,2)</f>
        <v>10050</v>
      </c>
      <c r="K67" s="78"/>
    </row>
    <row r="68" s="74" customFormat="1" spans="1:11">
      <c r="A68" s="75" t="s">
        <v>115</v>
      </c>
      <c r="B68" s="80">
        <v>1080</v>
      </c>
      <c r="C68" s="81">
        <v>0.68</v>
      </c>
      <c r="D68" s="80">
        <v>300</v>
      </c>
      <c r="E68" s="82" t="s">
        <v>58</v>
      </c>
      <c r="F68" s="75">
        <v>3937</v>
      </c>
      <c r="G68" s="83">
        <f t="shared" si="12"/>
        <v>2.591</v>
      </c>
      <c r="H68" s="84">
        <v>34</v>
      </c>
      <c r="I68" s="84"/>
      <c r="J68" s="78">
        <f t="shared" si="13"/>
        <v>10200</v>
      </c>
      <c r="K68" s="78"/>
    </row>
    <row r="69" s="74" customFormat="1" spans="1:11">
      <c r="A69" s="75" t="s">
        <v>115</v>
      </c>
      <c r="B69" s="80">
        <v>1080</v>
      </c>
      <c r="C69" s="81">
        <v>0.71</v>
      </c>
      <c r="D69" s="80">
        <v>300</v>
      </c>
      <c r="E69" s="82" t="s">
        <v>58</v>
      </c>
      <c r="F69" s="75">
        <v>3937</v>
      </c>
      <c r="G69" s="83">
        <f t="shared" si="12"/>
        <v>2.667</v>
      </c>
      <c r="H69" s="84">
        <v>35</v>
      </c>
      <c r="I69" s="84"/>
      <c r="J69" s="78">
        <f t="shared" si="13"/>
        <v>10500</v>
      </c>
      <c r="K69" s="78"/>
    </row>
    <row r="70" s="74" customFormat="1" spans="1:11">
      <c r="A70" s="75" t="s">
        <v>115</v>
      </c>
      <c r="B70" s="80">
        <v>2116</v>
      </c>
      <c r="C70" s="81">
        <v>0.52</v>
      </c>
      <c r="D70" s="80">
        <v>200</v>
      </c>
      <c r="E70" s="82" t="s">
        <v>58</v>
      </c>
      <c r="F70" s="75">
        <v>2624.7</v>
      </c>
      <c r="G70" s="83">
        <f t="shared" si="12"/>
        <v>2.438</v>
      </c>
      <c r="H70" s="84">
        <v>32</v>
      </c>
      <c r="I70" s="84"/>
      <c r="J70" s="78">
        <f t="shared" si="13"/>
        <v>6400</v>
      </c>
      <c r="K70" s="78"/>
    </row>
    <row r="71" s="74" customFormat="1" spans="1:11">
      <c r="A71" s="75" t="s">
        <v>115</v>
      </c>
      <c r="B71" s="80">
        <v>2116</v>
      </c>
      <c r="C71" s="81">
        <v>0.54</v>
      </c>
      <c r="D71" s="80">
        <v>200</v>
      </c>
      <c r="E71" s="82" t="s">
        <v>58</v>
      </c>
      <c r="F71" s="75">
        <v>2624.7</v>
      </c>
      <c r="G71" s="83">
        <f t="shared" si="12"/>
        <v>2.591</v>
      </c>
      <c r="H71" s="84">
        <v>34</v>
      </c>
      <c r="I71" s="84"/>
      <c r="J71" s="78">
        <f t="shared" si="13"/>
        <v>6800</v>
      </c>
      <c r="K71" s="78"/>
    </row>
    <row r="72" s="74" customFormat="1" spans="1:11">
      <c r="A72" s="75" t="s">
        <v>115</v>
      </c>
      <c r="B72" s="80">
        <v>2116</v>
      </c>
      <c r="C72" s="81">
        <v>0.55</v>
      </c>
      <c r="D72" s="80">
        <v>200</v>
      </c>
      <c r="E72" s="82" t="s">
        <v>58</v>
      </c>
      <c r="F72" s="75">
        <v>2624.7</v>
      </c>
      <c r="G72" s="83">
        <f t="shared" si="12"/>
        <v>2.667</v>
      </c>
      <c r="H72" s="84">
        <v>35</v>
      </c>
      <c r="I72" s="84"/>
      <c r="J72" s="78">
        <f t="shared" si="13"/>
        <v>7000</v>
      </c>
      <c r="K72" s="78"/>
    </row>
    <row r="73" s="74" customFormat="1" spans="1:11">
      <c r="A73" s="25" t="s">
        <v>115</v>
      </c>
      <c r="B73" s="35">
        <v>2116</v>
      </c>
      <c r="C73" s="36">
        <v>0.57</v>
      </c>
      <c r="D73" s="35">
        <v>200</v>
      </c>
      <c r="E73" s="37" t="s">
        <v>58</v>
      </c>
      <c r="F73" s="25">
        <v>2624.7</v>
      </c>
      <c r="G73" s="85">
        <f t="shared" si="12"/>
        <v>2.705</v>
      </c>
      <c r="H73" s="86">
        <v>35.5</v>
      </c>
      <c r="I73" s="86"/>
      <c r="J73" s="38">
        <f t="shared" si="13"/>
        <v>7100</v>
      </c>
      <c r="K73" s="38"/>
    </row>
    <row r="74" s="74" customFormat="1" spans="1:11">
      <c r="A74" s="75" t="s">
        <v>115</v>
      </c>
      <c r="B74" s="80">
        <v>2116</v>
      </c>
      <c r="C74" s="81">
        <v>0.58</v>
      </c>
      <c r="D74" s="80">
        <v>200</v>
      </c>
      <c r="E74" s="82" t="s">
        <v>58</v>
      </c>
      <c r="F74" s="75">
        <v>2624.7</v>
      </c>
      <c r="G74" s="83">
        <f t="shared" si="12"/>
        <v>2.743</v>
      </c>
      <c r="H74" s="84">
        <v>36</v>
      </c>
      <c r="I74" s="84"/>
      <c r="J74" s="78">
        <f t="shared" si="13"/>
        <v>7200</v>
      </c>
      <c r="K74" s="78"/>
    </row>
    <row r="75" s="74" customFormat="1" spans="1:11">
      <c r="A75" s="75" t="s">
        <v>115</v>
      </c>
      <c r="B75" s="80">
        <v>2116</v>
      </c>
      <c r="C75" s="81">
        <v>0.6</v>
      </c>
      <c r="D75" s="80">
        <v>200</v>
      </c>
      <c r="E75" s="82" t="s">
        <v>58</v>
      </c>
      <c r="F75" s="75">
        <v>2624.7</v>
      </c>
      <c r="G75" s="83">
        <f t="shared" si="12"/>
        <v>2.896</v>
      </c>
      <c r="H75" s="84">
        <v>38</v>
      </c>
      <c r="I75" s="84"/>
      <c r="J75" s="78">
        <f t="shared" si="13"/>
        <v>7600</v>
      </c>
      <c r="K75" s="78"/>
    </row>
    <row r="76" s="74" customFormat="1" spans="1:11">
      <c r="A76" s="75" t="s">
        <v>115</v>
      </c>
      <c r="B76" s="80">
        <v>7628</v>
      </c>
      <c r="C76" s="81">
        <v>0.44</v>
      </c>
      <c r="D76" s="80">
        <v>150</v>
      </c>
      <c r="E76" s="82" t="s">
        <v>58</v>
      </c>
      <c r="F76" s="75">
        <v>1968.5</v>
      </c>
      <c r="G76" s="83">
        <f t="shared" si="12"/>
        <v>2.515</v>
      </c>
      <c r="H76" s="84">
        <v>33</v>
      </c>
      <c r="I76" s="84"/>
      <c r="J76" s="78">
        <f t="shared" si="13"/>
        <v>4950</v>
      </c>
      <c r="K76" s="78"/>
    </row>
    <row r="77" s="74" customFormat="1" spans="1:11">
      <c r="A77" s="75" t="s">
        <v>115</v>
      </c>
      <c r="B77" s="80">
        <v>7628</v>
      </c>
      <c r="C77" s="81">
        <v>0.47</v>
      </c>
      <c r="D77" s="80">
        <v>150</v>
      </c>
      <c r="E77" s="82" t="s">
        <v>58</v>
      </c>
      <c r="F77" s="75">
        <v>1968.5</v>
      </c>
      <c r="G77" s="83">
        <f t="shared" si="12"/>
        <v>2.591</v>
      </c>
      <c r="H77" s="84">
        <v>34</v>
      </c>
      <c r="I77" s="84"/>
      <c r="J77" s="78">
        <f t="shared" si="13"/>
        <v>5100</v>
      </c>
      <c r="K77" s="78"/>
    </row>
    <row r="78" s="74" customFormat="1" spans="1:11">
      <c r="A78" s="75" t="s">
        <v>115</v>
      </c>
      <c r="B78" s="80">
        <v>7628</v>
      </c>
      <c r="C78" s="81">
        <v>0.5</v>
      </c>
      <c r="D78" s="80">
        <v>150</v>
      </c>
      <c r="E78" s="82" t="s">
        <v>58</v>
      </c>
      <c r="F78" s="75">
        <v>1968.5</v>
      </c>
      <c r="G78" s="83">
        <f t="shared" si="12"/>
        <v>2.667</v>
      </c>
      <c r="H78" s="84">
        <v>35</v>
      </c>
      <c r="I78" s="84"/>
      <c r="J78" s="78">
        <f t="shared" si="13"/>
        <v>5250</v>
      </c>
      <c r="K78" s="78"/>
    </row>
    <row r="80" s="74" customFormat="1" spans="1:11">
      <c r="A80" s="43" t="s">
        <v>60</v>
      </c>
      <c r="B80" s="5"/>
      <c r="C80" s="5"/>
      <c r="D80" s="5"/>
      <c r="E80" s="10"/>
      <c r="F80" s="5"/>
      <c r="G80" s="5"/>
      <c r="H80" s="5"/>
      <c r="I80" s="5"/>
      <c r="J80" s="5"/>
      <c r="K80" s="87"/>
    </row>
    <row r="81" s="74" customFormat="1" spans="1:11">
      <c r="A81" s="46" t="s">
        <v>61</v>
      </c>
      <c r="B81" s="5"/>
      <c r="C81" s="5"/>
      <c r="D81" s="5"/>
      <c r="E81" s="10"/>
      <c r="F81" s="5"/>
      <c r="G81" s="5"/>
      <c r="H81" s="5"/>
      <c r="I81" s="5"/>
      <c r="J81" s="5"/>
      <c r="K81" s="87"/>
    </row>
    <row r="82" s="74" customFormat="1" spans="1:11">
      <c r="A82" s="43" t="s">
        <v>62</v>
      </c>
      <c r="B82" s="88"/>
      <c r="C82" s="88"/>
      <c r="D82" s="88"/>
      <c r="E82" s="89"/>
      <c r="F82" s="88"/>
      <c r="G82" s="88"/>
      <c r="H82" s="88"/>
      <c r="I82" s="5"/>
      <c r="J82" s="5"/>
      <c r="K82" s="87"/>
    </row>
    <row r="83" s="74" customFormat="1" spans="1:11">
      <c r="A83" s="43" t="s">
        <v>63</v>
      </c>
      <c r="B83" s="88"/>
      <c r="C83" s="88"/>
      <c r="D83" s="88"/>
      <c r="E83" s="89"/>
      <c r="F83" s="88"/>
      <c r="G83" s="88"/>
      <c r="H83" s="88"/>
      <c r="I83" s="5"/>
      <c r="J83" s="5"/>
      <c r="K83" s="87"/>
    </row>
    <row r="84" s="74" customFormat="1" spans="1:11">
      <c r="A84" s="43" t="s">
        <v>64</v>
      </c>
      <c r="B84" s="88"/>
      <c r="C84" s="88"/>
      <c r="D84" s="88"/>
      <c r="E84" s="89"/>
      <c r="F84" s="88"/>
      <c r="G84" s="88"/>
      <c r="H84" s="88"/>
      <c r="I84" s="5"/>
      <c r="J84" s="5"/>
      <c r="K84" s="87"/>
    </row>
    <row r="85" s="74" customFormat="1" spans="1:11">
      <c r="A85" s="5" t="s">
        <v>65</v>
      </c>
      <c r="B85" s="5"/>
      <c r="C85" s="5"/>
      <c r="D85" s="5"/>
      <c r="E85" s="5"/>
      <c r="F85" s="5"/>
      <c r="G85" s="5"/>
      <c r="H85" s="5"/>
      <c r="I85" s="5"/>
      <c r="J85" s="5"/>
      <c r="K85" s="73"/>
    </row>
    <row r="86" s="74" customFormat="1" spans="1:11">
      <c r="A86" s="90"/>
      <c r="B86" s="91"/>
      <c r="C86" s="91"/>
      <c r="D86" s="91"/>
      <c r="E86" s="91"/>
      <c r="F86" s="91"/>
      <c r="G86" s="91"/>
      <c r="H86" s="92"/>
      <c r="I86" s="73"/>
      <c r="J86" s="73"/>
      <c r="K86" s="73"/>
    </row>
    <row r="87" s="74" customFormat="1" ht="15.5" spans="1:11">
      <c r="A87" s="73"/>
      <c r="B87" s="93"/>
      <c r="C87" s="93"/>
      <c r="D87" s="93"/>
      <c r="E87" s="93"/>
      <c r="F87" s="93"/>
      <c r="G87" s="73"/>
      <c r="H87" s="73"/>
      <c r="I87" s="73"/>
      <c r="J87" s="73"/>
      <c r="K87" s="73"/>
    </row>
    <row r="88" s="74" customFormat="1" ht="15.5" spans="1:11">
      <c r="A88" s="93" t="s">
        <v>66</v>
      </c>
      <c r="B88" s="73"/>
      <c r="C88" s="93"/>
      <c r="D88" s="93"/>
      <c r="E88" s="93"/>
      <c r="F88" s="93"/>
      <c r="G88" s="73"/>
      <c r="H88" s="93" t="s">
        <v>67</v>
      </c>
      <c r="I88" s="93"/>
      <c r="J88" s="93"/>
      <c r="K88" s="73"/>
    </row>
    <row r="89" s="74" customFormat="1" spans="1:1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</row>
    <row r="90" s="74" customFormat="1" spans="1:1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</row>
  </sheetData>
  <mergeCells count="49">
    <mergeCell ref="A1:K1"/>
    <mergeCell ref="A2:K2"/>
    <mergeCell ref="A3:K3"/>
    <mergeCell ref="A9:K9"/>
    <mergeCell ref="A56:K56"/>
    <mergeCell ref="H57:I57"/>
    <mergeCell ref="J57:K5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H68:I68"/>
    <mergeCell ref="J68:K68"/>
    <mergeCell ref="H69:I69"/>
    <mergeCell ref="J69:K69"/>
    <mergeCell ref="H70:I70"/>
    <mergeCell ref="J70:K70"/>
    <mergeCell ref="H71:I71"/>
    <mergeCell ref="J71:K71"/>
    <mergeCell ref="H72:I72"/>
    <mergeCell ref="J72:K72"/>
    <mergeCell ref="H73:I73"/>
    <mergeCell ref="J73:K73"/>
    <mergeCell ref="H74:I74"/>
    <mergeCell ref="J74:K74"/>
    <mergeCell ref="H75:I75"/>
    <mergeCell ref="J75:K75"/>
    <mergeCell ref="H76:I76"/>
    <mergeCell ref="J76:K76"/>
    <mergeCell ref="H77:I77"/>
    <mergeCell ref="J77:K77"/>
    <mergeCell ref="H78:I78"/>
    <mergeCell ref="J78:K78"/>
  </mergeCells>
  <pageMargins left="0.75" right="0.75" top="1" bottom="1" header="0.5" footer="0.5"/>
  <pageSetup paperSize="9" scale="81" orientation="portrait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view="pageBreakPreview" zoomScaleNormal="100" workbookViewId="0">
      <selection activeCell="L13" sqref="L13"/>
    </sheetView>
  </sheetViews>
  <sheetFormatPr defaultColWidth="8.8" defaultRowHeight="15"/>
  <cols>
    <col min="1" max="1" width="7.6" customWidth="1"/>
    <col min="2" max="2" width="7.3" customWidth="1"/>
    <col min="7" max="7" width="10.1"/>
    <col min="8" max="11" width="8.4" customWidth="1"/>
    <col min="12" max="12" width="5.41666666666667" customWidth="1"/>
  </cols>
  <sheetData>
    <row r="1" customFormat="1" ht="27.5" spans="1:11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customFormat="1" spans="1:11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customFormat="1" spans="1:11">
      <c r="A3" s="51" t="s">
        <v>2</v>
      </c>
      <c r="B3" s="51"/>
      <c r="C3" s="51"/>
      <c r="D3" s="51"/>
      <c r="E3" s="51"/>
      <c r="F3" s="51"/>
      <c r="G3" s="51"/>
      <c r="H3" s="51"/>
      <c r="I3" s="51"/>
      <c r="J3" s="51"/>
      <c r="K3" s="51"/>
    </row>
    <row r="4" customFormat="1" spans="1:11">
      <c r="A4" s="52"/>
      <c r="B4" s="7"/>
      <c r="C4" s="51"/>
      <c r="D4" s="51"/>
      <c r="E4" s="53"/>
      <c r="F4" s="53"/>
      <c r="G4" s="53"/>
      <c r="H4" s="52"/>
      <c r="I4" s="52"/>
      <c r="J4" s="52"/>
      <c r="K4" s="51"/>
    </row>
    <row r="5" customFormat="1" spans="1:11">
      <c r="A5" s="7" t="s">
        <v>3</v>
      </c>
      <c r="B5" s="7" t="s">
        <v>4</v>
      </c>
      <c r="C5" s="12"/>
      <c r="D5" s="12"/>
      <c r="E5" s="54"/>
      <c r="F5" s="54"/>
      <c r="G5" s="54"/>
      <c r="H5" s="55"/>
      <c r="I5" s="12" t="s">
        <v>5</v>
      </c>
      <c r="J5" s="7" t="s">
        <v>6</v>
      </c>
    </row>
    <row r="6" customFormat="1" spans="1:11">
      <c r="A6" s="12" t="s">
        <v>7</v>
      </c>
      <c r="B6" s="12" t="s">
        <v>75</v>
      </c>
      <c r="C6" s="12"/>
      <c r="D6" s="12"/>
      <c r="E6" s="54"/>
      <c r="F6" s="54"/>
      <c r="G6" s="54"/>
      <c r="H6" s="55"/>
      <c r="I6" s="12" t="s">
        <v>9</v>
      </c>
      <c r="J6" s="12"/>
    </row>
    <row r="7" customFormat="1" ht="26" spans="1:11">
      <c r="A7" s="12"/>
      <c r="B7" s="56" t="s">
        <v>118</v>
      </c>
      <c r="C7" s="12"/>
      <c r="D7" s="12"/>
      <c r="E7" s="54"/>
      <c r="F7" s="54"/>
      <c r="G7" s="54"/>
      <c r="H7" s="12"/>
      <c r="I7" s="13" t="s">
        <v>10</v>
      </c>
      <c r="J7" s="57"/>
    </row>
    <row r="8" customFormat="1" spans="1:11">
      <c r="A8" s="12"/>
      <c r="B8" s="12"/>
      <c r="C8" s="12"/>
      <c r="D8" s="12"/>
      <c r="E8" s="54"/>
      <c r="F8" s="54"/>
      <c r="G8" s="54"/>
      <c r="H8" s="12"/>
      <c r="I8" s="13"/>
      <c r="J8" s="57"/>
    </row>
    <row r="9" customFormat="1" ht="21" spans="1:11">
      <c r="A9" s="58" t="s">
        <v>119</v>
      </c>
      <c r="B9" s="58"/>
      <c r="C9" s="58"/>
      <c r="D9" s="58"/>
      <c r="E9" s="58"/>
      <c r="F9" s="58"/>
      <c r="G9" s="58"/>
      <c r="H9" s="58"/>
      <c r="I9" s="58"/>
      <c r="J9" s="58"/>
      <c r="K9" s="58"/>
    </row>
    <row r="10" ht="20.4" customHeight="1" spans="1:11">
      <c r="A10" s="20" t="s">
        <v>12</v>
      </c>
      <c r="B10" s="17" t="s">
        <v>13</v>
      </c>
      <c r="C10" s="17" t="s">
        <v>14</v>
      </c>
      <c r="D10" s="17" t="s">
        <v>15</v>
      </c>
      <c r="E10" s="16" t="s">
        <v>16</v>
      </c>
      <c r="F10" s="17" t="s">
        <v>17</v>
      </c>
      <c r="G10" s="17" t="s">
        <v>18</v>
      </c>
      <c r="H10" s="59" t="s">
        <v>19</v>
      </c>
      <c r="I10" s="60" t="s">
        <v>20</v>
      </c>
      <c r="J10" s="60" t="s">
        <v>21</v>
      </c>
      <c r="K10" s="60" t="s">
        <v>22</v>
      </c>
    </row>
    <row r="11" s="1" customFormat="1" spans="1:11">
      <c r="A11" s="20" t="s">
        <v>120</v>
      </c>
      <c r="B11" s="61">
        <v>2.5</v>
      </c>
      <c r="C11" s="21">
        <f>B11*25.4*0.001</f>
        <v>0.0635</v>
      </c>
      <c r="D11" s="21">
        <f>(B11+1.2)*25.4*0.001</f>
        <v>0.09398</v>
      </c>
      <c r="E11" s="62" t="s">
        <v>70</v>
      </c>
      <c r="F11" s="22" t="s">
        <v>41</v>
      </c>
      <c r="G11" s="20" t="s">
        <v>26</v>
      </c>
      <c r="H11" s="63">
        <f>ROUND(J11/13.33,3)</f>
        <v>9.527</v>
      </c>
      <c r="I11" s="42">
        <f>J11*0.9</f>
        <v>114.3</v>
      </c>
      <c r="J11" s="64">
        <v>127</v>
      </c>
      <c r="K11" s="64">
        <f>J11*1.05</f>
        <v>133.35</v>
      </c>
    </row>
    <row r="12" s="1" customFormat="1" spans="1:11">
      <c r="A12" s="20" t="s">
        <v>120</v>
      </c>
      <c r="B12" s="65">
        <v>4</v>
      </c>
      <c r="C12" s="21">
        <f>B12*25.4*0.001</f>
        <v>0.1016</v>
      </c>
      <c r="D12" s="21">
        <f>(B12+1.2)*25.4*0.001</f>
        <v>0.13208</v>
      </c>
      <c r="E12" s="20" t="s">
        <v>28</v>
      </c>
      <c r="F12" s="22" t="s">
        <v>41</v>
      </c>
      <c r="G12" s="20" t="s">
        <v>26</v>
      </c>
      <c r="H12" s="63">
        <f>ROUND(J12/13.33,3)</f>
        <v>9.977</v>
      </c>
      <c r="I12" s="42">
        <f>J12*0.9</f>
        <v>119.7</v>
      </c>
      <c r="J12" s="64">
        <v>133</v>
      </c>
      <c r="K12" s="64">
        <f>J12*1.05</f>
        <v>139.65</v>
      </c>
    </row>
    <row r="13" s="1" customFormat="1" spans="1:11">
      <c r="A13" s="20" t="s">
        <v>120</v>
      </c>
      <c r="B13" s="65">
        <v>16</v>
      </c>
      <c r="C13" s="21">
        <f>B13*25.4*0.001</f>
        <v>0.4064</v>
      </c>
      <c r="D13" s="21">
        <f>(B13+1.2)*25.4*0.001</f>
        <v>0.43688</v>
      </c>
      <c r="E13" s="20" t="s">
        <v>116</v>
      </c>
      <c r="F13" s="22" t="s">
        <v>41</v>
      </c>
      <c r="G13" s="20" t="s">
        <v>26</v>
      </c>
      <c r="H13" s="63">
        <f>ROUND(J13/13.33,3)</f>
        <v>12.228</v>
      </c>
      <c r="I13" s="42">
        <f>J13*0.9</f>
        <v>146.7</v>
      </c>
      <c r="J13" s="64">
        <v>163</v>
      </c>
      <c r="K13" s="64">
        <f>J13*1.05</f>
        <v>171.15</v>
      </c>
    </row>
    <row r="15" customFormat="1" ht="21" spans="1:11">
      <c r="A15" s="29" t="s">
        <v>121</v>
      </c>
      <c r="B15" s="29"/>
      <c r="C15" s="29"/>
      <c r="D15" s="29"/>
      <c r="E15" s="29"/>
      <c r="F15" s="29"/>
      <c r="G15" s="29"/>
      <c r="H15" s="29"/>
      <c r="I15" s="29"/>
      <c r="J15" s="29"/>
      <c r="K15" s="29"/>
    </row>
    <row r="16" spans="1:11">
      <c r="A16" s="39" t="s">
        <v>12</v>
      </c>
      <c r="B16" s="66" t="s">
        <v>49</v>
      </c>
      <c r="C16" s="66" t="s">
        <v>50</v>
      </c>
      <c r="D16" s="66" t="s">
        <v>51</v>
      </c>
      <c r="E16" s="66" t="s">
        <v>52</v>
      </c>
      <c r="F16" s="67" t="s">
        <v>53</v>
      </c>
      <c r="G16" s="67" t="s">
        <v>54</v>
      </c>
      <c r="H16" s="33" t="s">
        <v>55</v>
      </c>
      <c r="I16" s="34"/>
      <c r="J16" s="33" t="s">
        <v>56</v>
      </c>
      <c r="K16" s="34"/>
    </row>
    <row r="17" s="1" customFormat="1" spans="1:11">
      <c r="A17" s="20" t="s">
        <v>122</v>
      </c>
      <c r="B17" s="39">
        <v>106</v>
      </c>
      <c r="C17" s="40">
        <v>0.74</v>
      </c>
      <c r="D17" s="39">
        <v>300</v>
      </c>
      <c r="E17" s="41" t="s">
        <v>58</v>
      </c>
      <c r="F17" s="68">
        <v>3937</v>
      </c>
      <c r="G17" s="69">
        <f t="shared" ref="G17:G22" si="0">ROUND(H17*300/3937,3)</f>
        <v>2.438</v>
      </c>
      <c r="H17" s="64">
        <v>32</v>
      </c>
      <c r="I17" s="64"/>
      <c r="J17" s="42">
        <f t="shared" ref="J17:J22" si="1">H17*D17</f>
        <v>9600</v>
      </c>
      <c r="K17" s="42"/>
    </row>
    <row r="18" s="1" customFormat="1" spans="1:11">
      <c r="A18" s="20" t="s">
        <v>122</v>
      </c>
      <c r="B18" s="39">
        <v>106</v>
      </c>
      <c r="C18" s="40">
        <v>0.76</v>
      </c>
      <c r="D18" s="39">
        <v>300</v>
      </c>
      <c r="E18" s="41" t="s">
        <v>58</v>
      </c>
      <c r="F18" s="68">
        <v>3937</v>
      </c>
      <c r="G18" s="69">
        <f t="shared" si="0"/>
        <v>2.591</v>
      </c>
      <c r="H18" s="64">
        <v>34</v>
      </c>
      <c r="I18" s="64"/>
      <c r="J18" s="42">
        <f t="shared" si="1"/>
        <v>10200</v>
      </c>
      <c r="K18" s="42"/>
    </row>
    <row r="19" s="1" customFormat="1" spans="1:11">
      <c r="A19" s="20" t="s">
        <v>122</v>
      </c>
      <c r="B19" s="39">
        <v>1037</v>
      </c>
      <c r="C19" s="40">
        <v>0.72</v>
      </c>
      <c r="D19" s="39">
        <v>200</v>
      </c>
      <c r="E19" s="41" t="s">
        <v>58</v>
      </c>
      <c r="F19" s="20">
        <v>2624.7</v>
      </c>
      <c r="G19" s="69">
        <f t="shared" si="0"/>
        <v>2.591</v>
      </c>
      <c r="H19" s="64">
        <v>34</v>
      </c>
      <c r="I19" s="64"/>
      <c r="J19" s="42">
        <f t="shared" si="1"/>
        <v>6800</v>
      </c>
      <c r="K19" s="42"/>
    </row>
    <row r="20" s="1" customFormat="1" spans="1:11">
      <c r="A20" s="20" t="s">
        <v>122</v>
      </c>
      <c r="B20" s="39">
        <v>1037</v>
      </c>
      <c r="C20" s="40">
        <v>0.74</v>
      </c>
      <c r="D20" s="39">
        <v>200</v>
      </c>
      <c r="E20" s="41" t="s">
        <v>58</v>
      </c>
      <c r="F20" s="20">
        <v>2624.7</v>
      </c>
      <c r="G20" s="69">
        <f t="shared" si="0"/>
        <v>2.667</v>
      </c>
      <c r="H20" s="64">
        <v>35</v>
      </c>
      <c r="I20" s="64"/>
      <c r="J20" s="42">
        <f t="shared" si="1"/>
        <v>7000</v>
      </c>
      <c r="K20" s="42"/>
    </row>
    <row r="21" s="1" customFormat="1" spans="1:11">
      <c r="A21" s="20" t="s">
        <v>122</v>
      </c>
      <c r="B21" s="39">
        <v>1037</v>
      </c>
      <c r="C21" s="40">
        <v>0.76</v>
      </c>
      <c r="D21" s="39">
        <v>200</v>
      </c>
      <c r="E21" s="41" t="s">
        <v>58</v>
      </c>
      <c r="F21" s="20">
        <v>2624.7</v>
      </c>
      <c r="G21" s="69">
        <f t="shared" si="0"/>
        <v>2.743</v>
      </c>
      <c r="H21" s="64">
        <v>36</v>
      </c>
      <c r="I21" s="64"/>
      <c r="J21" s="42">
        <f t="shared" si="1"/>
        <v>7200</v>
      </c>
      <c r="K21" s="42"/>
    </row>
    <row r="22" s="1" customFormat="1" spans="1:11">
      <c r="A22" s="20" t="s">
        <v>122</v>
      </c>
      <c r="B22" s="39">
        <v>1067</v>
      </c>
      <c r="C22" s="40">
        <v>0.69</v>
      </c>
      <c r="D22" s="39">
        <v>300</v>
      </c>
      <c r="E22" s="41" t="s">
        <v>58</v>
      </c>
      <c r="F22" s="20">
        <v>2624.7</v>
      </c>
      <c r="G22" s="69">
        <f t="shared" si="0"/>
        <v>2.515</v>
      </c>
      <c r="H22" s="64">
        <v>33</v>
      </c>
      <c r="I22" s="64"/>
      <c r="J22" s="42">
        <f t="shared" si="1"/>
        <v>9900</v>
      </c>
      <c r="K22" s="42"/>
    </row>
    <row r="25" customFormat="1" spans="1:11">
      <c r="A25" s="43" t="s">
        <v>60</v>
      </c>
      <c r="B25" s="44"/>
      <c r="C25" s="44"/>
      <c r="D25" s="44"/>
      <c r="E25" s="45"/>
      <c r="F25" s="44"/>
      <c r="G25" s="44"/>
      <c r="H25" s="44"/>
      <c r="I25" s="44"/>
      <c r="J25" s="44"/>
      <c r="K25" s="70"/>
    </row>
    <row r="26" customFormat="1" spans="1:11">
      <c r="A26" s="46" t="s">
        <v>61</v>
      </c>
      <c r="B26" s="44"/>
      <c r="C26" s="44"/>
      <c r="D26" s="44"/>
      <c r="E26" s="45"/>
      <c r="F26" s="44"/>
      <c r="G26" s="44"/>
      <c r="H26" s="44"/>
      <c r="I26" s="44"/>
      <c r="J26" s="44"/>
      <c r="K26" s="70"/>
    </row>
    <row r="27" customFormat="1" spans="1:11">
      <c r="A27" s="43" t="s">
        <v>62</v>
      </c>
      <c r="B27" s="47"/>
      <c r="C27" s="47"/>
      <c r="D27" s="47"/>
      <c r="E27" s="48"/>
      <c r="F27" s="47"/>
      <c r="G27" s="47"/>
      <c r="H27" s="47"/>
      <c r="I27" s="44"/>
      <c r="J27" s="44"/>
      <c r="K27" s="70"/>
    </row>
    <row r="28" customFormat="1" spans="1:11">
      <c r="A28" s="43" t="s">
        <v>63</v>
      </c>
      <c r="B28" s="47"/>
      <c r="C28" s="47"/>
      <c r="D28" s="47"/>
      <c r="E28" s="48"/>
      <c r="F28" s="47"/>
      <c r="G28" s="47"/>
      <c r="H28" s="47"/>
      <c r="I28" s="44"/>
      <c r="J28" s="44"/>
      <c r="K28" s="70"/>
    </row>
    <row r="29" customFormat="1" spans="1:11">
      <c r="A29" s="43" t="s">
        <v>64</v>
      </c>
      <c r="B29" s="47"/>
      <c r="C29" s="47"/>
      <c r="D29" s="47"/>
      <c r="E29" s="48"/>
      <c r="F29" s="47"/>
      <c r="G29" s="47"/>
      <c r="H29" s="47"/>
      <c r="I29" s="44"/>
      <c r="J29" s="44"/>
      <c r="K29" s="70"/>
    </row>
    <row r="30" customFormat="1" spans="1:11">
      <c r="A30" s="44" t="s">
        <v>123</v>
      </c>
      <c r="B30" s="44"/>
      <c r="C30" s="44"/>
      <c r="D30" s="44"/>
      <c r="E30" s="44"/>
      <c r="F30" s="44"/>
      <c r="G30" s="44"/>
      <c r="H30" s="44"/>
      <c r="I30" s="44"/>
      <c r="J30" s="44"/>
      <c r="K30" s="71"/>
    </row>
    <row r="31" customFormat="1" ht="15.5" spans="1:11">
      <c r="A31" s="71"/>
      <c r="B31" s="72"/>
      <c r="C31" s="72"/>
      <c r="D31" s="72"/>
      <c r="E31" s="72"/>
      <c r="F31" s="72"/>
      <c r="G31" s="71"/>
      <c r="H31" s="71"/>
      <c r="I31" s="71"/>
      <c r="J31" s="71"/>
      <c r="K31" s="71"/>
    </row>
    <row r="32" customFormat="1" ht="15.5" spans="1:11">
      <c r="A32" s="72" t="s">
        <v>66</v>
      </c>
      <c r="B32" s="71" t="s">
        <v>124</v>
      </c>
      <c r="C32" s="72"/>
      <c r="D32" s="72"/>
      <c r="E32" s="72"/>
      <c r="F32" s="72"/>
      <c r="G32" s="71"/>
      <c r="H32" s="72" t="s">
        <v>67</v>
      </c>
      <c r="I32" s="72"/>
      <c r="J32" s="72"/>
      <c r="K32" s="71"/>
    </row>
    <row r="33" customFormat="1" spans="1:1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</row>
  </sheetData>
  <mergeCells count="19">
    <mergeCell ref="A1:K1"/>
    <mergeCell ref="A2:K2"/>
    <mergeCell ref="A3:K3"/>
    <mergeCell ref="A9:K9"/>
    <mergeCell ref="A15:K15"/>
    <mergeCell ref="H16:I16"/>
    <mergeCell ref="J16:K16"/>
    <mergeCell ref="H17:I17"/>
    <mergeCell ref="J17:K17"/>
    <mergeCell ref="H18:I18"/>
    <mergeCell ref="J18:K18"/>
    <mergeCell ref="H19:I19"/>
    <mergeCell ref="J19:K19"/>
    <mergeCell ref="H20:I20"/>
    <mergeCell ref="J20:K20"/>
    <mergeCell ref="H21:I21"/>
    <mergeCell ref="J21:K21"/>
    <mergeCell ref="H22:I22"/>
    <mergeCell ref="J22:K22"/>
  </mergeCells>
  <pageMargins left="0.75" right="0.75" top="1" bottom="1" header="0.5" footer="0.5"/>
  <pageSetup paperSize="9" scale="78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"/>
  <sheetViews>
    <sheetView view="pageBreakPreview" zoomScaleNormal="100" topLeftCell="A9" workbookViewId="0">
      <selection activeCell="J18" sqref="J18"/>
    </sheetView>
  </sheetViews>
  <sheetFormatPr defaultColWidth="8.8" defaultRowHeight="15"/>
  <cols>
    <col min="2" max="7" width="8.3" customWidth="1"/>
    <col min="8" max="11" width="8.1" customWidth="1"/>
  </cols>
  <sheetData>
    <row r="1" ht="27.5" spans="1:1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4"/>
      <c r="B4" s="5"/>
      <c r="C4" s="3"/>
      <c r="D4" s="3"/>
      <c r="E4" s="6"/>
      <c r="F4" s="6"/>
      <c r="G4" s="6"/>
      <c r="H4" s="4"/>
      <c r="I4" s="4"/>
      <c r="J4" s="4"/>
      <c r="K4" s="3"/>
    </row>
    <row r="5" spans="1:11">
      <c r="A5" s="7" t="s">
        <v>3</v>
      </c>
      <c r="B5" s="7" t="s">
        <v>4</v>
      </c>
      <c r="C5" s="8"/>
      <c r="D5" s="8"/>
      <c r="E5" s="9"/>
      <c r="F5" s="9"/>
      <c r="G5" s="9"/>
      <c r="H5" s="10"/>
      <c r="I5" s="8" t="s">
        <v>5</v>
      </c>
      <c r="J5" s="5" t="s">
        <v>6</v>
      </c>
      <c r="K5" s="11"/>
    </row>
    <row r="6" spans="1:11">
      <c r="A6" s="12" t="s">
        <v>7</v>
      </c>
      <c r="B6" s="12" t="s">
        <v>75</v>
      </c>
      <c r="C6" s="8"/>
      <c r="D6" s="8"/>
      <c r="E6" s="9"/>
      <c r="F6" s="9"/>
      <c r="G6" s="9"/>
      <c r="H6" s="10"/>
      <c r="I6" s="8" t="s">
        <v>9</v>
      </c>
      <c r="J6" s="8"/>
      <c r="K6" s="11"/>
    </row>
    <row r="7" spans="1:11">
      <c r="A7" s="12"/>
      <c r="B7" s="12"/>
      <c r="C7" s="8"/>
      <c r="D7" s="8"/>
      <c r="E7" s="9"/>
      <c r="F7" s="9"/>
      <c r="G7" s="9"/>
      <c r="H7" s="8"/>
      <c r="I7" s="13" t="s">
        <v>10</v>
      </c>
      <c r="J7" s="14"/>
      <c r="K7" s="14"/>
    </row>
    <row r="8" spans="1:11">
      <c r="A8" s="12"/>
      <c r="B8" s="12"/>
      <c r="C8" s="8"/>
      <c r="D8" s="8"/>
      <c r="E8" s="9"/>
      <c r="F8" s="9"/>
      <c r="G8" s="9"/>
      <c r="H8" s="8"/>
      <c r="I8" s="13"/>
      <c r="J8" s="14"/>
      <c r="K8" s="14"/>
    </row>
    <row r="9" ht="21" spans="1:11">
      <c r="A9" s="15" t="s">
        <v>125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0" ht="19.8" customHeight="1" spans="1:11">
      <c r="A10" s="16" t="s">
        <v>12</v>
      </c>
      <c r="B10" s="17" t="s">
        <v>13</v>
      </c>
      <c r="C10" s="17" t="s">
        <v>14</v>
      </c>
      <c r="D10" s="17" t="s">
        <v>15</v>
      </c>
      <c r="E10" s="16" t="s">
        <v>16</v>
      </c>
      <c r="F10" s="17" t="s">
        <v>17</v>
      </c>
      <c r="G10" s="17" t="s">
        <v>18</v>
      </c>
      <c r="H10" s="18" t="s">
        <v>19</v>
      </c>
      <c r="I10" s="19" t="s">
        <v>20</v>
      </c>
      <c r="J10" s="19" t="s">
        <v>21</v>
      </c>
      <c r="K10" s="19" t="s">
        <v>22</v>
      </c>
    </row>
    <row r="11" s="1" customFormat="1" spans="1:11">
      <c r="A11" s="20" t="s">
        <v>126</v>
      </c>
      <c r="B11" s="20">
        <v>3</v>
      </c>
      <c r="C11" s="21">
        <f t="shared" ref="C11:C19" si="0">B11*25.4*0.001</f>
        <v>0.0762</v>
      </c>
      <c r="D11" s="21">
        <f>(B11+2.6)*25.4*0.001</f>
        <v>0.14224</v>
      </c>
      <c r="E11" s="20" t="s">
        <v>70</v>
      </c>
      <c r="F11" s="20" t="s">
        <v>127</v>
      </c>
      <c r="G11" s="22" t="s">
        <v>25</v>
      </c>
      <c r="H11" s="23">
        <f t="shared" ref="H11:H19" si="1">ROUND(J11/13.33,3)</f>
        <v>25.506</v>
      </c>
      <c r="I11" s="20">
        <f t="shared" ref="I11:I19" si="2">ROUND(J11*0.9,2)</f>
        <v>306</v>
      </c>
      <c r="J11" s="20">
        <v>340</v>
      </c>
      <c r="K11" s="20">
        <f t="shared" ref="K11:K19" si="3">ROUND(J11*1.05,2)</f>
        <v>357</v>
      </c>
    </row>
    <row r="12" s="1" customFormat="1" spans="1:11">
      <c r="A12" s="20" t="s">
        <v>126</v>
      </c>
      <c r="B12" s="20">
        <v>3.5</v>
      </c>
      <c r="C12" s="21">
        <f t="shared" si="0"/>
        <v>0.0889</v>
      </c>
      <c r="D12" s="21">
        <f>(B12+2.6)*25.4*0.001</f>
        <v>0.15494</v>
      </c>
      <c r="E12" s="20" t="s">
        <v>70</v>
      </c>
      <c r="F12" s="20" t="s">
        <v>127</v>
      </c>
      <c r="G12" s="22" t="s">
        <v>41</v>
      </c>
      <c r="H12" s="23">
        <f t="shared" si="1"/>
        <v>18.605</v>
      </c>
      <c r="I12" s="20">
        <f t="shared" si="2"/>
        <v>223.2</v>
      </c>
      <c r="J12" s="20">
        <v>248</v>
      </c>
      <c r="K12" s="20">
        <f t="shared" si="3"/>
        <v>260.4</v>
      </c>
    </row>
    <row r="13" s="1" customFormat="1" spans="1:11">
      <c r="A13" s="20" t="s">
        <v>126</v>
      </c>
      <c r="B13" s="20">
        <v>4</v>
      </c>
      <c r="C13" s="21">
        <f t="shared" si="0"/>
        <v>0.1016</v>
      </c>
      <c r="D13" s="21">
        <f>(B13+1.3)*25.4*0.001</f>
        <v>0.13462</v>
      </c>
      <c r="E13" s="20" t="s">
        <v>128</v>
      </c>
      <c r="F13" s="20" t="s">
        <v>127</v>
      </c>
      <c r="G13" s="24" t="s">
        <v>41</v>
      </c>
      <c r="H13" s="23">
        <f t="shared" si="1"/>
        <v>25.131</v>
      </c>
      <c r="I13" s="20">
        <f t="shared" si="2"/>
        <v>301.5</v>
      </c>
      <c r="J13" s="20">
        <v>335</v>
      </c>
      <c r="K13" s="20">
        <f t="shared" si="3"/>
        <v>351.75</v>
      </c>
    </row>
    <row r="14" s="1" customFormat="1" spans="1:11">
      <c r="A14" s="20" t="s">
        <v>126</v>
      </c>
      <c r="B14" s="20">
        <v>5</v>
      </c>
      <c r="C14" s="21">
        <f t="shared" si="0"/>
        <v>0.127</v>
      </c>
      <c r="D14" s="21">
        <f>(B14+2.6)*25.4*0.001</f>
        <v>0.19304</v>
      </c>
      <c r="E14" s="20" t="s">
        <v>28</v>
      </c>
      <c r="F14" s="20" t="s">
        <v>127</v>
      </c>
      <c r="G14" s="22" t="s">
        <v>25</v>
      </c>
      <c r="H14" s="23">
        <f t="shared" si="1"/>
        <v>25.956</v>
      </c>
      <c r="I14" s="20">
        <f t="shared" si="2"/>
        <v>311.4</v>
      </c>
      <c r="J14" s="20">
        <v>346</v>
      </c>
      <c r="K14" s="20">
        <f t="shared" si="3"/>
        <v>363.3</v>
      </c>
    </row>
    <row r="15" s="1" customFormat="1" spans="1:11">
      <c r="A15" s="20" t="s">
        <v>126</v>
      </c>
      <c r="B15" s="20">
        <v>3</v>
      </c>
      <c r="C15" s="21">
        <f t="shared" si="0"/>
        <v>0.0762</v>
      </c>
      <c r="D15" s="21">
        <f>(B15+2.6)*25.4*0.001</f>
        <v>0.14224</v>
      </c>
      <c r="E15" s="20" t="s">
        <v>70</v>
      </c>
      <c r="F15" s="20" t="s">
        <v>129</v>
      </c>
      <c r="G15" s="22" t="s">
        <v>130</v>
      </c>
      <c r="H15" s="23">
        <f t="shared" si="1"/>
        <v>31.583</v>
      </c>
      <c r="I15" s="20">
        <f t="shared" si="2"/>
        <v>378.9</v>
      </c>
      <c r="J15" s="20">
        <v>421</v>
      </c>
      <c r="K15" s="20">
        <f t="shared" si="3"/>
        <v>442.05</v>
      </c>
    </row>
    <row r="16" s="1" customFormat="1" spans="1:11">
      <c r="A16" s="20" t="s">
        <v>126</v>
      </c>
      <c r="B16" s="20">
        <v>4</v>
      </c>
      <c r="C16" s="21">
        <f t="shared" si="0"/>
        <v>0.1016</v>
      </c>
      <c r="D16" s="21">
        <f>(B16+5.2)*25.4*0.001</f>
        <v>0.23368</v>
      </c>
      <c r="E16" s="20" t="s">
        <v>128</v>
      </c>
      <c r="F16" s="20" t="s">
        <v>72</v>
      </c>
      <c r="G16" s="22" t="s">
        <v>46</v>
      </c>
      <c r="H16" s="23">
        <f t="shared" si="1"/>
        <v>42.911</v>
      </c>
      <c r="I16" s="20">
        <f t="shared" si="2"/>
        <v>514.8</v>
      </c>
      <c r="J16" s="20">
        <v>572</v>
      </c>
      <c r="K16" s="20">
        <f t="shared" si="3"/>
        <v>600.6</v>
      </c>
    </row>
    <row r="17" s="1" customFormat="1" spans="1:11">
      <c r="A17" s="20" t="s">
        <v>126</v>
      </c>
      <c r="B17" s="20">
        <v>29.52</v>
      </c>
      <c r="C17" s="21">
        <f t="shared" si="0"/>
        <v>0.749808</v>
      </c>
      <c r="D17" s="21">
        <f>(B17+1.3)*25.4*0.001</f>
        <v>0.782828</v>
      </c>
      <c r="E17" s="20" t="s">
        <v>131</v>
      </c>
      <c r="F17" s="20" t="s">
        <v>127</v>
      </c>
      <c r="G17" s="22" t="s">
        <v>41</v>
      </c>
      <c r="H17" s="23">
        <f t="shared" si="1"/>
        <v>60.765</v>
      </c>
      <c r="I17" s="20">
        <f t="shared" si="2"/>
        <v>729</v>
      </c>
      <c r="J17" s="20">
        <v>810</v>
      </c>
      <c r="K17" s="20">
        <f t="shared" si="3"/>
        <v>850.5</v>
      </c>
    </row>
    <row r="18" s="1" customFormat="1" spans="1:11">
      <c r="A18" s="25" t="s">
        <v>126</v>
      </c>
      <c r="B18" s="25">
        <v>2.5</v>
      </c>
      <c r="C18" s="26">
        <f t="shared" si="0"/>
        <v>0.0635</v>
      </c>
      <c r="D18" s="26">
        <f>(B18+1)*25.4*0.001</f>
        <v>0.0889</v>
      </c>
      <c r="E18" s="25" t="s">
        <v>70</v>
      </c>
      <c r="F18" s="25" t="s">
        <v>72</v>
      </c>
      <c r="G18" s="27" t="s">
        <v>132</v>
      </c>
      <c r="H18" s="28">
        <f t="shared" si="1"/>
        <v>17.329</v>
      </c>
      <c r="I18" s="25">
        <f t="shared" si="2"/>
        <v>207.9</v>
      </c>
      <c r="J18" s="25">
        <f>210*1.1</f>
        <v>231</v>
      </c>
      <c r="K18" s="25">
        <f t="shared" si="3"/>
        <v>242.55</v>
      </c>
    </row>
    <row r="19" spans="1:11">
      <c r="A19" s="25" t="s">
        <v>126</v>
      </c>
      <c r="B19" s="25">
        <v>2.5</v>
      </c>
      <c r="C19" s="26">
        <f t="shared" si="0"/>
        <v>0.0635</v>
      </c>
      <c r="D19" s="26">
        <f>(B19+1)*25.4*0.001</f>
        <v>0.0889</v>
      </c>
      <c r="E19" s="25" t="s">
        <v>70</v>
      </c>
      <c r="F19" s="25" t="s">
        <v>26</v>
      </c>
      <c r="G19" s="27" t="s">
        <v>132</v>
      </c>
      <c r="H19" s="28">
        <f t="shared" si="1"/>
        <v>17.179</v>
      </c>
      <c r="I19" s="25">
        <f t="shared" si="2"/>
        <v>206.1</v>
      </c>
      <c r="J19" s="25">
        <v>229</v>
      </c>
      <c r="K19" s="25">
        <f t="shared" si="3"/>
        <v>240.45</v>
      </c>
    </row>
    <row r="20" ht="21" spans="1:11">
      <c r="A20" s="29" t="s">
        <v>133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</row>
    <row r="21" ht="19.8" customHeight="1" spans="1:11">
      <c r="A21" s="30" t="s">
        <v>12</v>
      </c>
      <c r="B21" s="30" t="s">
        <v>49</v>
      </c>
      <c r="C21" s="30" t="s">
        <v>50</v>
      </c>
      <c r="D21" s="30" t="s">
        <v>51</v>
      </c>
      <c r="E21" s="30" t="s">
        <v>52</v>
      </c>
      <c r="F21" s="31" t="s">
        <v>53</v>
      </c>
      <c r="G21" s="32" t="s">
        <v>54</v>
      </c>
      <c r="H21" s="33" t="s">
        <v>55</v>
      </c>
      <c r="I21" s="34"/>
      <c r="J21" s="33" t="s">
        <v>56</v>
      </c>
      <c r="K21" s="34"/>
    </row>
    <row r="22" customFormat="1" ht="19.8" customHeight="1" spans="1:11">
      <c r="A22" s="25" t="s">
        <v>134</v>
      </c>
      <c r="B22" s="35">
        <v>106</v>
      </c>
      <c r="C22" s="36">
        <v>0.74</v>
      </c>
      <c r="D22" s="35">
        <v>300</v>
      </c>
      <c r="E22" s="37" t="s">
        <v>58</v>
      </c>
      <c r="F22" s="25">
        <v>3937</v>
      </c>
      <c r="G22" s="25">
        <f>ROUND(H22*300/3937,3)</f>
        <v>11.354</v>
      </c>
      <c r="H22" s="25">
        <v>149</v>
      </c>
      <c r="I22" s="25"/>
      <c r="J22" s="38">
        <f>ROUND(H22*D22,2)</f>
        <v>44700</v>
      </c>
      <c r="K22" s="38"/>
    </row>
    <row r="23" s="1" customFormat="1" spans="1:11">
      <c r="A23" s="20" t="s">
        <v>134</v>
      </c>
      <c r="B23" s="39">
        <v>106</v>
      </c>
      <c r="C23" s="40">
        <v>0.77</v>
      </c>
      <c r="D23" s="39">
        <v>300</v>
      </c>
      <c r="E23" s="41" t="s">
        <v>58</v>
      </c>
      <c r="F23" s="20">
        <v>3937</v>
      </c>
      <c r="G23" s="20">
        <f>ROUND(H23*300/3937,3)</f>
        <v>11.735</v>
      </c>
      <c r="H23" s="20">
        <v>154</v>
      </c>
      <c r="I23" s="20"/>
      <c r="J23" s="42">
        <f>ROUND(H23*D23,2)</f>
        <v>46200</v>
      </c>
      <c r="K23" s="42"/>
    </row>
    <row r="24" s="1" customFormat="1" spans="1:11">
      <c r="A24" s="25" t="s">
        <v>134</v>
      </c>
      <c r="B24" s="35">
        <v>1067</v>
      </c>
      <c r="C24" s="36">
        <v>0.74</v>
      </c>
      <c r="D24" s="35">
        <v>300</v>
      </c>
      <c r="E24" s="37" t="s">
        <v>58</v>
      </c>
      <c r="F24" s="25">
        <v>3937</v>
      </c>
      <c r="G24" s="25">
        <f>ROUND(H24*300/3937,3)</f>
        <v>11.201</v>
      </c>
      <c r="H24" s="25">
        <v>147</v>
      </c>
      <c r="I24" s="25"/>
      <c r="J24" s="38">
        <f>ROUND(H24*D24,2)</f>
        <v>44100</v>
      </c>
      <c r="K24" s="38"/>
    </row>
    <row r="25" s="1" customFormat="1" spans="1:11">
      <c r="A25" s="20" t="s">
        <v>134</v>
      </c>
      <c r="B25" s="39">
        <v>1067</v>
      </c>
      <c r="C25" s="40">
        <v>0.75</v>
      </c>
      <c r="D25" s="39">
        <v>300</v>
      </c>
      <c r="E25" s="41" t="s">
        <v>58</v>
      </c>
      <c r="F25" s="20">
        <v>3937</v>
      </c>
      <c r="G25" s="20">
        <f t="shared" ref="G25:G32" si="4">ROUND(H25*300/3937,3)</f>
        <v>11.354</v>
      </c>
      <c r="H25" s="20">
        <v>149</v>
      </c>
      <c r="I25" s="20"/>
      <c r="J25" s="42">
        <f t="shared" ref="J25:J32" si="5">ROUND(H25*D25,2)</f>
        <v>44700</v>
      </c>
      <c r="K25" s="42"/>
    </row>
    <row r="26" s="1" customFormat="1" spans="1:11">
      <c r="A26" s="20" t="s">
        <v>134</v>
      </c>
      <c r="B26" s="39">
        <v>1078</v>
      </c>
      <c r="C26" s="40">
        <v>0.71</v>
      </c>
      <c r="D26" s="39">
        <v>300</v>
      </c>
      <c r="E26" s="41" t="s">
        <v>58</v>
      </c>
      <c r="F26" s="20">
        <v>3937</v>
      </c>
      <c r="G26" s="20">
        <f t="shared" si="4"/>
        <v>11.582</v>
      </c>
      <c r="H26" s="20">
        <v>152</v>
      </c>
      <c r="I26" s="20"/>
      <c r="J26" s="42">
        <f t="shared" si="5"/>
        <v>45600</v>
      </c>
      <c r="K26" s="42"/>
    </row>
    <row r="27" s="1" customFormat="1" spans="1:11">
      <c r="A27" s="20" t="s">
        <v>134</v>
      </c>
      <c r="B27" s="39">
        <v>1080</v>
      </c>
      <c r="C27" s="40">
        <v>0.65</v>
      </c>
      <c r="D27" s="39">
        <v>300</v>
      </c>
      <c r="E27" s="41" t="s">
        <v>58</v>
      </c>
      <c r="F27" s="20">
        <v>3937</v>
      </c>
      <c r="G27" s="20">
        <f t="shared" si="4"/>
        <v>11.354</v>
      </c>
      <c r="H27" s="20">
        <v>149</v>
      </c>
      <c r="I27" s="20"/>
      <c r="J27" s="42">
        <f t="shared" si="5"/>
        <v>44700</v>
      </c>
      <c r="K27" s="42"/>
    </row>
    <row r="28" s="1" customFormat="1" spans="1:11">
      <c r="A28" s="20" t="s">
        <v>134</v>
      </c>
      <c r="B28" s="39">
        <v>1080</v>
      </c>
      <c r="C28" s="40">
        <v>0.68</v>
      </c>
      <c r="D28" s="39">
        <v>300</v>
      </c>
      <c r="E28" s="41" t="s">
        <v>58</v>
      </c>
      <c r="F28" s="20">
        <v>3937</v>
      </c>
      <c r="G28" s="20">
        <f t="shared" si="4"/>
        <v>12.192</v>
      </c>
      <c r="H28" s="20">
        <v>160</v>
      </c>
      <c r="I28" s="20"/>
      <c r="J28" s="42">
        <f t="shared" si="5"/>
        <v>48000</v>
      </c>
      <c r="K28" s="42"/>
    </row>
    <row r="29" s="1" customFormat="1" spans="1:11">
      <c r="A29" s="20" t="s">
        <v>134</v>
      </c>
      <c r="B29" s="39">
        <v>1080</v>
      </c>
      <c r="C29" s="40">
        <v>0.7</v>
      </c>
      <c r="D29" s="39">
        <v>300</v>
      </c>
      <c r="E29" s="41" t="s">
        <v>58</v>
      </c>
      <c r="F29" s="20">
        <v>3937</v>
      </c>
      <c r="G29" s="20">
        <f t="shared" si="4"/>
        <v>12.573</v>
      </c>
      <c r="H29" s="20">
        <v>165</v>
      </c>
      <c r="I29" s="20"/>
      <c r="J29" s="42">
        <f t="shared" si="5"/>
        <v>49500</v>
      </c>
      <c r="K29" s="42"/>
    </row>
    <row r="30" s="1" customFormat="1" spans="1:11">
      <c r="A30" s="20" t="s">
        <v>134</v>
      </c>
      <c r="B30" s="39">
        <v>1080</v>
      </c>
      <c r="C30" s="40">
        <v>0.71</v>
      </c>
      <c r="D30" s="39">
        <v>300</v>
      </c>
      <c r="E30" s="41" t="s">
        <v>58</v>
      </c>
      <c r="F30" s="20">
        <v>3937</v>
      </c>
      <c r="G30" s="20">
        <f t="shared" si="4"/>
        <v>12.573</v>
      </c>
      <c r="H30" s="20">
        <v>165</v>
      </c>
      <c r="I30" s="20"/>
      <c r="J30" s="42">
        <f t="shared" si="5"/>
        <v>49500</v>
      </c>
      <c r="K30" s="42"/>
    </row>
    <row r="31" s="1" customFormat="1" spans="1:11">
      <c r="A31" s="20" t="s">
        <v>134</v>
      </c>
      <c r="B31" s="39">
        <v>1080</v>
      </c>
      <c r="C31" s="40">
        <v>0.73</v>
      </c>
      <c r="D31" s="39">
        <v>300</v>
      </c>
      <c r="E31" s="41" t="s">
        <v>58</v>
      </c>
      <c r="F31" s="20">
        <v>3937</v>
      </c>
      <c r="G31" s="20">
        <f t="shared" si="4"/>
        <v>13.03</v>
      </c>
      <c r="H31" s="20">
        <v>171</v>
      </c>
      <c r="I31" s="20"/>
      <c r="J31" s="42">
        <f t="shared" si="5"/>
        <v>51300</v>
      </c>
      <c r="K31" s="42"/>
    </row>
    <row r="32" s="1" customFormat="1" spans="1:11">
      <c r="A32" s="20" t="s">
        <v>134</v>
      </c>
      <c r="B32" s="39">
        <v>2116</v>
      </c>
      <c r="C32" s="40">
        <v>0.58</v>
      </c>
      <c r="D32" s="39">
        <v>200</v>
      </c>
      <c r="E32" s="41" t="s">
        <v>58</v>
      </c>
      <c r="F32" s="20">
        <v>2624.7</v>
      </c>
      <c r="G32" s="20">
        <f t="shared" si="4"/>
        <v>13.03</v>
      </c>
      <c r="H32" s="20">
        <v>171</v>
      </c>
      <c r="I32" s="20"/>
      <c r="J32" s="42">
        <f t="shared" si="5"/>
        <v>34200</v>
      </c>
      <c r="K32" s="42"/>
    </row>
    <row r="34" customFormat="1" spans="1:11">
      <c r="A34" s="43" t="s">
        <v>60</v>
      </c>
      <c r="B34" s="44"/>
      <c r="C34" s="44"/>
      <c r="D34" s="44"/>
      <c r="E34" s="45"/>
      <c r="F34" s="44"/>
      <c r="G34" s="44"/>
      <c r="H34" s="44"/>
      <c r="I34" s="44"/>
    </row>
    <row r="35" customFormat="1" spans="1:11">
      <c r="A35" s="46" t="s">
        <v>61</v>
      </c>
      <c r="B35" s="44"/>
      <c r="C35" s="44"/>
      <c r="D35" s="44"/>
      <c r="E35" s="45"/>
      <c r="F35" s="44"/>
      <c r="G35" s="44"/>
      <c r="H35" s="44"/>
      <c r="I35" s="44"/>
    </row>
    <row r="36" customFormat="1" spans="1:11">
      <c r="A36" s="43" t="s">
        <v>62</v>
      </c>
      <c r="B36" s="47"/>
      <c r="C36" s="47"/>
      <c r="D36" s="47"/>
      <c r="E36" s="48"/>
      <c r="F36" s="47"/>
      <c r="G36" s="47"/>
      <c r="H36" s="47"/>
      <c r="I36" s="44"/>
    </row>
    <row r="37" customFormat="1" spans="1:11">
      <c r="A37" s="43" t="s">
        <v>106</v>
      </c>
      <c r="B37" s="47"/>
      <c r="C37" s="47"/>
      <c r="D37" s="47"/>
      <c r="E37" s="48"/>
      <c r="F37" s="47"/>
      <c r="G37" s="47"/>
      <c r="H37" s="47"/>
      <c r="I37" s="44"/>
    </row>
    <row r="38" customFormat="1" spans="1:11">
      <c r="A38" s="43" t="s">
        <v>64</v>
      </c>
      <c r="B38" s="47"/>
      <c r="C38" s="47"/>
      <c r="D38" s="47"/>
      <c r="E38" s="48"/>
      <c r="F38" s="47"/>
      <c r="G38" s="47"/>
      <c r="H38" s="47"/>
      <c r="I38" s="44"/>
    </row>
    <row r="40" spans="1:11">
      <c r="A40" s="49" t="s">
        <v>135</v>
      </c>
      <c r="B40" s="49"/>
      <c r="C40" s="49"/>
      <c r="D40" s="49"/>
      <c r="E40" s="49"/>
      <c r="F40" s="49"/>
      <c r="G40" s="49"/>
      <c r="H40" s="49" t="s">
        <v>136</v>
      </c>
      <c r="I40" s="49"/>
      <c r="J40" s="49"/>
      <c r="K40" s="49"/>
    </row>
  </sheetData>
  <mergeCells count="29">
    <mergeCell ref="A1:K1"/>
    <mergeCell ref="A2:K2"/>
    <mergeCell ref="A3:K3"/>
    <mergeCell ref="A9:K9"/>
    <mergeCell ref="A20:K20"/>
    <mergeCell ref="H21:I21"/>
    <mergeCell ref="J21:K21"/>
    <mergeCell ref="H22:I22"/>
    <mergeCell ref="J22:K22"/>
    <mergeCell ref="H23:I23"/>
    <mergeCell ref="J23:K23"/>
    <mergeCell ref="H24:I24"/>
    <mergeCell ref="J24:K24"/>
    <mergeCell ref="H25:I25"/>
    <mergeCell ref="J25:K25"/>
    <mergeCell ref="H26:I26"/>
    <mergeCell ref="J26:K26"/>
    <mergeCell ref="H27:I27"/>
    <mergeCell ref="J27:K27"/>
    <mergeCell ref="H28:I28"/>
    <mergeCell ref="J28:K28"/>
    <mergeCell ref="H29:I29"/>
    <mergeCell ref="J29:K29"/>
    <mergeCell ref="H30:I30"/>
    <mergeCell ref="J30:K30"/>
    <mergeCell ref="H31:I31"/>
    <mergeCell ref="J31:K31"/>
    <mergeCell ref="H32:I32"/>
    <mergeCell ref="J32:K32"/>
  </mergeCells>
  <pageMargins left="0.75" right="0.75" top="1" bottom="1" header="0.5" footer="0.5"/>
  <pageSetup paperSize="9" scale="8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NY2170H</vt:lpstr>
      <vt:lpstr>NY3170HF</vt:lpstr>
      <vt:lpstr>NY3170M</vt:lpstr>
      <vt:lpstr>NY3170M2</vt:lpstr>
      <vt:lpstr>NY2150</vt:lpstr>
      <vt:lpstr>NY3150HF</vt:lpstr>
      <vt:lpstr>NY3176HF</vt:lpstr>
      <vt:lpstr>NY6300SN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陈艳</cp:lastModifiedBy>
  <cp:revision>1</cp:revision>
  <dcterms:created xsi:type="dcterms:W3CDTF">1996-12-17T01:32:00Z</dcterms:created>
  <cp:lastPrinted>2026-01-08T05:59:00Z</cp:lastPrinted>
  <dcterms:modified xsi:type="dcterms:W3CDTF">2026-08-05T03:08:36Z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E53352A1D9D24ADA86F5D408BCB9D5A3_13</vt:lpwstr>
  </property>
  <property fmtid="{D5CDD505-2E9C-101B-9397-08002B2CF9AE}" pid="4" name="CalculationRule">
    <vt:i4>0</vt:i4>
  </property>
  <property fmtid="{D5CDD505-2E9C-101B-9397-08002B2CF9AE}" pid="5" name="5B77E7CEEC58BC6AFAE8886BEB80DBEB">
    <vt:lpwstr>otCYQxs9Dbw2bUEn/Soxv9pYAoWsCRIsU8+gIbxzzmNcJN13+qHIPyWmbF9hFzPHyi2m8DLwi54E5OVVM5pJ0yGmgAiYTaR6oYUdYZxdjep6I9xviFUFZ9aTScfBW9OGUdrWiVHdMdiGA8gq/F1fk4LoLkECXWUJQpglUNkXCBHRuesGJ+r65lcazm2As8k3DIMTaa2FRCJreJPpW53uDqqsNCQoI8qfxbM1FYTZFO+F0lI42kaut8t7XxXUOxvcTF1TJwuBZRfGiniYed3e7ejqKW/Di7UsowTGheJ99bsM1uqm7Fz41Ht7uhhgP0pRG9Rlk7bfS+6VyBc8juYKGjl4PhrUZFMYA+b5zTwkNoiwLJ9EbrQ1PKz2Aw+5QIDGO6FqHDX4MJRnLXkU6jUyKuAossyltHXtTeL9w73trmemL9wNRJA9edPsTQyHoK/2F2jt+pAHSaMsm8Cx7oL4bOp85kUARSE11yxMDaI7/80wzl/jFlt0uqLEfzzF6sCknlhh1esvwyKdDAHZr4TNb+mXZtL8i3l9StJnImw5VNC2M4GuKMMotbstbgJ+6vXRrhKRwAjL9kTGu74hzlpdumTSx5T5cqINqSK2E/p+xGSPM1HmahZO+FvrOKK/o8uVHflEz0Fkwu1r0CZL/pfA70MoBVXF4IjEctUc/6shSnVEVILfs/wbiy1EY8r0FDK8bxjf/s4HWVS6SdNmqP+A/SqO32VD0QurQQC7SQvmntAu+G4dRFyDoiKEnFl/sH6G5bMkdBH0i50z8oSrgvqkthxgu3enYWqO4ku9RutArE9xjfZGnubEjduZQTHt/DjeQ6ZClRz9E7jzuqPs3paINNAMk0ohVuztLkM9JYyiBamHm3TZ882Q4JDcgez7OPf6eLpAMVI5Y3O8MthK5U5y5u75ucNGANUMSgNEseXwoqgmbyHYr3y2eIfJVSVhPnoeSHuz6rrfg139fsITuYLovr5xSaCcwsOt4oAekHLLgdXOJkElsRsumMcUCUXafsgQug+r2kZF1gDdMcPirC45a7aWhjtJfkYQo2tDGDF1Tb3D/56ih2MpfdWcyB8/yAL2pA63VOuLrZpAnWm8wlyIt7jX19rKj1AQZs3YjvvTtJA=</vt:lpwstr>
  </property>
</Properties>
</file>