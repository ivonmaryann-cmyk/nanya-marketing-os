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897" firstSheet="0" activeTab="1" autoFilterDateGrouping="1"/>
  </bookViews>
  <sheets>
    <sheet xmlns:r="http://schemas.openxmlformats.org/officeDocument/2006/relationships" name="20260701基板出货" sheetId="1" state="visible" r:id="rId1"/>
    <sheet xmlns:r="http://schemas.openxmlformats.org/officeDocument/2006/relationships" name="20260701出货P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_ "/>
    <numFmt numFmtId="165" formatCode="0_ "/>
    <numFmt numFmtId="166" formatCode="0.00_);[Red]\(0.00\)"/>
    <numFmt numFmtId="167" formatCode="\$#,##0.00_);[Red]\(\$#,##0.00\)"/>
    <numFmt numFmtId="168" formatCode="0.00_ "/>
    <numFmt numFmtId="169" formatCode="_-* #,##0.00_-;\-* #,##0.00_-;_-* &quot;-&quot;??_-;_-@_-"/>
  </numFmts>
  <fonts count="39">
    <font>
      <name val="Arial"/>
      <charset val="134"/>
      <sz val="10"/>
    </font>
    <font>
      <name val="宋体"/>
      <charset val="134"/>
      <sz val="11"/>
    </font>
    <font>
      <name val="Arial"/>
      <charset val="0"/>
      <sz val="11"/>
    </font>
    <font>
      <name val="Arial"/>
      <charset val="0"/>
      <sz val="9"/>
    </font>
    <font>
      <name val="宋体"/>
      <charset val="134"/>
      <sz val="10"/>
    </font>
    <font>
      <name val="等线"/>
      <charset val="134"/>
      <sz val="10"/>
    </font>
    <font>
      <name val="宋体"/>
      <charset val="134"/>
      <color theme="1"/>
      <sz val="11"/>
      <scheme val="minor"/>
    </font>
    <font>
      <name val="Arial"/>
      <charset val="0"/>
      <sz val="12"/>
    </font>
    <font>
      <name val="宋体"/>
      <charset val="134"/>
      <sz val="12"/>
    </font>
    <font>
      <name val="Arial"/>
      <charset val="0"/>
      <i val="1"/>
      <sz val="16"/>
    </font>
    <font>
      <name val="宋体"/>
      <charset val="134"/>
      <b val="1"/>
      <sz val="20"/>
    </font>
    <font>
      <name val="Arial"/>
      <charset val="0"/>
      <sz val="14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0"/>
      <sz val="12"/>
    </font>
    <font>
      <name val="宋体"/>
      <charset val="134"/>
      <color theme="1"/>
      <sz val="10"/>
    </font>
    <font>
      <name val="宋体"/>
      <charset val="134"/>
      <color rgb="FFFF0000"/>
      <sz val="10"/>
    </font>
    <font>
      <name val="宋体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4"/>
      <sz val="12"/>
    </font>
    <font>
      <name val="Arial"/>
      <charset val="0"/>
      <sz val="10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6" fillId="3" borderId="3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4" applyAlignment="1">
      <alignment vertical="center"/>
    </xf>
    <xf numFmtId="0" fontId="24" fillId="0" borderId="4" applyAlignment="1">
      <alignment vertical="center"/>
    </xf>
    <xf numFmtId="0" fontId="25" fillId="0" borderId="5" applyAlignment="1">
      <alignment vertical="center"/>
    </xf>
    <xf numFmtId="0" fontId="25" fillId="0" borderId="0" applyAlignment="1">
      <alignment vertical="center"/>
    </xf>
    <xf numFmtId="0" fontId="26" fillId="4" borderId="6" applyAlignment="1">
      <alignment vertical="center"/>
    </xf>
    <xf numFmtId="0" fontId="27" fillId="5" borderId="7" applyAlignment="1">
      <alignment vertical="center"/>
    </xf>
    <xf numFmtId="0" fontId="28" fillId="5" borderId="6" applyAlignment="1">
      <alignment vertical="center"/>
    </xf>
    <xf numFmtId="0" fontId="29" fillId="6" borderId="8" applyAlignment="1">
      <alignment vertical="center"/>
    </xf>
    <xf numFmtId="0" fontId="30" fillId="0" borderId="9" applyAlignment="1">
      <alignment vertical="center"/>
    </xf>
    <xf numFmtId="0" fontId="31" fillId="0" borderId="10" applyAlignment="1">
      <alignment vertical="center"/>
    </xf>
    <xf numFmtId="0" fontId="32" fillId="7" borderId="0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6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6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  <xf numFmtId="169" fontId="37" fillId="0" borderId="0"/>
    <xf numFmtId="0" fontId="8" fillId="0" borderId="0"/>
    <xf numFmtId="9" fontId="37" fillId="0" borderId="0"/>
    <xf numFmtId="0" fontId="8" fillId="0" borderId="0"/>
    <xf numFmtId="0" fontId="8" fillId="0" borderId="0"/>
    <xf numFmtId="9" fontId="37" fillId="0" borderId="0"/>
    <xf numFmtId="0" fontId="0" fillId="0" borderId="0"/>
    <xf numFmtId="0" fontId="8" fillId="0" borderId="0"/>
    <xf numFmtId="0" fontId="8" fillId="0" borderId="0"/>
    <xf numFmtId="0" fontId="8" fillId="0" borderId="0"/>
    <xf numFmtId="169" fontId="37" fillId="0" borderId="0"/>
    <xf numFmtId="169" fontId="37" fillId="0" borderId="0"/>
    <xf numFmtId="0" fontId="0" fillId="0" borderId="0"/>
    <xf numFmtId="0" fontId="8" fillId="0" borderId="0"/>
    <xf numFmtId="0" fontId="0" fillId="0" borderId="0"/>
    <xf numFmtId="0" fontId="8" fillId="0" borderId="0"/>
    <xf numFmtId="169" fontId="37" fillId="0" borderId="0"/>
    <xf numFmtId="0" fontId="8" fillId="0" borderId="0"/>
    <xf numFmtId="0" fontId="8" fillId="0" borderId="0"/>
    <xf numFmtId="0" fontId="38" fillId="0" borderId="0"/>
  </cellStyleXfs>
  <cellXfs count="116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68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68">
      <alignment horizontal="center" vertical="center" wrapText="1"/>
    </xf>
    <xf numFmtId="0" fontId="2" fillId="0" borderId="1" applyAlignment="1" pivotButton="0" quotePrefix="0" xfId="68">
      <alignment horizontal="left" vertical="center" wrapText="1"/>
    </xf>
    <xf numFmtId="0" fontId="3" fillId="0" borderId="1" applyAlignment="1" pivotButton="0" quotePrefix="0" xfId="68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58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68">
      <alignment horizontal="center" vertical="center" wrapText="1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9" fontId="5" fillId="2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0" fontId="0" fillId="0" borderId="0" pivotButton="0" quotePrefix="0" xfId="0"/>
    <xf numFmtId="0" fontId="1" fillId="2" borderId="1" applyAlignment="1" pivotButton="0" quotePrefix="0" xfId="68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0" fontId="5" fillId="0" borderId="1" applyAlignment="1" pivotButton="0" quotePrefix="0" xfId="68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49" fontId="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readingOrder="1"/>
    </xf>
    <xf numFmtId="165" fontId="7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readingOrder="1"/>
    </xf>
    <xf numFmtId="165" fontId="1" fillId="0" borderId="0" applyAlignment="1" pivotButton="0" quotePrefix="0" xfId="0">
      <alignment horizontal="left" vertical="center" readingOrder="1"/>
    </xf>
    <xf numFmtId="0" fontId="1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58" fontId="7" fillId="0" borderId="0" applyAlignment="1" pivotButton="0" quotePrefix="0" xfId="0">
      <alignment vertical="center"/>
    </xf>
    <xf numFmtId="1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8" fontId="16" fillId="0" borderId="1" applyAlignment="1" pivotButton="0" quotePrefix="0" xfId="0">
      <alignment horizontal="center" vertical="center"/>
    </xf>
    <xf numFmtId="49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68" fontId="15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 wrapText="1"/>
    </xf>
    <xf numFmtId="167" fontId="7" fillId="0" borderId="0" applyAlignment="1" pivotButton="0" quotePrefix="0" xfId="0">
      <alignment horizontal="left" vertical="center" wrapText="1"/>
    </xf>
    <xf numFmtId="165" fontId="1" fillId="0" borderId="0" applyAlignment="1" pivotButton="0" quotePrefix="0" xfId="0">
      <alignment horizontal="left" vertical="center" readingOrder="1"/>
    </xf>
    <xf numFmtId="165" fontId="4" fillId="0" borderId="1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15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8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8" fontId="15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164" fontId="1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2 2" xfId="49"/>
    <cellStyle name="常规 2 2 2 2" xfId="50"/>
    <cellStyle name="百分比 2" xfId="51"/>
    <cellStyle name="常规 2 5" xfId="52"/>
    <cellStyle name="常规 3 2 2" xfId="53"/>
    <cellStyle name="百分比 2 2" xfId="54"/>
    <cellStyle name="一般 2" xfId="55"/>
    <cellStyle name="常规 2 2 2" xfId="56"/>
    <cellStyle name="常规 3 2" xfId="57"/>
    <cellStyle name="常规 2 2" xfId="58"/>
    <cellStyle name="千位分隔 2 3" xfId="59"/>
    <cellStyle name="千位分隔 2" xfId="60"/>
    <cellStyle name="常规 4" xfId="61"/>
    <cellStyle name="常规 2" xfId="62"/>
    <cellStyle name="_x005f_x001e_" xfId="63"/>
    <cellStyle name="常规 2 4" xfId="64"/>
    <cellStyle name="千位分隔 2 2" xfId="65"/>
    <cellStyle name="常规 2 3" xfId="66"/>
    <cellStyle name="常规 3" xfId="67"/>
    <cellStyle name="_x001e_" xfId="6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0</colOff>
      <row>0</row>
      <rowOff>19050</rowOff>
    </from>
    <to>
      <col>1</col>
      <colOff>9525</colOff>
      <row>1</row>
      <rowOff>286385</rowOff>
    </to>
    <pic>
      <nvPicPr>
        <cNvPr id="2" name="Picture 1" descr="NOUYA+logo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4800" y="19050"/>
          <a:ext cx="9525" cy="6483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1</col>
      <colOff>0</colOff>
      <row>0</row>
      <rowOff>19050</rowOff>
    </from>
    <to>
      <col>1</col>
      <colOff>9525</colOff>
      <row>1</row>
      <rowOff>286385</rowOff>
    </to>
    <pic>
      <nvPicPr>
        <cNvPr id="3" name="Picture 1" descr="NOUYA+logo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4800" y="19050"/>
          <a:ext cx="9525" cy="6483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1</col>
      <colOff>0</colOff>
      <row>0</row>
      <rowOff>7620</rowOff>
    </from>
    <to>
      <col>10</col>
      <colOff>805180</colOff>
      <row>2</row>
      <rowOff>141605</rowOff>
    </to>
    <pic>
      <nvPicPr>
        <cNvPr id="4" name="图片 2" descr="IMG_2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04800" y="7620"/>
          <a:ext cx="8181340" cy="10102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N420"/>
  <sheetViews>
    <sheetView topLeftCell="A142" workbookViewId="0">
      <selection activeCell="B165" sqref="B165:K165"/>
    </sheetView>
  </sheetViews>
  <sheetFormatPr baseColWidth="8" defaultColWidth="8.888888888888889" defaultRowHeight="15"/>
  <cols>
    <col width="4.44444444444444" customWidth="1" style="34" min="1" max="1"/>
    <col width="12.8888888888889" customWidth="1" style="34" min="2" max="2"/>
    <col width="10.7777777777778" customWidth="1" style="34" min="3" max="3"/>
    <col width="12.1111111111111" customWidth="1" style="34" min="4" max="4"/>
    <col width="8.111111111111111" customWidth="1" style="34" min="5" max="5"/>
    <col width="9.66666666666667" customWidth="1" style="34" min="6" max="6"/>
    <col width="18" customWidth="1" style="34" min="7" max="7"/>
    <col width="11.6666666666667" customWidth="1" style="34" min="8" max="8"/>
    <col width="11.8888888888889" customWidth="1" style="34" min="9" max="9"/>
    <col width="12.4444444444444" customWidth="1" style="92" min="10" max="10"/>
    <col width="11.8888888888889" customWidth="1" style="34" min="11" max="12"/>
    <col width="28.1111111111111" customWidth="1" style="34" min="13" max="13"/>
    <col width="27.3333333333333" customWidth="1" style="34" min="14" max="14"/>
    <col width="22" customWidth="1" style="34" min="15" max="15"/>
    <col width="11.8888888888889" customWidth="1" style="34" min="16" max="16"/>
    <col width="11.5555555555556" customWidth="1" style="34" min="17" max="18"/>
    <col width="8.75" customWidth="1" style="34" min="19" max="206"/>
    <col width="8.75" customWidth="1" style="34" min="207" max="207"/>
    <col width="8.888888888888889" customWidth="1" style="34" min="208" max="16384"/>
  </cols>
  <sheetData>
    <row r="1" ht="30" customFormat="1" customHeight="1" s="34">
      <c r="B1" s="36" t="n"/>
      <c r="C1" s="36" t="n"/>
      <c r="D1" s="36" t="n"/>
      <c r="E1" s="37" t="n"/>
      <c r="L1" s="37" t="n"/>
      <c r="M1" s="37" t="n"/>
      <c r="N1" s="37" t="n"/>
      <c r="O1" s="37" t="n"/>
      <c r="P1" s="37" t="n"/>
      <c r="FV1" s="33" t="n"/>
      <c r="FW1" s="33" t="n"/>
      <c r="FX1" s="33" t="n"/>
      <c r="FY1" s="33" t="n"/>
      <c r="FZ1" s="33" t="n"/>
      <c r="GA1" s="33" t="n"/>
      <c r="GB1" s="33" t="n"/>
      <c r="GC1" s="33" t="n"/>
      <c r="GD1" s="33" t="n"/>
      <c r="GE1" s="33" t="n"/>
      <c r="GF1" s="33" t="n"/>
      <c r="GG1" s="33" t="n"/>
      <c r="GH1" s="33" t="n"/>
      <c r="GI1" s="33" t="n"/>
      <c r="GJ1" s="33" t="n"/>
      <c r="GK1" s="33" t="n"/>
      <c r="GL1" s="33" t="n"/>
      <c r="GM1" s="33" t="n"/>
      <c r="GN1" s="33" t="n"/>
    </row>
    <row r="2" ht="39" customFormat="1" customHeight="1" s="34">
      <c r="B2" s="39" t="n"/>
      <c r="C2" s="39" t="n"/>
      <c r="D2" s="39" t="n"/>
      <c r="E2" s="40" t="n"/>
      <c r="L2" s="40" t="n"/>
      <c r="M2" s="40" t="n"/>
      <c r="N2" s="40" t="n"/>
      <c r="O2" s="40" t="n"/>
      <c r="P2" s="40" t="n"/>
      <c r="FV2" s="33" t="n"/>
      <c r="FW2" s="33" t="n"/>
      <c r="FX2" s="33" t="n"/>
      <c r="FY2" s="33" t="n"/>
      <c r="FZ2" s="33" t="n"/>
      <c r="GA2" s="33" t="n"/>
      <c r="GB2" s="33" t="n"/>
      <c r="GC2" s="33" t="n"/>
      <c r="GD2" s="33" t="n"/>
      <c r="GE2" s="33" t="n"/>
      <c r="GF2" s="33" t="n"/>
      <c r="GG2" s="33" t="n"/>
      <c r="GH2" s="33" t="n"/>
      <c r="GI2" s="33" t="n"/>
      <c r="GJ2" s="33" t="n"/>
      <c r="GK2" s="33" t="n"/>
      <c r="GL2" s="33" t="n"/>
      <c r="GM2" s="33" t="n"/>
      <c r="GN2" s="33" t="n"/>
    </row>
    <row r="3" ht="37" customFormat="1" customHeight="1" s="34">
      <c r="B3" s="42" t="inlineStr">
        <is>
          <t xml:space="preserve">中国上海嘉定区南翔镇昌翔路158号 NO. 158 CHANGXIANG ROAD NANXIANG SHANGHAI P.R. CHINA </t>
        </is>
      </c>
      <c r="L3" s="42" t="n"/>
      <c r="M3" s="42" t="n"/>
      <c r="N3" s="42" t="n"/>
      <c r="O3" s="42" t="n"/>
      <c r="P3" s="42" t="n"/>
      <c r="FV3" s="33" t="n"/>
      <c r="FW3" s="33" t="n"/>
      <c r="FX3" s="33" t="n"/>
      <c r="FY3" s="33" t="n"/>
      <c r="FZ3" s="33" t="n"/>
      <c r="GA3" s="33" t="n"/>
      <c r="GB3" s="33" t="n"/>
      <c r="GC3" s="33" t="n"/>
      <c r="GD3" s="33" t="n"/>
      <c r="GE3" s="33" t="n"/>
      <c r="GF3" s="33" t="n"/>
      <c r="GG3" s="33" t="n"/>
      <c r="GH3" s="33" t="n"/>
      <c r="GI3" s="33" t="n"/>
      <c r="GJ3" s="33" t="n"/>
      <c r="GK3" s="33" t="n"/>
      <c r="GL3" s="33" t="n"/>
      <c r="GM3" s="33" t="n"/>
      <c r="GN3" s="33" t="n"/>
    </row>
    <row r="4" customFormat="1" s="34">
      <c r="B4" s="42" t="inlineStr">
        <is>
          <t>TEL：021-59175555(上海), 0755-33231030(深圳)   FAX：021-69177733(上海), 0755-33231001(深圳)</t>
        </is>
      </c>
      <c r="L4" s="42" t="n"/>
      <c r="M4" s="42" t="n"/>
      <c r="N4" s="42" t="n"/>
      <c r="O4" s="42" t="n"/>
      <c r="P4" s="42" t="n"/>
      <c r="FV4" s="33" t="n"/>
      <c r="FW4" s="33" t="n"/>
      <c r="FX4" s="33" t="n"/>
      <c r="FY4" s="33" t="n"/>
      <c r="FZ4" s="33" t="n"/>
      <c r="GA4" s="33" t="n"/>
      <c r="GB4" s="33" t="n"/>
      <c r="GC4" s="33" t="n"/>
      <c r="GD4" s="33" t="n"/>
      <c r="GE4" s="33" t="n"/>
      <c r="GF4" s="33" t="n"/>
      <c r="GG4" s="33" t="n"/>
      <c r="GH4" s="33" t="n"/>
      <c r="GI4" s="33" t="n"/>
      <c r="GJ4" s="33" t="n"/>
      <c r="GK4" s="33" t="n"/>
      <c r="GL4" s="33" t="n"/>
      <c r="GM4" s="33" t="n"/>
      <c r="GN4" s="33" t="n"/>
    </row>
    <row r="5" ht="15.6" customFormat="1" customHeight="1" s="34">
      <c r="B5" s="44" t="inlineStr">
        <is>
          <t>客户名称：</t>
        </is>
      </c>
      <c r="C5" s="44" t="inlineStr">
        <is>
          <t>江西东讯精密制造有限公司</t>
        </is>
      </c>
      <c r="D5" s="44" t="n"/>
      <c r="E5" s="44" t="n"/>
      <c r="F5" s="93" t="n"/>
      <c r="G5" s="44" t="n"/>
      <c r="I5" s="44" t="inlineStr">
        <is>
          <t>发件人：</t>
        </is>
      </c>
      <c r="J5" s="94" t="inlineStr">
        <is>
          <t>夏则栋</t>
        </is>
      </c>
      <c r="K5" s="44" t="n"/>
      <c r="L5" s="44" t="n"/>
      <c r="M5" s="44" t="n"/>
      <c r="N5" s="44" t="n"/>
      <c r="O5" s="44" t="n"/>
      <c r="P5" s="44" t="n"/>
      <c r="FV5" s="33" t="n"/>
      <c r="FW5" s="33" t="n"/>
      <c r="FX5" s="33" t="n"/>
      <c r="FY5" s="33" t="n"/>
      <c r="FZ5" s="33" t="n"/>
      <c r="GA5" s="33" t="n"/>
      <c r="GB5" s="33" t="n"/>
      <c r="GC5" s="33" t="n"/>
      <c r="GD5" s="33" t="n"/>
      <c r="GE5" s="33" t="n"/>
      <c r="GF5" s="33" t="n"/>
      <c r="GG5" s="33" t="n"/>
      <c r="GH5" s="33" t="n"/>
      <c r="GI5" s="33" t="n"/>
      <c r="GJ5" s="33" t="n"/>
      <c r="GK5" s="33" t="n"/>
      <c r="GL5" s="33" t="n"/>
      <c r="GM5" s="33" t="n"/>
      <c r="GN5" s="33" t="n"/>
    </row>
    <row r="6" ht="15.6" customFormat="1" customHeight="1" s="34">
      <c r="B6" s="44" t="inlineStr">
        <is>
          <t xml:space="preserve">收件人：               </t>
        </is>
      </c>
      <c r="C6" s="44" t="inlineStr">
        <is>
          <t>唐总</t>
        </is>
      </c>
      <c r="D6" s="44" t="n"/>
      <c r="E6" s="44" t="n"/>
      <c r="F6" s="93" t="n"/>
      <c r="G6" s="44" t="n"/>
      <c r="I6" s="44" t="inlineStr">
        <is>
          <t>联系方式：</t>
        </is>
      </c>
      <c r="J6" s="95" t="n">
        <v>13916869357</v>
      </c>
      <c r="K6" s="44" t="n"/>
      <c r="L6" s="44" t="n"/>
      <c r="M6" s="44" t="n"/>
      <c r="N6" s="44" t="n"/>
      <c r="O6" s="44" t="n"/>
      <c r="P6" s="44" t="n"/>
      <c r="FV6" s="33" t="n"/>
      <c r="FW6" s="33" t="n"/>
      <c r="FX6" s="33" t="n"/>
      <c r="FY6" s="33" t="n"/>
      <c r="FZ6" s="33" t="n"/>
      <c r="GA6" s="33" t="n"/>
      <c r="GB6" s="33" t="n"/>
      <c r="GC6" s="33" t="n"/>
      <c r="GD6" s="33" t="n"/>
      <c r="GE6" s="33" t="n"/>
      <c r="GF6" s="33" t="n"/>
      <c r="GG6" s="33" t="n"/>
      <c r="GH6" s="33" t="n"/>
      <c r="GI6" s="33" t="n"/>
      <c r="GJ6" s="33" t="n"/>
      <c r="GK6" s="33" t="n"/>
      <c r="GL6" s="33" t="n"/>
      <c r="GM6" s="33" t="n"/>
      <c r="GN6" s="33" t="n"/>
    </row>
    <row r="7" ht="15.6" customFormat="1" customHeight="1" s="34">
      <c r="B7" s="44" t="inlineStr">
        <is>
          <t>联系方式：</t>
        </is>
      </c>
      <c r="C7" s="48" t="n"/>
      <c r="D7" s="48" t="n"/>
      <c r="E7" s="44" t="n"/>
      <c r="F7" s="93" t="n"/>
      <c r="G7" s="44" t="n"/>
      <c r="I7" s="44" t="inlineStr">
        <is>
          <t>生效日期：</t>
        </is>
      </c>
      <c r="J7" s="49" t="inlineStr">
        <is>
          <t>2026年7月1日出货生效</t>
        </is>
      </c>
      <c r="L7" s="49" t="n"/>
      <c r="M7" s="49" t="n"/>
      <c r="N7" s="49" t="n"/>
      <c r="O7" s="49" t="n"/>
      <c r="P7" s="49" t="n"/>
      <c r="FV7" s="33" t="n"/>
      <c r="FW7" s="33" t="n"/>
      <c r="FX7" s="33" t="n"/>
      <c r="FY7" s="33" t="n"/>
      <c r="FZ7" s="33" t="n"/>
      <c r="GA7" s="33" t="n"/>
      <c r="GB7" s="33" t="n"/>
      <c r="GC7" s="33" t="n"/>
      <c r="GD7" s="33" t="n"/>
      <c r="GE7" s="33" t="n"/>
      <c r="GF7" s="33" t="n"/>
      <c r="GG7" s="33" t="n"/>
      <c r="GH7" s="33" t="n"/>
      <c r="GI7" s="33" t="n"/>
      <c r="GJ7" s="33" t="n"/>
      <c r="GK7" s="33" t="n"/>
      <c r="GL7" s="33" t="n"/>
      <c r="GM7" s="33" t="n"/>
      <c r="GN7" s="33" t="n"/>
    </row>
    <row r="8" ht="4.5" customFormat="1" customHeight="1" s="34">
      <c r="B8" s="50" t="n"/>
      <c r="C8" s="50" t="n"/>
      <c r="D8" s="50" t="n"/>
      <c r="E8" s="51" t="n"/>
      <c r="F8" s="51" t="n"/>
      <c r="G8" s="51" t="n"/>
      <c r="H8" s="51" t="n"/>
      <c r="I8" s="52" t="n"/>
      <c r="J8" s="96" t="n"/>
      <c r="K8" s="51" t="n"/>
      <c r="L8" s="51" t="n"/>
      <c r="M8" s="51" t="n"/>
      <c r="N8" s="51" t="n"/>
      <c r="O8" s="51" t="n"/>
      <c r="P8" s="51" t="n"/>
    </row>
    <row r="9" ht="26.25" customFormat="1" customHeight="1" s="34">
      <c r="B9" s="54" t="inlineStr">
        <is>
          <t>主题：覆铜板价格表</t>
        </is>
      </c>
      <c r="C9" s="55" t="n"/>
      <c r="D9" s="55" t="n"/>
      <c r="F9" s="97" t="n"/>
      <c r="G9" s="97" t="n"/>
      <c r="H9" s="57" t="inlineStr">
        <is>
          <t>计价单位：人民币(RMB)含税</t>
        </is>
      </c>
      <c r="J9" s="98" t="n"/>
      <c r="K9" s="57" t="n"/>
      <c r="L9" s="57" t="n"/>
      <c r="M9" s="57" t="n"/>
      <c r="N9" s="57" t="n"/>
      <c r="O9" s="57" t="n"/>
      <c r="P9" s="57" t="n"/>
    </row>
    <row r="10" ht="4.5" customFormat="1" customHeight="1" s="34">
      <c r="B10" s="59" t="n"/>
      <c r="C10" s="55" t="n"/>
      <c r="D10" s="55" t="n"/>
      <c r="E10" s="34" t="n"/>
      <c r="F10" s="97" t="n"/>
      <c r="G10" s="97" t="n"/>
      <c r="H10" s="51" t="n"/>
      <c r="I10" s="57" t="n"/>
      <c r="J10" s="98" t="n"/>
      <c r="K10" s="57" t="n"/>
      <c r="L10" s="57" t="n"/>
      <c r="M10" s="57" t="n"/>
      <c r="N10" s="57" t="n"/>
      <c r="O10" s="57" t="n"/>
      <c r="P10" s="57" t="n"/>
    </row>
    <row r="11" ht="15.6" customFormat="1" customHeight="1" s="34">
      <c r="B11" s="73" t="inlineStr">
        <is>
          <t>产品类别</t>
        </is>
      </c>
      <c r="C11" s="73" t="inlineStr">
        <is>
          <t>厚度(mm)</t>
        </is>
      </c>
      <c r="D11" s="73" t="inlineStr">
        <is>
          <t>总厚/芯厚</t>
        </is>
      </c>
      <c r="E11" s="73" t="inlineStr">
        <is>
          <t>铜厚</t>
        </is>
      </c>
      <c r="F11" s="73" t="inlineStr">
        <is>
          <t>铜箔类型</t>
        </is>
      </c>
      <c r="G11" s="73" t="inlineStr">
        <is>
          <t>组合结构</t>
        </is>
      </c>
      <c r="H11" s="73" t="inlineStr">
        <is>
          <t>SQF</t>
        </is>
      </c>
      <c r="I11" s="73" t="inlineStr">
        <is>
          <t>37*49</t>
        </is>
      </c>
      <c r="J11" s="99" t="inlineStr">
        <is>
          <t>41*49</t>
        </is>
      </c>
      <c r="K11" s="73" t="inlineStr">
        <is>
          <t>43*49</t>
        </is>
      </c>
      <c r="L11" s="42" t="n"/>
      <c r="M11" s="42" t="n"/>
      <c r="N11" s="42" t="n"/>
      <c r="O11" s="62" t="n">
        <v>46132</v>
      </c>
      <c r="P11" s="42" t="inlineStr">
        <is>
          <t>涨幅</t>
        </is>
      </c>
      <c r="Q11" s="34" t="inlineStr">
        <is>
          <t>4月1日价格</t>
        </is>
      </c>
      <c r="R11" s="63" t="inlineStr">
        <is>
          <t>涨幅</t>
        </is>
      </c>
      <c r="S11" s="64" t="n">
        <v>46082</v>
      </c>
    </row>
    <row r="12" customFormat="1" s="34">
      <c r="B12" s="73" t="inlineStr">
        <is>
          <t>NY1600</t>
        </is>
      </c>
      <c r="C12" s="73" t="n">
        <v>0.9</v>
      </c>
      <c r="D12" s="73" t="inlineStr">
        <is>
          <t>总厚</t>
        </is>
      </c>
      <c r="E12" s="73" t="inlineStr">
        <is>
          <t>H/H</t>
        </is>
      </c>
      <c r="F12" s="73" t="inlineStr">
        <is>
          <t>HTE</t>
        </is>
      </c>
      <c r="G12" s="73" t="inlineStr">
        <is>
          <t>5*7628</t>
        </is>
      </c>
      <c r="H12" s="73">
        <f>ROUND(J12/13.33,2)</f>
        <v/>
      </c>
      <c r="I12" s="73">
        <f>ROUND(H12*12,0)</f>
        <v/>
      </c>
      <c r="J12" s="99" t="n">
        <v>200</v>
      </c>
      <c r="K12" s="73">
        <f>ROUND(H12*14,0)</f>
        <v/>
      </c>
      <c r="L12" s="42" t="n"/>
      <c r="M12" s="99" t="n">
        <v>177</v>
      </c>
      <c r="N12" s="65" t="n">
        <v>0.13</v>
      </c>
      <c r="O12" s="99" t="n">
        <v>164</v>
      </c>
      <c r="P12" s="66" t="n">
        <v>0.08</v>
      </c>
      <c r="Q12" s="34" t="n">
        <v>155</v>
      </c>
      <c r="R12" s="67">
        <f>ROUND((J12-Q12)/Q12,2)</f>
        <v/>
      </c>
      <c r="S12" s="100" t="n">
        <v>164</v>
      </c>
      <c r="T12" s="67">
        <f>ROUND((J12-S12)/S12,2)</f>
        <v/>
      </c>
    </row>
    <row r="13" customFormat="1" s="34">
      <c r="B13" s="69" t="inlineStr">
        <is>
          <t>NY2140</t>
        </is>
      </c>
      <c r="C13" s="101" t="n">
        <v>0.1</v>
      </c>
      <c r="D13" s="102" t="inlineStr">
        <is>
          <t>芯厚</t>
        </is>
      </c>
      <c r="E13" s="72" t="inlineStr">
        <is>
          <t>H/H</t>
        </is>
      </c>
      <c r="F13" s="73" t="inlineStr">
        <is>
          <t>HTE</t>
        </is>
      </c>
      <c r="G13" s="73" t="inlineStr">
        <is>
          <t>1*2116</t>
        </is>
      </c>
      <c r="H13" s="73">
        <f>ROUND(J13/13.33,2)</f>
        <v/>
      </c>
      <c r="I13" s="73">
        <f>ROUND(H13*12,0)</f>
        <v/>
      </c>
      <c r="J13" s="99">
        <f>J14-60</f>
        <v/>
      </c>
      <c r="K13" s="73">
        <f>ROUND(H13*14,0)</f>
        <v/>
      </c>
      <c r="L13" s="42" t="n"/>
      <c r="M13" s="99" t="n">
        <v>100</v>
      </c>
      <c r="N13" s="65" t="n">
        <v>0.08</v>
      </c>
      <c r="O13" s="99" t="n">
        <v>91</v>
      </c>
      <c r="P13" s="66" t="n">
        <v>0.1</v>
      </c>
      <c r="Q13" s="34" t="n">
        <v>91</v>
      </c>
      <c r="R13" s="67">
        <f>ROUND((J13-Q13)/Q13,2)</f>
        <v/>
      </c>
      <c r="S13" s="34" t="n">
        <v>85</v>
      </c>
      <c r="T13" s="67">
        <f>ROUND((J13-S13)/S13,2)</f>
        <v/>
      </c>
    </row>
    <row r="14" customFormat="1" s="34">
      <c r="B14" s="69" t="inlineStr">
        <is>
          <t>NY2140</t>
        </is>
      </c>
      <c r="C14" s="101" t="n">
        <v>0.1</v>
      </c>
      <c r="D14" s="102" t="inlineStr">
        <is>
          <t>芯厚</t>
        </is>
      </c>
      <c r="E14" s="72" t="inlineStr">
        <is>
          <t>1/1</t>
        </is>
      </c>
      <c r="F14" s="73" t="inlineStr">
        <is>
          <t>HTE</t>
        </is>
      </c>
      <c r="G14" s="73" t="inlineStr">
        <is>
          <t>1*2116</t>
        </is>
      </c>
      <c r="H14" s="73">
        <f>ROUND(J14/13.33,2)</f>
        <v/>
      </c>
      <c r="I14" s="73">
        <f>ROUND(H14*12,0)</f>
        <v/>
      </c>
      <c r="J14" s="99" t="n">
        <v>168</v>
      </c>
      <c r="K14" s="73">
        <f>ROUND(H14*14,0)</f>
        <v/>
      </c>
      <c r="L14" s="42" t="n"/>
      <c r="M14" s="99" t="n">
        <v>151</v>
      </c>
      <c r="N14" s="65" t="n">
        <v>0.11</v>
      </c>
      <c r="O14" s="99" t="n">
        <v>137</v>
      </c>
      <c r="P14" s="66" t="n">
        <v>0.1</v>
      </c>
      <c r="Q14" s="34" t="n">
        <v>132</v>
      </c>
      <c r="R14" s="67">
        <f>ROUND((J14-Q14)/Q14,2)</f>
        <v/>
      </c>
      <c r="S14" s="34" t="n">
        <v>123</v>
      </c>
      <c r="T14" s="67">
        <f>ROUND((J14-S14)/S14,2)</f>
        <v/>
      </c>
    </row>
    <row r="15" customFormat="1" s="34">
      <c r="B15" s="69" t="inlineStr">
        <is>
          <t>NY2140</t>
        </is>
      </c>
      <c r="C15" s="101" t="n">
        <v>0.1</v>
      </c>
      <c r="D15" s="102" t="inlineStr">
        <is>
          <t>芯厚</t>
        </is>
      </c>
      <c r="E15" s="72" t="inlineStr">
        <is>
          <t>2/2</t>
        </is>
      </c>
      <c r="F15" s="73" t="inlineStr">
        <is>
          <t>HTE</t>
        </is>
      </c>
      <c r="G15" s="73" t="inlineStr">
        <is>
          <t>1*2116</t>
        </is>
      </c>
      <c r="H15" s="73">
        <f>ROUND(J15/13.33,2)</f>
        <v/>
      </c>
      <c r="I15" s="73">
        <f>ROUND(H15*12,0)</f>
        <v/>
      </c>
      <c r="J15" s="99" t="n">
        <v>308</v>
      </c>
      <c r="K15" s="73">
        <f>ROUND(H15*14,0)</f>
        <v/>
      </c>
      <c r="L15" s="42" t="n"/>
      <c r="M15" s="99" t="n">
        <v>282</v>
      </c>
      <c r="N15" s="65" t="n">
        <v>0.09</v>
      </c>
      <c r="O15" s="99" t="n">
        <v>264</v>
      </c>
      <c r="P15" s="66" t="n">
        <v>0.07000000000000001</v>
      </c>
      <c r="Q15" s="34" t="n">
        <v>262</v>
      </c>
      <c r="R15" s="67">
        <f>ROUND((J15-Q15)/Q15,2)</f>
        <v/>
      </c>
      <c r="S15" s="34" t="n">
        <v>245</v>
      </c>
      <c r="T15" s="67">
        <f>ROUND((J15-S15)/S15,2)</f>
        <v/>
      </c>
    </row>
    <row r="16" customFormat="1" s="34">
      <c r="B16" s="69" t="inlineStr">
        <is>
          <t>NY2140</t>
        </is>
      </c>
      <c r="C16" s="101" t="n">
        <v>0.1</v>
      </c>
      <c r="D16" s="102" t="inlineStr">
        <is>
          <t>芯厚</t>
        </is>
      </c>
      <c r="E16" s="72" t="inlineStr">
        <is>
          <t>3/3</t>
        </is>
      </c>
      <c r="F16" s="73" t="inlineStr">
        <is>
          <t>HTE</t>
        </is>
      </c>
      <c r="G16" s="73" t="inlineStr">
        <is>
          <t>1*2116</t>
        </is>
      </c>
      <c r="H16" s="73">
        <f>ROUND(J16/13.33,2)</f>
        <v/>
      </c>
      <c r="I16" s="73">
        <f>ROUND(H16*12,0)</f>
        <v/>
      </c>
      <c r="J16" s="99">
        <f>J15+150</f>
        <v/>
      </c>
      <c r="K16" s="73">
        <f>ROUND(H16*14,0)</f>
        <v/>
      </c>
      <c r="L16" s="42" t="n"/>
      <c r="M16" s="99" t="n">
        <v>416</v>
      </c>
      <c r="N16" s="65" t="n">
        <v>0.1</v>
      </c>
      <c r="O16" s="99" t="n">
        <v>396</v>
      </c>
      <c r="P16" s="66" t="n">
        <v>0.05</v>
      </c>
      <c r="Q16" s="34" t="n">
        <v>396</v>
      </c>
      <c r="R16" s="67">
        <f>ROUND((J16-Q16)/Q16,2)</f>
        <v/>
      </c>
      <c r="S16" s="34" t="n">
        <v>370</v>
      </c>
      <c r="T16" s="67">
        <f>ROUND((J16-S16)/S16,2)</f>
        <v/>
      </c>
    </row>
    <row r="17" customFormat="1" s="34">
      <c r="B17" s="69" t="inlineStr">
        <is>
          <t>NY2140</t>
        </is>
      </c>
      <c r="C17" s="101" t="n">
        <v>0.13</v>
      </c>
      <c r="D17" s="102" t="inlineStr">
        <is>
          <t>芯厚</t>
        </is>
      </c>
      <c r="E17" s="72" t="inlineStr">
        <is>
          <t>H/H</t>
        </is>
      </c>
      <c r="F17" s="73" t="inlineStr">
        <is>
          <t>HTE</t>
        </is>
      </c>
      <c r="G17" s="73" t="inlineStr">
        <is>
          <t>1*2116</t>
        </is>
      </c>
      <c r="H17" s="73">
        <f>ROUND(J17/13.33,2)</f>
        <v/>
      </c>
      <c r="I17" s="73">
        <f>ROUND(H17*12,0)</f>
        <v/>
      </c>
      <c r="J17" s="99">
        <f>J18-60</f>
        <v/>
      </c>
      <c r="K17" s="73">
        <f>ROUND(H17*14,0)</f>
        <v/>
      </c>
      <c r="L17" s="42" t="n"/>
      <c r="M17" s="99" t="n">
        <v>100</v>
      </c>
      <c r="N17" s="65" t="n">
        <v>0.08</v>
      </c>
      <c r="O17" s="99" t="n">
        <v>91</v>
      </c>
      <c r="P17" s="66" t="n">
        <v>0.1</v>
      </c>
      <c r="Q17" s="34" t="n">
        <v>91</v>
      </c>
      <c r="R17" s="67">
        <f>ROUND((J17-Q17)/Q17,2)</f>
        <v/>
      </c>
      <c r="S17" s="34" t="n">
        <v>85</v>
      </c>
      <c r="T17" s="67">
        <f>ROUND((J17-S17)/S17,2)</f>
        <v/>
      </c>
    </row>
    <row r="18" customFormat="1" s="34">
      <c r="B18" s="69" t="inlineStr">
        <is>
          <t>NY2140</t>
        </is>
      </c>
      <c r="C18" s="101" t="n">
        <v>0.13</v>
      </c>
      <c r="D18" s="102" t="inlineStr">
        <is>
          <t>芯厚</t>
        </is>
      </c>
      <c r="E18" s="72" t="inlineStr">
        <is>
          <t>1/1</t>
        </is>
      </c>
      <c r="F18" s="73" t="inlineStr">
        <is>
          <t>HTE</t>
        </is>
      </c>
      <c r="G18" s="73" t="inlineStr">
        <is>
          <t>1*2116</t>
        </is>
      </c>
      <c r="H18" s="73">
        <f>ROUND(J18/13.33,2)</f>
        <v/>
      </c>
      <c r="I18" s="73">
        <f>ROUND(H18*12,0)</f>
        <v/>
      </c>
      <c r="J18" s="99" t="n">
        <v>168</v>
      </c>
      <c r="K18" s="73">
        <f>ROUND(H18*14,0)</f>
        <v/>
      </c>
      <c r="L18" s="42" t="n"/>
      <c r="M18" s="99" t="n">
        <v>151</v>
      </c>
      <c r="N18" s="65" t="n">
        <v>0.11</v>
      </c>
      <c r="O18" s="99" t="n">
        <v>140</v>
      </c>
      <c r="P18" s="66" t="n">
        <v>0.08</v>
      </c>
      <c r="Q18" s="34" t="n">
        <v>134</v>
      </c>
      <c r="R18" s="67">
        <f>ROUND((J18-Q18)/Q18,2)</f>
        <v/>
      </c>
      <c r="S18" s="34" t="n">
        <v>125</v>
      </c>
      <c r="T18" s="67">
        <f>ROUND((J18-S18)/S18,2)</f>
        <v/>
      </c>
    </row>
    <row r="19" customFormat="1" s="34">
      <c r="B19" s="69" t="inlineStr">
        <is>
          <t>NY2140</t>
        </is>
      </c>
      <c r="C19" s="101" t="n">
        <v>0.13</v>
      </c>
      <c r="D19" s="102" t="inlineStr">
        <is>
          <t>芯厚</t>
        </is>
      </c>
      <c r="E19" s="72" t="inlineStr">
        <is>
          <t>2/2</t>
        </is>
      </c>
      <c r="F19" s="73" t="inlineStr">
        <is>
          <t>HTE</t>
        </is>
      </c>
      <c r="G19" s="73" t="inlineStr">
        <is>
          <t>1*2116</t>
        </is>
      </c>
      <c r="H19" s="73">
        <f>ROUND(J19/13.33,2)</f>
        <v/>
      </c>
      <c r="I19" s="73">
        <f>ROUND(H19*12,0)</f>
        <v/>
      </c>
      <c r="J19" s="99" t="n">
        <v>308</v>
      </c>
      <c r="K19" s="73">
        <f>ROUND(H19*14,0)</f>
        <v/>
      </c>
      <c r="L19" s="42" t="n"/>
      <c r="M19" s="99" t="n">
        <v>284</v>
      </c>
      <c r="N19" s="65" t="n">
        <v>0.08</v>
      </c>
      <c r="O19" s="99" t="n">
        <v>265</v>
      </c>
      <c r="P19" s="66" t="n">
        <v>0.07000000000000001</v>
      </c>
      <c r="Q19" s="34" t="n">
        <v>262</v>
      </c>
      <c r="R19" s="67">
        <f>ROUND((J19-Q19)/Q19,2)</f>
        <v/>
      </c>
      <c r="S19" s="34" t="n">
        <v>245</v>
      </c>
      <c r="T19" s="67">
        <f>ROUND((J19-S19)/S19,2)</f>
        <v/>
      </c>
    </row>
    <row r="20" customFormat="1" s="34">
      <c r="B20" s="69" t="inlineStr">
        <is>
          <t>NY2140</t>
        </is>
      </c>
      <c r="C20" s="101" t="n">
        <v>0.13</v>
      </c>
      <c r="D20" s="102" t="inlineStr">
        <is>
          <t>芯厚</t>
        </is>
      </c>
      <c r="E20" s="72" t="inlineStr">
        <is>
          <t>3/3</t>
        </is>
      </c>
      <c r="F20" s="73" t="inlineStr">
        <is>
          <t>HTE</t>
        </is>
      </c>
      <c r="G20" s="73" t="inlineStr">
        <is>
          <t>1*2116</t>
        </is>
      </c>
      <c r="H20" s="73">
        <f>ROUND(J20/13.33,2)</f>
        <v/>
      </c>
      <c r="I20" s="73">
        <f>ROUND(H20*12,0)</f>
        <v/>
      </c>
      <c r="J20" s="99">
        <f>J19+150</f>
        <v/>
      </c>
      <c r="K20" s="73">
        <f>ROUND(H20*14,0)</f>
        <v/>
      </c>
      <c r="L20" s="42" t="n"/>
      <c r="M20" s="99" t="n">
        <v>415</v>
      </c>
      <c r="N20" s="65" t="n">
        <v>0.1</v>
      </c>
      <c r="O20" s="99" t="n">
        <v>395</v>
      </c>
      <c r="P20" s="66" t="n">
        <v>0.05</v>
      </c>
      <c r="Q20" s="34" t="n">
        <v>396</v>
      </c>
      <c r="R20" s="67">
        <f>ROUND((J20-Q20)/Q20,2)</f>
        <v/>
      </c>
      <c r="S20" s="34" t="n">
        <v>370</v>
      </c>
      <c r="T20" s="67">
        <f>ROUND((J20-S20)/S20,2)</f>
        <v/>
      </c>
    </row>
    <row r="21" customFormat="1" s="34">
      <c r="B21" s="69" t="inlineStr">
        <is>
          <t>NY2140</t>
        </is>
      </c>
      <c r="C21" s="101" t="n">
        <v>0.15</v>
      </c>
      <c r="D21" s="102" t="inlineStr">
        <is>
          <t>芯厚</t>
        </is>
      </c>
      <c r="E21" s="72" t="inlineStr">
        <is>
          <t>H/H</t>
        </is>
      </c>
      <c r="F21" s="73" t="inlineStr">
        <is>
          <t>HTE</t>
        </is>
      </c>
      <c r="G21" s="73" t="inlineStr">
        <is>
          <t>1*1506</t>
        </is>
      </c>
      <c r="H21" s="73">
        <f>ROUND(J21/13.33,2)</f>
        <v/>
      </c>
      <c r="I21" s="73">
        <f>ROUND(H21*12,0)</f>
        <v/>
      </c>
      <c r="J21" s="99">
        <f>J22-60</f>
        <v/>
      </c>
      <c r="K21" s="73">
        <f>ROUND(H21*14,0)</f>
        <v/>
      </c>
      <c r="L21" s="42" t="n"/>
      <c r="M21" s="99" t="n">
        <v>102</v>
      </c>
      <c r="N21" s="65" t="n">
        <v>0.08</v>
      </c>
      <c r="O21" s="99" t="n">
        <v>94</v>
      </c>
      <c r="P21" s="66" t="n">
        <v>0.08</v>
      </c>
      <c r="Q21" s="34" t="n">
        <v>94</v>
      </c>
      <c r="R21" s="67">
        <f>ROUND((J21-Q21)/Q21,2)</f>
        <v/>
      </c>
      <c r="S21" s="34" t="n">
        <v>88</v>
      </c>
      <c r="T21" s="67">
        <f>ROUND((J21-S21)/S21,2)</f>
        <v/>
      </c>
    </row>
    <row r="22" customFormat="1" s="34">
      <c r="B22" s="69" t="inlineStr">
        <is>
          <t>NY2140</t>
        </is>
      </c>
      <c r="C22" s="101" t="n">
        <v>0.15</v>
      </c>
      <c r="D22" s="102" t="inlineStr">
        <is>
          <t>芯厚</t>
        </is>
      </c>
      <c r="E22" s="72" t="inlineStr">
        <is>
          <t>1/1</t>
        </is>
      </c>
      <c r="F22" s="73" t="inlineStr">
        <is>
          <t>HTE</t>
        </is>
      </c>
      <c r="G22" s="73" t="inlineStr">
        <is>
          <t>1*1506</t>
        </is>
      </c>
      <c r="H22" s="73">
        <f>ROUND(J22/13.33,2)</f>
        <v/>
      </c>
      <c r="I22" s="73">
        <f>ROUND(H22*12,0)</f>
        <v/>
      </c>
      <c r="J22" s="99" t="n">
        <v>170</v>
      </c>
      <c r="K22" s="73">
        <f>ROUND(H22*14,0)</f>
        <v/>
      </c>
      <c r="L22" s="42" t="n"/>
      <c r="M22" s="99" t="n">
        <v>153</v>
      </c>
      <c r="N22" s="65" t="n">
        <v>0.11</v>
      </c>
      <c r="O22" s="99" t="n">
        <v>143</v>
      </c>
      <c r="P22" s="66" t="n">
        <v>0.07000000000000001</v>
      </c>
      <c r="Q22" s="34" t="n">
        <v>139</v>
      </c>
      <c r="R22" s="67">
        <f>ROUND((J22-Q22)/Q22,2)</f>
        <v/>
      </c>
      <c r="S22" s="34" t="n">
        <v>130</v>
      </c>
      <c r="T22" s="67">
        <f>ROUND((J22-S22)/S22,2)</f>
        <v/>
      </c>
    </row>
    <row r="23" customFormat="1" s="34">
      <c r="B23" s="69" t="inlineStr">
        <is>
          <t>NY2140</t>
        </is>
      </c>
      <c r="C23" s="101" t="n">
        <v>0.15</v>
      </c>
      <c r="D23" s="102" t="inlineStr">
        <is>
          <t>芯厚</t>
        </is>
      </c>
      <c r="E23" s="72" t="inlineStr">
        <is>
          <t>2/2</t>
        </is>
      </c>
      <c r="F23" s="73" t="inlineStr">
        <is>
          <t>HTE</t>
        </is>
      </c>
      <c r="G23" s="73" t="inlineStr">
        <is>
          <t>1*1506</t>
        </is>
      </c>
      <c r="H23" s="73">
        <f>ROUND(J23/13.33,2)</f>
        <v/>
      </c>
      <c r="I23" s="73">
        <f>ROUND(H23*12,0)</f>
        <v/>
      </c>
      <c r="J23" s="99">
        <f>J22+140</f>
        <v/>
      </c>
      <c r="K23" s="73">
        <f>ROUND(H23*14,0)</f>
        <v/>
      </c>
      <c r="L23" s="42" t="n"/>
      <c r="M23" s="99" t="n">
        <v>284</v>
      </c>
      <c r="N23" s="65" t="n">
        <v>0.09</v>
      </c>
      <c r="O23" s="99" t="n">
        <v>268</v>
      </c>
      <c r="P23" s="66" t="n">
        <v>0.06</v>
      </c>
      <c r="Q23" s="34" t="n">
        <v>265</v>
      </c>
      <c r="R23" s="67">
        <f>ROUND((J23-Q23)/Q23,2)</f>
        <v/>
      </c>
      <c r="S23" s="34" t="n">
        <v>248</v>
      </c>
      <c r="T23" s="67">
        <f>ROUND((J23-S23)/S23,2)</f>
        <v/>
      </c>
    </row>
    <row r="24" customFormat="1" s="34">
      <c r="B24" s="69" t="inlineStr">
        <is>
          <t>NY2140</t>
        </is>
      </c>
      <c r="C24" s="101" t="n">
        <v>0.15</v>
      </c>
      <c r="D24" s="102" t="inlineStr">
        <is>
          <t>芯厚</t>
        </is>
      </c>
      <c r="E24" s="72" t="inlineStr">
        <is>
          <t>3/3</t>
        </is>
      </c>
      <c r="F24" s="73" t="inlineStr">
        <is>
          <t>HTE</t>
        </is>
      </c>
      <c r="G24" s="73" t="inlineStr">
        <is>
          <t>1*1506</t>
        </is>
      </c>
      <c r="H24" s="73">
        <f>ROUND(J24/13.33,2)</f>
        <v/>
      </c>
      <c r="I24" s="73">
        <f>ROUND(H24*12,0)</f>
        <v/>
      </c>
      <c r="J24" s="99">
        <f>J23+150</f>
        <v/>
      </c>
      <c r="K24" s="73">
        <f>ROUND(H24*14,0)</f>
        <v/>
      </c>
      <c r="L24" s="42" t="n"/>
      <c r="M24" s="99" t="n">
        <v>418</v>
      </c>
      <c r="N24" s="65" t="n">
        <v>0.1</v>
      </c>
      <c r="O24" s="99" t="n">
        <v>398</v>
      </c>
      <c r="P24" s="66" t="n">
        <v>0.05</v>
      </c>
      <c r="Q24" s="34" t="n">
        <v>399</v>
      </c>
      <c r="R24" s="67">
        <f>ROUND((J24-Q24)/Q24,2)</f>
        <v/>
      </c>
      <c r="S24" s="34" t="n">
        <v>373</v>
      </c>
      <c r="T24" s="67">
        <f>ROUND((J24-S24)/S24,2)</f>
        <v/>
      </c>
    </row>
    <row r="25" customFormat="1" s="34">
      <c r="B25" s="69" t="inlineStr">
        <is>
          <t>NY2140</t>
        </is>
      </c>
      <c r="C25" s="101" t="n">
        <v>0.2</v>
      </c>
      <c r="D25" s="102" t="inlineStr">
        <is>
          <t>芯厚</t>
        </is>
      </c>
      <c r="E25" s="72" t="inlineStr">
        <is>
          <t>H/H</t>
        </is>
      </c>
      <c r="F25" s="73" t="inlineStr">
        <is>
          <t>HTE</t>
        </is>
      </c>
      <c r="G25" s="69" t="inlineStr">
        <is>
          <t>1*7628</t>
        </is>
      </c>
      <c r="H25" s="73">
        <f>ROUND(J25/13.33,2)</f>
        <v/>
      </c>
      <c r="I25" s="73">
        <f>ROUND(H25*12,0)</f>
        <v/>
      </c>
      <c r="J25" s="99">
        <f>J26-60</f>
        <v/>
      </c>
      <c r="K25" s="73">
        <f>ROUND(H25*14,0)</f>
        <v/>
      </c>
      <c r="L25" s="42" t="n"/>
      <c r="M25" s="99" t="n">
        <v>101</v>
      </c>
      <c r="N25" s="65" t="n">
        <v>0.09</v>
      </c>
      <c r="O25" s="99" t="n">
        <v>94</v>
      </c>
      <c r="P25" s="66" t="n">
        <v>0.07000000000000001</v>
      </c>
      <c r="Q25" s="34" t="n">
        <v>91</v>
      </c>
      <c r="R25" s="67">
        <f>ROUND((J25-Q25)/Q25,2)</f>
        <v/>
      </c>
      <c r="S25" s="34" t="n">
        <v>85</v>
      </c>
      <c r="T25" s="67">
        <f>ROUND((J25-S25)/S25,2)</f>
        <v/>
      </c>
    </row>
    <row r="26" customFormat="1" s="34">
      <c r="B26" s="69" t="inlineStr">
        <is>
          <t>NY2140</t>
        </is>
      </c>
      <c r="C26" s="101" t="n">
        <v>0.2</v>
      </c>
      <c r="D26" s="102" t="inlineStr">
        <is>
          <t>芯厚</t>
        </is>
      </c>
      <c r="E26" s="72" t="inlineStr">
        <is>
          <t>1/1</t>
        </is>
      </c>
      <c r="F26" s="73" t="inlineStr">
        <is>
          <t>HTE</t>
        </is>
      </c>
      <c r="G26" s="69" t="inlineStr">
        <is>
          <t>1*7628</t>
        </is>
      </c>
      <c r="H26" s="73">
        <f>ROUND(J26/13.33,2)</f>
        <v/>
      </c>
      <c r="I26" s="73">
        <f>ROUND(H26*12,0)</f>
        <v/>
      </c>
      <c r="J26" s="99" t="n">
        <v>170</v>
      </c>
      <c r="K26" s="73">
        <f>ROUND(H26*14,0)</f>
        <v/>
      </c>
      <c r="L26" s="42" t="n"/>
      <c r="M26" s="99" t="n">
        <v>151</v>
      </c>
      <c r="N26" s="65" t="n">
        <v>0.13</v>
      </c>
      <c r="O26" s="99" t="n">
        <v>140</v>
      </c>
      <c r="P26" s="66" t="n">
        <v>0.08</v>
      </c>
      <c r="Q26" s="34" t="n">
        <v>134</v>
      </c>
      <c r="R26" s="67">
        <f>ROUND((J26-Q26)/Q26,2)</f>
        <v/>
      </c>
      <c r="S26" s="34" t="n">
        <v>125</v>
      </c>
      <c r="T26" s="67">
        <f>ROUND((J26-S26)/S26,2)</f>
        <v/>
      </c>
    </row>
    <row r="27" customFormat="1" s="34">
      <c r="B27" s="69" t="inlineStr">
        <is>
          <t>NY2140</t>
        </is>
      </c>
      <c r="C27" s="101" t="n">
        <v>0.2</v>
      </c>
      <c r="D27" s="102" t="inlineStr">
        <is>
          <t>芯厚</t>
        </is>
      </c>
      <c r="E27" s="72" t="inlineStr">
        <is>
          <t>2/2</t>
        </is>
      </c>
      <c r="F27" s="73" t="inlineStr">
        <is>
          <t>HTE</t>
        </is>
      </c>
      <c r="G27" s="69" t="inlineStr">
        <is>
          <t>1*7628</t>
        </is>
      </c>
      <c r="H27" s="73">
        <f>ROUND(J27/13.33,2)</f>
        <v/>
      </c>
      <c r="I27" s="73">
        <f>ROUND(H27*12,0)</f>
        <v/>
      </c>
      <c r="J27" s="99">
        <f>J26+140</f>
        <v/>
      </c>
      <c r="K27" s="73">
        <f>ROUND(H27*14,0)</f>
        <v/>
      </c>
      <c r="L27" s="42" t="n"/>
      <c r="M27" s="99" t="n">
        <v>284</v>
      </c>
      <c r="N27" s="65" t="n">
        <v>0.09</v>
      </c>
      <c r="O27" s="99" t="n">
        <v>265</v>
      </c>
      <c r="P27" s="66" t="n">
        <v>0.07000000000000001</v>
      </c>
      <c r="Q27" s="34" t="n">
        <v>262</v>
      </c>
      <c r="R27" s="67">
        <f>ROUND((J27-Q27)/Q27,2)</f>
        <v/>
      </c>
      <c r="S27" s="34" t="n">
        <v>245</v>
      </c>
      <c r="T27" s="67">
        <f>ROUND((J27-S27)/S27,2)</f>
        <v/>
      </c>
    </row>
    <row r="28" customFormat="1" s="34">
      <c r="B28" s="69" t="inlineStr">
        <is>
          <t>NY2140</t>
        </is>
      </c>
      <c r="C28" s="101" t="n">
        <v>0.2</v>
      </c>
      <c r="D28" s="102" t="inlineStr">
        <is>
          <t>芯厚</t>
        </is>
      </c>
      <c r="E28" s="72" t="inlineStr">
        <is>
          <t>3/3</t>
        </is>
      </c>
      <c r="F28" s="73" t="inlineStr">
        <is>
          <t>HTE</t>
        </is>
      </c>
      <c r="G28" s="69" t="inlineStr">
        <is>
          <t>1*7628</t>
        </is>
      </c>
      <c r="H28" s="73">
        <f>ROUND(J28/13.33,2)</f>
        <v/>
      </c>
      <c r="I28" s="73">
        <f>ROUND(H28*12,0)</f>
        <v/>
      </c>
      <c r="J28" s="99">
        <f>J27+150</f>
        <v/>
      </c>
      <c r="K28" s="73">
        <f>ROUND(H28*14,0)</f>
        <v/>
      </c>
      <c r="L28" s="42" t="n"/>
      <c r="M28" s="99" t="n">
        <v>419</v>
      </c>
      <c r="N28" s="65" t="n">
        <v>0.1</v>
      </c>
      <c r="O28" s="99" t="n">
        <v>395</v>
      </c>
      <c r="P28" s="66" t="n">
        <v>0.06</v>
      </c>
      <c r="Q28" s="34" t="n">
        <v>396</v>
      </c>
      <c r="R28" s="67">
        <f>ROUND((J28-Q28)/Q28,2)</f>
        <v/>
      </c>
      <c r="S28" s="34" t="n">
        <v>370</v>
      </c>
      <c r="T28" s="67">
        <f>ROUND((J28-S28)/S28,2)</f>
        <v/>
      </c>
    </row>
    <row r="29" customFormat="1" s="34">
      <c r="B29" s="69" t="inlineStr">
        <is>
          <t>NY2140</t>
        </is>
      </c>
      <c r="C29" s="101" t="n">
        <v>0.25</v>
      </c>
      <c r="D29" s="102" t="inlineStr">
        <is>
          <t>芯厚</t>
        </is>
      </c>
      <c r="E29" s="72" t="inlineStr">
        <is>
          <t>H/H</t>
        </is>
      </c>
      <c r="F29" s="73" t="inlineStr">
        <is>
          <t>HTE</t>
        </is>
      </c>
      <c r="G29" s="69" t="inlineStr">
        <is>
          <t>2*2116</t>
        </is>
      </c>
      <c r="H29" s="73">
        <f>ROUND(J29/13.33,2)</f>
        <v/>
      </c>
      <c r="I29" s="73">
        <f>ROUND(H29*12,0)</f>
        <v/>
      </c>
      <c r="J29" s="99">
        <f>J30-60</f>
        <v/>
      </c>
      <c r="K29" s="73">
        <f>ROUND(H29*14,0)</f>
        <v/>
      </c>
      <c r="L29" s="42" t="n"/>
      <c r="M29" s="99" t="n">
        <v>121</v>
      </c>
      <c r="N29" s="65" t="n">
        <v>0.11</v>
      </c>
      <c r="O29" s="99" t="n">
        <v>112</v>
      </c>
      <c r="P29" s="66" t="n">
        <v>0.08</v>
      </c>
      <c r="Q29" s="34" t="n">
        <v>107</v>
      </c>
      <c r="R29" s="67">
        <f>ROUND((J29-Q29)/Q29,2)</f>
        <v/>
      </c>
      <c r="S29" s="34" t="n">
        <v>100</v>
      </c>
      <c r="T29" s="67">
        <f>ROUND((J29-S29)/S29,2)</f>
        <v/>
      </c>
    </row>
    <row r="30" customFormat="1" s="34">
      <c r="B30" s="69" t="inlineStr">
        <is>
          <t>NY2140</t>
        </is>
      </c>
      <c r="C30" s="101" t="n">
        <v>0.25</v>
      </c>
      <c r="D30" s="102" t="inlineStr">
        <is>
          <t>芯厚</t>
        </is>
      </c>
      <c r="E30" s="72" t="inlineStr">
        <is>
          <t>1/1</t>
        </is>
      </c>
      <c r="F30" s="73" t="inlineStr">
        <is>
          <t>HTE</t>
        </is>
      </c>
      <c r="G30" s="69" t="inlineStr">
        <is>
          <t>2*2116</t>
        </is>
      </c>
      <c r="H30" s="73">
        <f>ROUND(J30/13.33,2)</f>
        <v/>
      </c>
      <c r="I30" s="73">
        <f>ROUND(H30*12,0)</f>
        <v/>
      </c>
      <c r="J30" s="99" t="n">
        <v>194</v>
      </c>
      <c r="K30" s="73">
        <f>ROUND(H30*14,0)</f>
        <v/>
      </c>
      <c r="L30" s="42" t="n"/>
      <c r="M30" s="99" t="n">
        <v>172</v>
      </c>
      <c r="N30" s="65" t="n">
        <v>0.13</v>
      </c>
      <c r="O30" s="99" t="n">
        <v>162</v>
      </c>
      <c r="P30" s="66" t="n">
        <v>0.06</v>
      </c>
      <c r="Q30" s="34" t="n">
        <v>157</v>
      </c>
      <c r="R30" s="67">
        <f>ROUND((J30-Q30)/Q30,2)</f>
        <v/>
      </c>
      <c r="S30" s="34" t="n">
        <v>147</v>
      </c>
      <c r="T30" s="67">
        <f>ROUND((J30-S30)/S30,2)</f>
        <v/>
      </c>
    </row>
    <row r="31" customFormat="1" s="34">
      <c r="B31" s="69" t="inlineStr">
        <is>
          <t>NY2140</t>
        </is>
      </c>
      <c r="C31" s="101" t="n">
        <v>0.25</v>
      </c>
      <c r="D31" s="102" t="inlineStr">
        <is>
          <t>芯厚</t>
        </is>
      </c>
      <c r="E31" s="72" t="inlineStr">
        <is>
          <t>2/2</t>
        </is>
      </c>
      <c r="F31" s="73" t="inlineStr">
        <is>
          <t>HTE</t>
        </is>
      </c>
      <c r="G31" s="69" t="inlineStr">
        <is>
          <t>2*2116</t>
        </is>
      </c>
      <c r="H31" s="73">
        <f>ROUND(J31/13.33,2)</f>
        <v/>
      </c>
      <c r="I31" s="73">
        <f>ROUND(H31*12,0)</f>
        <v/>
      </c>
      <c r="J31" s="99">
        <f>J30+140</f>
        <v/>
      </c>
      <c r="K31" s="73">
        <f>ROUND(H31*14,0)</f>
        <v/>
      </c>
      <c r="L31" s="42" t="n"/>
      <c r="M31" s="99" t="n">
        <v>304</v>
      </c>
      <c r="N31" s="65" t="n">
        <v>0.1</v>
      </c>
      <c r="O31" s="99" t="n">
        <v>287</v>
      </c>
      <c r="P31" s="66" t="n">
        <v>0.06</v>
      </c>
      <c r="Q31" s="34" t="n">
        <v>280</v>
      </c>
      <c r="R31" s="67">
        <f>ROUND((J31-Q31)/Q31,2)</f>
        <v/>
      </c>
      <c r="S31" s="34" t="n">
        <v>262</v>
      </c>
      <c r="T31" s="67">
        <f>ROUND((J31-S31)/S31,2)</f>
        <v/>
      </c>
    </row>
    <row r="32" customFormat="1" s="34">
      <c r="B32" s="69" t="inlineStr">
        <is>
          <t>NY2140</t>
        </is>
      </c>
      <c r="C32" s="101" t="n">
        <v>0.25</v>
      </c>
      <c r="D32" s="102" t="inlineStr">
        <is>
          <t>芯厚</t>
        </is>
      </c>
      <c r="E32" s="72" t="inlineStr">
        <is>
          <t>3/3</t>
        </is>
      </c>
      <c r="F32" s="73" t="inlineStr">
        <is>
          <t>HTE</t>
        </is>
      </c>
      <c r="G32" s="69" t="inlineStr">
        <is>
          <t>2*2116</t>
        </is>
      </c>
      <c r="H32" s="73">
        <f>ROUND(J32/13.33,2)</f>
        <v/>
      </c>
      <c r="I32" s="73">
        <f>ROUND(H32*12,0)</f>
        <v/>
      </c>
      <c r="J32" s="99">
        <f>J31+150</f>
        <v/>
      </c>
      <c r="K32" s="73">
        <f>ROUND(H32*14,0)</f>
        <v/>
      </c>
      <c r="L32" s="42" t="n"/>
      <c r="M32" s="99" t="n">
        <v>438</v>
      </c>
      <c r="N32" s="65" t="n">
        <v>0.11</v>
      </c>
      <c r="O32" s="99" t="n">
        <v>417</v>
      </c>
      <c r="P32" s="66" t="n">
        <v>0.05</v>
      </c>
      <c r="Q32" s="34" t="n">
        <v>414</v>
      </c>
      <c r="R32" s="67">
        <f>ROUND((J32-Q32)/Q32,2)</f>
        <v/>
      </c>
      <c r="S32" s="34" t="n">
        <v>387</v>
      </c>
      <c r="T32" s="67">
        <f>ROUND((J32-S32)/S32,2)</f>
        <v/>
      </c>
    </row>
    <row r="33" customFormat="1" s="34">
      <c r="B33" s="69" t="inlineStr">
        <is>
          <t>NY2140</t>
        </is>
      </c>
      <c r="C33" s="101" t="n">
        <v>0.3</v>
      </c>
      <c r="D33" s="102" t="inlineStr">
        <is>
          <t>芯厚</t>
        </is>
      </c>
      <c r="E33" s="72" t="inlineStr">
        <is>
          <t>H/H</t>
        </is>
      </c>
      <c r="F33" s="73" t="inlineStr">
        <is>
          <t>HTE</t>
        </is>
      </c>
      <c r="G33" s="69" t="inlineStr">
        <is>
          <t>2*1506</t>
        </is>
      </c>
      <c r="H33" s="73">
        <f>ROUND(J33/13.33,2)</f>
        <v/>
      </c>
      <c r="I33" s="73">
        <f>ROUND(H33*12,0)</f>
        <v/>
      </c>
      <c r="J33" s="99">
        <f>J34-60</f>
        <v/>
      </c>
      <c r="K33" s="73">
        <f>ROUND(H33*14,0)</f>
        <v/>
      </c>
      <c r="L33" s="42" t="n"/>
      <c r="M33" s="99" t="n">
        <v>123</v>
      </c>
      <c r="N33" s="65" t="n">
        <v>0.1</v>
      </c>
      <c r="O33" s="99" t="n">
        <v>114</v>
      </c>
      <c r="P33" s="66" t="n">
        <v>0.08</v>
      </c>
      <c r="Q33" s="34" t="n">
        <v>109</v>
      </c>
      <c r="R33" s="67">
        <f>ROUND((J33-Q33)/Q33,2)</f>
        <v/>
      </c>
      <c r="S33" s="34" t="n">
        <v>102</v>
      </c>
      <c r="T33" s="67">
        <f>ROUND((J33-S33)/S33,2)</f>
        <v/>
      </c>
    </row>
    <row r="34" customFormat="1" s="34">
      <c r="B34" s="69" t="inlineStr">
        <is>
          <t>NY2140</t>
        </is>
      </c>
      <c r="C34" s="101" t="n">
        <v>0.3</v>
      </c>
      <c r="D34" s="102" t="inlineStr">
        <is>
          <t>芯厚</t>
        </is>
      </c>
      <c r="E34" s="72" t="inlineStr">
        <is>
          <t>1/1</t>
        </is>
      </c>
      <c r="F34" s="73" t="inlineStr">
        <is>
          <t>HTE</t>
        </is>
      </c>
      <c r="G34" s="69" t="inlineStr">
        <is>
          <t>2*1506</t>
        </is>
      </c>
      <c r="H34" s="73">
        <f>ROUND(J34/13.33,2)</f>
        <v/>
      </c>
      <c r="I34" s="73">
        <f>ROUND(H34*12,0)</f>
        <v/>
      </c>
      <c r="J34" s="99" t="n">
        <v>195</v>
      </c>
      <c r="K34" s="73">
        <f>ROUND(H34*14,0)</f>
        <v/>
      </c>
      <c r="L34" s="42" t="n"/>
      <c r="M34" s="99" t="n">
        <v>174</v>
      </c>
      <c r="N34" s="65" t="n">
        <v>0.12</v>
      </c>
      <c r="O34" s="99" t="n">
        <v>164</v>
      </c>
      <c r="P34" s="66" t="n">
        <v>0.06</v>
      </c>
      <c r="Q34" s="34" t="n">
        <v>159</v>
      </c>
      <c r="R34" s="67">
        <f>ROUND((J34-Q34)/Q34,2)</f>
        <v/>
      </c>
      <c r="S34" s="34" t="n">
        <v>149</v>
      </c>
      <c r="T34" s="67">
        <f>ROUND((J34-S34)/S34,2)</f>
        <v/>
      </c>
    </row>
    <row r="35" customFormat="1" s="34">
      <c r="B35" s="69" t="inlineStr">
        <is>
          <t>NY2140</t>
        </is>
      </c>
      <c r="C35" s="101" t="n">
        <v>0.3</v>
      </c>
      <c r="D35" s="102" t="inlineStr">
        <is>
          <t>芯厚</t>
        </is>
      </c>
      <c r="E35" s="72" t="inlineStr">
        <is>
          <t>2/2</t>
        </is>
      </c>
      <c r="F35" s="73" t="inlineStr">
        <is>
          <t>HTE</t>
        </is>
      </c>
      <c r="G35" s="69" t="inlineStr">
        <is>
          <t>2*1506</t>
        </is>
      </c>
      <c r="H35" s="73">
        <f>ROUND(J35/13.33,2)</f>
        <v/>
      </c>
      <c r="I35" s="73">
        <f>ROUND(H35*12,0)</f>
        <v/>
      </c>
      <c r="J35" s="99">
        <f>J34+140</f>
        <v/>
      </c>
      <c r="K35" s="73">
        <f>ROUND(H35*14,0)</f>
        <v/>
      </c>
      <c r="L35" s="42" t="n"/>
      <c r="M35" s="99" t="n">
        <v>306</v>
      </c>
      <c r="N35" s="65" t="n">
        <v>0.09</v>
      </c>
      <c r="O35" s="99" t="n">
        <v>289</v>
      </c>
      <c r="P35" s="66" t="n">
        <v>0.06</v>
      </c>
      <c r="Q35" s="34" t="n">
        <v>282</v>
      </c>
      <c r="R35" s="67">
        <f>ROUND((J35-Q35)/Q35,2)</f>
        <v/>
      </c>
      <c r="S35" s="34" t="n">
        <v>264</v>
      </c>
      <c r="T35" s="67">
        <f>ROUND((J35-S35)/S35,2)</f>
        <v/>
      </c>
    </row>
    <row r="36" customFormat="1" s="34">
      <c r="B36" s="69" t="inlineStr">
        <is>
          <t>NY2140</t>
        </is>
      </c>
      <c r="C36" s="101" t="n">
        <v>0.3</v>
      </c>
      <c r="D36" s="102" t="inlineStr">
        <is>
          <t>芯厚</t>
        </is>
      </c>
      <c r="E36" s="72" t="inlineStr">
        <is>
          <t>3/3</t>
        </is>
      </c>
      <c r="F36" s="73" t="inlineStr">
        <is>
          <t>HTE</t>
        </is>
      </c>
      <c r="G36" s="69" t="inlineStr">
        <is>
          <t>2*1506</t>
        </is>
      </c>
      <c r="H36" s="73">
        <f>ROUND(J36/13.33,2)</f>
        <v/>
      </c>
      <c r="I36" s="73">
        <f>ROUND(H36*12,0)</f>
        <v/>
      </c>
      <c r="J36" s="99">
        <f>J35+150</f>
        <v/>
      </c>
      <c r="K36" s="73">
        <f>ROUND(H36*14,0)</f>
        <v/>
      </c>
      <c r="L36" s="42" t="n"/>
      <c r="M36" s="99" t="n">
        <v>440</v>
      </c>
      <c r="N36" s="65" t="n">
        <v>0.1</v>
      </c>
      <c r="O36" s="99" t="n">
        <v>419</v>
      </c>
      <c r="P36" s="66" t="n">
        <v>0.05</v>
      </c>
      <c r="Q36" s="34" t="n">
        <v>416</v>
      </c>
      <c r="R36" s="67">
        <f>ROUND((J36-Q36)/Q36,2)</f>
        <v/>
      </c>
      <c r="S36" s="34" t="n">
        <v>389</v>
      </c>
      <c r="T36" s="67">
        <f>ROUND((J36-S36)/S36,2)</f>
        <v/>
      </c>
    </row>
    <row r="37" customFormat="1" s="34">
      <c r="B37" s="69" t="inlineStr">
        <is>
          <t>NY2140</t>
        </is>
      </c>
      <c r="C37" s="101" t="n">
        <v>0.36</v>
      </c>
      <c r="D37" s="102" t="inlineStr">
        <is>
          <t>芯厚</t>
        </is>
      </c>
      <c r="E37" s="72" t="inlineStr">
        <is>
          <t>H/H</t>
        </is>
      </c>
      <c r="F37" s="73" t="inlineStr">
        <is>
          <t>HTE</t>
        </is>
      </c>
      <c r="G37" s="69" t="inlineStr">
        <is>
          <t>2*7628</t>
        </is>
      </c>
      <c r="H37" s="73">
        <f>ROUND(J37/13.33,2)</f>
        <v/>
      </c>
      <c r="I37" s="73">
        <f>ROUND(H37*12,0)</f>
        <v/>
      </c>
      <c r="J37" s="99">
        <f>J38-60</f>
        <v/>
      </c>
      <c r="K37" s="73">
        <f>ROUND(H37*14,0)</f>
        <v/>
      </c>
      <c r="L37" s="42" t="n"/>
      <c r="M37" s="99" t="n">
        <v>121</v>
      </c>
      <c r="N37" s="65" t="n">
        <v>0.12</v>
      </c>
      <c r="O37" s="99" t="n">
        <v>112</v>
      </c>
      <c r="P37" s="66" t="n">
        <v>0.08</v>
      </c>
      <c r="Q37" s="34" t="n">
        <v>104</v>
      </c>
      <c r="R37" s="67">
        <f>ROUND((J37-Q37)/Q37,2)</f>
        <v/>
      </c>
      <c r="S37" s="34" t="n">
        <v>97</v>
      </c>
      <c r="T37" s="67">
        <f>ROUND((J37-S37)/S37,2)</f>
        <v/>
      </c>
    </row>
    <row r="38" customFormat="1" s="34">
      <c r="B38" s="69" t="inlineStr">
        <is>
          <t>NY2140</t>
        </is>
      </c>
      <c r="C38" s="101" t="n">
        <v>0.36</v>
      </c>
      <c r="D38" s="102" t="inlineStr">
        <is>
          <t>芯厚</t>
        </is>
      </c>
      <c r="E38" s="72" t="inlineStr">
        <is>
          <t>1/1</t>
        </is>
      </c>
      <c r="F38" s="73" t="inlineStr">
        <is>
          <t>HTE</t>
        </is>
      </c>
      <c r="G38" s="69" t="inlineStr">
        <is>
          <t>2*7628</t>
        </is>
      </c>
      <c r="H38" s="73">
        <f>ROUND(J38/13.33,2)</f>
        <v/>
      </c>
      <c r="I38" s="73">
        <f>ROUND(H38*12,0)</f>
        <v/>
      </c>
      <c r="J38" s="99" t="n">
        <v>195</v>
      </c>
      <c r="K38" s="73">
        <f>ROUND(H38*14,0)</f>
        <v/>
      </c>
      <c r="L38" s="42" t="n"/>
      <c r="M38" s="99" t="n">
        <v>172</v>
      </c>
      <c r="N38" s="65" t="n">
        <v>0.13</v>
      </c>
      <c r="O38" s="99" t="n">
        <v>162</v>
      </c>
      <c r="P38" s="66" t="n">
        <v>0.06</v>
      </c>
      <c r="Q38" s="34" t="n">
        <v>155</v>
      </c>
      <c r="R38" s="67">
        <f>ROUND((J38-Q38)/Q38,2)</f>
        <v/>
      </c>
      <c r="S38" s="34" t="n">
        <v>145</v>
      </c>
      <c r="T38" s="67">
        <f>ROUND((J38-S38)/S38,2)</f>
        <v/>
      </c>
    </row>
    <row r="39" customFormat="1" s="34">
      <c r="B39" s="69" t="inlineStr">
        <is>
          <t>NY2140</t>
        </is>
      </c>
      <c r="C39" s="101" t="n">
        <v>0.36</v>
      </c>
      <c r="D39" s="102" t="inlineStr">
        <is>
          <t>芯厚</t>
        </is>
      </c>
      <c r="E39" s="72" t="inlineStr">
        <is>
          <t>2/2</t>
        </is>
      </c>
      <c r="F39" s="73" t="inlineStr">
        <is>
          <t>HTE</t>
        </is>
      </c>
      <c r="G39" s="69" t="inlineStr">
        <is>
          <t>2*7628</t>
        </is>
      </c>
      <c r="H39" s="73">
        <f>ROUND(J39/13.33,2)</f>
        <v/>
      </c>
      <c r="I39" s="73">
        <f>ROUND(H39*12,0)</f>
        <v/>
      </c>
      <c r="J39" s="99">
        <f>J38+140</f>
        <v/>
      </c>
      <c r="K39" s="73">
        <f>ROUND(H39*14,0)</f>
        <v/>
      </c>
      <c r="L39" s="42" t="n"/>
      <c r="M39" s="99" t="n">
        <v>304</v>
      </c>
      <c r="N39" s="65" t="n">
        <v>0.1</v>
      </c>
      <c r="O39" s="99" t="n">
        <v>287</v>
      </c>
      <c r="P39" s="66" t="n">
        <v>0.06</v>
      </c>
      <c r="Q39" s="34" t="n">
        <v>278</v>
      </c>
      <c r="R39" s="67">
        <f>ROUND((J39-Q39)/Q39,2)</f>
        <v/>
      </c>
      <c r="S39" s="34" t="n">
        <v>260</v>
      </c>
      <c r="T39" s="67">
        <f>ROUND((J39-S39)/S39,2)</f>
        <v/>
      </c>
    </row>
    <row r="40" customFormat="1" s="34">
      <c r="B40" s="69" t="inlineStr">
        <is>
          <t>NY2140</t>
        </is>
      </c>
      <c r="C40" s="101" t="n">
        <v>0.36</v>
      </c>
      <c r="D40" s="102" t="inlineStr">
        <is>
          <t>芯厚</t>
        </is>
      </c>
      <c r="E40" s="72" t="inlineStr">
        <is>
          <t>3/3</t>
        </is>
      </c>
      <c r="F40" s="73" t="inlineStr">
        <is>
          <t>HTE</t>
        </is>
      </c>
      <c r="G40" s="69" t="inlineStr">
        <is>
          <t>2*7628</t>
        </is>
      </c>
      <c r="H40" s="73">
        <f>ROUND(J40/13.33,2)</f>
        <v/>
      </c>
      <c r="I40" s="73">
        <f>ROUND(H40*12,0)</f>
        <v/>
      </c>
      <c r="J40" s="99">
        <f>J39+150</f>
        <v/>
      </c>
      <c r="K40" s="73">
        <f>ROUND(H40*14,0)</f>
        <v/>
      </c>
      <c r="L40" s="42" t="n"/>
      <c r="M40" s="99" t="n">
        <v>438</v>
      </c>
      <c r="N40" s="65" t="n">
        <v>0.11</v>
      </c>
      <c r="O40" s="99" t="n">
        <v>417</v>
      </c>
      <c r="P40" s="66" t="n">
        <v>0.05</v>
      </c>
      <c r="Q40" s="34" t="n">
        <v>412</v>
      </c>
      <c r="R40" s="67">
        <f>ROUND((J40-Q40)/Q40,2)</f>
        <v/>
      </c>
      <c r="S40" s="34" t="n">
        <v>385</v>
      </c>
      <c r="T40" s="67">
        <f>ROUND((J40-S40)/S40,2)</f>
        <v/>
      </c>
    </row>
    <row r="41" customFormat="1" s="34">
      <c r="B41" s="69" t="inlineStr">
        <is>
          <t>NY2140</t>
        </is>
      </c>
      <c r="C41" s="102" t="n">
        <v>0.4</v>
      </c>
      <c r="D41" s="102" t="inlineStr">
        <is>
          <t>芯厚</t>
        </is>
      </c>
      <c r="E41" s="72" t="inlineStr">
        <is>
          <t>H/H</t>
        </is>
      </c>
      <c r="F41" s="73" t="inlineStr">
        <is>
          <t>HTE</t>
        </is>
      </c>
      <c r="G41" s="69" t="inlineStr">
        <is>
          <t>2*7628</t>
        </is>
      </c>
      <c r="H41" s="73">
        <f>ROUND(J41/13.33,2)</f>
        <v/>
      </c>
      <c r="I41" s="73">
        <f>ROUND(H41*12,0)</f>
        <v/>
      </c>
      <c r="J41" s="99">
        <f>J42-60</f>
        <v/>
      </c>
      <c r="K41" s="73">
        <f>ROUND(H41*14,0)</f>
        <v/>
      </c>
      <c r="L41" s="42" t="n"/>
      <c r="M41" s="99" t="n">
        <v>122</v>
      </c>
      <c r="N41" s="65" t="n">
        <v>0.11</v>
      </c>
      <c r="O41" s="99" t="n">
        <v>112</v>
      </c>
      <c r="P41" s="66" t="n">
        <v>0.09</v>
      </c>
      <c r="Q41" s="34" t="n">
        <v>106</v>
      </c>
      <c r="R41" s="67">
        <f>ROUND((J41-Q41)/Q41,2)</f>
        <v/>
      </c>
      <c r="S41" s="34" t="n">
        <v>99</v>
      </c>
      <c r="T41" s="67">
        <f>ROUND((J41-S41)/S41,2)</f>
        <v/>
      </c>
    </row>
    <row r="42" customFormat="1" s="34">
      <c r="B42" s="69" t="inlineStr">
        <is>
          <t>NY2140</t>
        </is>
      </c>
      <c r="C42" s="102" t="n">
        <v>0.4</v>
      </c>
      <c r="D42" s="102" t="inlineStr">
        <is>
          <t>芯厚</t>
        </is>
      </c>
      <c r="E42" s="72" t="inlineStr">
        <is>
          <t>1/1</t>
        </is>
      </c>
      <c r="F42" s="73" t="inlineStr">
        <is>
          <t>HTE</t>
        </is>
      </c>
      <c r="G42" s="69" t="inlineStr">
        <is>
          <t>2*7628</t>
        </is>
      </c>
      <c r="H42" s="73">
        <f>ROUND(J42/13.33,2)</f>
        <v/>
      </c>
      <c r="I42" s="73">
        <f>ROUND(H42*12,0)</f>
        <v/>
      </c>
      <c r="J42" s="99" t="n">
        <v>195</v>
      </c>
      <c r="K42" s="73">
        <f>ROUND(H42*14,0)</f>
        <v/>
      </c>
      <c r="L42" s="42" t="n"/>
      <c r="M42" s="99" t="n">
        <v>173</v>
      </c>
      <c r="N42" s="65" t="n">
        <v>0.13</v>
      </c>
      <c r="O42" s="99" t="n">
        <v>162</v>
      </c>
      <c r="P42" s="66" t="n">
        <v>0.07000000000000001</v>
      </c>
      <c r="Q42" s="34" t="n">
        <v>156</v>
      </c>
      <c r="R42" s="67">
        <f>ROUND((J42-Q42)/Q42,2)</f>
        <v/>
      </c>
      <c r="S42" s="34" t="n">
        <v>146</v>
      </c>
      <c r="T42" s="67">
        <f>ROUND((J42-S42)/S42,2)</f>
        <v/>
      </c>
    </row>
    <row r="43" customFormat="1" s="34">
      <c r="B43" s="69" t="inlineStr">
        <is>
          <t>NY2140</t>
        </is>
      </c>
      <c r="C43" s="102" t="n">
        <v>0.4</v>
      </c>
      <c r="D43" s="102" t="inlineStr">
        <is>
          <t>芯厚</t>
        </is>
      </c>
      <c r="E43" s="72" t="inlineStr">
        <is>
          <t>2/2</t>
        </is>
      </c>
      <c r="F43" s="73" t="inlineStr">
        <is>
          <t>HTE</t>
        </is>
      </c>
      <c r="G43" s="69" t="inlineStr">
        <is>
          <t>2*7628</t>
        </is>
      </c>
      <c r="H43" s="73">
        <f>ROUND(J43/13.33,2)</f>
        <v/>
      </c>
      <c r="I43" s="73">
        <f>ROUND(H43*12,0)</f>
        <v/>
      </c>
      <c r="J43" s="99">
        <f>J42+140</f>
        <v/>
      </c>
      <c r="K43" s="73">
        <f>ROUND(H43*14,0)</f>
        <v/>
      </c>
      <c r="L43" s="42" t="n"/>
      <c r="M43" s="99" t="n">
        <v>307</v>
      </c>
      <c r="N43" s="65" t="n">
        <v>0.09</v>
      </c>
      <c r="O43" s="99" t="n">
        <v>287</v>
      </c>
      <c r="P43" s="66" t="n">
        <v>0.07000000000000001</v>
      </c>
      <c r="Q43" s="34" t="n">
        <v>279</v>
      </c>
      <c r="R43" s="67">
        <f>ROUND((J43-Q43)/Q43,2)</f>
        <v/>
      </c>
      <c r="S43" s="34" t="n">
        <v>261</v>
      </c>
      <c r="T43" s="67">
        <f>ROUND((J43-S43)/S43,2)</f>
        <v/>
      </c>
    </row>
    <row r="44" customFormat="1" s="34">
      <c r="B44" s="69" t="inlineStr">
        <is>
          <t>NY2140</t>
        </is>
      </c>
      <c r="C44" s="102" t="n">
        <v>0.4</v>
      </c>
      <c r="D44" s="102" t="inlineStr">
        <is>
          <t>芯厚</t>
        </is>
      </c>
      <c r="E44" s="72" t="inlineStr">
        <is>
          <t>3/3</t>
        </is>
      </c>
      <c r="F44" s="73" t="inlineStr">
        <is>
          <t>HTE</t>
        </is>
      </c>
      <c r="G44" s="69" t="inlineStr">
        <is>
          <t>2*7628</t>
        </is>
      </c>
      <c r="H44" s="73">
        <f>ROUND(J44/13.33,2)</f>
        <v/>
      </c>
      <c r="I44" s="73">
        <f>ROUND(H44*12,0)</f>
        <v/>
      </c>
      <c r="J44" s="99">
        <f>J43+150</f>
        <v/>
      </c>
      <c r="K44" s="73">
        <f>ROUND(H44*14,0)</f>
        <v/>
      </c>
      <c r="L44" s="42" t="n"/>
      <c r="M44" s="99" t="n">
        <v>438</v>
      </c>
      <c r="N44" s="65" t="n">
        <v>0.11</v>
      </c>
      <c r="O44" s="99" t="n">
        <v>417</v>
      </c>
      <c r="P44" s="66" t="n">
        <v>0.05</v>
      </c>
      <c r="Q44" s="34" t="n">
        <v>413</v>
      </c>
      <c r="R44" s="67">
        <f>ROUND((J44-Q44)/Q44,2)</f>
        <v/>
      </c>
      <c r="S44" s="34" t="n">
        <v>386</v>
      </c>
      <c r="T44" s="67">
        <f>ROUND((J44-S44)/S44,2)</f>
        <v/>
      </c>
    </row>
    <row r="45" customFormat="1" s="34">
      <c r="B45" s="69" t="inlineStr">
        <is>
          <t>NY2140</t>
        </is>
      </c>
      <c r="C45" s="101" t="n">
        <v>0.45</v>
      </c>
      <c r="D45" s="102" t="inlineStr">
        <is>
          <t>芯厚</t>
        </is>
      </c>
      <c r="E45" s="72" t="inlineStr">
        <is>
          <t>H/H</t>
        </is>
      </c>
      <c r="F45" s="73" t="inlineStr">
        <is>
          <t>HTE</t>
        </is>
      </c>
      <c r="G45" s="69" t="inlineStr">
        <is>
          <t>2*7628+1*1080</t>
        </is>
      </c>
      <c r="H45" s="73">
        <f>ROUND(J45/13.33,2)</f>
        <v/>
      </c>
      <c r="I45" s="73">
        <f>ROUND(H45*12,0)</f>
        <v/>
      </c>
      <c r="J45" s="99">
        <f>J46-60</f>
        <v/>
      </c>
      <c r="K45" s="73">
        <f>ROUND(H45*14,0)</f>
        <v/>
      </c>
      <c r="L45" s="42" t="n"/>
      <c r="M45" s="99" t="n">
        <v>135</v>
      </c>
      <c r="N45" s="65" t="n">
        <v>0.16</v>
      </c>
      <c r="O45" s="99" t="n">
        <v>126</v>
      </c>
      <c r="P45" s="66" t="n">
        <v>0.07000000000000001</v>
      </c>
      <c r="Q45" s="34" t="n">
        <v>113</v>
      </c>
      <c r="R45" s="67">
        <f>ROUND((J45-Q45)/Q45,2)</f>
        <v/>
      </c>
      <c r="S45" s="34" t="n">
        <v>106</v>
      </c>
      <c r="T45" s="67">
        <f>ROUND((J45-S45)/S45,2)</f>
        <v/>
      </c>
    </row>
    <row r="46" customFormat="1" s="34">
      <c r="B46" s="69" t="inlineStr">
        <is>
          <t>NY2140</t>
        </is>
      </c>
      <c r="C46" s="101" t="n">
        <v>0.45</v>
      </c>
      <c r="D46" s="102" t="inlineStr">
        <is>
          <t>芯厚</t>
        </is>
      </c>
      <c r="E46" s="72" t="inlineStr">
        <is>
          <t>1/1</t>
        </is>
      </c>
      <c r="F46" s="73" t="inlineStr">
        <is>
          <t>HTE</t>
        </is>
      </c>
      <c r="G46" s="69" t="inlineStr">
        <is>
          <t>2*7628+1*1080</t>
        </is>
      </c>
      <c r="H46" s="73">
        <f>ROUND(J46/13.33,2)</f>
        <v/>
      </c>
      <c r="I46" s="73">
        <f>ROUND(H46*12,0)</f>
        <v/>
      </c>
      <c r="J46" s="99" t="n">
        <v>216</v>
      </c>
      <c r="K46" s="73">
        <f>ROUND(H46*14,0)</f>
        <v/>
      </c>
      <c r="L46" s="42" t="n"/>
      <c r="M46" s="99" t="n">
        <v>185</v>
      </c>
      <c r="N46" s="65" t="n">
        <v>0.17</v>
      </c>
      <c r="O46" s="99" t="n">
        <v>176</v>
      </c>
      <c r="P46" s="66" t="n">
        <v>0.05</v>
      </c>
      <c r="Q46" s="34" t="n">
        <v>165</v>
      </c>
      <c r="R46" s="67">
        <f>ROUND((J46-Q46)/Q46,2)</f>
        <v/>
      </c>
      <c r="S46" s="34" t="n">
        <v>154</v>
      </c>
      <c r="T46" s="67">
        <f>ROUND((J46-S46)/S46,2)</f>
        <v/>
      </c>
    </row>
    <row r="47" customFormat="1" s="34">
      <c r="B47" s="69" t="inlineStr">
        <is>
          <t>NY2140</t>
        </is>
      </c>
      <c r="C47" s="101" t="n">
        <v>0.45</v>
      </c>
      <c r="D47" s="102" t="inlineStr">
        <is>
          <t>芯厚</t>
        </is>
      </c>
      <c r="E47" s="72" t="inlineStr">
        <is>
          <t>2/2</t>
        </is>
      </c>
      <c r="F47" s="73" t="inlineStr">
        <is>
          <t>HTE</t>
        </is>
      </c>
      <c r="G47" s="69" t="inlineStr">
        <is>
          <t>2*7628+1*1080</t>
        </is>
      </c>
      <c r="H47" s="73">
        <f>ROUND(J47/13.33,2)</f>
        <v/>
      </c>
      <c r="I47" s="73">
        <f>ROUND(H47*12,0)</f>
        <v/>
      </c>
      <c r="J47" s="99">
        <f>J46+140</f>
        <v/>
      </c>
      <c r="K47" s="73">
        <f>ROUND(H47*14,0)</f>
        <v/>
      </c>
      <c r="L47" s="42" t="n"/>
      <c r="M47" s="99" t="n">
        <v>319</v>
      </c>
      <c r="N47" s="65" t="n">
        <v>0.12</v>
      </c>
      <c r="O47" s="99" t="n">
        <v>301</v>
      </c>
      <c r="P47" s="66" t="n">
        <v>0.06</v>
      </c>
      <c r="Q47" s="34" t="n">
        <v>288</v>
      </c>
      <c r="R47" s="67">
        <f>ROUND((J47-Q47)/Q47,2)</f>
        <v/>
      </c>
      <c r="S47" s="34" t="n">
        <v>269</v>
      </c>
      <c r="T47" s="67">
        <f>ROUND((J47-S47)/S47,2)</f>
        <v/>
      </c>
    </row>
    <row r="48" customFormat="1" s="34">
      <c r="B48" s="69" t="inlineStr">
        <is>
          <t>NY2140</t>
        </is>
      </c>
      <c r="C48" s="101" t="n">
        <v>0.45</v>
      </c>
      <c r="D48" s="102" t="inlineStr">
        <is>
          <t>芯厚</t>
        </is>
      </c>
      <c r="E48" s="72" t="inlineStr">
        <is>
          <t>3/3</t>
        </is>
      </c>
      <c r="F48" s="73" t="inlineStr">
        <is>
          <t>HTE</t>
        </is>
      </c>
      <c r="G48" s="69" t="inlineStr">
        <is>
          <t>2*7628+1*1080</t>
        </is>
      </c>
      <c r="H48" s="73">
        <f>ROUND(J48/13.33,2)</f>
        <v/>
      </c>
      <c r="I48" s="73">
        <f>ROUND(H48*12,0)</f>
        <v/>
      </c>
      <c r="J48" s="99">
        <f>J47+150</f>
        <v/>
      </c>
      <c r="K48" s="73">
        <f>ROUND(H48*14,0)</f>
        <v/>
      </c>
      <c r="L48" s="42" t="n"/>
      <c r="M48" s="99" t="n">
        <v>453</v>
      </c>
      <c r="N48" s="65" t="n">
        <v>0.12</v>
      </c>
      <c r="O48" s="99" t="n">
        <v>431</v>
      </c>
      <c r="P48" s="66" t="n">
        <v>0.05</v>
      </c>
      <c r="Q48" s="34" t="n">
        <v>418</v>
      </c>
      <c r="R48" s="67">
        <f>ROUND((J48-Q48)/Q48,2)</f>
        <v/>
      </c>
      <c r="S48" s="34" t="n">
        <v>391</v>
      </c>
      <c r="T48" s="67">
        <f>ROUND((J48-S48)/S48,2)</f>
        <v/>
      </c>
    </row>
    <row r="49" customFormat="1" s="34">
      <c r="B49" s="69" t="inlineStr">
        <is>
          <t>NY2140</t>
        </is>
      </c>
      <c r="C49" s="101" t="n">
        <v>0.5</v>
      </c>
      <c r="D49" s="102" t="inlineStr">
        <is>
          <t>芯厚</t>
        </is>
      </c>
      <c r="E49" s="72" t="inlineStr">
        <is>
          <t>H/H</t>
        </is>
      </c>
      <c r="F49" s="73" t="inlineStr">
        <is>
          <t>HTE</t>
        </is>
      </c>
      <c r="G49" s="69" t="inlineStr">
        <is>
          <t>2*7628+1*2116</t>
        </is>
      </c>
      <c r="H49" s="73">
        <f>ROUND(J49/13.33,2)</f>
        <v/>
      </c>
      <c r="I49" s="73">
        <f>ROUND(H49*12,0)</f>
        <v/>
      </c>
      <c r="J49" s="99">
        <f>J50-60</f>
        <v/>
      </c>
      <c r="K49" s="73">
        <f>ROUND(H49*14,0)</f>
        <v/>
      </c>
      <c r="L49" s="42" t="n"/>
      <c r="M49" s="99" t="n">
        <v>135</v>
      </c>
      <c r="N49" s="65" t="n">
        <v>0.16</v>
      </c>
      <c r="O49" s="99" t="n">
        <v>126</v>
      </c>
      <c r="P49" s="66" t="n">
        <v>0.07000000000000001</v>
      </c>
      <c r="Q49" s="34" t="n">
        <v>116</v>
      </c>
      <c r="R49" s="67">
        <f>ROUND((J49-Q49)/Q49,2)</f>
        <v/>
      </c>
      <c r="S49" s="34" t="n">
        <v>108</v>
      </c>
      <c r="T49" s="67">
        <f>ROUND((J49-S49)/S49,2)</f>
        <v/>
      </c>
    </row>
    <row r="50" customFormat="1" s="34">
      <c r="B50" s="69" t="inlineStr">
        <is>
          <t>NY2140</t>
        </is>
      </c>
      <c r="C50" s="101" t="n">
        <v>0.5</v>
      </c>
      <c r="D50" s="102" t="inlineStr">
        <is>
          <t>芯厚</t>
        </is>
      </c>
      <c r="E50" s="72" t="inlineStr">
        <is>
          <t>1/1</t>
        </is>
      </c>
      <c r="F50" s="73" t="inlineStr">
        <is>
          <t>HTE</t>
        </is>
      </c>
      <c r="G50" s="69" t="inlineStr">
        <is>
          <t>2*7628+1*2116</t>
        </is>
      </c>
      <c r="H50" s="73">
        <f>ROUND(J50/13.33,2)</f>
        <v/>
      </c>
      <c r="I50" s="73">
        <f>ROUND(H50*12,0)</f>
        <v/>
      </c>
      <c r="J50" s="99" t="n">
        <v>217</v>
      </c>
      <c r="K50" s="73">
        <f>ROUND(H50*14,0)</f>
        <v/>
      </c>
      <c r="L50" s="42" t="n"/>
      <c r="M50" s="99" t="n">
        <v>185</v>
      </c>
      <c r="N50" s="65" t="n">
        <v>0.17</v>
      </c>
      <c r="O50" s="99" t="n">
        <v>176</v>
      </c>
      <c r="P50" s="66" t="n">
        <v>0.05</v>
      </c>
      <c r="Q50" s="34" t="n">
        <v>166</v>
      </c>
      <c r="R50" s="67">
        <f>ROUND((J50-Q50)/Q50,2)</f>
        <v/>
      </c>
      <c r="S50" s="34" t="n">
        <v>155</v>
      </c>
      <c r="T50" s="67">
        <f>ROUND((J50-S50)/S50,2)</f>
        <v/>
      </c>
    </row>
    <row r="51" customFormat="1" s="34">
      <c r="B51" s="69" t="inlineStr">
        <is>
          <t>NY2140</t>
        </is>
      </c>
      <c r="C51" s="101" t="n">
        <v>0.5</v>
      </c>
      <c r="D51" s="102" t="inlineStr">
        <is>
          <t>芯厚</t>
        </is>
      </c>
      <c r="E51" s="72" t="inlineStr">
        <is>
          <t>2/2</t>
        </is>
      </c>
      <c r="F51" s="73" t="inlineStr">
        <is>
          <t>HTE</t>
        </is>
      </c>
      <c r="G51" s="69" t="inlineStr">
        <is>
          <t>2*7628+1*2116</t>
        </is>
      </c>
      <c r="H51" s="73">
        <f>ROUND(J51/13.33,2)</f>
        <v/>
      </c>
      <c r="I51" s="73">
        <f>ROUND(H51*12,0)</f>
        <v/>
      </c>
      <c r="J51" s="99">
        <f>J50+140</f>
        <v/>
      </c>
      <c r="K51" s="73">
        <f>ROUND(H51*14,0)</f>
        <v/>
      </c>
      <c r="L51" s="42" t="n"/>
      <c r="M51" s="99" t="n">
        <v>319</v>
      </c>
      <c r="N51" s="65" t="n">
        <v>0.12</v>
      </c>
      <c r="O51" s="99" t="n">
        <v>301</v>
      </c>
      <c r="P51" s="66" t="n">
        <v>0.06</v>
      </c>
      <c r="Q51" s="34" t="n">
        <v>289</v>
      </c>
      <c r="R51" s="67">
        <f>ROUND((J51-Q51)/Q51,2)</f>
        <v/>
      </c>
      <c r="S51" s="34" t="n">
        <v>270</v>
      </c>
      <c r="T51" s="67">
        <f>ROUND((J51-S51)/S51,2)</f>
        <v/>
      </c>
    </row>
    <row r="52" customFormat="1" s="34">
      <c r="B52" s="69" t="inlineStr">
        <is>
          <t>NY2140</t>
        </is>
      </c>
      <c r="C52" s="101" t="n">
        <v>0.5</v>
      </c>
      <c r="D52" s="102" t="inlineStr">
        <is>
          <t>芯厚</t>
        </is>
      </c>
      <c r="E52" s="72" t="inlineStr">
        <is>
          <t>3/3</t>
        </is>
      </c>
      <c r="F52" s="73" t="inlineStr">
        <is>
          <t>HTE</t>
        </is>
      </c>
      <c r="G52" s="69" t="inlineStr">
        <is>
          <t>2*7628+1*2116</t>
        </is>
      </c>
      <c r="H52" s="73">
        <f>ROUND(J52/13.33,2)</f>
        <v/>
      </c>
      <c r="I52" s="73">
        <f>ROUND(H52*12,0)</f>
        <v/>
      </c>
      <c r="J52" s="99">
        <f>J51+150</f>
        <v/>
      </c>
      <c r="K52" s="73">
        <f>ROUND(H52*14,0)</f>
        <v/>
      </c>
      <c r="L52" s="42" t="n"/>
      <c r="M52" s="99" t="n">
        <v>453</v>
      </c>
      <c r="N52" s="65" t="n">
        <v>0.12</v>
      </c>
      <c r="O52" s="99" t="n">
        <v>431</v>
      </c>
      <c r="P52" s="66" t="n">
        <v>0.05</v>
      </c>
      <c r="Q52" s="34" t="n">
        <v>423</v>
      </c>
      <c r="R52" s="67">
        <f>ROUND((J52-Q52)/Q52,2)</f>
        <v/>
      </c>
      <c r="S52" s="34" t="n">
        <v>395</v>
      </c>
      <c r="T52" s="67">
        <f>ROUND((J52-S52)/S52,2)</f>
        <v/>
      </c>
    </row>
    <row r="53" customFormat="1" s="34">
      <c r="B53" s="69" t="inlineStr">
        <is>
          <t>NY2140</t>
        </is>
      </c>
      <c r="C53" s="101" t="n">
        <v>0.6</v>
      </c>
      <c r="D53" s="102" t="inlineStr">
        <is>
          <t>芯厚</t>
        </is>
      </c>
      <c r="E53" s="72" t="inlineStr">
        <is>
          <t>H/H</t>
        </is>
      </c>
      <c r="F53" s="73" t="inlineStr">
        <is>
          <t>HTE</t>
        </is>
      </c>
      <c r="G53" s="69" t="inlineStr">
        <is>
          <t>3*7628</t>
        </is>
      </c>
      <c r="H53" s="73">
        <f>ROUND(J53/13.33,2)</f>
        <v/>
      </c>
      <c r="I53" s="73">
        <f>ROUND(H53*12,0)</f>
        <v/>
      </c>
      <c r="J53" s="99">
        <f>J54-60</f>
        <v/>
      </c>
      <c r="K53" s="73">
        <f>ROUND(H53*14,0)</f>
        <v/>
      </c>
      <c r="L53" s="42" t="n"/>
      <c r="M53" s="99" t="n">
        <v>136</v>
      </c>
      <c r="N53" s="65" t="n">
        <v>0.16</v>
      </c>
      <c r="O53" s="99" t="n">
        <v>128</v>
      </c>
      <c r="P53" s="66" t="n">
        <v>0.06</v>
      </c>
      <c r="Q53" s="34" t="n">
        <v>117</v>
      </c>
      <c r="R53" s="67">
        <f>ROUND((J53-Q53)/Q53,2)</f>
        <v/>
      </c>
      <c r="S53" s="34" t="n">
        <v>109</v>
      </c>
      <c r="T53" s="67">
        <f>ROUND((J53-S53)/S53,2)</f>
        <v/>
      </c>
    </row>
    <row r="54" customFormat="1" s="34">
      <c r="B54" s="69" t="inlineStr">
        <is>
          <t>NY2140</t>
        </is>
      </c>
      <c r="C54" s="101" t="n">
        <v>0.6</v>
      </c>
      <c r="D54" s="102" t="inlineStr">
        <is>
          <t>芯厚</t>
        </is>
      </c>
      <c r="E54" s="72" t="inlineStr">
        <is>
          <t>1/1</t>
        </is>
      </c>
      <c r="F54" s="73" t="inlineStr">
        <is>
          <t>HTE</t>
        </is>
      </c>
      <c r="G54" s="69" t="inlineStr">
        <is>
          <t>3*7628</t>
        </is>
      </c>
      <c r="H54" s="73">
        <f>ROUND(J54/13.33,2)</f>
        <v/>
      </c>
      <c r="I54" s="73">
        <f>ROUND(H54*12,0)</f>
        <v/>
      </c>
      <c r="J54" s="99" t="n">
        <v>218</v>
      </c>
      <c r="K54" s="73">
        <f>ROUND(H54*14,0)</f>
        <v/>
      </c>
      <c r="L54" s="42" t="n"/>
      <c r="M54" s="99" t="n">
        <v>187</v>
      </c>
      <c r="N54" s="65" t="n">
        <v>0.17</v>
      </c>
      <c r="O54" s="99" t="n">
        <v>178</v>
      </c>
      <c r="P54" s="66" t="n">
        <v>0.05</v>
      </c>
      <c r="Q54" s="34" t="n">
        <v>167</v>
      </c>
      <c r="R54" s="67">
        <f>ROUND((J54-Q54)/Q54,2)</f>
        <v/>
      </c>
      <c r="S54" s="34" t="n">
        <v>156</v>
      </c>
      <c r="T54" s="67">
        <f>ROUND((J54-S54)/S54,2)</f>
        <v/>
      </c>
    </row>
    <row r="55" customFormat="1" s="34">
      <c r="B55" s="69" t="inlineStr">
        <is>
          <t>NY2140</t>
        </is>
      </c>
      <c r="C55" s="101" t="n">
        <v>0.6</v>
      </c>
      <c r="D55" s="102" t="inlineStr">
        <is>
          <t>芯厚</t>
        </is>
      </c>
      <c r="E55" s="72" t="inlineStr">
        <is>
          <t>2/2</t>
        </is>
      </c>
      <c r="F55" s="73" t="inlineStr">
        <is>
          <t>HTE</t>
        </is>
      </c>
      <c r="G55" s="69" t="inlineStr">
        <is>
          <t>2*7628+1*2116</t>
        </is>
      </c>
      <c r="H55" s="73">
        <f>ROUND(J55/13.33,2)</f>
        <v/>
      </c>
      <c r="I55" s="73">
        <f>ROUND(H55*12,0)</f>
        <v/>
      </c>
      <c r="J55" s="99">
        <f>J54+140</f>
        <v/>
      </c>
      <c r="K55" s="73">
        <f>ROUND(H55*14,0)</f>
        <v/>
      </c>
      <c r="L55" s="42" t="n"/>
      <c r="M55" s="99" t="n">
        <v>318</v>
      </c>
      <c r="N55" s="65" t="n">
        <v>0.13</v>
      </c>
      <c r="O55" s="99" t="n">
        <v>303</v>
      </c>
      <c r="P55" s="66" t="n">
        <v>0.05</v>
      </c>
      <c r="Q55" s="34" t="n">
        <v>290</v>
      </c>
      <c r="R55" s="67">
        <f>ROUND((J55-Q55)/Q55,2)</f>
        <v/>
      </c>
      <c r="S55" s="34" t="n">
        <v>271</v>
      </c>
      <c r="T55" s="67">
        <f>ROUND((J55-S55)/S55,2)</f>
        <v/>
      </c>
    </row>
    <row r="56" customFormat="1" s="34">
      <c r="B56" s="69" t="inlineStr">
        <is>
          <t>NY2140</t>
        </is>
      </c>
      <c r="C56" s="101" t="n">
        <v>0.7</v>
      </c>
      <c r="D56" s="102" t="inlineStr">
        <is>
          <t>芯厚</t>
        </is>
      </c>
      <c r="E56" s="72" t="inlineStr">
        <is>
          <t>H/H</t>
        </is>
      </c>
      <c r="F56" s="73" t="inlineStr">
        <is>
          <t>HTE</t>
        </is>
      </c>
      <c r="G56" s="69" t="inlineStr">
        <is>
          <t>2*1506+2*7628</t>
        </is>
      </c>
      <c r="H56" s="73">
        <f>ROUND(J56/13.33,2)</f>
        <v/>
      </c>
      <c r="I56" s="73">
        <f>ROUND(H56*12,0)</f>
        <v/>
      </c>
      <c r="J56" s="99">
        <f>J57-60</f>
        <v/>
      </c>
      <c r="K56" s="73">
        <f>ROUND(H56*14,0)</f>
        <v/>
      </c>
      <c r="L56" s="42" t="n"/>
      <c r="M56" s="99" t="n">
        <v>151</v>
      </c>
      <c r="N56" s="65" t="n">
        <v>0.17</v>
      </c>
      <c r="O56" s="99" t="n">
        <v>140</v>
      </c>
      <c r="P56" s="66" t="n">
        <v>0.08</v>
      </c>
      <c r="Q56" s="34" t="n">
        <v>126</v>
      </c>
      <c r="R56" s="67">
        <f>ROUND((J56-Q56)/Q56,2)</f>
        <v/>
      </c>
      <c r="S56" s="34" t="n">
        <v>118</v>
      </c>
      <c r="T56" s="67">
        <f>ROUND((J56-S56)/S56,2)</f>
        <v/>
      </c>
    </row>
    <row r="57" customFormat="1" s="34">
      <c r="B57" s="69" t="inlineStr">
        <is>
          <t>NY2140</t>
        </is>
      </c>
      <c r="C57" s="101" t="n">
        <v>0.7</v>
      </c>
      <c r="D57" s="102" t="inlineStr">
        <is>
          <t>芯厚</t>
        </is>
      </c>
      <c r="E57" s="72" t="inlineStr">
        <is>
          <t>1/1</t>
        </is>
      </c>
      <c r="F57" s="73" t="inlineStr">
        <is>
          <t>HTE</t>
        </is>
      </c>
      <c r="G57" s="69" t="inlineStr">
        <is>
          <t>2*2116+2*7628</t>
        </is>
      </c>
      <c r="H57" s="73">
        <f>ROUND(J57/13.33,2)</f>
        <v/>
      </c>
      <c r="I57" s="73">
        <f>ROUND(H57*12,0)</f>
        <v/>
      </c>
      <c r="J57" s="99" t="n">
        <v>237</v>
      </c>
      <c r="K57" s="73">
        <f>ROUND(H57*14,0)</f>
        <v/>
      </c>
      <c r="L57" s="42" t="n"/>
      <c r="M57" s="99" t="n">
        <v>203</v>
      </c>
      <c r="N57" s="65" t="n">
        <v>0.17</v>
      </c>
      <c r="O57" s="99" t="n">
        <v>190</v>
      </c>
      <c r="P57" s="66" t="n">
        <v>0.07000000000000001</v>
      </c>
      <c r="Q57" s="34" t="n">
        <v>177</v>
      </c>
      <c r="R57" s="67">
        <f>ROUND((J57-Q57)/Q57,2)</f>
        <v/>
      </c>
      <c r="S57" s="34" t="n">
        <v>165</v>
      </c>
      <c r="T57" s="67">
        <f>ROUND((J57-S57)/S57,2)</f>
        <v/>
      </c>
    </row>
    <row r="58" customFormat="1" s="34">
      <c r="B58" s="69" t="inlineStr">
        <is>
          <t>NY2140</t>
        </is>
      </c>
      <c r="C58" s="101" t="n">
        <v>0.7</v>
      </c>
      <c r="D58" s="102" t="inlineStr">
        <is>
          <t>芯厚</t>
        </is>
      </c>
      <c r="E58" s="72" t="inlineStr">
        <is>
          <t>2/2</t>
        </is>
      </c>
      <c r="F58" s="73" t="inlineStr">
        <is>
          <t>HTE</t>
        </is>
      </c>
      <c r="G58" s="69" t="inlineStr">
        <is>
          <t>3*7628</t>
        </is>
      </c>
      <c r="H58" s="73">
        <f>ROUND(J58/13.33,2)</f>
        <v/>
      </c>
      <c r="I58" s="73">
        <f>ROUND(H58*12,0)</f>
        <v/>
      </c>
      <c r="J58" s="99">
        <f>J57+140</f>
        <v/>
      </c>
      <c r="K58" s="73">
        <f>ROUND(H58*14,0)</f>
        <v/>
      </c>
      <c r="L58" s="42" t="n"/>
      <c r="M58" s="99" t="n">
        <v>334</v>
      </c>
      <c r="N58" s="65" t="n">
        <v>0.13</v>
      </c>
      <c r="O58" s="99" t="n">
        <v>315</v>
      </c>
      <c r="P58" s="66" t="n">
        <v>0.06</v>
      </c>
      <c r="Q58" s="34" t="n">
        <v>300</v>
      </c>
      <c r="R58" s="67">
        <f>ROUND((J58-Q58)/Q58,2)</f>
        <v/>
      </c>
      <c r="S58" s="34" t="n">
        <v>280</v>
      </c>
      <c r="T58" s="67">
        <f>ROUND((J58-S58)/S58,2)</f>
        <v/>
      </c>
    </row>
    <row r="59" customFormat="1" s="34">
      <c r="B59" s="69" t="inlineStr">
        <is>
          <t>NY2140</t>
        </is>
      </c>
      <c r="C59" s="101" t="n">
        <v>0.8</v>
      </c>
      <c r="D59" s="102" t="inlineStr">
        <is>
          <t>总厚</t>
        </is>
      </c>
      <c r="E59" s="72" t="inlineStr">
        <is>
          <t>H/H</t>
        </is>
      </c>
      <c r="F59" s="73" t="inlineStr">
        <is>
          <t>HTE</t>
        </is>
      </c>
      <c r="G59" s="69" t="inlineStr">
        <is>
          <t>4*7628</t>
        </is>
      </c>
      <c r="H59" s="73">
        <f>ROUND(J59/13.33,2)</f>
        <v/>
      </c>
      <c r="I59" s="73">
        <f>ROUND(H59*12,0)</f>
        <v/>
      </c>
      <c r="J59" s="99">
        <f>J60-60</f>
        <v/>
      </c>
      <c r="K59" s="73">
        <f>ROUND(H59*14,0)</f>
        <v/>
      </c>
      <c r="L59" s="42" t="n"/>
      <c r="M59" s="99" t="n">
        <v>156</v>
      </c>
      <c r="N59" s="65" t="n">
        <v>0.16</v>
      </c>
      <c r="O59" s="99" t="n">
        <v>144</v>
      </c>
      <c r="P59" s="66" t="n">
        <v>0.08</v>
      </c>
      <c r="Q59" s="34" t="n">
        <v>131</v>
      </c>
      <c r="R59" s="67">
        <f>ROUND((J59-Q59)/Q59,2)</f>
        <v/>
      </c>
      <c r="S59" s="34" t="n">
        <v>122</v>
      </c>
      <c r="T59" s="67">
        <f>ROUND((J59-S59)/S59,2)</f>
        <v/>
      </c>
    </row>
    <row r="60" customFormat="1" s="34">
      <c r="B60" s="69" t="inlineStr">
        <is>
          <t>NY2140</t>
        </is>
      </c>
      <c r="C60" s="101" t="n">
        <v>0.8</v>
      </c>
      <c r="D60" s="102" t="inlineStr">
        <is>
          <t>总厚</t>
        </is>
      </c>
      <c r="E60" s="72" t="inlineStr">
        <is>
          <t>1/1</t>
        </is>
      </c>
      <c r="F60" s="73" t="inlineStr">
        <is>
          <t>HTE</t>
        </is>
      </c>
      <c r="G60" s="69" t="inlineStr">
        <is>
          <t>4*7628</t>
        </is>
      </c>
      <c r="H60" s="73">
        <f>ROUND(J60/13.33,2)</f>
        <v/>
      </c>
      <c r="I60" s="73">
        <f>ROUND(H60*12,0)</f>
        <v/>
      </c>
      <c r="J60" s="99" t="n">
        <v>241</v>
      </c>
      <c r="K60" s="73">
        <f>ROUND(H60*14,0)</f>
        <v/>
      </c>
      <c r="L60" s="42" t="n"/>
      <c r="M60" s="99" t="n">
        <v>208</v>
      </c>
      <c r="N60" s="65" t="n">
        <v>0.16</v>
      </c>
      <c r="O60" s="99" t="n">
        <v>194</v>
      </c>
      <c r="P60" s="66" t="n">
        <v>0.07000000000000001</v>
      </c>
      <c r="Q60" s="34" t="n">
        <v>179</v>
      </c>
      <c r="R60" s="67">
        <f>ROUND((J60-Q60)/Q60,2)</f>
        <v/>
      </c>
      <c r="S60" s="34" t="n">
        <v>167</v>
      </c>
      <c r="T60" s="67">
        <f>ROUND((J60-S60)/S60,2)</f>
        <v/>
      </c>
    </row>
    <row r="61" customFormat="1" s="34">
      <c r="B61" s="69" t="inlineStr">
        <is>
          <t>NY2140</t>
        </is>
      </c>
      <c r="C61" s="101" t="n">
        <v>0.8</v>
      </c>
      <c r="D61" s="102" t="inlineStr">
        <is>
          <t>总厚</t>
        </is>
      </c>
      <c r="E61" s="72" t="inlineStr">
        <is>
          <t>2/2</t>
        </is>
      </c>
      <c r="F61" s="73" t="inlineStr">
        <is>
          <t>HTE</t>
        </is>
      </c>
      <c r="G61" s="69" t="inlineStr">
        <is>
          <t>4*7628</t>
        </is>
      </c>
      <c r="H61" s="73">
        <f>ROUND(J61/13.33,2)</f>
        <v/>
      </c>
      <c r="I61" s="73">
        <f>ROUND(H61*12,0)</f>
        <v/>
      </c>
      <c r="J61" s="99">
        <f>J60+140</f>
        <v/>
      </c>
      <c r="K61" s="73">
        <f>ROUND(H61*14,0)</f>
        <v/>
      </c>
      <c r="L61" s="42" t="n"/>
      <c r="M61" s="99" t="n">
        <v>338</v>
      </c>
      <c r="N61" s="65" t="n">
        <v>0.13</v>
      </c>
      <c r="O61" s="99" t="n">
        <v>319</v>
      </c>
      <c r="P61" s="66" t="n">
        <v>0.06</v>
      </c>
      <c r="Q61" s="34" t="n">
        <v>302</v>
      </c>
      <c r="R61" s="67">
        <f>ROUND((J61-Q61)/Q61,2)</f>
        <v/>
      </c>
      <c r="S61" s="34" t="n">
        <v>282</v>
      </c>
      <c r="T61" s="67">
        <f>ROUND((J61-S61)/S61,2)</f>
        <v/>
      </c>
    </row>
    <row r="62" customFormat="1" s="34">
      <c r="B62" s="69" t="inlineStr">
        <is>
          <t>NY2140</t>
        </is>
      </c>
      <c r="C62" s="101" t="n">
        <v>0.9</v>
      </c>
      <c r="D62" s="102" t="inlineStr">
        <is>
          <t>总厚</t>
        </is>
      </c>
      <c r="E62" s="72" t="inlineStr">
        <is>
          <t>H/H</t>
        </is>
      </c>
      <c r="F62" s="73" t="inlineStr">
        <is>
          <t>HTE</t>
        </is>
      </c>
      <c r="G62" s="69" t="inlineStr">
        <is>
          <t>5*7628</t>
        </is>
      </c>
      <c r="H62" s="73">
        <f>ROUND(J62/13.33,2)</f>
        <v/>
      </c>
      <c r="I62" s="73">
        <f>ROUND(H62*12,0)</f>
        <v/>
      </c>
      <c r="J62" s="99">
        <f>J63-60</f>
        <v/>
      </c>
      <c r="K62" s="73">
        <f>ROUND(H62*14,0)</f>
        <v/>
      </c>
      <c r="L62" s="42" t="n"/>
      <c r="M62" s="99" t="n">
        <v>172</v>
      </c>
      <c r="N62" s="65" t="n">
        <v>0.16</v>
      </c>
      <c r="O62" s="99" t="n">
        <v>156</v>
      </c>
      <c r="P62" s="66" t="n">
        <v>0.1</v>
      </c>
      <c r="Q62" s="34" t="n">
        <v>138</v>
      </c>
      <c r="R62" s="67">
        <f>ROUND((J62-Q62)/Q62,2)</f>
        <v/>
      </c>
      <c r="S62" s="34" t="n">
        <v>129</v>
      </c>
      <c r="T62" s="67">
        <f>ROUND((J62-S62)/S62,2)</f>
        <v/>
      </c>
    </row>
    <row r="63" customFormat="1" s="34">
      <c r="B63" s="69" t="inlineStr">
        <is>
          <t>NY2140</t>
        </is>
      </c>
      <c r="C63" s="101" t="n">
        <v>0.9</v>
      </c>
      <c r="D63" s="102" t="inlineStr">
        <is>
          <t>总厚</t>
        </is>
      </c>
      <c r="E63" s="72" t="inlineStr">
        <is>
          <t>1/1</t>
        </is>
      </c>
      <c r="F63" s="73" t="inlineStr">
        <is>
          <t>HTE</t>
        </is>
      </c>
      <c r="G63" s="69" t="inlineStr">
        <is>
          <t>5*7628</t>
        </is>
      </c>
      <c r="H63" s="73">
        <f>ROUND(J63/13.33,2)</f>
        <v/>
      </c>
      <c r="I63" s="73">
        <f>ROUND(H63*12,0)</f>
        <v/>
      </c>
      <c r="J63" s="99" t="n">
        <v>260</v>
      </c>
      <c r="K63" s="73">
        <f>ROUND(H63*14,0)</f>
        <v/>
      </c>
      <c r="L63" s="42" t="n"/>
      <c r="M63" s="99" t="n">
        <v>222</v>
      </c>
      <c r="N63" s="65" t="n">
        <v>0.17</v>
      </c>
      <c r="O63" s="99" t="n">
        <v>206</v>
      </c>
      <c r="P63" s="66" t="n">
        <v>0.08</v>
      </c>
      <c r="Q63" s="34" t="n">
        <v>186</v>
      </c>
      <c r="R63" s="67">
        <f>ROUND((J63-Q63)/Q63,2)</f>
        <v/>
      </c>
      <c r="S63" s="34" t="n">
        <v>174</v>
      </c>
      <c r="T63" s="67">
        <f>ROUND((J63-S63)/S63,2)</f>
        <v/>
      </c>
    </row>
    <row r="64" customFormat="1" s="34">
      <c r="B64" s="69" t="inlineStr">
        <is>
          <t>NY2140</t>
        </is>
      </c>
      <c r="C64" s="101" t="n">
        <v>0.9</v>
      </c>
      <c r="D64" s="102" t="inlineStr">
        <is>
          <t>总厚</t>
        </is>
      </c>
      <c r="E64" s="72" t="inlineStr">
        <is>
          <t>2/2</t>
        </is>
      </c>
      <c r="F64" s="73" t="inlineStr">
        <is>
          <t>HTE</t>
        </is>
      </c>
      <c r="G64" s="69" t="inlineStr">
        <is>
          <t>4*7628</t>
        </is>
      </c>
      <c r="H64" s="73">
        <f>ROUND(J64/13.33,2)</f>
        <v/>
      </c>
      <c r="I64" s="73">
        <f>ROUND(H64*12,0)</f>
        <v/>
      </c>
      <c r="J64" s="99">
        <f>J63+130</f>
        <v/>
      </c>
      <c r="K64" s="73">
        <f>ROUND(H64*14,0)</f>
        <v/>
      </c>
      <c r="L64" s="42" t="n"/>
      <c r="M64" s="99" t="n">
        <v>346</v>
      </c>
      <c r="N64" s="65" t="n">
        <v>0.13</v>
      </c>
      <c r="O64" s="99" t="n">
        <v>323</v>
      </c>
      <c r="P64" s="66" t="n">
        <v>0.07000000000000001</v>
      </c>
      <c r="Q64" s="34" t="n">
        <v>307</v>
      </c>
      <c r="R64" s="67">
        <f>ROUND((J64-Q64)/Q64,2)</f>
        <v/>
      </c>
      <c r="S64" s="34" t="n">
        <v>287</v>
      </c>
      <c r="T64" s="67">
        <f>ROUND((J64-S64)/S64,2)</f>
        <v/>
      </c>
    </row>
    <row r="65" customFormat="1" s="34">
      <c r="B65" s="69" t="inlineStr">
        <is>
          <t>NY2140</t>
        </is>
      </c>
      <c r="C65" s="101" t="n">
        <v>0.9</v>
      </c>
      <c r="D65" s="102" t="inlineStr">
        <is>
          <t>总厚</t>
        </is>
      </c>
      <c r="E65" s="72" t="inlineStr">
        <is>
          <t>3/3</t>
        </is>
      </c>
      <c r="F65" s="73" t="inlineStr">
        <is>
          <t>HTE</t>
        </is>
      </c>
      <c r="G65" s="69" t="inlineStr">
        <is>
          <t>4*7628</t>
        </is>
      </c>
      <c r="H65" s="73">
        <f>ROUND(J65/13.33,2)</f>
        <v/>
      </c>
      <c r="I65" s="73">
        <f>ROUND(H65*12,0)</f>
        <v/>
      </c>
      <c r="J65" s="99">
        <f>J64+150</f>
        <v/>
      </c>
      <c r="K65" s="73">
        <f>ROUND(H65*14,0)</f>
        <v/>
      </c>
      <c r="L65" s="42" t="n"/>
      <c r="M65" s="99" t="n">
        <v>480</v>
      </c>
      <c r="N65" s="65" t="n">
        <v>0.13</v>
      </c>
      <c r="O65" s="99" t="n">
        <v>453</v>
      </c>
      <c r="P65" s="66" t="n">
        <v>0.06</v>
      </c>
      <c r="Q65" s="34" t="n">
        <v>425</v>
      </c>
      <c r="R65" s="67">
        <f>ROUND((J65-Q65)/Q65,2)</f>
        <v/>
      </c>
      <c r="S65" s="34" t="n">
        <v>397</v>
      </c>
      <c r="T65" s="67">
        <f>ROUND((J65-S65)/S65,2)</f>
        <v/>
      </c>
    </row>
    <row r="66" customFormat="1" s="34">
      <c r="B66" s="69" t="inlineStr">
        <is>
          <t>NY2140</t>
        </is>
      </c>
      <c r="C66" s="101" t="n">
        <v>1</v>
      </c>
      <c r="D66" s="102" t="inlineStr">
        <is>
          <t>总厚</t>
        </is>
      </c>
      <c r="E66" s="72" t="inlineStr">
        <is>
          <t>H/H</t>
        </is>
      </c>
      <c r="F66" s="73" t="inlineStr">
        <is>
          <t>HTE</t>
        </is>
      </c>
      <c r="G66" s="69" t="inlineStr">
        <is>
          <t>5*7628</t>
        </is>
      </c>
      <c r="H66" s="73">
        <f>ROUND(J66/13.33,2)</f>
        <v/>
      </c>
      <c r="I66" s="73">
        <f>ROUND(H66*12,0)</f>
        <v/>
      </c>
      <c r="J66" s="99">
        <f>J67-60</f>
        <v/>
      </c>
      <c r="K66" s="73">
        <f>ROUND(H66*14,0)</f>
        <v/>
      </c>
      <c r="L66" s="42" t="n"/>
      <c r="M66" s="99" t="n">
        <v>175</v>
      </c>
      <c r="N66" s="65" t="n">
        <v>0.17</v>
      </c>
      <c r="O66" s="99" t="n">
        <v>161</v>
      </c>
      <c r="P66" s="66" t="n">
        <v>0.09</v>
      </c>
      <c r="Q66" s="34" t="n">
        <v>144</v>
      </c>
      <c r="R66" s="67">
        <f>ROUND((J66-Q66)/Q66,2)</f>
        <v/>
      </c>
      <c r="S66" s="34" t="n">
        <v>135</v>
      </c>
      <c r="T66" s="67">
        <f>ROUND((J66-S66)/S66,2)</f>
        <v/>
      </c>
    </row>
    <row r="67" customFormat="1" s="34">
      <c r="B67" s="69" t="inlineStr">
        <is>
          <t>NY2140</t>
        </is>
      </c>
      <c r="C67" s="101" t="n">
        <v>1</v>
      </c>
      <c r="D67" s="102" t="inlineStr">
        <is>
          <t>总厚</t>
        </is>
      </c>
      <c r="E67" s="72" t="inlineStr">
        <is>
          <t>1/1</t>
        </is>
      </c>
      <c r="F67" s="73" t="inlineStr">
        <is>
          <t>HTE</t>
        </is>
      </c>
      <c r="G67" s="69" t="inlineStr">
        <is>
          <t>5*7628</t>
        </is>
      </c>
      <c r="H67" s="73">
        <f>ROUND(J67/13.33,2)</f>
        <v/>
      </c>
      <c r="I67" s="73">
        <f>ROUND(H67*12,0)</f>
        <v/>
      </c>
      <c r="J67" s="99" t="n">
        <v>264</v>
      </c>
      <c r="K67" s="73">
        <f>ROUND(H67*14,0)</f>
        <v/>
      </c>
      <c r="L67" s="42" t="n"/>
      <c r="M67" s="99" t="n">
        <v>227</v>
      </c>
      <c r="N67" s="65" t="n">
        <v>0.16</v>
      </c>
      <c r="O67" s="99" t="n">
        <v>210</v>
      </c>
      <c r="P67" s="66" t="n">
        <v>0.08</v>
      </c>
      <c r="Q67" s="34" t="n">
        <v>192</v>
      </c>
      <c r="R67" s="67">
        <f>ROUND((J67-Q67)/Q67,2)</f>
        <v/>
      </c>
      <c r="S67" s="34" t="n">
        <v>179</v>
      </c>
      <c r="T67" s="67">
        <f>ROUND((J67-S67)/S67,2)</f>
        <v/>
      </c>
    </row>
    <row r="68" customFormat="1" s="34">
      <c r="B68" s="69" t="inlineStr">
        <is>
          <t>NY2140</t>
        </is>
      </c>
      <c r="C68" s="101" t="n">
        <v>1</v>
      </c>
      <c r="D68" s="102" t="inlineStr">
        <is>
          <t>总厚</t>
        </is>
      </c>
      <c r="E68" s="72" t="inlineStr">
        <is>
          <t>2/2</t>
        </is>
      </c>
      <c r="F68" s="73" t="inlineStr">
        <is>
          <t>HTE</t>
        </is>
      </c>
      <c r="G68" s="69" t="inlineStr">
        <is>
          <t>5*7628</t>
        </is>
      </c>
      <c r="H68" s="73">
        <f>ROUND(J68/13.33,2)</f>
        <v/>
      </c>
      <c r="I68" s="73">
        <f>ROUND(H68*12,0)</f>
        <v/>
      </c>
      <c r="J68" s="99">
        <f>J67+140</f>
        <v/>
      </c>
      <c r="K68" s="73">
        <f>ROUND(H68*14,0)</f>
        <v/>
      </c>
      <c r="L68" s="42" t="n"/>
      <c r="M68" s="99" t="n">
        <v>358</v>
      </c>
      <c r="N68" s="65" t="n">
        <v>0.13</v>
      </c>
      <c r="O68" s="99" t="n">
        <v>335</v>
      </c>
      <c r="P68" s="66" t="n">
        <v>0.07000000000000001</v>
      </c>
      <c r="Q68" s="34" t="n">
        <v>315</v>
      </c>
      <c r="R68" s="67">
        <f>ROUND((J68-Q68)/Q68,2)</f>
        <v/>
      </c>
      <c r="S68" s="34" t="n">
        <v>294</v>
      </c>
      <c r="T68" s="67">
        <f>ROUND((J68-S68)/S68,2)</f>
        <v/>
      </c>
    </row>
    <row r="69" customFormat="1" s="34">
      <c r="B69" s="69" t="inlineStr">
        <is>
          <t>NY2140</t>
        </is>
      </c>
      <c r="C69" s="101" t="n">
        <v>1</v>
      </c>
      <c r="D69" s="102" t="inlineStr">
        <is>
          <t>总厚</t>
        </is>
      </c>
      <c r="E69" s="72" t="inlineStr">
        <is>
          <t>3/3</t>
        </is>
      </c>
      <c r="F69" s="73" t="inlineStr">
        <is>
          <t>HTE</t>
        </is>
      </c>
      <c r="G69" s="69" t="inlineStr">
        <is>
          <t>4*7628</t>
        </is>
      </c>
      <c r="H69" s="73">
        <f>ROUND(J69/13.33,2)</f>
        <v/>
      </c>
      <c r="I69" s="73">
        <f>ROUND(H69*12,0)</f>
        <v/>
      </c>
      <c r="J69" s="99">
        <f>J68+140</f>
        <v/>
      </c>
      <c r="K69" s="73">
        <f>ROUND(H69*14,0)</f>
        <v/>
      </c>
      <c r="L69" s="42" t="n"/>
      <c r="M69" s="99" t="n">
        <v>493</v>
      </c>
      <c r="N69" s="65" t="n">
        <v>0.1</v>
      </c>
      <c r="O69" s="99" t="n">
        <v>465</v>
      </c>
      <c r="P69" s="66" t="n">
        <v>0.06</v>
      </c>
      <c r="Q69" s="34" t="n">
        <v>438</v>
      </c>
      <c r="R69" s="67">
        <f>ROUND((J69-Q69)/Q69,2)</f>
        <v/>
      </c>
      <c r="S69" s="34" t="n">
        <v>409</v>
      </c>
      <c r="T69" s="67">
        <f>ROUND((J69-S69)/S69,2)</f>
        <v/>
      </c>
    </row>
    <row r="70" customFormat="1" s="34">
      <c r="B70" s="69" t="inlineStr">
        <is>
          <t>NY2140</t>
        </is>
      </c>
      <c r="C70" s="101" t="n">
        <v>1.1</v>
      </c>
      <c r="D70" s="102" t="inlineStr">
        <is>
          <t>总厚</t>
        </is>
      </c>
      <c r="E70" s="72" t="inlineStr">
        <is>
          <t>H/H</t>
        </is>
      </c>
      <c r="F70" s="73" t="inlineStr">
        <is>
          <t>HTE</t>
        </is>
      </c>
      <c r="G70" s="69" t="inlineStr">
        <is>
          <t>6*7628</t>
        </is>
      </c>
      <c r="H70" s="73">
        <f>ROUND(J70/13.33,2)</f>
        <v/>
      </c>
      <c r="I70" s="73">
        <f>ROUND(H70*12,0)</f>
        <v/>
      </c>
      <c r="J70" s="99">
        <f>J71-60</f>
        <v/>
      </c>
      <c r="K70" s="73">
        <f>ROUND(H70*14,0)</f>
        <v/>
      </c>
      <c r="L70" s="42" t="n"/>
      <c r="M70" s="99" t="n">
        <v>191</v>
      </c>
      <c r="N70" s="65" t="n">
        <v>0.17</v>
      </c>
      <c r="O70" s="99" t="n">
        <v>174</v>
      </c>
      <c r="P70" s="66" t="n">
        <v>0.1</v>
      </c>
      <c r="Q70" s="34" t="n">
        <v>151</v>
      </c>
      <c r="R70" s="67">
        <f>ROUND((J70-Q70)/Q70,2)</f>
        <v/>
      </c>
      <c r="S70" s="34" t="n">
        <v>141</v>
      </c>
      <c r="T70" s="67">
        <f>ROUND((J70-S70)/S70,2)</f>
        <v/>
      </c>
    </row>
    <row r="71" customFormat="1" s="34">
      <c r="B71" s="69" t="inlineStr">
        <is>
          <t>NY2140</t>
        </is>
      </c>
      <c r="C71" s="101" t="n">
        <v>1.1</v>
      </c>
      <c r="D71" s="102" t="inlineStr">
        <is>
          <t>总厚</t>
        </is>
      </c>
      <c r="E71" s="72" t="inlineStr">
        <is>
          <t>1/1</t>
        </is>
      </c>
      <c r="F71" s="73" t="inlineStr">
        <is>
          <t>HTE</t>
        </is>
      </c>
      <c r="G71" s="69" t="inlineStr">
        <is>
          <t>6*7628</t>
        </is>
      </c>
      <c r="H71" s="73">
        <f>ROUND(J71/13.33,2)</f>
        <v/>
      </c>
      <c r="I71" s="73">
        <f>ROUND(H71*12,0)</f>
        <v/>
      </c>
      <c r="J71" s="99" t="n">
        <v>283</v>
      </c>
      <c r="K71" s="73">
        <f>ROUND(H71*14,0)</f>
        <v/>
      </c>
      <c r="L71" s="42" t="n"/>
      <c r="M71" s="99" t="n">
        <v>242</v>
      </c>
      <c r="N71" s="65" t="n">
        <v>0.17</v>
      </c>
      <c r="O71" s="99" t="n">
        <v>224</v>
      </c>
      <c r="P71" s="66" t="n">
        <v>0.08</v>
      </c>
      <c r="Q71" s="34" t="n">
        <v>198</v>
      </c>
      <c r="R71" s="67">
        <f>ROUND((J71-Q71)/Q71,2)</f>
        <v/>
      </c>
      <c r="S71" s="34" t="n">
        <v>185</v>
      </c>
      <c r="T71" s="67">
        <f>ROUND((J71-S71)/S71,2)</f>
        <v/>
      </c>
    </row>
    <row r="72" customFormat="1" s="34">
      <c r="B72" s="69" t="inlineStr">
        <is>
          <t>NY2140</t>
        </is>
      </c>
      <c r="C72" s="101" t="n">
        <v>1.1</v>
      </c>
      <c r="D72" s="102" t="inlineStr">
        <is>
          <t>总厚</t>
        </is>
      </c>
      <c r="E72" s="72" t="inlineStr">
        <is>
          <t>2/2</t>
        </is>
      </c>
      <c r="F72" s="73" t="inlineStr">
        <is>
          <t>HTE</t>
        </is>
      </c>
      <c r="G72" s="69" t="inlineStr">
        <is>
          <t>5*7628</t>
        </is>
      </c>
      <c r="H72" s="73">
        <f>ROUND(J72/13.33,2)</f>
        <v/>
      </c>
      <c r="I72" s="73">
        <f>ROUND(H72*12,0)</f>
        <v/>
      </c>
      <c r="J72" s="99">
        <f>J71+130</f>
        <v/>
      </c>
      <c r="K72" s="73">
        <f>ROUND(H72*14,0)</f>
        <v/>
      </c>
      <c r="L72" s="42" t="n"/>
      <c r="M72" s="99" t="n">
        <v>375</v>
      </c>
      <c r="N72" s="65" t="n">
        <v>0.1</v>
      </c>
      <c r="O72" s="99" t="n">
        <v>341</v>
      </c>
      <c r="P72" s="66" t="n">
        <v>0.1</v>
      </c>
      <c r="Q72" s="34" t="n">
        <v>318</v>
      </c>
      <c r="R72" s="67">
        <f>ROUND((J72-Q72)/Q72,2)</f>
        <v/>
      </c>
      <c r="S72" s="34" t="n">
        <v>297</v>
      </c>
      <c r="T72" s="67">
        <f>ROUND((J72-S72)/S72,2)</f>
        <v/>
      </c>
    </row>
    <row r="73" customFormat="1" s="34">
      <c r="B73" s="69" t="inlineStr">
        <is>
          <t>NY2140</t>
        </is>
      </c>
      <c r="C73" s="101" t="n">
        <v>1.1</v>
      </c>
      <c r="D73" s="102" t="inlineStr">
        <is>
          <t>总厚</t>
        </is>
      </c>
      <c r="E73" s="72" t="inlineStr">
        <is>
          <t>3/3</t>
        </is>
      </c>
      <c r="F73" s="73" t="inlineStr">
        <is>
          <t>HTE</t>
        </is>
      </c>
      <c r="G73" s="69" t="inlineStr">
        <is>
          <t>5*7628</t>
        </is>
      </c>
      <c r="H73" s="73">
        <f>ROUND(J73/13.33,2)</f>
        <v/>
      </c>
      <c r="I73" s="73">
        <f>ROUND(H73*12,0)</f>
        <v/>
      </c>
      <c r="J73" s="99">
        <f>J72+150</f>
        <v/>
      </c>
      <c r="K73" s="73">
        <f>ROUND(H73*14,0)</f>
        <v/>
      </c>
      <c r="L73" s="42" t="n"/>
      <c r="M73" s="99" t="n">
        <v>509</v>
      </c>
      <c r="N73" s="65" t="n">
        <v>0.11</v>
      </c>
      <c r="O73" s="99" t="n">
        <v>471</v>
      </c>
      <c r="P73" s="66" t="n">
        <v>0.08</v>
      </c>
      <c r="Q73" s="34" t="n">
        <v>441</v>
      </c>
      <c r="R73" s="67">
        <f>ROUND((J73-Q73)/Q73,2)</f>
        <v/>
      </c>
      <c r="S73" s="34" t="n">
        <v>412</v>
      </c>
      <c r="T73" s="67">
        <f>ROUND((J73-S73)/S73,2)</f>
        <v/>
      </c>
    </row>
    <row r="74" customFormat="1" s="34">
      <c r="B74" s="69" t="inlineStr">
        <is>
          <t>NY2140</t>
        </is>
      </c>
      <c r="C74" s="101" t="n">
        <v>1.2</v>
      </c>
      <c r="D74" s="102" t="inlineStr">
        <is>
          <t>总厚</t>
        </is>
      </c>
      <c r="E74" s="72" t="inlineStr">
        <is>
          <t>H/H</t>
        </is>
      </c>
      <c r="F74" s="73" t="inlineStr">
        <is>
          <t>HTE</t>
        </is>
      </c>
      <c r="G74" s="69" t="inlineStr">
        <is>
          <t>6*7628</t>
        </is>
      </c>
      <c r="H74" s="73">
        <f>ROUND(J74/13.33,2)</f>
        <v/>
      </c>
      <c r="I74" s="73">
        <f>ROUND(H74*12,0)</f>
        <v/>
      </c>
      <c r="J74" s="99">
        <f>J75-60</f>
        <v/>
      </c>
      <c r="K74" s="73">
        <f>ROUND(H74*14,0)</f>
        <v/>
      </c>
      <c r="L74" s="42" t="n"/>
      <c r="M74" s="99" t="n">
        <v>196</v>
      </c>
      <c r="N74" s="65" t="n">
        <v>0.16</v>
      </c>
      <c r="O74" s="99" t="n">
        <v>178</v>
      </c>
      <c r="P74" s="66" t="n">
        <v>0.1</v>
      </c>
      <c r="Q74" s="34" t="n">
        <v>152</v>
      </c>
      <c r="R74" s="67">
        <f>ROUND((J74-Q74)/Q74,2)</f>
        <v/>
      </c>
      <c r="S74" s="34" t="n">
        <v>142</v>
      </c>
      <c r="T74" s="67">
        <f>ROUND((J74-S74)/S74,2)</f>
        <v/>
      </c>
    </row>
    <row r="75" customFormat="1" s="34">
      <c r="B75" s="69" t="inlineStr">
        <is>
          <t>NY2140</t>
        </is>
      </c>
      <c r="C75" s="101" t="n">
        <v>1.2</v>
      </c>
      <c r="D75" s="102" t="inlineStr">
        <is>
          <t>总厚</t>
        </is>
      </c>
      <c r="E75" s="72" t="inlineStr">
        <is>
          <t>1/1</t>
        </is>
      </c>
      <c r="F75" s="73" t="inlineStr">
        <is>
          <t>HTE</t>
        </is>
      </c>
      <c r="G75" s="69" t="inlineStr">
        <is>
          <t>6*7628</t>
        </is>
      </c>
      <c r="H75" s="73">
        <f>ROUND(J75/13.33,2)</f>
        <v/>
      </c>
      <c r="I75" s="73">
        <f>ROUND(H75*12,0)</f>
        <v/>
      </c>
      <c r="J75" s="99" t="n">
        <v>287</v>
      </c>
      <c r="K75" s="73">
        <f>ROUND(H75*14,0)</f>
        <v/>
      </c>
      <c r="L75" s="42" t="n"/>
      <c r="M75" s="99" t="n">
        <v>246</v>
      </c>
      <c r="N75" s="65" t="n">
        <v>0.17</v>
      </c>
      <c r="O75" s="99" t="n">
        <v>228</v>
      </c>
      <c r="P75" s="66" t="n">
        <v>0.08</v>
      </c>
      <c r="Q75" s="34" t="n">
        <v>205</v>
      </c>
      <c r="R75" s="67">
        <f>ROUND((J75-Q75)/Q75,2)</f>
        <v/>
      </c>
      <c r="S75" s="34" t="n">
        <v>192</v>
      </c>
      <c r="T75" s="67">
        <f>ROUND((J75-S75)/S75,2)</f>
        <v/>
      </c>
    </row>
    <row r="76" customFormat="1" s="34">
      <c r="B76" s="69" t="inlineStr">
        <is>
          <t>NY2140</t>
        </is>
      </c>
      <c r="C76" s="101" t="n">
        <v>1.2</v>
      </c>
      <c r="D76" s="102" t="inlineStr">
        <is>
          <t>总厚</t>
        </is>
      </c>
      <c r="E76" s="72" t="inlineStr">
        <is>
          <t>2/2</t>
        </is>
      </c>
      <c r="F76" s="73" t="inlineStr">
        <is>
          <t>HTE</t>
        </is>
      </c>
      <c r="G76" s="69" t="inlineStr">
        <is>
          <t>6*7628</t>
        </is>
      </c>
      <c r="H76" s="73">
        <f>ROUND(J76/13.33,2)</f>
        <v/>
      </c>
      <c r="I76" s="73">
        <f>ROUND(H76*12,0)</f>
        <v/>
      </c>
      <c r="J76" s="99">
        <f>J75+140</f>
        <v/>
      </c>
      <c r="K76" s="73">
        <f>ROUND(H76*14,0)</f>
        <v/>
      </c>
      <c r="L76" s="42" t="n"/>
      <c r="M76" s="99" t="n">
        <v>378</v>
      </c>
      <c r="N76" s="65" t="n">
        <v>0.13</v>
      </c>
      <c r="O76" s="99" t="n">
        <v>353</v>
      </c>
      <c r="P76" s="66" t="n">
        <v>0.07000000000000001</v>
      </c>
      <c r="Q76" s="34" t="n">
        <v>328</v>
      </c>
      <c r="R76" s="67">
        <f>ROUND((J76-Q76)/Q76,2)</f>
        <v/>
      </c>
      <c r="S76" s="34" t="n">
        <v>307</v>
      </c>
      <c r="T76" s="67">
        <f>ROUND((J76-S76)/S76,2)</f>
        <v/>
      </c>
    </row>
    <row r="77" customFormat="1" s="34">
      <c r="B77" s="69" t="inlineStr">
        <is>
          <t>NY2140</t>
        </is>
      </c>
      <c r="C77" s="101" t="n">
        <v>1.2</v>
      </c>
      <c r="D77" s="102" t="inlineStr">
        <is>
          <t>总厚</t>
        </is>
      </c>
      <c r="E77" s="72" t="inlineStr">
        <is>
          <t>3/3</t>
        </is>
      </c>
      <c r="F77" s="73" t="inlineStr">
        <is>
          <t>HTE</t>
        </is>
      </c>
      <c r="G77" s="69" t="inlineStr">
        <is>
          <t>5*7628</t>
        </is>
      </c>
      <c r="H77" s="73">
        <f>ROUND(J77/13.33,2)</f>
        <v/>
      </c>
      <c r="I77" s="73">
        <f>ROUND(H77*12,0)</f>
        <v/>
      </c>
      <c r="J77" s="99">
        <f>J76+140</f>
        <v/>
      </c>
      <c r="K77" s="73">
        <f>ROUND(H77*14,0)</f>
        <v/>
      </c>
      <c r="L77" s="42" t="n"/>
      <c r="M77" s="99" t="n">
        <v>512</v>
      </c>
      <c r="N77" s="65" t="n">
        <v>0.11</v>
      </c>
      <c r="O77" s="99" t="n">
        <v>483</v>
      </c>
      <c r="P77" s="66" t="n">
        <v>0.06</v>
      </c>
      <c r="Q77" s="34" t="n">
        <v>452</v>
      </c>
      <c r="R77" s="67">
        <f>ROUND((J77-Q77)/Q77,2)</f>
        <v/>
      </c>
      <c r="S77" s="34" t="n">
        <v>422</v>
      </c>
      <c r="T77" s="67">
        <f>ROUND((J77-S77)/S77,2)</f>
        <v/>
      </c>
    </row>
    <row r="78" customFormat="1" s="34">
      <c r="B78" s="69" t="inlineStr">
        <is>
          <t>NY2140</t>
        </is>
      </c>
      <c r="C78" s="101" t="n">
        <v>1.3</v>
      </c>
      <c r="D78" s="102" t="inlineStr">
        <is>
          <t>总厚</t>
        </is>
      </c>
      <c r="E78" s="72" t="inlineStr">
        <is>
          <t>H/H</t>
        </is>
      </c>
      <c r="F78" s="73" t="inlineStr">
        <is>
          <t>HTE</t>
        </is>
      </c>
      <c r="G78" s="69" t="inlineStr">
        <is>
          <t>7*7628</t>
        </is>
      </c>
      <c r="H78" s="73">
        <f>ROUND(J78/13.33,2)</f>
        <v/>
      </c>
      <c r="I78" s="73">
        <f>ROUND(H78*12,0)</f>
        <v/>
      </c>
      <c r="J78" s="99">
        <f>J79-60</f>
        <v/>
      </c>
      <c r="K78" s="73">
        <f>ROUND(H78*14,0)</f>
        <v/>
      </c>
      <c r="L78" s="42" t="n"/>
      <c r="M78" s="99" t="n">
        <v>210</v>
      </c>
      <c r="N78" s="65" t="n">
        <v>0.17</v>
      </c>
      <c r="O78" s="99" t="n">
        <v>191</v>
      </c>
      <c r="P78" s="66" t="n">
        <v>0.1</v>
      </c>
      <c r="Q78" s="34" t="n">
        <v>166</v>
      </c>
      <c r="R78" s="67">
        <f>ROUND((J78-Q78)/Q78,2)</f>
        <v/>
      </c>
      <c r="S78" s="34" t="n">
        <v>155</v>
      </c>
      <c r="T78" s="67">
        <f>ROUND((J78-S78)/S78,2)</f>
        <v/>
      </c>
    </row>
    <row r="79" customFormat="1" s="34">
      <c r="B79" s="69" t="inlineStr">
        <is>
          <t>NY2140</t>
        </is>
      </c>
      <c r="C79" s="101" t="n">
        <v>1.3</v>
      </c>
      <c r="D79" s="102" t="inlineStr">
        <is>
          <t>总厚</t>
        </is>
      </c>
      <c r="E79" s="72" t="inlineStr">
        <is>
          <t>1/1</t>
        </is>
      </c>
      <c r="F79" s="73" t="inlineStr">
        <is>
          <t>HTE</t>
        </is>
      </c>
      <c r="G79" s="69" t="inlineStr">
        <is>
          <t>7*7628</t>
        </is>
      </c>
      <c r="H79" s="73">
        <f>ROUND(J79/13.33,2)</f>
        <v/>
      </c>
      <c r="I79" s="73">
        <f>ROUND(H79*12,0)</f>
        <v/>
      </c>
      <c r="J79" s="99" t="n">
        <v>306</v>
      </c>
      <c r="K79" s="73">
        <f>ROUND(H79*14,0)</f>
        <v/>
      </c>
      <c r="L79" s="42" t="n"/>
      <c r="M79" s="99" t="n">
        <v>263</v>
      </c>
      <c r="N79" s="65" t="n">
        <v>0.16</v>
      </c>
      <c r="O79" s="99" t="n">
        <v>241</v>
      </c>
      <c r="P79" s="66" t="n">
        <v>0.09</v>
      </c>
      <c r="Q79" s="34" t="n">
        <v>214</v>
      </c>
      <c r="R79" s="67">
        <f>ROUND((J79-Q79)/Q79,2)</f>
        <v/>
      </c>
      <c r="S79" s="34" t="n">
        <v>200</v>
      </c>
      <c r="T79" s="67">
        <f>ROUND((J79-S79)/S79,2)</f>
        <v/>
      </c>
    </row>
    <row r="80" customFormat="1" s="34">
      <c r="B80" s="69" t="inlineStr">
        <is>
          <t>NY2140</t>
        </is>
      </c>
      <c r="C80" s="101" t="n">
        <v>1.3</v>
      </c>
      <c r="D80" s="102" t="inlineStr">
        <is>
          <t>总厚</t>
        </is>
      </c>
      <c r="E80" s="72" t="inlineStr">
        <is>
          <t>2/2</t>
        </is>
      </c>
      <c r="F80" s="73" t="inlineStr">
        <is>
          <t>HTE</t>
        </is>
      </c>
      <c r="G80" s="69" t="inlineStr">
        <is>
          <t>6*7628</t>
        </is>
      </c>
      <c r="H80" s="73">
        <f>ROUND(J80/13.33,2)</f>
        <v/>
      </c>
      <c r="I80" s="73">
        <f>ROUND(H80*12,0)</f>
        <v/>
      </c>
      <c r="J80" s="99">
        <f>J79+130</f>
        <v/>
      </c>
      <c r="K80" s="73">
        <f>ROUND(H80*14,0)</f>
        <v/>
      </c>
      <c r="L80" s="42" t="n"/>
      <c r="M80" s="99" t="n">
        <v>394</v>
      </c>
      <c r="N80" s="65" t="n">
        <v>0.11</v>
      </c>
      <c r="O80" s="99" t="n">
        <v>358</v>
      </c>
      <c r="P80" s="66" t="n">
        <v>0.1</v>
      </c>
      <c r="Q80" s="34" t="n">
        <v>334</v>
      </c>
      <c r="R80" s="67">
        <f>ROUND((J80-Q80)/Q80,2)</f>
        <v/>
      </c>
      <c r="S80" s="34" t="n">
        <v>312</v>
      </c>
      <c r="T80" s="67">
        <f>ROUND((J80-S80)/S80,2)</f>
        <v/>
      </c>
    </row>
    <row r="81" customFormat="1" s="34">
      <c r="B81" s="69" t="inlineStr">
        <is>
          <t>NY2140</t>
        </is>
      </c>
      <c r="C81" s="101" t="n">
        <v>1.3</v>
      </c>
      <c r="D81" s="102" t="inlineStr">
        <is>
          <t>总厚</t>
        </is>
      </c>
      <c r="E81" s="72" t="inlineStr">
        <is>
          <t>3/3</t>
        </is>
      </c>
      <c r="F81" s="73" t="inlineStr">
        <is>
          <t>HTE</t>
        </is>
      </c>
      <c r="G81" s="69" t="inlineStr">
        <is>
          <t>6*7628</t>
        </is>
      </c>
      <c r="H81" s="73">
        <f>ROUND(J81/13.33,2)</f>
        <v/>
      </c>
      <c r="I81" s="73">
        <f>ROUND(H81*12,0)</f>
        <v/>
      </c>
      <c r="J81" s="99">
        <f>J80+150</f>
        <v/>
      </c>
      <c r="K81" s="73">
        <f>ROUND(H81*14,0)</f>
        <v/>
      </c>
      <c r="L81" s="42" t="n"/>
      <c r="M81" s="99" t="n">
        <v>527</v>
      </c>
      <c r="N81" s="65" t="n">
        <v>0.11</v>
      </c>
      <c r="O81" s="99" t="n">
        <v>488</v>
      </c>
      <c r="P81" s="66" t="n">
        <v>0.08</v>
      </c>
      <c r="Q81" s="34" t="n">
        <v>457</v>
      </c>
      <c r="R81" s="67">
        <f>ROUND((J81-Q81)/Q81,2)</f>
        <v/>
      </c>
      <c r="S81" s="34" t="n">
        <v>427</v>
      </c>
      <c r="T81" s="67">
        <f>ROUND((J81-S81)/S81,2)</f>
        <v/>
      </c>
    </row>
    <row r="82" customFormat="1" s="34">
      <c r="B82" s="69" t="inlineStr">
        <is>
          <t>NY2140</t>
        </is>
      </c>
      <c r="C82" s="101" t="n">
        <v>1.4</v>
      </c>
      <c r="D82" s="102" t="inlineStr">
        <is>
          <t>总厚</t>
        </is>
      </c>
      <c r="E82" s="72" t="inlineStr">
        <is>
          <t>H/H</t>
        </is>
      </c>
      <c r="F82" s="73" t="inlineStr">
        <is>
          <t>HTE</t>
        </is>
      </c>
      <c r="G82" s="69" t="inlineStr">
        <is>
          <t>7*7628</t>
        </is>
      </c>
      <c r="H82" s="73">
        <f>ROUND(J82/13.33,2)</f>
        <v/>
      </c>
      <c r="I82" s="73">
        <f>ROUND(H82*12,0)</f>
        <v/>
      </c>
      <c r="J82" s="99">
        <f>J83-60</f>
        <v/>
      </c>
      <c r="K82" s="73">
        <f>ROUND(H82*14,0)</f>
        <v/>
      </c>
      <c r="L82" s="42" t="n"/>
      <c r="M82" s="99" t="n">
        <v>215</v>
      </c>
      <c r="N82" s="65" t="n">
        <v>0.16</v>
      </c>
      <c r="O82" s="99" t="n">
        <v>195</v>
      </c>
      <c r="P82" s="66" t="n">
        <v>0.1</v>
      </c>
      <c r="Q82" s="34" t="n">
        <v>172</v>
      </c>
      <c r="R82" s="67">
        <f>ROUND((J82-Q82)/Q82,2)</f>
        <v/>
      </c>
      <c r="S82" s="34" t="n">
        <v>161</v>
      </c>
      <c r="T82" s="67">
        <f>ROUND((J82-S82)/S82,2)</f>
        <v/>
      </c>
    </row>
    <row r="83" customFormat="1" s="34">
      <c r="B83" s="69" t="inlineStr">
        <is>
          <t>NY2140</t>
        </is>
      </c>
      <c r="C83" s="101" t="n">
        <v>1.4</v>
      </c>
      <c r="D83" s="102" t="inlineStr">
        <is>
          <t>总厚</t>
        </is>
      </c>
      <c r="E83" s="72" t="inlineStr">
        <is>
          <t>1/1</t>
        </is>
      </c>
      <c r="F83" s="73" t="inlineStr">
        <is>
          <t>HTE</t>
        </is>
      </c>
      <c r="G83" s="69" t="inlineStr">
        <is>
          <t>7*7628</t>
        </is>
      </c>
      <c r="H83" s="73">
        <f>ROUND(J83/13.33,2)</f>
        <v/>
      </c>
      <c r="I83" s="73">
        <f>ROUND(H83*12,0)</f>
        <v/>
      </c>
      <c r="J83" s="99" t="n">
        <v>310</v>
      </c>
      <c r="K83" s="73">
        <f>ROUND(H83*14,0)</f>
        <v/>
      </c>
      <c r="L83" s="42" t="n"/>
      <c r="M83" s="99" t="n">
        <v>267</v>
      </c>
      <c r="N83" s="65" t="n">
        <v>0.16</v>
      </c>
      <c r="O83" s="99" t="n">
        <v>245</v>
      </c>
      <c r="P83" s="66" t="n">
        <v>0.09</v>
      </c>
      <c r="Q83" s="34" t="n">
        <v>220</v>
      </c>
      <c r="R83" s="67">
        <f>ROUND((J83-Q83)/Q83,2)</f>
        <v/>
      </c>
      <c r="S83" s="34" t="n">
        <v>206</v>
      </c>
      <c r="T83" s="67">
        <f>ROUND((J83-S83)/S83,2)</f>
        <v/>
      </c>
    </row>
    <row r="84" customFormat="1" s="34">
      <c r="B84" s="69" t="inlineStr">
        <is>
          <t>NY2140</t>
        </is>
      </c>
      <c r="C84" s="101" t="n">
        <v>1.4</v>
      </c>
      <c r="D84" s="102" t="inlineStr">
        <is>
          <t>总厚</t>
        </is>
      </c>
      <c r="E84" s="72" t="inlineStr">
        <is>
          <t>2/2</t>
        </is>
      </c>
      <c r="F84" s="73" t="inlineStr">
        <is>
          <t>HTE</t>
        </is>
      </c>
      <c r="G84" s="69" t="inlineStr">
        <is>
          <t>7*7628</t>
        </is>
      </c>
      <c r="H84" s="73">
        <f>ROUND(J84/13.33,2)</f>
        <v/>
      </c>
      <c r="I84" s="73">
        <f>ROUND(H84*12,0)</f>
        <v/>
      </c>
      <c r="J84" s="99">
        <f>J83+140</f>
        <v/>
      </c>
      <c r="K84" s="73">
        <f>ROUND(H84*14,0)</f>
        <v/>
      </c>
      <c r="L84" s="42" t="n"/>
      <c r="M84" s="99" t="n">
        <v>400</v>
      </c>
      <c r="N84" s="65" t="n">
        <v>0.13</v>
      </c>
      <c r="O84" s="99" t="n">
        <v>370</v>
      </c>
      <c r="P84" s="66" t="n">
        <v>0.08</v>
      </c>
      <c r="Q84" s="34" t="n">
        <v>343</v>
      </c>
      <c r="R84" s="67">
        <f>ROUND((J84-Q84)/Q84,2)</f>
        <v/>
      </c>
      <c r="S84" s="34" t="n">
        <v>321</v>
      </c>
      <c r="T84" s="67">
        <f>ROUND((J84-S84)/S84,2)</f>
        <v/>
      </c>
    </row>
    <row r="85" customFormat="1" s="34">
      <c r="B85" s="69" t="inlineStr">
        <is>
          <t>NY2140</t>
        </is>
      </c>
      <c r="C85" s="101" t="n">
        <v>1.4</v>
      </c>
      <c r="D85" s="102" t="inlineStr">
        <is>
          <t>总厚</t>
        </is>
      </c>
      <c r="E85" s="72" t="inlineStr">
        <is>
          <t>3/3</t>
        </is>
      </c>
      <c r="F85" s="73" t="inlineStr">
        <is>
          <t>HTE</t>
        </is>
      </c>
      <c r="G85" s="69" t="inlineStr">
        <is>
          <t>6*7628</t>
        </is>
      </c>
      <c r="H85" s="73">
        <f>ROUND(J85/13.33,2)</f>
        <v/>
      </c>
      <c r="I85" s="73">
        <f>ROUND(H85*12,0)</f>
        <v/>
      </c>
      <c r="J85" s="99">
        <f>J84+140</f>
        <v/>
      </c>
      <c r="K85" s="73">
        <f>ROUND(H85*14,0)</f>
        <v/>
      </c>
      <c r="L85" s="42" t="n"/>
      <c r="M85" s="99" t="n">
        <v>530</v>
      </c>
      <c r="N85" s="65" t="n">
        <v>0.11</v>
      </c>
      <c r="O85" s="99" t="n">
        <v>500</v>
      </c>
      <c r="P85" s="66" t="n">
        <v>0.06</v>
      </c>
      <c r="Q85" s="34" t="n">
        <v>467</v>
      </c>
      <c r="R85" s="67">
        <f>ROUND((J85-Q85)/Q85,2)</f>
        <v/>
      </c>
      <c r="S85" s="34" t="n">
        <v>436</v>
      </c>
      <c r="T85" s="67">
        <f>ROUND((J85-S85)/S85,2)</f>
        <v/>
      </c>
    </row>
    <row r="86" customFormat="1" s="34">
      <c r="B86" s="69" t="inlineStr">
        <is>
          <t>NY2140</t>
        </is>
      </c>
      <c r="C86" s="101" t="n">
        <v>1.5</v>
      </c>
      <c r="D86" s="102" t="inlineStr">
        <is>
          <t>总厚</t>
        </is>
      </c>
      <c r="E86" s="72" t="inlineStr">
        <is>
          <t>H/H</t>
        </is>
      </c>
      <c r="F86" s="73" t="inlineStr">
        <is>
          <t>HTE</t>
        </is>
      </c>
      <c r="G86" s="69" t="inlineStr">
        <is>
          <t>8*7628</t>
        </is>
      </c>
      <c r="H86" s="73">
        <f>ROUND(J86/13.33,2)</f>
        <v/>
      </c>
      <c r="I86" s="73">
        <f>ROUND(H86*12,0)</f>
        <v/>
      </c>
      <c r="J86" s="99">
        <f>J87-60</f>
        <v/>
      </c>
      <c r="K86" s="73">
        <f>ROUND(H86*14,0)</f>
        <v/>
      </c>
      <c r="L86" s="42" t="n"/>
      <c r="M86" s="99" t="n">
        <v>225</v>
      </c>
      <c r="N86" s="65" t="n">
        <v>0.22</v>
      </c>
      <c r="O86" s="73" t="n">
        <v>208</v>
      </c>
      <c r="P86" s="66" t="n">
        <v>0.08</v>
      </c>
      <c r="Q86" s="34" t="n">
        <v>178</v>
      </c>
      <c r="R86" s="67">
        <f>ROUND((J86-Q86)/Q86,2)</f>
        <v/>
      </c>
      <c r="S86" s="34" t="n">
        <v>166</v>
      </c>
      <c r="T86" s="67">
        <f>ROUND((J86-S86)/S86,2)</f>
        <v/>
      </c>
    </row>
    <row r="87" customFormat="1" s="34">
      <c r="B87" s="69" t="inlineStr">
        <is>
          <t>NY2140</t>
        </is>
      </c>
      <c r="C87" s="101" t="n">
        <v>1.5</v>
      </c>
      <c r="D87" s="102" t="inlineStr">
        <is>
          <t>总厚</t>
        </is>
      </c>
      <c r="E87" s="72" t="inlineStr">
        <is>
          <t>1/1</t>
        </is>
      </c>
      <c r="F87" s="73" t="inlineStr">
        <is>
          <t>HTE</t>
        </is>
      </c>
      <c r="G87" s="69" t="inlineStr">
        <is>
          <t>8*7628</t>
        </is>
      </c>
      <c r="H87" s="73">
        <f>ROUND(J87/13.33,2)</f>
        <v/>
      </c>
      <c r="I87" s="73">
        <f>ROUND(H87*12,0)</f>
        <v/>
      </c>
      <c r="J87" s="99" t="n">
        <v>335</v>
      </c>
      <c r="K87" s="73">
        <f>ROUND(H87*14,0)</f>
        <v/>
      </c>
      <c r="L87" s="42" t="n"/>
      <c r="M87" s="99" t="n">
        <v>276</v>
      </c>
      <c r="N87" s="65" t="n">
        <v>0.21</v>
      </c>
      <c r="O87" s="73" t="n">
        <v>258</v>
      </c>
      <c r="P87" s="66" t="n">
        <v>0.07000000000000001</v>
      </c>
      <c r="Q87" s="34" t="n">
        <v>226</v>
      </c>
      <c r="R87" s="67">
        <f>ROUND((J87-Q87)/Q87,2)</f>
        <v/>
      </c>
      <c r="S87" s="34" t="n">
        <v>211</v>
      </c>
      <c r="T87" s="67">
        <f>ROUND((J87-S87)/S87,2)</f>
        <v/>
      </c>
    </row>
    <row r="88" customFormat="1" s="34">
      <c r="B88" s="69" t="inlineStr">
        <is>
          <t>NY2140</t>
        </is>
      </c>
      <c r="C88" s="101" t="n">
        <v>1.5</v>
      </c>
      <c r="D88" s="102" t="inlineStr">
        <is>
          <t>总厚</t>
        </is>
      </c>
      <c r="E88" s="72" t="inlineStr">
        <is>
          <t>2/2</t>
        </is>
      </c>
      <c r="F88" s="73" t="inlineStr">
        <is>
          <t>HTE</t>
        </is>
      </c>
      <c r="G88" s="69" t="inlineStr">
        <is>
          <t>7*7628</t>
        </is>
      </c>
      <c r="H88" s="73">
        <f>ROUND(J88/13.33,2)</f>
        <v/>
      </c>
      <c r="I88" s="73">
        <f>ROUND(H88*12,0)</f>
        <v/>
      </c>
      <c r="J88" s="99">
        <f>J87+130</f>
        <v/>
      </c>
      <c r="K88" s="73">
        <f>ROUND(H88*14,0)</f>
        <v/>
      </c>
      <c r="L88" s="42" t="n"/>
      <c r="M88" s="99" t="n">
        <v>409</v>
      </c>
      <c r="N88" s="65" t="n">
        <v>0.14</v>
      </c>
      <c r="O88" s="73" t="n">
        <v>375</v>
      </c>
      <c r="P88" s="66" t="n">
        <v>0.09</v>
      </c>
      <c r="Q88" s="34" t="n">
        <v>349</v>
      </c>
      <c r="R88" s="67">
        <f>ROUND((J88-Q88)/Q88,2)</f>
        <v/>
      </c>
      <c r="S88" s="34" t="n">
        <v>326</v>
      </c>
      <c r="T88" s="67">
        <f>ROUND((J88-S88)/S88,2)</f>
        <v/>
      </c>
    </row>
    <row r="89" customFormat="1" s="34">
      <c r="B89" s="69" t="inlineStr">
        <is>
          <t>NY2140</t>
        </is>
      </c>
      <c r="C89" s="101" t="n">
        <v>1.5</v>
      </c>
      <c r="D89" s="102" t="inlineStr">
        <is>
          <t>总厚</t>
        </is>
      </c>
      <c r="E89" s="72" t="inlineStr">
        <is>
          <t>3/3</t>
        </is>
      </c>
      <c r="F89" s="73" t="inlineStr">
        <is>
          <t>HTE</t>
        </is>
      </c>
      <c r="G89" s="69" t="inlineStr">
        <is>
          <t>7*7628</t>
        </is>
      </c>
      <c r="H89" s="73">
        <f>ROUND(J89/13.33,2)</f>
        <v/>
      </c>
      <c r="I89" s="73">
        <f>ROUND(H89*12,0)</f>
        <v/>
      </c>
      <c r="J89" s="99">
        <f>J88+150</f>
        <v/>
      </c>
      <c r="K89" s="73">
        <f>ROUND(H89*14,0)</f>
        <v/>
      </c>
      <c r="L89" s="42" t="n"/>
      <c r="M89" s="99" t="n">
        <v>540</v>
      </c>
      <c r="N89" s="65" t="n">
        <v>0.14</v>
      </c>
      <c r="O89" s="73" t="n">
        <v>505</v>
      </c>
      <c r="P89" s="66" t="n">
        <v>0.07000000000000001</v>
      </c>
      <c r="Q89" s="34" t="n">
        <v>472</v>
      </c>
      <c r="R89" s="67">
        <f>ROUND((J89-Q89)/Q89,2)</f>
        <v/>
      </c>
      <c r="S89" s="34" t="n">
        <v>441</v>
      </c>
      <c r="T89" s="67">
        <f>ROUND((J89-S89)/S89,2)</f>
        <v/>
      </c>
    </row>
    <row r="90" customFormat="1" s="34">
      <c r="B90" s="69" t="inlineStr">
        <is>
          <t>NY2140</t>
        </is>
      </c>
      <c r="C90" s="101" t="n">
        <v>1.6</v>
      </c>
      <c r="D90" s="102" t="inlineStr">
        <is>
          <t>总厚</t>
        </is>
      </c>
      <c r="E90" s="72" t="inlineStr">
        <is>
          <t>H/H</t>
        </is>
      </c>
      <c r="F90" s="73" t="inlineStr">
        <is>
          <t>HTE</t>
        </is>
      </c>
      <c r="G90" s="69" t="inlineStr">
        <is>
          <t>8*7628</t>
        </is>
      </c>
      <c r="H90" s="73">
        <f>ROUND(J90/13.33,2)</f>
        <v/>
      </c>
      <c r="I90" s="73">
        <f>ROUND(H90*12,0)</f>
        <v/>
      </c>
      <c r="J90" s="99">
        <f>J91-60</f>
        <v/>
      </c>
      <c r="K90" s="73">
        <f>ROUND(H90*14,0)</f>
        <v/>
      </c>
      <c r="L90" s="42" t="n"/>
      <c r="M90" s="99" t="n">
        <v>229</v>
      </c>
      <c r="N90" s="65" t="n">
        <v>0.22</v>
      </c>
      <c r="O90" s="73" t="n">
        <v>212</v>
      </c>
      <c r="P90" s="66" t="n">
        <v>0.08</v>
      </c>
      <c r="Q90" s="34" t="n">
        <v>183</v>
      </c>
      <c r="R90" s="67">
        <f>ROUND((J90-Q90)/Q90,2)</f>
        <v/>
      </c>
      <c r="S90" s="34" t="n">
        <v>171</v>
      </c>
      <c r="T90" s="67">
        <f>ROUND((J90-S90)/S90,2)</f>
        <v/>
      </c>
    </row>
    <row r="91" customFormat="1" s="34">
      <c r="B91" s="69" t="inlineStr">
        <is>
          <t>NY2140</t>
        </is>
      </c>
      <c r="C91" s="101" t="n">
        <v>1.6</v>
      </c>
      <c r="D91" s="102" t="inlineStr">
        <is>
          <t>总厚</t>
        </is>
      </c>
      <c r="E91" s="72" t="inlineStr">
        <is>
          <t>1/1</t>
        </is>
      </c>
      <c r="F91" s="73" t="inlineStr">
        <is>
          <t>HTE</t>
        </is>
      </c>
      <c r="G91" s="69" t="inlineStr">
        <is>
          <t>8*7628</t>
        </is>
      </c>
      <c r="H91" s="73">
        <f>ROUND(J91/13.33,2)</f>
        <v/>
      </c>
      <c r="I91" s="73">
        <f>ROUND(H91*12,0)</f>
        <v/>
      </c>
      <c r="J91" s="99" t="n">
        <v>340</v>
      </c>
      <c r="K91" s="73">
        <f>ROUND(H91*14,0)</f>
        <v/>
      </c>
      <c r="L91" s="42" t="n"/>
      <c r="M91" s="99" t="n">
        <v>280</v>
      </c>
      <c r="N91" s="65" t="n">
        <v>0.21</v>
      </c>
      <c r="O91" s="73" t="n">
        <v>262</v>
      </c>
      <c r="P91" s="66" t="n">
        <v>0.07000000000000001</v>
      </c>
      <c r="Q91" s="34" t="n">
        <v>231</v>
      </c>
      <c r="R91" s="67">
        <f>ROUND((J91-Q91)/Q91,2)</f>
        <v/>
      </c>
      <c r="S91" s="34" t="n">
        <v>216</v>
      </c>
      <c r="T91" s="67">
        <f>ROUND((J91-S91)/S91,2)</f>
        <v/>
      </c>
    </row>
    <row r="92" customFormat="1" s="34">
      <c r="B92" s="69" t="inlineStr">
        <is>
          <t>NY2140</t>
        </is>
      </c>
      <c r="C92" s="101" t="n">
        <v>1.6</v>
      </c>
      <c r="D92" s="102" t="inlineStr">
        <is>
          <t>总厚</t>
        </is>
      </c>
      <c r="E92" s="72" t="inlineStr">
        <is>
          <t>2/2</t>
        </is>
      </c>
      <c r="F92" s="73" t="inlineStr">
        <is>
          <t>HTE</t>
        </is>
      </c>
      <c r="G92" s="69" t="inlineStr">
        <is>
          <t>8*7628</t>
        </is>
      </c>
      <c r="H92" s="73">
        <f>ROUND(J92/13.33,2)</f>
        <v/>
      </c>
      <c r="I92" s="73">
        <f>ROUND(H92*12,0)</f>
        <v/>
      </c>
      <c r="J92" s="99">
        <f>J91+140</f>
        <v/>
      </c>
      <c r="K92" s="73">
        <f>ROUND(H92*14,0)</f>
        <v/>
      </c>
      <c r="L92" s="42" t="n"/>
      <c r="M92" s="99" t="n">
        <v>410</v>
      </c>
      <c r="N92" s="65" t="n">
        <v>0.17</v>
      </c>
      <c r="O92" s="73" t="n">
        <v>387</v>
      </c>
      <c r="P92" s="66" t="n">
        <v>0.06</v>
      </c>
      <c r="Q92" s="34" t="n">
        <v>354</v>
      </c>
      <c r="R92" s="67">
        <f>ROUND((J92-Q92)/Q92,2)</f>
        <v/>
      </c>
      <c r="S92" s="34" t="n">
        <v>331</v>
      </c>
      <c r="T92" s="67">
        <f>ROUND((J92-S92)/S92,2)</f>
        <v/>
      </c>
    </row>
    <row r="93" customFormat="1" s="34">
      <c r="B93" s="69" t="inlineStr">
        <is>
          <t>NY2140</t>
        </is>
      </c>
      <c r="C93" s="101" t="n">
        <v>1.6</v>
      </c>
      <c r="D93" s="102" t="inlineStr">
        <is>
          <t>总厚</t>
        </is>
      </c>
      <c r="E93" s="72" t="inlineStr">
        <is>
          <t>3/3</t>
        </is>
      </c>
      <c r="F93" s="73" t="inlineStr">
        <is>
          <t>HTE</t>
        </is>
      </c>
      <c r="G93" s="69" t="inlineStr">
        <is>
          <t>7*7628</t>
        </is>
      </c>
      <c r="H93" s="73">
        <f>ROUND(J93/13.33,2)</f>
        <v/>
      </c>
      <c r="I93" s="73">
        <f>ROUND(H93*12,0)</f>
        <v/>
      </c>
      <c r="J93" s="99">
        <f>J92+140</f>
        <v/>
      </c>
      <c r="K93" s="73">
        <f>ROUND(H93*14,0)</f>
        <v/>
      </c>
      <c r="L93" s="42" t="n"/>
      <c r="M93" s="99" t="n">
        <v>543</v>
      </c>
      <c r="N93" s="65" t="n">
        <v>0.14</v>
      </c>
      <c r="O93" s="73" t="n">
        <v>517</v>
      </c>
      <c r="P93" s="66" t="n">
        <v>0.05</v>
      </c>
      <c r="Q93" s="34" t="n">
        <v>477</v>
      </c>
      <c r="R93" s="67">
        <f>ROUND((J93-Q93)/Q93,2)</f>
        <v/>
      </c>
      <c r="S93" s="34" t="n">
        <v>446</v>
      </c>
      <c r="T93" s="67">
        <f>ROUND((J93-S93)/S93,2)</f>
        <v/>
      </c>
    </row>
    <row r="94" customFormat="1" s="34">
      <c r="B94" s="69" t="inlineStr">
        <is>
          <t>NY2150</t>
        </is>
      </c>
      <c r="C94" s="101" t="n">
        <v>0.05</v>
      </c>
      <c r="D94" s="102" t="inlineStr">
        <is>
          <t>芯厚</t>
        </is>
      </c>
      <c r="E94" s="72" t="inlineStr">
        <is>
          <t>1/1</t>
        </is>
      </c>
      <c r="F94" s="73" t="inlineStr">
        <is>
          <t>RTF</t>
        </is>
      </c>
      <c r="G94" s="69" t="inlineStr">
        <is>
          <t>1*106</t>
        </is>
      </c>
      <c r="H94" s="73">
        <f>ROUND(J94/13.33,2)</f>
        <v/>
      </c>
      <c r="I94" s="73">
        <f>ROUND(H94*12,0)</f>
        <v/>
      </c>
      <c r="J94" s="99" t="n">
        <v>172</v>
      </c>
      <c r="K94" s="73">
        <f>ROUND(H94*14,0)</f>
        <v/>
      </c>
      <c r="L94" s="42" t="n"/>
      <c r="M94" s="99" t="n">
        <v>168</v>
      </c>
      <c r="N94" s="65" t="n">
        <v>0.02</v>
      </c>
      <c r="O94" s="99" t="n">
        <v>153</v>
      </c>
      <c r="P94" s="66" t="n">
        <v>0.1</v>
      </c>
      <c r="Q94" s="34" t="n">
        <v>146</v>
      </c>
      <c r="R94" s="67">
        <f>ROUND((J94-Q94)/Q94,2)</f>
        <v/>
      </c>
      <c r="S94" s="34" t="n">
        <v>136</v>
      </c>
      <c r="T94" s="67">
        <f>ROUND((J94-S94)/S94,2)</f>
        <v/>
      </c>
    </row>
    <row r="95" customFormat="1" s="34">
      <c r="B95" s="69" t="inlineStr">
        <is>
          <t>NY2150</t>
        </is>
      </c>
      <c r="C95" s="103" t="n">
        <v>0.076</v>
      </c>
      <c r="D95" s="102" t="inlineStr">
        <is>
          <t>芯厚</t>
        </is>
      </c>
      <c r="E95" s="72" t="inlineStr">
        <is>
          <t>H/H</t>
        </is>
      </c>
      <c r="F95" s="73" t="inlineStr">
        <is>
          <t>HTE</t>
        </is>
      </c>
      <c r="G95" s="69" t="inlineStr">
        <is>
          <t>1*1080</t>
        </is>
      </c>
      <c r="H95" s="73">
        <f>ROUND(J95/13.33,2)</f>
        <v/>
      </c>
      <c r="I95" s="73">
        <f>ROUND(H95*12,0)</f>
        <v/>
      </c>
      <c r="J95" s="99">
        <f>J96-60</f>
        <v/>
      </c>
      <c r="K95" s="73">
        <f>ROUND(H95*14,0)</f>
        <v/>
      </c>
      <c r="L95" s="42" t="n"/>
      <c r="M95" s="99" t="n">
        <v>102</v>
      </c>
      <c r="N95" s="65" t="n">
        <v>0.08</v>
      </c>
      <c r="O95" s="99" t="n">
        <v>93</v>
      </c>
      <c r="P95" s="66" t="n">
        <v>0.1</v>
      </c>
      <c r="R95" s="67" t="n"/>
      <c r="T95" s="67" t="n"/>
    </row>
    <row r="96" customFormat="1" s="34">
      <c r="B96" s="69" t="inlineStr">
        <is>
          <t>NY2150</t>
        </is>
      </c>
      <c r="C96" s="103" t="n">
        <v>0.076</v>
      </c>
      <c r="D96" s="102" t="inlineStr">
        <is>
          <t>芯厚</t>
        </is>
      </c>
      <c r="E96" s="72" t="inlineStr">
        <is>
          <t>1/1</t>
        </is>
      </c>
      <c r="F96" s="73" t="inlineStr">
        <is>
          <t>HTE</t>
        </is>
      </c>
      <c r="G96" s="69" t="inlineStr">
        <is>
          <t>1*1080</t>
        </is>
      </c>
      <c r="H96" s="73">
        <f>ROUND(J96/13.33,2)</f>
        <v/>
      </c>
      <c r="I96" s="73">
        <f>ROUND(H96*12,0)</f>
        <v/>
      </c>
      <c r="J96" s="99" t="n">
        <v>170</v>
      </c>
      <c r="K96" s="73">
        <f>ROUND(H96*14,0)</f>
        <v/>
      </c>
      <c r="L96" s="42" t="n"/>
      <c r="M96" s="99" t="n">
        <v>154</v>
      </c>
      <c r="N96" s="65" t="n">
        <v>0.1</v>
      </c>
      <c r="O96" s="99" t="n">
        <v>143</v>
      </c>
      <c r="P96" s="66" t="n">
        <v>0.08</v>
      </c>
      <c r="R96" s="67" t="n"/>
      <c r="T96" s="67" t="n"/>
    </row>
    <row r="97" customFormat="1" s="34">
      <c r="B97" s="69" t="inlineStr">
        <is>
          <t>NY2150</t>
        </is>
      </c>
      <c r="C97" s="101" t="n">
        <v>0.1</v>
      </c>
      <c r="D97" s="102" t="inlineStr">
        <is>
          <t>芯厚</t>
        </is>
      </c>
      <c r="E97" s="72" t="inlineStr">
        <is>
          <t>H/H</t>
        </is>
      </c>
      <c r="F97" s="73" t="inlineStr">
        <is>
          <t>HTE</t>
        </is>
      </c>
      <c r="G97" s="73" t="inlineStr">
        <is>
          <t>1*2116</t>
        </is>
      </c>
      <c r="H97" s="73">
        <f>ROUND(J97/13.33,2)</f>
        <v/>
      </c>
      <c r="I97" s="73">
        <f>ROUND(H97*12,0)</f>
        <v/>
      </c>
      <c r="J97" s="99">
        <f>J98-60</f>
        <v/>
      </c>
      <c r="K97" s="73">
        <f>ROUND(H97*14,0)</f>
        <v/>
      </c>
      <c r="L97" s="42" t="n"/>
      <c r="M97" s="99" t="n">
        <v>100</v>
      </c>
      <c r="N97" s="65" t="n">
        <v>0.08</v>
      </c>
      <c r="O97" s="99" t="n">
        <v>91</v>
      </c>
      <c r="P97" s="66" t="n">
        <v>0.1</v>
      </c>
      <c r="Q97" s="34" t="n">
        <v>91</v>
      </c>
      <c r="R97" s="67">
        <f>ROUND((J97-Q97)/Q97,2)</f>
        <v/>
      </c>
      <c r="S97" s="34" t="n">
        <v>85</v>
      </c>
      <c r="T97" s="67">
        <f>ROUND((J97-S97)/S97,2)</f>
        <v/>
      </c>
    </row>
    <row r="98" customFormat="1" s="34">
      <c r="B98" s="69" t="inlineStr">
        <is>
          <t>NY2150</t>
        </is>
      </c>
      <c r="C98" s="101" t="n">
        <v>0.1</v>
      </c>
      <c r="D98" s="102" t="inlineStr">
        <is>
          <t>芯厚</t>
        </is>
      </c>
      <c r="E98" s="72" t="inlineStr">
        <is>
          <t>1/1</t>
        </is>
      </c>
      <c r="F98" s="73" t="inlineStr">
        <is>
          <t>HTE</t>
        </is>
      </c>
      <c r="G98" s="73" t="inlineStr">
        <is>
          <t>1*2116</t>
        </is>
      </c>
      <c r="H98" s="73">
        <f>ROUND(J98/13.33,2)</f>
        <v/>
      </c>
      <c r="I98" s="73">
        <f>ROUND(H98*12,0)</f>
        <v/>
      </c>
      <c r="J98" s="99" t="n">
        <v>168</v>
      </c>
      <c r="K98" s="73">
        <f>ROUND(H98*14,0)</f>
        <v/>
      </c>
      <c r="L98" s="42" t="n"/>
      <c r="M98" s="99" t="n">
        <v>151</v>
      </c>
      <c r="N98" s="65" t="n">
        <v>0.11</v>
      </c>
      <c r="O98" s="99" t="n">
        <v>137</v>
      </c>
      <c r="P98" s="66" t="n">
        <v>0.1</v>
      </c>
      <c r="Q98" s="34" t="n">
        <v>132</v>
      </c>
      <c r="R98" s="67">
        <f>ROUND((J98-Q98)/Q98,2)</f>
        <v/>
      </c>
      <c r="S98" s="34" t="n">
        <v>123</v>
      </c>
      <c r="T98" s="67">
        <f>ROUND((J98-S98)/S98,2)</f>
        <v/>
      </c>
    </row>
    <row r="99" customFormat="1" s="34">
      <c r="B99" s="69" t="inlineStr">
        <is>
          <t>NY2150</t>
        </is>
      </c>
      <c r="C99" s="101" t="n">
        <v>0.1</v>
      </c>
      <c r="D99" s="102" t="inlineStr">
        <is>
          <t>芯厚</t>
        </is>
      </c>
      <c r="E99" s="72" t="inlineStr">
        <is>
          <t>2/2</t>
        </is>
      </c>
      <c r="F99" s="73" t="inlineStr">
        <is>
          <t>HTE</t>
        </is>
      </c>
      <c r="G99" s="73" t="inlineStr">
        <is>
          <t>1*2116</t>
        </is>
      </c>
      <c r="H99" s="73">
        <f>ROUND(J99/13.33,2)</f>
        <v/>
      </c>
      <c r="I99" s="73">
        <f>ROUND(H99*12,0)</f>
        <v/>
      </c>
      <c r="J99" s="99">
        <f>J98+140</f>
        <v/>
      </c>
      <c r="K99" s="73">
        <f>ROUND(H99*14,0)</f>
        <v/>
      </c>
      <c r="L99" s="42" t="n"/>
      <c r="M99" s="99" t="n">
        <v>282</v>
      </c>
      <c r="N99" s="65" t="n">
        <v>0.09</v>
      </c>
      <c r="O99" s="99" t="n">
        <v>264</v>
      </c>
      <c r="P99" s="66" t="n">
        <v>0.07000000000000001</v>
      </c>
      <c r="Q99" s="34" t="n">
        <v>262</v>
      </c>
      <c r="R99" s="67">
        <f>ROUND((J99-Q99)/Q99,2)</f>
        <v/>
      </c>
      <c r="S99" s="34" t="n">
        <v>245</v>
      </c>
      <c r="T99" s="67">
        <f>ROUND((J99-S99)/S99,2)</f>
        <v/>
      </c>
    </row>
    <row r="100" customFormat="1" s="34">
      <c r="B100" s="69" t="inlineStr">
        <is>
          <t>NY2150</t>
        </is>
      </c>
      <c r="C100" s="101" t="n">
        <v>0.1</v>
      </c>
      <c r="D100" s="102" t="inlineStr">
        <is>
          <t>芯厚</t>
        </is>
      </c>
      <c r="E100" s="72" t="inlineStr">
        <is>
          <t>3/3</t>
        </is>
      </c>
      <c r="F100" s="73" t="inlineStr">
        <is>
          <t>HTE</t>
        </is>
      </c>
      <c r="G100" s="73" t="inlineStr">
        <is>
          <t>1*2116</t>
        </is>
      </c>
      <c r="H100" s="73">
        <f>ROUND(J100/13.33,2)</f>
        <v/>
      </c>
      <c r="I100" s="73">
        <f>ROUND(H100*12,0)</f>
        <v/>
      </c>
      <c r="J100" s="99">
        <f>J99+150</f>
        <v/>
      </c>
      <c r="K100" s="73">
        <f>ROUND(H100*14,0)</f>
        <v/>
      </c>
      <c r="L100" s="42" t="n"/>
      <c r="M100" s="99" t="n">
        <v>416</v>
      </c>
      <c r="N100" s="65" t="n">
        <v>0.1</v>
      </c>
      <c r="O100" s="99" t="n">
        <v>396</v>
      </c>
      <c r="P100" s="66" t="n">
        <v>0.05</v>
      </c>
      <c r="Q100" s="34" t="n">
        <v>396</v>
      </c>
      <c r="R100" s="67">
        <f>ROUND((J100-Q100)/Q100,2)</f>
        <v/>
      </c>
      <c r="S100" s="34" t="n">
        <v>370</v>
      </c>
      <c r="T100" s="67">
        <f>ROUND((J100-S100)/S100,2)</f>
        <v/>
      </c>
    </row>
    <row r="101" customFormat="1" s="34">
      <c r="B101" s="69" t="inlineStr">
        <is>
          <t>NY2150</t>
        </is>
      </c>
      <c r="C101" s="103" t="n">
        <v>0.127</v>
      </c>
      <c r="D101" s="102" t="inlineStr">
        <is>
          <t>芯厚</t>
        </is>
      </c>
      <c r="E101" s="72" t="inlineStr">
        <is>
          <t>H/1</t>
        </is>
      </c>
      <c r="F101" s="73" t="inlineStr">
        <is>
          <t>HTE</t>
        </is>
      </c>
      <c r="G101" s="73" t="inlineStr">
        <is>
          <t>1*2116</t>
        </is>
      </c>
      <c r="H101" s="73">
        <f>ROUND(J101/13.33,2)</f>
        <v/>
      </c>
      <c r="I101" s="73">
        <f>ROUND(H101*12,0)</f>
        <v/>
      </c>
      <c r="J101" s="99" t="n">
        <v>160</v>
      </c>
      <c r="K101" s="73">
        <f>ROUND(H101*14,0)</f>
        <v/>
      </c>
      <c r="L101" s="42" t="n"/>
      <c r="M101" s="99" t="n"/>
      <c r="N101" s="65" t="n"/>
      <c r="O101" s="99" t="n"/>
      <c r="P101" s="66" t="n"/>
      <c r="R101" s="67" t="n"/>
      <c r="T101" s="67" t="n"/>
    </row>
    <row r="102" customFormat="1" s="34">
      <c r="B102" s="69" t="inlineStr">
        <is>
          <t>NY2150</t>
        </is>
      </c>
      <c r="C102" s="101" t="n">
        <v>0.13</v>
      </c>
      <c r="D102" s="102" t="inlineStr">
        <is>
          <t>芯厚</t>
        </is>
      </c>
      <c r="E102" s="72" t="inlineStr">
        <is>
          <t>H/H</t>
        </is>
      </c>
      <c r="F102" s="73" t="inlineStr">
        <is>
          <t>HTE</t>
        </is>
      </c>
      <c r="G102" s="73" t="inlineStr">
        <is>
          <t>1*2116</t>
        </is>
      </c>
      <c r="H102" s="73">
        <f>ROUND(J102/13.33,2)</f>
        <v/>
      </c>
      <c r="I102" s="73">
        <f>ROUND(H102*12,0)</f>
        <v/>
      </c>
      <c r="J102" s="99">
        <f>J104-60</f>
        <v/>
      </c>
      <c r="K102" s="73">
        <f>ROUND(H102*14,0)</f>
        <v/>
      </c>
      <c r="L102" s="42" t="n"/>
      <c r="M102" s="99" t="n">
        <v>101</v>
      </c>
      <c r="N102" s="65" t="n">
        <v>0.07000000000000001</v>
      </c>
      <c r="O102" s="99" t="n">
        <v>91</v>
      </c>
      <c r="P102" s="66" t="n">
        <v>0.11</v>
      </c>
      <c r="Q102" s="34" t="n">
        <v>91</v>
      </c>
      <c r="R102" s="67">
        <f>ROUND((J102-Q102)/Q102,2)</f>
        <v/>
      </c>
      <c r="S102" s="34" t="n">
        <v>85</v>
      </c>
      <c r="T102" s="67">
        <f>ROUND((J102-S102)/S102,2)</f>
        <v/>
      </c>
    </row>
    <row r="103" customFormat="1" s="34">
      <c r="B103" s="69" t="inlineStr">
        <is>
          <t>NY2150</t>
        </is>
      </c>
      <c r="C103" s="101" t="n">
        <v>0.13</v>
      </c>
      <c r="D103" s="102" t="inlineStr">
        <is>
          <t>芯厚</t>
        </is>
      </c>
      <c r="E103" s="72" t="inlineStr">
        <is>
          <t>H/1</t>
        </is>
      </c>
      <c r="F103" s="73" t="inlineStr">
        <is>
          <t>HTE</t>
        </is>
      </c>
      <c r="G103" s="73" t="inlineStr">
        <is>
          <t>1*2116</t>
        </is>
      </c>
      <c r="H103" s="73">
        <f>ROUND(J103/13.33,2)</f>
        <v/>
      </c>
      <c r="I103" s="73">
        <f>ROUND(H103*12,0)</f>
        <v/>
      </c>
      <c r="J103" s="99" t="n">
        <v>158</v>
      </c>
      <c r="K103" s="73">
        <f>ROUND(H103*14,0)</f>
        <v/>
      </c>
      <c r="L103" s="42" t="n"/>
      <c r="M103" s="99" t="n">
        <v>151</v>
      </c>
      <c r="N103" s="65" t="n">
        <v>0.05</v>
      </c>
      <c r="O103" s="99" t="n">
        <v>140</v>
      </c>
      <c r="P103" s="66" t="n">
        <v>0.08</v>
      </c>
      <c r="Q103" s="34" t="n">
        <v>134</v>
      </c>
      <c r="R103" s="67">
        <f>ROUND((J103-Q103)/Q103,2)</f>
        <v/>
      </c>
      <c r="T103" s="67">
        <f>ROUND((J103-S103)/S103,2)</f>
        <v/>
      </c>
    </row>
    <row r="104" customFormat="1" s="34">
      <c r="B104" s="69" t="inlineStr">
        <is>
          <t>NY2150</t>
        </is>
      </c>
      <c r="C104" s="101" t="n">
        <v>0.13</v>
      </c>
      <c r="D104" s="102" t="inlineStr">
        <is>
          <t>芯厚</t>
        </is>
      </c>
      <c r="E104" s="72" t="inlineStr">
        <is>
          <t>1/1</t>
        </is>
      </c>
      <c r="F104" s="73" t="inlineStr">
        <is>
          <t>HTE</t>
        </is>
      </c>
      <c r="G104" s="73" t="inlineStr">
        <is>
          <t>1*2116</t>
        </is>
      </c>
      <c r="H104" s="73">
        <f>ROUND(J104/13.33,2)</f>
        <v/>
      </c>
      <c r="I104" s="73">
        <f>ROUND(H104*12,0)</f>
        <v/>
      </c>
      <c r="J104" s="99" t="n">
        <v>168</v>
      </c>
      <c r="K104" s="73">
        <f>ROUND(H104*14,0)</f>
        <v/>
      </c>
      <c r="L104" s="42" t="n"/>
      <c r="M104" s="99" t="n">
        <v>151</v>
      </c>
      <c r="N104" s="65" t="n">
        <v>0.11</v>
      </c>
      <c r="O104" s="99" t="n">
        <v>140</v>
      </c>
      <c r="P104" s="66" t="n">
        <v>0.08</v>
      </c>
      <c r="Q104" s="34" t="n">
        <v>134</v>
      </c>
      <c r="R104" s="67">
        <f>ROUND((J104-Q104)/Q104,2)</f>
        <v/>
      </c>
      <c r="S104" s="34" t="n">
        <v>125</v>
      </c>
      <c r="T104" s="67">
        <f>ROUND((J104-S104)/S104,2)</f>
        <v/>
      </c>
    </row>
    <row r="105" customFormat="1" s="34">
      <c r="B105" s="69" t="inlineStr">
        <is>
          <t>NY2150</t>
        </is>
      </c>
      <c r="C105" s="101" t="n">
        <v>0.13</v>
      </c>
      <c r="D105" s="102" t="inlineStr">
        <is>
          <t>芯厚</t>
        </is>
      </c>
      <c r="E105" s="72" t="inlineStr">
        <is>
          <t>2/2</t>
        </is>
      </c>
      <c r="F105" s="73" t="inlineStr">
        <is>
          <t>HTE</t>
        </is>
      </c>
      <c r="G105" s="73" t="inlineStr">
        <is>
          <t>1*2116</t>
        </is>
      </c>
      <c r="H105" s="73">
        <f>ROUND(J105/13.33,2)</f>
        <v/>
      </c>
      <c r="I105" s="73">
        <f>ROUND(H105*12,0)</f>
        <v/>
      </c>
      <c r="J105" s="99">
        <f>J104+140</f>
        <v/>
      </c>
      <c r="K105" s="73">
        <f>ROUND(H105*14,0)</f>
        <v/>
      </c>
      <c r="L105" s="42" t="n"/>
      <c r="M105" s="99" t="n">
        <v>284</v>
      </c>
      <c r="N105" s="65" t="n">
        <v>0.08</v>
      </c>
      <c r="O105" s="99" t="n">
        <v>265</v>
      </c>
      <c r="P105" s="66" t="n">
        <v>0.07000000000000001</v>
      </c>
      <c r="Q105" s="34" t="n">
        <v>262</v>
      </c>
      <c r="R105" s="67">
        <f>ROUND((J105-Q105)/Q105,2)</f>
        <v/>
      </c>
      <c r="S105" s="34" t="n">
        <v>245</v>
      </c>
      <c r="T105" s="67">
        <f>ROUND((J105-S105)/S105,2)</f>
        <v/>
      </c>
    </row>
    <row r="106" customFormat="1" s="34">
      <c r="B106" s="69" t="inlineStr">
        <is>
          <t>NY2150</t>
        </is>
      </c>
      <c r="C106" s="101" t="n">
        <v>0.13</v>
      </c>
      <c r="D106" s="102" t="inlineStr">
        <is>
          <t>芯厚</t>
        </is>
      </c>
      <c r="E106" s="72" t="inlineStr">
        <is>
          <t>3/3</t>
        </is>
      </c>
      <c r="F106" s="73" t="inlineStr">
        <is>
          <t>HTE</t>
        </is>
      </c>
      <c r="G106" s="73" t="inlineStr">
        <is>
          <t>1*2116</t>
        </is>
      </c>
      <c r="H106" s="73">
        <f>ROUND(J106/13.33,2)</f>
        <v/>
      </c>
      <c r="I106" s="73">
        <f>ROUND(H106*12,0)</f>
        <v/>
      </c>
      <c r="J106" s="99">
        <f>J105+150</f>
        <v/>
      </c>
      <c r="K106" s="73">
        <f>ROUND(H106*14,0)</f>
        <v/>
      </c>
      <c r="L106" s="42" t="n"/>
      <c r="M106" s="99" t="n">
        <v>419</v>
      </c>
      <c r="N106" s="65" t="n">
        <v>0.09</v>
      </c>
      <c r="O106" s="99" t="n">
        <v>395</v>
      </c>
      <c r="P106" s="66" t="n">
        <v>0.06</v>
      </c>
      <c r="Q106" s="34" t="n">
        <v>396</v>
      </c>
      <c r="R106" s="67">
        <f>ROUND((J106-Q106)/Q106,2)</f>
        <v/>
      </c>
      <c r="S106" s="34" t="n">
        <v>370</v>
      </c>
      <c r="T106" s="67">
        <f>ROUND((J106-S106)/S106,2)</f>
        <v/>
      </c>
    </row>
    <row r="107" customFormat="1" s="34">
      <c r="B107" s="69" t="inlineStr">
        <is>
          <t>NY2150</t>
        </is>
      </c>
      <c r="C107" s="101" t="n">
        <v>0.15</v>
      </c>
      <c r="D107" s="102" t="inlineStr">
        <is>
          <t>芯厚</t>
        </is>
      </c>
      <c r="E107" s="72" t="inlineStr">
        <is>
          <t>H/H</t>
        </is>
      </c>
      <c r="F107" s="73" t="inlineStr">
        <is>
          <t>HTE</t>
        </is>
      </c>
      <c r="G107" s="73" t="inlineStr">
        <is>
          <t>1*1506</t>
        </is>
      </c>
      <c r="H107" s="73">
        <f>ROUND(J107/13.33,2)</f>
        <v/>
      </c>
      <c r="I107" s="73">
        <f>ROUND(H107*12,0)</f>
        <v/>
      </c>
      <c r="J107" s="99">
        <f>J109-60</f>
        <v/>
      </c>
      <c r="K107" s="73">
        <f>ROUND(H107*14,0)</f>
        <v/>
      </c>
      <c r="L107" s="42" t="n"/>
      <c r="M107" s="99" t="n">
        <v>102</v>
      </c>
      <c r="N107" s="65" t="n">
        <v>0.08</v>
      </c>
      <c r="O107" s="99" t="n">
        <v>94</v>
      </c>
      <c r="P107" s="66" t="n">
        <v>0.08</v>
      </c>
      <c r="Q107" s="34" t="n">
        <v>94</v>
      </c>
      <c r="R107" s="67">
        <f>ROUND((J107-Q107)/Q107,2)</f>
        <v/>
      </c>
      <c r="S107" s="34" t="n">
        <v>88</v>
      </c>
      <c r="T107" s="67">
        <f>ROUND((J107-S107)/S107,2)</f>
        <v/>
      </c>
    </row>
    <row r="108" customFormat="1" s="34">
      <c r="B108" s="69" t="inlineStr">
        <is>
          <t>NY2150</t>
        </is>
      </c>
      <c r="C108" s="101" t="n">
        <v>0.15</v>
      </c>
      <c r="D108" s="102" t="inlineStr">
        <is>
          <t>芯厚</t>
        </is>
      </c>
      <c r="E108" s="72" t="inlineStr">
        <is>
          <t>H/1</t>
        </is>
      </c>
      <c r="F108" s="73" t="inlineStr">
        <is>
          <t>HTE</t>
        </is>
      </c>
      <c r="G108" s="73" t="inlineStr">
        <is>
          <t>1*1506</t>
        </is>
      </c>
      <c r="H108" s="73">
        <f>ROUND(J108/13.33,2)</f>
        <v/>
      </c>
      <c r="I108" s="73">
        <f>ROUND(H108*12,0)</f>
        <v/>
      </c>
      <c r="J108" s="99" t="n">
        <v>160</v>
      </c>
      <c r="K108" s="73">
        <f>ROUND(H108*14,0)</f>
        <v/>
      </c>
      <c r="L108" s="42" t="n"/>
      <c r="M108" s="99" t="n">
        <v>153</v>
      </c>
      <c r="N108" s="65" t="n">
        <v>0.05</v>
      </c>
      <c r="O108" s="99" t="n">
        <v>143</v>
      </c>
      <c r="P108" s="66" t="n">
        <v>0.07000000000000001</v>
      </c>
      <c r="R108" s="67" t="n"/>
      <c r="T108" s="67" t="n"/>
    </row>
    <row r="109" customFormat="1" s="34">
      <c r="B109" s="69" t="inlineStr">
        <is>
          <t>NY2150</t>
        </is>
      </c>
      <c r="C109" s="101" t="n">
        <v>0.15</v>
      </c>
      <c r="D109" s="102" t="inlineStr">
        <is>
          <t>芯厚</t>
        </is>
      </c>
      <c r="E109" s="72" t="inlineStr">
        <is>
          <t>1/1</t>
        </is>
      </c>
      <c r="F109" s="73" t="inlineStr">
        <is>
          <t>HTE</t>
        </is>
      </c>
      <c r="G109" s="73" t="inlineStr">
        <is>
          <t>1*1506</t>
        </is>
      </c>
      <c r="H109" s="73">
        <f>ROUND(J109/13.33,2)</f>
        <v/>
      </c>
      <c r="I109" s="73">
        <f>ROUND(H109*12,0)</f>
        <v/>
      </c>
      <c r="J109" s="99" t="n">
        <v>170</v>
      </c>
      <c r="K109" s="73">
        <f>ROUND(H109*14,0)</f>
        <v/>
      </c>
      <c r="L109" s="42" t="n"/>
      <c r="M109" s="99" t="n">
        <v>153</v>
      </c>
      <c r="N109" s="65" t="n">
        <v>0.11</v>
      </c>
      <c r="O109" s="99" t="n">
        <v>143</v>
      </c>
      <c r="P109" s="66" t="n">
        <v>0.07000000000000001</v>
      </c>
      <c r="Q109" s="34" t="n">
        <v>139</v>
      </c>
      <c r="R109" s="67">
        <f>ROUND((J109-Q109)/Q109,2)</f>
        <v/>
      </c>
      <c r="S109" s="34" t="n">
        <v>130</v>
      </c>
      <c r="T109" s="67">
        <f>ROUND((J109-S109)/S109,2)</f>
        <v/>
      </c>
    </row>
    <row r="110" customFormat="1" s="34">
      <c r="B110" s="69" t="inlineStr">
        <is>
          <t>NY2150</t>
        </is>
      </c>
      <c r="C110" s="101" t="n">
        <v>0.15</v>
      </c>
      <c r="D110" s="102" t="inlineStr">
        <is>
          <t>芯厚</t>
        </is>
      </c>
      <c r="E110" s="72" t="inlineStr">
        <is>
          <t>2/2</t>
        </is>
      </c>
      <c r="F110" s="73" t="inlineStr">
        <is>
          <t>HTE</t>
        </is>
      </c>
      <c r="G110" s="73" t="inlineStr">
        <is>
          <t>1*1506</t>
        </is>
      </c>
      <c r="H110" s="73">
        <f>ROUND(J110/13.33,2)</f>
        <v/>
      </c>
      <c r="I110" s="73">
        <f>ROUND(H110*12,0)</f>
        <v/>
      </c>
      <c r="J110" s="99">
        <f>J109+140</f>
        <v/>
      </c>
      <c r="K110" s="73">
        <f>ROUND(H110*14,0)</f>
        <v/>
      </c>
      <c r="L110" s="42" t="n"/>
      <c r="M110" s="99" t="n">
        <v>284</v>
      </c>
      <c r="N110" s="65" t="n">
        <v>0.09</v>
      </c>
      <c r="O110" s="99" t="n">
        <v>268</v>
      </c>
      <c r="P110" s="66" t="n">
        <v>0.06</v>
      </c>
      <c r="Q110" s="34" t="n">
        <v>265</v>
      </c>
      <c r="R110" s="67">
        <f>ROUND((J110-Q110)/Q110,2)</f>
        <v/>
      </c>
      <c r="S110" s="34" t="n">
        <v>248</v>
      </c>
      <c r="T110" s="67">
        <f>ROUND((J110-S110)/S110,2)</f>
        <v/>
      </c>
    </row>
    <row r="111" customFormat="1" s="34">
      <c r="B111" s="69" t="inlineStr">
        <is>
          <t>NY2150</t>
        </is>
      </c>
      <c r="C111" s="101" t="n">
        <v>0.15</v>
      </c>
      <c r="D111" s="102" t="inlineStr">
        <is>
          <t>芯厚</t>
        </is>
      </c>
      <c r="E111" s="72" t="inlineStr">
        <is>
          <t>3/3</t>
        </is>
      </c>
      <c r="F111" s="73" t="inlineStr">
        <is>
          <t>HTE</t>
        </is>
      </c>
      <c r="G111" s="73" t="inlineStr">
        <is>
          <t>1*1506</t>
        </is>
      </c>
      <c r="H111" s="73">
        <f>ROUND(J111/13.33,2)</f>
        <v/>
      </c>
      <c r="I111" s="73">
        <f>ROUND(H111*12,0)</f>
        <v/>
      </c>
      <c r="J111" s="99">
        <f>J110+150</f>
        <v/>
      </c>
      <c r="K111" s="73">
        <f>ROUND(H111*14,0)</f>
        <v/>
      </c>
      <c r="L111" s="42" t="n"/>
      <c r="M111" s="99" t="n">
        <v>418</v>
      </c>
      <c r="N111" s="65" t="n">
        <v>0.1</v>
      </c>
      <c r="O111" s="99" t="n">
        <v>398</v>
      </c>
      <c r="P111" s="66" t="n">
        <v>0.05</v>
      </c>
      <c r="Q111" s="34" t="n">
        <v>399</v>
      </c>
      <c r="R111" s="67">
        <f>ROUND((J111-Q111)/Q111,2)</f>
        <v/>
      </c>
      <c r="S111" s="34" t="n">
        <v>373</v>
      </c>
      <c r="T111" s="67">
        <f>ROUND((J111-S111)/S111,2)</f>
        <v/>
      </c>
    </row>
    <row r="112" customFormat="1" s="34">
      <c r="B112" s="69" t="inlineStr">
        <is>
          <t>NY2150</t>
        </is>
      </c>
      <c r="C112" s="101" t="n">
        <v>0.2</v>
      </c>
      <c r="D112" s="102" t="inlineStr">
        <is>
          <t>芯厚</t>
        </is>
      </c>
      <c r="E112" s="72" t="inlineStr">
        <is>
          <t>H/H</t>
        </is>
      </c>
      <c r="F112" s="73" t="inlineStr">
        <is>
          <t>HTE</t>
        </is>
      </c>
      <c r="G112" s="69" t="inlineStr">
        <is>
          <t>1*7628</t>
        </is>
      </c>
      <c r="H112" s="73">
        <f>ROUND(J112/13.33,2)</f>
        <v/>
      </c>
      <c r="I112" s="73">
        <f>ROUND(H112*12,0)</f>
        <v/>
      </c>
      <c r="J112" s="99">
        <f>J113-60</f>
        <v/>
      </c>
      <c r="K112" s="73">
        <f>ROUND(H112*14,0)</f>
        <v/>
      </c>
      <c r="L112" s="42" t="n"/>
      <c r="M112" s="99" t="n">
        <v>101</v>
      </c>
      <c r="N112" s="65" t="n">
        <v>0.09</v>
      </c>
      <c r="O112" s="99" t="n">
        <v>94</v>
      </c>
      <c r="P112" s="66" t="n">
        <v>0.07000000000000001</v>
      </c>
      <c r="Q112" s="34" t="n">
        <v>91</v>
      </c>
      <c r="R112" s="67">
        <f>ROUND((J112-Q112)/Q112,2)</f>
        <v/>
      </c>
      <c r="S112" s="34" t="n">
        <v>85</v>
      </c>
      <c r="T112" s="67">
        <f>ROUND((J112-S112)/S112,2)</f>
        <v/>
      </c>
    </row>
    <row r="113" customFormat="1" s="34">
      <c r="B113" s="69" t="inlineStr">
        <is>
          <t>NY2150</t>
        </is>
      </c>
      <c r="C113" s="101" t="n">
        <v>0.2</v>
      </c>
      <c r="D113" s="102" t="inlineStr">
        <is>
          <t>芯厚</t>
        </is>
      </c>
      <c r="E113" s="72" t="inlineStr">
        <is>
          <t>1/1</t>
        </is>
      </c>
      <c r="F113" s="73" t="inlineStr">
        <is>
          <t>HTE</t>
        </is>
      </c>
      <c r="G113" s="69" t="inlineStr">
        <is>
          <t>1*7628</t>
        </is>
      </c>
      <c r="H113" s="73">
        <f>ROUND(J113/13.33,2)</f>
        <v/>
      </c>
      <c r="I113" s="73">
        <f>ROUND(H113*12,0)</f>
        <v/>
      </c>
      <c r="J113" s="99" t="n">
        <v>170</v>
      </c>
      <c r="K113" s="73">
        <f>ROUND(H113*14,0)</f>
        <v/>
      </c>
      <c r="L113" s="42" t="n"/>
      <c r="M113" s="99" t="n">
        <v>151</v>
      </c>
      <c r="N113" s="65" t="n">
        <v>0.13</v>
      </c>
      <c r="O113" s="99" t="n">
        <v>140</v>
      </c>
      <c r="P113" s="66" t="n">
        <v>0.08</v>
      </c>
      <c r="Q113" s="34" t="n">
        <v>134</v>
      </c>
      <c r="R113" s="67">
        <f>ROUND((J113-Q113)/Q113,2)</f>
        <v/>
      </c>
      <c r="S113" s="34" t="n">
        <v>125</v>
      </c>
      <c r="T113" s="67">
        <f>ROUND((J113-S113)/S113,2)</f>
        <v/>
      </c>
    </row>
    <row r="114" customFormat="1" s="34">
      <c r="B114" s="69" t="inlineStr">
        <is>
          <t>NY2150</t>
        </is>
      </c>
      <c r="C114" s="101" t="n">
        <v>0.2</v>
      </c>
      <c r="D114" s="102" t="inlineStr">
        <is>
          <t>芯厚</t>
        </is>
      </c>
      <c r="E114" s="72" t="inlineStr">
        <is>
          <t>2/2</t>
        </is>
      </c>
      <c r="F114" s="73" t="inlineStr">
        <is>
          <t>HTE</t>
        </is>
      </c>
      <c r="G114" s="69" t="inlineStr">
        <is>
          <t>1*7628</t>
        </is>
      </c>
      <c r="H114" s="73">
        <f>ROUND(J114/13.33,2)</f>
        <v/>
      </c>
      <c r="I114" s="73">
        <f>ROUND(H114*12,0)</f>
        <v/>
      </c>
      <c r="J114" s="99">
        <f>J113+140</f>
        <v/>
      </c>
      <c r="K114" s="73">
        <f>ROUND(H114*14,0)</f>
        <v/>
      </c>
      <c r="L114" s="42" t="n"/>
      <c r="M114" s="99" t="n">
        <v>284</v>
      </c>
      <c r="N114" s="65" t="n">
        <v>0.09</v>
      </c>
      <c r="O114" s="99" t="n">
        <v>265</v>
      </c>
      <c r="P114" s="66" t="n">
        <v>0.07000000000000001</v>
      </c>
      <c r="Q114" s="34" t="n">
        <v>262</v>
      </c>
      <c r="R114" s="67">
        <f>ROUND((J114-Q114)/Q114,2)</f>
        <v/>
      </c>
      <c r="S114" s="34" t="n">
        <v>245</v>
      </c>
      <c r="T114" s="67">
        <f>ROUND((J114-S114)/S114,2)</f>
        <v/>
      </c>
    </row>
    <row r="115" customFormat="1" s="34">
      <c r="B115" s="69" t="inlineStr">
        <is>
          <t>NY2150</t>
        </is>
      </c>
      <c r="C115" s="101" t="n">
        <v>0.2</v>
      </c>
      <c r="D115" s="102" t="inlineStr">
        <is>
          <t>芯厚</t>
        </is>
      </c>
      <c r="E115" s="72" t="inlineStr">
        <is>
          <t>3/3</t>
        </is>
      </c>
      <c r="F115" s="73" t="inlineStr">
        <is>
          <t>HTE</t>
        </is>
      </c>
      <c r="G115" s="69" t="inlineStr">
        <is>
          <t>1*7628</t>
        </is>
      </c>
      <c r="H115" s="73">
        <f>ROUND(J115/13.33,2)</f>
        <v/>
      </c>
      <c r="I115" s="73">
        <f>ROUND(H115*12,0)</f>
        <v/>
      </c>
      <c r="J115" s="99">
        <f>J114+150</f>
        <v/>
      </c>
      <c r="K115" s="73">
        <f>ROUND(H115*14,0)</f>
        <v/>
      </c>
      <c r="L115" s="42" t="n"/>
      <c r="M115" s="99" t="n">
        <v>419</v>
      </c>
      <c r="N115" s="65" t="n">
        <v>0.1</v>
      </c>
      <c r="O115" s="99" t="n">
        <v>395</v>
      </c>
      <c r="P115" s="66" t="n">
        <v>0.06</v>
      </c>
      <c r="Q115" s="34" t="n">
        <v>396</v>
      </c>
      <c r="R115" s="67">
        <f>ROUND((J115-Q115)/Q115,2)</f>
        <v/>
      </c>
      <c r="S115" s="34" t="n">
        <v>370</v>
      </c>
      <c r="T115" s="67">
        <f>ROUND((J115-S115)/S115,2)</f>
        <v/>
      </c>
    </row>
    <row r="116" customFormat="1" s="34">
      <c r="B116" s="69" t="inlineStr">
        <is>
          <t>NY2150</t>
        </is>
      </c>
      <c r="C116" s="101" t="n">
        <v>0.25</v>
      </c>
      <c r="D116" s="102" t="inlineStr">
        <is>
          <t>芯厚</t>
        </is>
      </c>
      <c r="E116" s="72" t="inlineStr">
        <is>
          <t>H/H</t>
        </is>
      </c>
      <c r="F116" s="73" t="inlineStr">
        <is>
          <t>HTE</t>
        </is>
      </c>
      <c r="G116" s="69" t="inlineStr">
        <is>
          <t>2*2116</t>
        </is>
      </c>
      <c r="H116" s="73">
        <f>ROUND(J116/13.33,2)</f>
        <v/>
      </c>
      <c r="I116" s="73">
        <f>ROUND(H116*12,0)</f>
        <v/>
      </c>
      <c r="J116" s="99">
        <f>J117-60</f>
        <v/>
      </c>
      <c r="K116" s="73">
        <f>ROUND(H116*14,0)</f>
        <v/>
      </c>
      <c r="L116" s="42" t="n"/>
      <c r="M116" s="99" t="n">
        <v>121</v>
      </c>
      <c r="N116" s="65" t="n">
        <v>0.11</v>
      </c>
      <c r="O116" s="99" t="n">
        <v>112</v>
      </c>
      <c r="P116" s="66" t="n">
        <v>0.08</v>
      </c>
      <c r="Q116" s="34" t="n">
        <v>107</v>
      </c>
      <c r="R116" s="67">
        <f>ROUND((J116-Q116)/Q116,2)</f>
        <v/>
      </c>
      <c r="S116" s="34" t="n">
        <v>100</v>
      </c>
      <c r="T116" s="67">
        <f>ROUND((J116-S116)/S116,2)</f>
        <v/>
      </c>
    </row>
    <row r="117" customFormat="1" s="34">
      <c r="B117" s="69" t="inlineStr">
        <is>
          <t>NY2150</t>
        </is>
      </c>
      <c r="C117" s="101" t="n">
        <v>0.25</v>
      </c>
      <c r="D117" s="102" t="inlineStr">
        <is>
          <t>芯厚</t>
        </is>
      </c>
      <c r="E117" s="72" t="inlineStr">
        <is>
          <t>1/1</t>
        </is>
      </c>
      <c r="F117" s="73" t="inlineStr">
        <is>
          <t>HTE</t>
        </is>
      </c>
      <c r="G117" s="69" t="inlineStr">
        <is>
          <t>2*2116</t>
        </is>
      </c>
      <c r="H117" s="73">
        <f>ROUND(J117/13.33,2)</f>
        <v/>
      </c>
      <c r="I117" s="73">
        <f>ROUND(H117*12,0)</f>
        <v/>
      </c>
      <c r="J117" s="99" t="n">
        <v>194</v>
      </c>
      <c r="K117" s="73">
        <f>ROUND(H117*14,0)</f>
        <v/>
      </c>
      <c r="L117" s="42" t="n"/>
      <c r="M117" s="99" t="n">
        <v>172</v>
      </c>
      <c r="N117" s="65" t="n">
        <v>0.13</v>
      </c>
      <c r="O117" s="99" t="n">
        <v>162</v>
      </c>
      <c r="P117" s="66" t="n">
        <v>0.06</v>
      </c>
      <c r="Q117" s="34" t="n">
        <v>157</v>
      </c>
      <c r="R117" s="67">
        <f>ROUND((J117-Q117)/Q117,2)</f>
        <v/>
      </c>
      <c r="S117" s="34" t="n">
        <v>147</v>
      </c>
      <c r="T117" s="67">
        <f>ROUND((J117-S117)/S117,2)</f>
        <v/>
      </c>
    </row>
    <row r="118" customFormat="1" s="34">
      <c r="B118" s="69" t="inlineStr">
        <is>
          <t>NY2150</t>
        </is>
      </c>
      <c r="C118" s="101" t="n">
        <v>0.25</v>
      </c>
      <c r="D118" s="102" t="inlineStr">
        <is>
          <t>芯厚</t>
        </is>
      </c>
      <c r="E118" s="72" t="inlineStr">
        <is>
          <t>2/2</t>
        </is>
      </c>
      <c r="F118" s="73" t="inlineStr">
        <is>
          <t>HTE</t>
        </is>
      </c>
      <c r="G118" s="69" t="inlineStr">
        <is>
          <t>2*2116</t>
        </is>
      </c>
      <c r="H118" s="73">
        <f>ROUND(J118/13.33,2)</f>
        <v/>
      </c>
      <c r="I118" s="73">
        <f>ROUND(H118*12,0)</f>
        <v/>
      </c>
      <c r="J118" s="99">
        <f>J117+140</f>
        <v/>
      </c>
      <c r="K118" s="73">
        <f>ROUND(H118*14,0)</f>
        <v/>
      </c>
      <c r="L118" s="42" t="n"/>
      <c r="M118" s="99" t="n">
        <v>304</v>
      </c>
      <c r="N118" s="65" t="n">
        <v>0.1</v>
      </c>
      <c r="O118" s="99" t="n">
        <v>287</v>
      </c>
      <c r="P118" s="66" t="n">
        <v>0.06</v>
      </c>
      <c r="Q118" s="34" t="n">
        <v>280</v>
      </c>
      <c r="R118" s="67">
        <f>ROUND((J118-Q118)/Q118,2)</f>
        <v/>
      </c>
      <c r="S118" s="34" t="n">
        <v>262</v>
      </c>
      <c r="T118" s="67">
        <f>ROUND((J118-S118)/S118,2)</f>
        <v/>
      </c>
    </row>
    <row r="119" customFormat="1" s="34">
      <c r="B119" s="69" t="inlineStr">
        <is>
          <t>NY2150</t>
        </is>
      </c>
      <c r="C119" s="101" t="n">
        <v>0.25</v>
      </c>
      <c r="D119" s="102" t="inlineStr">
        <is>
          <t>芯厚</t>
        </is>
      </c>
      <c r="E119" s="72" t="inlineStr">
        <is>
          <t>3/3</t>
        </is>
      </c>
      <c r="F119" s="73" t="inlineStr">
        <is>
          <t>HTE</t>
        </is>
      </c>
      <c r="G119" s="69" t="inlineStr">
        <is>
          <t>2*2116</t>
        </is>
      </c>
      <c r="H119" s="73">
        <f>ROUND(J119/13.33,2)</f>
        <v/>
      </c>
      <c r="I119" s="73">
        <f>ROUND(H119*12,0)</f>
        <v/>
      </c>
      <c r="J119" s="99">
        <f>J118+150</f>
        <v/>
      </c>
      <c r="K119" s="73">
        <f>ROUND(H119*14,0)</f>
        <v/>
      </c>
      <c r="L119" s="42" t="n"/>
      <c r="M119" s="99" t="n">
        <v>438</v>
      </c>
      <c r="N119" s="65" t="n">
        <v>0.11</v>
      </c>
      <c r="O119" s="99" t="n">
        <v>417</v>
      </c>
      <c r="P119" s="66" t="n">
        <v>0.05</v>
      </c>
      <c r="Q119" s="34" t="n">
        <v>414</v>
      </c>
      <c r="R119" s="67">
        <f>ROUND((J119-Q119)/Q119,2)</f>
        <v/>
      </c>
      <c r="S119" s="34" t="n">
        <v>387</v>
      </c>
      <c r="T119" s="67">
        <f>ROUND((J119-S119)/S119,2)</f>
        <v/>
      </c>
    </row>
    <row r="120" customFormat="1" s="34">
      <c r="B120" s="69" t="inlineStr">
        <is>
          <t>NY2150</t>
        </is>
      </c>
      <c r="C120" s="101" t="n">
        <v>0.3</v>
      </c>
      <c r="D120" s="102" t="inlineStr">
        <is>
          <t>芯厚</t>
        </is>
      </c>
      <c r="E120" s="72" t="inlineStr">
        <is>
          <t>H/H</t>
        </is>
      </c>
      <c r="F120" s="73" t="inlineStr">
        <is>
          <t>HTE</t>
        </is>
      </c>
      <c r="G120" s="69" t="inlineStr">
        <is>
          <t>2*1506</t>
        </is>
      </c>
      <c r="H120" s="73">
        <f>ROUND(J120/13.33,2)</f>
        <v/>
      </c>
      <c r="I120" s="73">
        <f>ROUND(H120*12,0)</f>
        <v/>
      </c>
      <c r="J120" s="99">
        <f>J121-60</f>
        <v/>
      </c>
      <c r="K120" s="73">
        <f>ROUND(H120*14,0)</f>
        <v/>
      </c>
      <c r="L120" s="42" t="n"/>
      <c r="M120" s="99" t="n">
        <v>123</v>
      </c>
      <c r="N120" s="65" t="n">
        <v>0.1</v>
      </c>
      <c r="O120" s="99" t="n">
        <v>114</v>
      </c>
      <c r="P120" s="66" t="n">
        <v>0.08</v>
      </c>
      <c r="Q120" s="34" t="n">
        <v>109</v>
      </c>
      <c r="R120" s="67">
        <f>ROUND((J120-Q120)/Q120,2)</f>
        <v/>
      </c>
      <c r="S120" s="34" t="n">
        <v>102</v>
      </c>
      <c r="T120" s="67">
        <f>ROUND((J120-S120)/S120,2)</f>
        <v/>
      </c>
    </row>
    <row r="121" customFormat="1" s="34">
      <c r="B121" s="69" t="inlineStr">
        <is>
          <t>NY2150</t>
        </is>
      </c>
      <c r="C121" s="101" t="n">
        <v>0.3</v>
      </c>
      <c r="D121" s="102" t="inlineStr">
        <is>
          <t>芯厚</t>
        </is>
      </c>
      <c r="E121" s="72" t="inlineStr">
        <is>
          <t>1/1</t>
        </is>
      </c>
      <c r="F121" s="73" t="inlineStr">
        <is>
          <t>HTE</t>
        </is>
      </c>
      <c r="G121" s="69" t="inlineStr">
        <is>
          <t>2*1506</t>
        </is>
      </c>
      <c r="H121" s="73">
        <f>ROUND(J121/13.33,2)</f>
        <v/>
      </c>
      <c r="I121" s="73">
        <f>ROUND(H121*12,0)</f>
        <v/>
      </c>
      <c r="J121" s="99" t="n">
        <v>195</v>
      </c>
      <c r="K121" s="73">
        <f>ROUND(H121*14,0)</f>
        <v/>
      </c>
      <c r="L121" s="42" t="n"/>
      <c r="M121" s="99" t="n">
        <v>174</v>
      </c>
      <c r="N121" s="65" t="n">
        <v>0.12</v>
      </c>
      <c r="O121" s="99" t="n">
        <v>164</v>
      </c>
      <c r="P121" s="66" t="n">
        <v>0.06</v>
      </c>
      <c r="Q121" s="34" t="n">
        <v>159</v>
      </c>
      <c r="R121" s="67">
        <f>ROUND((J121-Q121)/Q121,2)</f>
        <v/>
      </c>
      <c r="S121" s="34" t="n">
        <v>149</v>
      </c>
      <c r="T121" s="67">
        <f>ROUND((J121-S121)/S121,2)</f>
        <v/>
      </c>
    </row>
    <row r="122" customFormat="1" s="34">
      <c r="B122" s="69" t="inlineStr">
        <is>
          <t>NY2150</t>
        </is>
      </c>
      <c r="C122" s="101" t="n">
        <v>0.3</v>
      </c>
      <c r="D122" s="102" t="inlineStr">
        <is>
          <t>芯厚</t>
        </is>
      </c>
      <c r="E122" s="72" t="inlineStr">
        <is>
          <t>2/2</t>
        </is>
      </c>
      <c r="F122" s="73" t="inlineStr">
        <is>
          <t>HTE</t>
        </is>
      </c>
      <c r="G122" s="69" t="inlineStr">
        <is>
          <t>2*1506</t>
        </is>
      </c>
      <c r="H122" s="73">
        <f>ROUND(J122/13.33,2)</f>
        <v/>
      </c>
      <c r="I122" s="73">
        <f>ROUND(H122*12,0)</f>
        <v/>
      </c>
      <c r="J122" s="99">
        <f>J121+140</f>
        <v/>
      </c>
      <c r="K122" s="73">
        <f>ROUND(H122*14,0)</f>
        <v/>
      </c>
      <c r="L122" s="42" t="n"/>
      <c r="M122" s="99" t="n">
        <v>306</v>
      </c>
      <c r="N122" s="65" t="n">
        <v>0.09</v>
      </c>
      <c r="O122" s="99" t="n">
        <v>289</v>
      </c>
      <c r="P122" s="66" t="n">
        <v>0.06</v>
      </c>
      <c r="Q122" s="34" t="n">
        <v>282</v>
      </c>
      <c r="R122" s="67">
        <f>ROUND((J122-Q122)/Q122,2)</f>
        <v/>
      </c>
      <c r="S122" s="34" t="n">
        <v>264</v>
      </c>
      <c r="T122" s="67">
        <f>ROUND((J122-S122)/S122,2)</f>
        <v/>
      </c>
    </row>
    <row r="123" customFormat="1" s="34">
      <c r="B123" s="69" t="inlineStr">
        <is>
          <t>NY2150</t>
        </is>
      </c>
      <c r="C123" s="101" t="n">
        <v>0.3</v>
      </c>
      <c r="D123" s="102" t="inlineStr">
        <is>
          <t>芯厚</t>
        </is>
      </c>
      <c r="E123" s="72" t="inlineStr">
        <is>
          <t>3/3</t>
        </is>
      </c>
      <c r="F123" s="73" t="inlineStr">
        <is>
          <t>HTE</t>
        </is>
      </c>
      <c r="G123" s="69" t="inlineStr">
        <is>
          <t>2*1506</t>
        </is>
      </c>
      <c r="H123" s="73">
        <f>ROUND(J123/13.33,2)</f>
        <v/>
      </c>
      <c r="I123" s="73">
        <f>ROUND(H123*12,0)</f>
        <v/>
      </c>
      <c r="J123" s="99">
        <f>J122+150</f>
        <v/>
      </c>
      <c r="K123" s="73">
        <f>ROUND(H123*14,0)</f>
        <v/>
      </c>
      <c r="L123" s="42" t="n"/>
      <c r="M123" s="99" t="n">
        <v>440</v>
      </c>
      <c r="N123" s="65" t="n">
        <v>0.1</v>
      </c>
      <c r="O123" s="99" t="n">
        <v>419</v>
      </c>
      <c r="P123" s="66" t="n">
        <v>0.05</v>
      </c>
      <c r="Q123" s="34" t="n">
        <v>416</v>
      </c>
      <c r="R123" s="67">
        <f>ROUND((J123-Q123)/Q123,2)</f>
        <v/>
      </c>
      <c r="S123" s="34" t="n">
        <v>389</v>
      </c>
      <c r="T123" s="67">
        <f>ROUND((J123-S123)/S123,2)</f>
        <v/>
      </c>
    </row>
    <row r="124" customFormat="1" s="34">
      <c r="B124" s="69" t="inlineStr">
        <is>
          <t>NY2150</t>
        </is>
      </c>
      <c r="C124" s="101" t="n">
        <v>0.36</v>
      </c>
      <c r="D124" s="102" t="inlineStr">
        <is>
          <t>芯厚</t>
        </is>
      </c>
      <c r="E124" s="72" t="inlineStr">
        <is>
          <t>H/H</t>
        </is>
      </c>
      <c r="F124" s="73" t="inlineStr">
        <is>
          <t>HTE</t>
        </is>
      </c>
      <c r="G124" s="69" t="inlineStr">
        <is>
          <t>2*7628</t>
        </is>
      </c>
      <c r="H124" s="73">
        <f>ROUND(J124/13.33,2)</f>
        <v/>
      </c>
      <c r="I124" s="73">
        <f>ROUND(H124*12,0)</f>
        <v/>
      </c>
      <c r="J124" s="99">
        <f>J125-60</f>
        <v/>
      </c>
      <c r="K124" s="73">
        <f>ROUND(H124*14,0)</f>
        <v/>
      </c>
      <c r="L124" s="42" t="n"/>
      <c r="M124" s="99" t="n">
        <v>121</v>
      </c>
      <c r="N124" s="65" t="n">
        <v>0.12</v>
      </c>
      <c r="O124" s="99" t="n">
        <v>112</v>
      </c>
      <c r="P124" s="66" t="n">
        <v>0.08</v>
      </c>
      <c r="Q124" s="34" t="n">
        <v>104</v>
      </c>
      <c r="R124" s="67">
        <f>ROUND((J124-Q124)/Q124,2)</f>
        <v/>
      </c>
      <c r="S124" s="34" t="n">
        <v>97</v>
      </c>
      <c r="T124" s="67">
        <f>ROUND((J124-S124)/S124,2)</f>
        <v/>
      </c>
    </row>
    <row r="125" customFormat="1" s="34">
      <c r="B125" s="69" t="inlineStr">
        <is>
          <t>NY2150</t>
        </is>
      </c>
      <c r="C125" s="101" t="n">
        <v>0.36</v>
      </c>
      <c r="D125" s="102" t="inlineStr">
        <is>
          <t>芯厚</t>
        </is>
      </c>
      <c r="E125" s="72" t="inlineStr">
        <is>
          <t>1/1</t>
        </is>
      </c>
      <c r="F125" s="73" t="inlineStr">
        <is>
          <t>HTE</t>
        </is>
      </c>
      <c r="G125" s="69" t="inlineStr">
        <is>
          <t>2*7628</t>
        </is>
      </c>
      <c r="H125" s="73">
        <f>ROUND(J125/13.33,2)</f>
        <v/>
      </c>
      <c r="I125" s="73">
        <f>ROUND(H125*12,0)</f>
        <v/>
      </c>
      <c r="J125" s="99" t="n">
        <v>195</v>
      </c>
      <c r="K125" s="73">
        <f>ROUND(H125*14,0)</f>
        <v/>
      </c>
      <c r="L125" s="42" t="n"/>
      <c r="M125" s="99" t="n">
        <v>172</v>
      </c>
      <c r="N125" s="65" t="n">
        <v>0.13</v>
      </c>
      <c r="O125" s="99" t="n">
        <v>162</v>
      </c>
      <c r="P125" s="66" t="n">
        <v>0.06</v>
      </c>
      <c r="Q125" s="34" t="n">
        <v>155</v>
      </c>
      <c r="R125" s="67">
        <f>ROUND((J125-Q125)/Q125,2)</f>
        <v/>
      </c>
      <c r="S125" s="34" t="n">
        <v>145</v>
      </c>
      <c r="T125" s="67">
        <f>ROUND((J125-S125)/S125,2)</f>
        <v/>
      </c>
    </row>
    <row r="126" customFormat="1" s="34">
      <c r="B126" s="69" t="inlineStr">
        <is>
          <t>NY2150</t>
        </is>
      </c>
      <c r="C126" s="101" t="n">
        <v>0.36</v>
      </c>
      <c r="D126" s="102" t="inlineStr">
        <is>
          <t>芯厚</t>
        </is>
      </c>
      <c r="E126" s="72" t="inlineStr">
        <is>
          <t>2/2</t>
        </is>
      </c>
      <c r="F126" s="73" t="inlineStr">
        <is>
          <t>HTE</t>
        </is>
      </c>
      <c r="G126" s="69" t="inlineStr">
        <is>
          <t>2*7628</t>
        </is>
      </c>
      <c r="H126" s="73">
        <f>ROUND(J126/13.33,2)</f>
        <v/>
      </c>
      <c r="I126" s="73">
        <f>ROUND(H126*12,0)</f>
        <v/>
      </c>
      <c r="J126" s="99">
        <f>J125+140</f>
        <v/>
      </c>
      <c r="K126" s="73">
        <f>ROUND(H126*14,0)</f>
        <v/>
      </c>
      <c r="L126" s="42" t="n"/>
      <c r="M126" s="99" t="n">
        <v>304</v>
      </c>
      <c r="N126" s="65" t="n">
        <v>0.1</v>
      </c>
      <c r="O126" s="99" t="n">
        <v>287</v>
      </c>
      <c r="P126" s="66" t="n">
        <v>0.06</v>
      </c>
      <c r="Q126" s="34" t="n">
        <v>278</v>
      </c>
      <c r="R126" s="67">
        <f>ROUND((J126-Q126)/Q126,2)</f>
        <v/>
      </c>
      <c r="S126" s="34" t="n">
        <v>260</v>
      </c>
      <c r="T126" s="67">
        <f>ROUND((J126-S126)/S126,2)</f>
        <v/>
      </c>
    </row>
    <row r="127" customFormat="1" s="34">
      <c r="B127" s="69" t="inlineStr">
        <is>
          <t>NY2150</t>
        </is>
      </c>
      <c r="C127" s="101" t="n">
        <v>0.36</v>
      </c>
      <c r="D127" s="102" t="inlineStr">
        <is>
          <t>芯厚</t>
        </is>
      </c>
      <c r="E127" s="72" t="inlineStr">
        <is>
          <t>3/3</t>
        </is>
      </c>
      <c r="F127" s="73" t="inlineStr">
        <is>
          <t>HTE</t>
        </is>
      </c>
      <c r="G127" s="69" t="inlineStr">
        <is>
          <t>2*7628</t>
        </is>
      </c>
      <c r="H127" s="73">
        <f>ROUND(J127/13.33,2)</f>
        <v/>
      </c>
      <c r="I127" s="73">
        <f>ROUND(H127*12,0)</f>
        <v/>
      </c>
      <c r="J127" s="99">
        <f>J126+150</f>
        <v/>
      </c>
      <c r="K127" s="73">
        <f>ROUND(H127*14,0)</f>
        <v/>
      </c>
      <c r="L127" s="42" t="n"/>
      <c r="M127" s="99" t="n">
        <v>438</v>
      </c>
      <c r="N127" s="65" t="n">
        <v>0.11</v>
      </c>
      <c r="O127" s="99" t="n">
        <v>417</v>
      </c>
      <c r="P127" s="66" t="n">
        <v>0.05</v>
      </c>
      <c r="Q127" s="34" t="n">
        <v>412</v>
      </c>
      <c r="R127" s="67">
        <f>ROUND((J127-Q127)/Q127,2)</f>
        <v/>
      </c>
      <c r="S127" s="34" t="n">
        <v>385</v>
      </c>
      <c r="T127" s="67">
        <f>ROUND((J127-S127)/S127,2)</f>
        <v/>
      </c>
    </row>
    <row r="128" customFormat="1" s="34">
      <c r="B128" s="69" t="inlineStr">
        <is>
          <t>NY2150</t>
        </is>
      </c>
      <c r="C128" s="102" t="n">
        <v>0.4</v>
      </c>
      <c r="D128" s="102" t="inlineStr">
        <is>
          <t>芯厚</t>
        </is>
      </c>
      <c r="E128" s="72" t="inlineStr">
        <is>
          <t>H/H</t>
        </is>
      </c>
      <c r="F128" s="73" t="inlineStr">
        <is>
          <t>HTE</t>
        </is>
      </c>
      <c r="G128" s="69" t="inlineStr">
        <is>
          <t>2*7628</t>
        </is>
      </c>
      <c r="H128" s="73">
        <f>ROUND(J128/13.33,2)</f>
        <v/>
      </c>
      <c r="I128" s="73">
        <f>ROUND(H128*12,0)</f>
        <v/>
      </c>
      <c r="J128" s="99">
        <f>J129-60</f>
        <v/>
      </c>
      <c r="K128" s="73">
        <f>ROUND(H128*14,0)</f>
        <v/>
      </c>
      <c r="L128" s="42" t="n"/>
      <c r="M128" s="99" t="n">
        <v>122</v>
      </c>
      <c r="N128" s="65" t="n">
        <v>0.11</v>
      </c>
      <c r="O128" s="99" t="n">
        <v>112</v>
      </c>
      <c r="P128" s="66" t="n">
        <v>0.09</v>
      </c>
      <c r="Q128" s="34" t="n">
        <v>106</v>
      </c>
      <c r="R128" s="67">
        <f>ROUND((J128-Q128)/Q128,2)</f>
        <v/>
      </c>
      <c r="S128" s="34" t="n">
        <v>99</v>
      </c>
      <c r="T128" s="67">
        <f>ROUND((J128-S128)/S128,2)</f>
        <v/>
      </c>
    </row>
    <row r="129" customFormat="1" s="34">
      <c r="B129" s="69" t="inlineStr">
        <is>
          <t>NY2150</t>
        </is>
      </c>
      <c r="C129" s="102" t="n">
        <v>0.4</v>
      </c>
      <c r="D129" s="102" t="inlineStr">
        <is>
          <t>芯厚</t>
        </is>
      </c>
      <c r="E129" s="72" t="inlineStr">
        <is>
          <t>1/1</t>
        </is>
      </c>
      <c r="F129" s="73" t="inlineStr">
        <is>
          <t>HTE</t>
        </is>
      </c>
      <c r="G129" s="69" t="inlineStr">
        <is>
          <t>2*7628</t>
        </is>
      </c>
      <c r="H129" s="73">
        <f>ROUND(J129/13.33,2)</f>
        <v/>
      </c>
      <c r="I129" s="73">
        <f>ROUND(H129*12,0)</f>
        <v/>
      </c>
      <c r="J129" s="99" t="n">
        <v>195</v>
      </c>
      <c r="K129" s="73">
        <f>ROUND(H129*14,0)</f>
        <v/>
      </c>
      <c r="L129" s="42" t="n"/>
      <c r="M129" s="99" t="n">
        <v>173</v>
      </c>
      <c r="N129" s="65" t="n">
        <v>0.13</v>
      </c>
      <c r="O129" s="99" t="n">
        <v>162</v>
      </c>
      <c r="P129" s="66" t="n">
        <v>0.07000000000000001</v>
      </c>
      <c r="Q129" s="34" t="n">
        <v>156</v>
      </c>
      <c r="R129" s="67">
        <f>ROUND((J129-Q129)/Q129,2)</f>
        <v/>
      </c>
      <c r="S129" s="34" t="n">
        <v>146</v>
      </c>
      <c r="T129" s="67">
        <f>ROUND((J129-S129)/S129,2)</f>
        <v/>
      </c>
    </row>
    <row r="130" customFormat="1" s="34">
      <c r="B130" s="69" t="inlineStr">
        <is>
          <t>NY2150</t>
        </is>
      </c>
      <c r="C130" s="102" t="n">
        <v>0.4</v>
      </c>
      <c r="D130" s="102" t="inlineStr">
        <is>
          <t>芯厚</t>
        </is>
      </c>
      <c r="E130" s="72" t="inlineStr">
        <is>
          <t>2/2</t>
        </is>
      </c>
      <c r="F130" s="73" t="inlineStr">
        <is>
          <t>HTE</t>
        </is>
      </c>
      <c r="G130" s="69" t="inlineStr">
        <is>
          <t>2*7628</t>
        </is>
      </c>
      <c r="H130" s="73">
        <f>ROUND(J130/13.33,2)</f>
        <v/>
      </c>
      <c r="I130" s="73">
        <f>ROUND(H130*12,0)</f>
        <v/>
      </c>
      <c r="J130" s="99">
        <f>J129+140</f>
        <v/>
      </c>
      <c r="K130" s="73">
        <f>ROUND(H130*14,0)</f>
        <v/>
      </c>
      <c r="L130" s="42" t="n"/>
      <c r="M130" s="99" t="n">
        <v>307</v>
      </c>
      <c r="N130" s="65" t="n">
        <v>0.09</v>
      </c>
      <c r="O130" s="99" t="n">
        <v>287</v>
      </c>
      <c r="P130" s="66" t="n">
        <v>0.07000000000000001</v>
      </c>
      <c r="Q130" s="34" t="n">
        <v>279</v>
      </c>
      <c r="R130" s="67">
        <f>ROUND((J130-Q130)/Q130,2)</f>
        <v/>
      </c>
      <c r="S130" s="34" t="n">
        <v>261</v>
      </c>
      <c r="T130" s="67">
        <f>ROUND((J130-S130)/S130,2)</f>
        <v/>
      </c>
    </row>
    <row r="131" customFormat="1" s="34">
      <c r="B131" s="69" t="inlineStr">
        <is>
          <t>NY2150</t>
        </is>
      </c>
      <c r="C131" s="102" t="n">
        <v>0.4</v>
      </c>
      <c r="D131" s="102" t="inlineStr">
        <is>
          <t>芯厚</t>
        </is>
      </c>
      <c r="E131" s="72" t="inlineStr">
        <is>
          <t>3/3</t>
        </is>
      </c>
      <c r="F131" s="73" t="inlineStr">
        <is>
          <t>HTE</t>
        </is>
      </c>
      <c r="G131" s="69" t="inlineStr">
        <is>
          <t>2*7628</t>
        </is>
      </c>
      <c r="H131" s="73">
        <f>ROUND(J131/13.33,2)</f>
        <v/>
      </c>
      <c r="I131" s="73">
        <f>ROUND(H131*12,0)</f>
        <v/>
      </c>
      <c r="J131" s="99">
        <f>J130+150</f>
        <v/>
      </c>
      <c r="K131" s="73">
        <f>ROUND(H131*14,0)</f>
        <v/>
      </c>
      <c r="L131" s="42" t="n"/>
      <c r="M131" s="99" t="n">
        <v>438</v>
      </c>
      <c r="N131" s="65" t="n">
        <v>0.11</v>
      </c>
      <c r="O131" s="99" t="n">
        <v>417</v>
      </c>
      <c r="P131" s="66" t="n">
        <v>0.05</v>
      </c>
      <c r="Q131" s="34" t="n">
        <v>413</v>
      </c>
      <c r="R131" s="67">
        <f>ROUND((J131-Q131)/Q131,2)</f>
        <v/>
      </c>
      <c r="S131" s="34" t="n">
        <v>386</v>
      </c>
      <c r="T131" s="67">
        <f>ROUND((J131-S131)/S131,2)</f>
        <v/>
      </c>
    </row>
    <row r="132" customFormat="1" s="34">
      <c r="B132" s="69" t="inlineStr">
        <is>
          <t>NY2150</t>
        </is>
      </c>
      <c r="C132" s="101" t="n">
        <v>0.45</v>
      </c>
      <c r="D132" s="102" t="inlineStr">
        <is>
          <t>芯厚</t>
        </is>
      </c>
      <c r="E132" s="72" t="inlineStr">
        <is>
          <t>H/H</t>
        </is>
      </c>
      <c r="F132" s="73" t="inlineStr">
        <is>
          <t>HTE</t>
        </is>
      </c>
      <c r="G132" s="69" t="inlineStr">
        <is>
          <t>2*7628+1*1080</t>
        </is>
      </c>
      <c r="H132" s="73">
        <f>ROUND(J132/13.33,2)</f>
        <v/>
      </c>
      <c r="I132" s="73">
        <f>ROUND(H132*12,0)</f>
        <v/>
      </c>
      <c r="J132" s="99">
        <f>J133-60</f>
        <v/>
      </c>
      <c r="K132" s="73">
        <f>ROUND(H132*14,0)</f>
        <v/>
      </c>
      <c r="L132" s="42" t="n"/>
      <c r="M132" s="99" t="n">
        <v>136</v>
      </c>
      <c r="N132" s="65" t="n">
        <v>0.15</v>
      </c>
      <c r="O132" s="99" t="n">
        <v>126</v>
      </c>
      <c r="P132" s="66" t="n">
        <v>0.08</v>
      </c>
      <c r="Q132" s="34" t="n">
        <v>114</v>
      </c>
      <c r="R132" s="67">
        <f>ROUND((J132-Q132)/Q132,2)</f>
        <v/>
      </c>
      <c r="S132" s="34" t="n">
        <v>107</v>
      </c>
      <c r="T132" s="67">
        <f>ROUND((J132-S132)/S132,2)</f>
        <v/>
      </c>
    </row>
    <row r="133" customFormat="1" s="34">
      <c r="B133" s="69" t="inlineStr">
        <is>
          <t>NY2150</t>
        </is>
      </c>
      <c r="C133" s="101" t="n">
        <v>0.45</v>
      </c>
      <c r="D133" s="102" t="inlineStr">
        <is>
          <t>芯厚</t>
        </is>
      </c>
      <c r="E133" s="72" t="inlineStr">
        <is>
          <t>1/1</t>
        </is>
      </c>
      <c r="F133" s="73" t="inlineStr">
        <is>
          <t>HTE</t>
        </is>
      </c>
      <c r="G133" s="69" t="inlineStr">
        <is>
          <t>2*7628+1*1080</t>
        </is>
      </c>
      <c r="H133" s="73">
        <f>ROUND(J133/13.33,2)</f>
        <v/>
      </c>
      <c r="I133" s="73">
        <f>ROUND(H133*12,0)</f>
        <v/>
      </c>
      <c r="J133" s="99" t="n">
        <v>216</v>
      </c>
      <c r="K133" s="73">
        <f>ROUND(H133*14,0)</f>
        <v/>
      </c>
      <c r="L133" s="42" t="n"/>
      <c r="M133" s="99" t="n">
        <v>188</v>
      </c>
      <c r="N133" s="65" t="n">
        <v>0.15</v>
      </c>
      <c r="O133" s="99" t="n">
        <v>176</v>
      </c>
      <c r="P133" s="66" t="n">
        <v>0.07000000000000001</v>
      </c>
      <c r="Q133" s="34" t="n">
        <v>166</v>
      </c>
      <c r="R133" s="67">
        <f>ROUND((J133-Q133)/Q133,2)</f>
        <v/>
      </c>
      <c r="S133" s="34" t="n">
        <v>155</v>
      </c>
      <c r="T133" s="67">
        <f>ROUND((J133-S133)/S133,2)</f>
        <v/>
      </c>
    </row>
    <row r="134" customFormat="1" s="34">
      <c r="B134" s="69" t="inlineStr">
        <is>
          <t>NY2150</t>
        </is>
      </c>
      <c r="C134" s="101" t="n">
        <v>0.45</v>
      </c>
      <c r="D134" s="102" t="inlineStr">
        <is>
          <t>芯厚</t>
        </is>
      </c>
      <c r="E134" s="72" t="inlineStr">
        <is>
          <t>2/2</t>
        </is>
      </c>
      <c r="F134" s="73" t="inlineStr">
        <is>
          <t>HTE</t>
        </is>
      </c>
      <c r="G134" s="69" t="inlineStr">
        <is>
          <t>2*7628+1*1080</t>
        </is>
      </c>
      <c r="H134" s="73">
        <f>ROUND(J134/13.33,2)</f>
        <v/>
      </c>
      <c r="I134" s="73">
        <f>ROUND(H134*12,0)</f>
        <v/>
      </c>
      <c r="J134" s="99">
        <f>J133+140</f>
        <v/>
      </c>
      <c r="K134" s="73">
        <f>ROUND(H134*14,0)</f>
        <v/>
      </c>
      <c r="L134" s="42" t="n"/>
      <c r="M134" s="99" t="n">
        <v>319</v>
      </c>
      <c r="N134" s="65" t="n">
        <v>0.12</v>
      </c>
      <c r="O134" s="99" t="n">
        <v>301</v>
      </c>
      <c r="P134" s="66" t="n">
        <v>0.06</v>
      </c>
      <c r="Q134" s="34" t="n">
        <v>289</v>
      </c>
      <c r="R134" s="67">
        <f>ROUND((J134-Q134)/Q134,2)</f>
        <v/>
      </c>
      <c r="S134" s="34" t="n">
        <v>270</v>
      </c>
      <c r="T134" s="67">
        <f>ROUND((J134-S134)/S134,2)</f>
        <v/>
      </c>
    </row>
    <row r="135" customFormat="1" s="34">
      <c r="B135" s="69" t="inlineStr">
        <is>
          <t>NY2150</t>
        </is>
      </c>
      <c r="C135" s="101" t="n">
        <v>0.45</v>
      </c>
      <c r="D135" s="102" t="inlineStr">
        <is>
          <t>芯厚</t>
        </is>
      </c>
      <c r="E135" s="72" t="inlineStr">
        <is>
          <t>3/3</t>
        </is>
      </c>
      <c r="F135" s="73" t="inlineStr">
        <is>
          <t>HTE</t>
        </is>
      </c>
      <c r="G135" s="69" t="inlineStr">
        <is>
          <t>2*7628+1*1080</t>
        </is>
      </c>
      <c r="H135" s="73">
        <f>ROUND(J135/13.33,2)</f>
        <v/>
      </c>
      <c r="I135" s="73">
        <f>ROUND(H135*12,0)</f>
        <v/>
      </c>
      <c r="J135" s="99">
        <f>J134+150</f>
        <v/>
      </c>
      <c r="K135" s="73">
        <f>ROUND(H135*14,0)</f>
        <v/>
      </c>
      <c r="L135" s="42" t="n"/>
      <c r="M135" s="99" t="n">
        <v>453</v>
      </c>
      <c r="N135" s="65" t="n">
        <v>0.12</v>
      </c>
      <c r="O135" s="99" t="n">
        <v>431</v>
      </c>
      <c r="P135" s="66" t="n">
        <v>0.05</v>
      </c>
      <c r="Q135" s="34" t="n">
        <v>419</v>
      </c>
      <c r="R135" s="67">
        <f>ROUND((J135-Q135)/Q135,2)</f>
        <v/>
      </c>
      <c r="S135" s="34" t="n">
        <v>392</v>
      </c>
      <c r="T135" s="67">
        <f>ROUND((J135-S135)/S135,2)</f>
        <v/>
      </c>
    </row>
    <row r="136" customFormat="1" s="34">
      <c r="B136" s="69" t="inlineStr">
        <is>
          <t>NY2150</t>
        </is>
      </c>
      <c r="C136" s="101" t="n">
        <v>0.5</v>
      </c>
      <c r="D136" s="102" t="inlineStr">
        <is>
          <t>芯厚</t>
        </is>
      </c>
      <c r="E136" s="72" t="inlineStr">
        <is>
          <t>H/H</t>
        </is>
      </c>
      <c r="F136" s="73" t="inlineStr">
        <is>
          <t>HTE</t>
        </is>
      </c>
      <c r="G136" s="69" t="inlineStr">
        <is>
          <t>2*7628+1*2116</t>
        </is>
      </c>
      <c r="H136" s="73">
        <f>ROUND(J136/13.33,2)</f>
        <v/>
      </c>
      <c r="I136" s="73">
        <f>ROUND(H136*12,0)</f>
        <v/>
      </c>
      <c r="J136" s="99">
        <f>J137-60</f>
        <v/>
      </c>
      <c r="K136" s="73">
        <f>ROUND(H136*14,0)</f>
        <v/>
      </c>
      <c r="L136" s="42" t="n"/>
      <c r="M136" s="99" t="n">
        <v>136</v>
      </c>
      <c r="N136" s="65" t="n">
        <v>0.15</v>
      </c>
      <c r="O136" s="99" t="n">
        <v>126</v>
      </c>
      <c r="P136" s="66" t="n">
        <v>0.08</v>
      </c>
      <c r="Q136" s="34" t="n">
        <v>117</v>
      </c>
      <c r="R136" s="67">
        <f>ROUND((J136-Q136)/Q136,2)</f>
        <v/>
      </c>
      <c r="S136" s="34" t="n">
        <v>109</v>
      </c>
      <c r="T136" s="67">
        <f>ROUND((J136-S136)/S136,2)</f>
        <v/>
      </c>
    </row>
    <row r="137" customFormat="1" s="34">
      <c r="B137" s="69" t="inlineStr">
        <is>
          <t>NY2150</t>
        </is>
      </c>
      <c r="C137" s="101" t="n">
        <v>0.5</v>
      </c>
      <c r="D137" s="102" t="inlineStr">
        <is>
          <t>芯厚</t>
        </is>
      </c>
      <c r="E137" s="72" t="inlineStr">
        <is>
          <t>1/0</t>
        </is>
      </c>
      <c r="F137" s="73" t="inlineStr">
        <is>
          <t>HTE</t>
        </is>
      </c>
      <c r="G137" s="69" t="inlineStr">
        <is>
          <t>2*7628+1*2116</t>
        </is>
      </c>
      <c r="H137" s="73">
        <f>ROUND(J137/13.33,2)</f>
        <v/>
      </c>
      <c r="I137" s="73">
        <f>ROUND(H137*12,0)</f>
        <v/>
      </c>
      <c r="J137" s="99" t="n">
        <v>217</v>
      </c>
      <c r="K137" s="73">
        <f>ROUND(H137*14,0)</f>
        <v/>
      </c>
      <c r="L137" s="42" t="n"/>
      <c r="M137" s="99" t="n">
        <v>147</v>
      </c>
      <c r="N137" s="65" t="n">
        <v>0.48</v>
      </c>
      <c r="O137" s="99" t="n">
        <v>136</v>
      </c>
      <c r="P137" s="66" t="n">
        <v>0.08</v>
      </c>
      <c r="R137" s="67" t="n"/>
      <c r="T137" s="67" t="n"/>
    </row>
    <row r="138" customFormat="1" s="34">
      <c r="B138" s="69" t="inlineStr">
        <is>
          <t>NY2150</t>
        </is>
      </c>
      <c r="C138" s="101" t="n">
        <v>0.5</v>
      </c>
      <c r="D138" s="102" t="inlineStr">
        <is>
          <t>芯厚</t>
        </is>
      </c>
      <c r="E138" s="72" t="inlineStr">
        <is>
          <t>1/1</t>
        </is>
      </c>
      <c r="F138" s="73" t="inlineStr">
        <is>
          <t>HTE</t>
        </is>
      </c>
      <c r="G138" s="69" t="inlineStr">
        <is>
          <t>2*7628+1*2116</t>
        </is>
      </c>
      <c r="H138" s="73">
        <f>ROUND(J138/13.33,2)</f>
        <v/>
      </c>
      <c r="I138" s="73">
        <f>ROUND(H138*12,0)</f>
        <v/>
      </c>
      <c r="J138" s="99" t="n">
        <v>217</v>
      </c>
      <c r="K138" s="73">
        <f>ROUND(H138*14,0)</f>
        <v/>
      </c>
      <c r="L138" s="42" t="n"/>
      <c r="M138" s="99" t="n">
        <v>188</v>
      </c>
      <c r="N138" s="65" t="n">
        <v>0.15</v>
      </c>
      <c r="O138" s="99" t="n">
        <v>176</v>
      </c>
      <c r="P138" s="66" t="n">
        <v>0.07000000000000001</v>
      </c>
      <c r="Q138" s="34" t="n">
        <v>167</v>
      </c>
      <c r="R138" s="67">
        <f>ROUND((J138-Q138)/Q138,2)</f>
        <v/>
      </c>
      <c r="S138" s="34" t="n">
        <v>156</v>
      </c>
      <c r="T138" s="67">
        <f>ROUND((J138-S138)/S138,2)</f>
        <v/>
      </c>
    </row>
    <row r="139" customFormat="1" s="34">
      <c r="B139" s="69" t="inlineStr">
        <is>
          <t>NY2150</t>
        </is>
      </c>
      <c r="C139" s="101" t="n">
        <v>0.5</v>
      </c>
      <c r="D139" s="102" t="inlineStr">
        <is>
          <t>芯厚</t>
        </is>
      </c>
      <c r="E139" s="72" t="inlineStr">
        <is>
          <t>2/2</t>
        </is>
      </c>
      <c r="F139" s="73" t="inlineStr">
        <is>
          <t>HTE</t>
        </is>
      </c>
      <c r="G139" s="69" t="inlineStr">
        <is>
          <t>2*7628+1*2116</t>
        </is>
      </c>
      <c r="H139" s="73">
        <f>ROUND(J139/13.33,2)</f>
        <v/>
      </c>
      <c r="I139" s="73">
        <f>ROUND(H139*12,0)</f>
        <v/>
      </c>
      <c r="J139" s="99">
        <f>J138+140</f>
        <v/>
      </c>
      <c r="K139" s="73">
        <f>ROUND(H139*14,0)</f>
        <v/>
      </c>
      <c r="L139" s="42" t="n"/>
      <c r="M139" s="99" t="n">
        <v>319</v>
      </c>
      <c r="N139" s="65" t="n">
        <v>0.12</v>
      </c>
      <c r="O139" s="99" t="n">
        <v>301</v>
      </c>
      <c r="P139" s="66" t="n">
        <v>0.06</v>
      </c>
      <c r="Q139" s="34" t="n">
        <v>290</v>
      </c>
      <c r="R139" s="67">
        <f>ROUND((J139-Q139)/Q139,2)</f>
        <v/>
      </c>
      <c r="S139" s="34" t="n">
        <v>271</v>
      </c>
      <c r="T139" s="67">
        <f>ROUND((J139-S139)/S139,2)</f>
        <v/>
      </c>
    </row>
    <row r="140" customFormat="1" s="34">
      <c r="B140" s="69" t="inlineStr">
        <is>
          <t>NY2150</t>
        </is>
      </c>
      <c r="C140" s="101" t="n">
        <v>0.5</v>
      </c>
      <c r="D140" s="102" t="inlineStr">
        <is>
          <t>芯厚</t>
        </is>
      </c>
      <c r="E140" s="72" t="inlineStr">
        <is>
          <t>3/3</t>
        </is>
      </c>
      <c r="F140" s="73" t="inlineStr">
        <is>
          <t>HTE</t>
        </is>
      </c>
      <c r="G140" s="69" t="inlineStr">
        <is>
          <t>2*7628+1*2116</t>
        </is>
      </c>
      <c r="H140" s="73">
        <f>ROUND(J140/13.33,2)</f>
        <v/>
      </c>
      <c r="I140" s="73">
        <f>ROUND(H140*12,0)</f>
        <v/>
      </c>
      <c r="J140" s="99">
        <f>J139+150</f>
        <v/>
      </c>
      <c r="K140" s="73">
        <f>ROUND(H140*14,0)</f>
        <v/>
      </c>
      <c r="L140" s="42" t="n"/>
      <c r="M140" s="99" t="n">
        <v>453</v>
      </c>
      <c r="N140" s="65" t="n">
        <v>0.12</v>
      </c>
      <c r="O140" s="99" t="n">
        <v>431</v>
      </c>
      <c r="P140" s="66" t="n">
        <v>0.05</v>
      </c>
      <c r="Q140" s="34" t="n">
        <v>424</v>
      </c>
      <c r="R140" s="67">
        <f>ROUND((J140-Q140)/Q140,2)</f>
        <v/>
      </c>
      <c r="S140" s="34" t="n">
        <v>396</v>
      </c>
      <c r="T140" s="67">
        <f>ROUND((J140-S140)/S140,2)</f>
        <v/>
      </c>
    </row>
    <row r="141" customFormat="1" s="34">
      <c r="B141" s="69" t="inlineStr">
        <is>
          <t>NY2150</t>
        </is>
      </c>
      <c r="C141" s="101" t="n">
        <v>0.6</v>
      </c>
      <c r="D141" s="102" t="inlineStr">
        <is>
          <t>芯厚</t>
        </is>
      </c>
      <c r="E141" s="72" t="inlineStr">
        <is>
          <t>H/H</t>
        </is>
      </c>
      <c r="F141" s="73" t="inlineStr">
        <is>
          <t>HTE</t>
        </is>
      </c>
      <c r="G141" s="69" t="inlineStr">
        <is>
          <t>3*7628</t>
        </is>
      </c>
      <c r="H141" s="73">
        <f>ROUND(J141/13.33,2)</f>
        <v/>
      </c>
      <c r="I141" s="73">
        <f>ROUND(H141*12,0)</f>
        <v/>
      </c>
      <c r="J141" s="99">
        <f>J142-60</f>
        <v/>
      </c>
      <c r="K141" s="73">
        <f>ROUND(H141*14,0)</f>
        <v/>
      </c>
      <c r="L141" s="42" t="n"/>
      <c r="M141" s="99" t="n">
        <v>137</v>
      </c>
      <c r="N141" s="65" t="n">
        <v>0.15</v>
      </c>
      <c r="O141" s="99" t="n">
        <v>128</v>
      </c>
      <c r="P141" s="66" t="n">
        <v>0.07000000000000001</v>
      </c>
      <c r="Q141" s="34" t="n">
        <v>118</v>
      </c>
      <c r="R141" s="67">
        <f>ROUND((J141-Q141)/Q141,2)</f>
        <v/>
      </c>
      <c r="S141" s="34" t="n">
        <v>110</v>
      </c>
      <c r="T141" s="67">
        <f>ROUND((J141-S141)/S141,2)</f>
        <v/>
      </c>
    </row>
    <row r="142" customFormat="1" s="34">
      <c r="B142" s="69" t="inlineStr">
        <is>
          <t>NY2150</t>
        </is>
      </c>
      <c r="C142" s="101" t="n">
        <v>0.6</v>
      </c>
      <c r="D142" s="102" t="inlineStr">
        <is>
          <t>芯厚</t>
        </is>
      </c>
      <c r="E142" s="72" t="inlineStr">
        <is>
          <t>1/1</t>
        </is>
      </c>
      <c r="F142" s="73" t="inlineStr">
        <is>
          <t>HTE</t>
        </is>
      </c>
      <c r="G142" s="69" t="inlineStr">
        <is>
          <t>3*7628</t>
        </is>
      </c>
      <c r="H142" s="73">
        <f>ROUND(J142/13.33,2)</f>
        <v/>
      </c>
      <c r="I142" s="73">
        <f>ROUND(H142*12,0)</f>
        <v/>
      </c>
      <c r="J142" s="99" t="n">
        <v>218</v>
      </c>
      <c r="K142" s="73">
        <f>ROUND(H142*14,0)</f>
        <v/>
      </c>
      <c r="L142" s="42" t="n"/>
      <c r="M142" s="99" t="n">
        <v>189</v>
      </c>
      <c r="N142" s="65" t="n">
        <v>0.15</v>
      </c>
      <c r="O142" s="99" t="n">
        <v>178</v>
      </c>
      <c r="P142" s="66" t="n">
        <v>0.06</v>
      </c>
      <c r="Q142" s="34" t="n">
        <v>168</v>
      </c>
      <c r="R142" s="67">
        <f>ROUND((J142-Q142)/Q142,2)</f>
        <v/>
      </c>
      <c r="S142" s="34" t="n">
        <v>157</v>
      </c>
      <c r="T142" s="67">
        <f>ROUND((J142-S142)/S142,2)</f>
        <v/>
      </c>
    </row>
    <row r="143" customFormat="1" s="34">
      <c r="B143" s="69" t="inlineStr">
        <is>
          <t>NY2150</t>
        </is>
      </c>
      <c r="C143" s="101" t="n">
        <v>0.6</v>
      </c>
      <c r="D143" s="102" t="inlineStr">
        <is>
          <t>芯厚</t>
        </is>
      </c>
      <c r="E143" s="72" t="inlineStr">
        <is>
          <t>2/2</t>
        </is>
      </c>
      <c r="F143" s="73" t="inlineStr">
        <is>
          <t>HTE</t>
        </is>
      </c>
      <c r="G143" s="69" t="inlineStr">
        <is>
          <t>2*7628+1*2116</t>
        </is>
      </c>
      <c r="H143" s="73">
        <f>ROUND(J143/13.33,2)</f>
        <v/>
      </c>
      <c r="I143" s="73">
        <f>ROUND(H143*12,0)</f>
        <v/>
      </c>
      <c r="J143" s="99">
        <f>J142+140</f>
        <v/>
      </c>
      <c r="K143" s="73">
        <f>ROUND(H143*14,0)</f>
        <v/>
      </c>
      <c r="L143" s="42" t="n"/>
      <c r="M143" s="99" t="n">
        <v>321</v>
      </c>
      <c r="N143" s="65" t="n">
        <v>0.12</v>
      </c>
      <c r="O143" s="99" t="n">
        <v>303</v>
      </c>
      <c r="P143" s="66" t="n">
        <v>0.06</v>
      </c>
      <c r="Q143" s="34" t="n">
        <v>291</v>
      </c>
      <c r="R143" s="67">
        <f>ROUND((J143-Q143)/Q143,2)</f>
        <v/>
      </c>
      <c r="S143" s="34" t="n">
        <v>272</v>
      </c>
      <c r="T143" s="67">
        <f>ROUND((J143-S143)/S143,2)</f>
        <v/>
      </c>
    </row>
    <row r="144" customFormat="1" s="34">
      <c r="B144" s="69" t="inlineStr">
        <is>
          <t>NY2150</t>
        </is>
      </c>
      <c r="C144" s="101" t="n">
        <v>0.7</v>
      </c>
      <c r="D144" s="102" t="inlineStr">
        <is>
          <t>总厚</t>
        </is>
      </c>
      <c r="E144" s="72" t="inlineStr">
        <is>
          <t>J/J</t>
        </is>
      </c>
      <c r="F144" s="73" t="inlineStr">
        <is>
          <t>HTE</t>
        </is>
      </c>
      <c r="G144" s="69" t="inlineStr">
        <is>
          <t>2*1506+2*7628</t>
        </is>
      </c>
      <c r="H144" s="73">
        <f>ROUND(J144/13.33,2)</f>
        <v/>
      </c>
      <c r="I144" s="73">
        <f>ROUND(H144*12,0)</f>
        <v/>
      </c>
      <c r="J144" s="99">
        <f>ROUND(O144*(1+P144),0)</f>
        <v/>
      </c>
      <c r="K144" s="73">
        <f>ROUND(H144*14,0)</f>
        <v/>
      </c>
      <c r="L144" s="42" t="n"/>
      <c r="M144" s="99" t="n">
        <v>152</v>
      </c>
      <c r="N144" s="65" t="n">
        <v>0</v>
      </c>
      <c r="O144" s="99" t="n">
        <v>145</v>
      </c>
      <c r="P144" s="66" t="n">
        <v>0.05</v>
      </c>
      <c r="Q144" s="34" t="n">
        <v>128</v>
      </c>
      <c r="R144" s="67">
        <f>ROUND((J144-Q144)/Q144,2)</f>
        <v/>
      </c>
      <c r="S144" s="34" t="n">
        <v>120</v>
      </c>
      <c r="T144" s="67">
        <f>ROUND((J144-S144)/S144,2)</f>
        <v/>
      </c>
    </row>
    <row r="145" customFormat="1" s="34">
      <c r="B145" s="69" t="inlineStr">
        <is>
          <t>NY2150</t>
        </is>
      </c>
      <c r="C145" s="101" t="n">
        <v>0.7</v>
      </c>
      <c r="D145" s="102" t="inlineStr">
        <is>
          <t>芯厚</t>
        </is>
      </c>
      <c r="E145" s="72" t="inlineStr">
        <is>
          <t>H/H</t>
        </is>
      </c>
      <c r="F145" s="73" t="inlineStr">
        <is>
          <t>HTE</t>
        </is>
      </c>
      <c r="G145" s="69" t="inlineStr">
        <is>
          <t>4*7628</t>
        </is>
      </c>
      <c r="H145" s="73">
        <f>ROUND(J145/13.33,2)</f>
        <v/>
      </c>
      <c r="I145" s="73">
        <f>ROUND(H145*12,0)</f>
        <v/>
      </c>
      <c r="J145" s="99" t="n">
        <v>175</v>
      </c>
      <c r="K145" s="73">
        <f>ROUND(H145*14,0)</f>
        <v/>
      </c>
      <c r="L145" s="42" t="n"/>
      <c r="M145" s="99" t="n">
        <v>155</v>
      </c>
      <c r="N145" s="65" t="n">
        <v>0.13</v>
      </c>
      <c r="O145" s="99" t="n">
        <v>142</v>
      </c>
      <c r="P145" s="66" t="n">
        <v>0.09</v>
      </c>
      <c r="Q145" s="34" t="n">
        <v>128</v>
      </c>
      <c r="R145" s="67">
        <f>ROUND((J145-Q145)/Q145,2)</f>
        <v/>
      </c>
      <c r="S145" s="34" t="n">
        <v>120</v>
      </c>
      <c r="T145" s="67">
        <f>ROUND((J145-S145)/S145,2)</f>
        <v/>
      </c>
    </row>
    <row r="146" customFormat="1" s="34">
      <c r="B146" s="69" t="inlineStr">
        <is>
          <t>NY2150</t>
        </is>
      </c>
      <c r="C146" s="101" t="n">
        <v>0.7</v>
      </c>
      <c r="D146" s="102" t="inlineStr">
        <is>
          <t>芯厚</t>
        </is>
      </c>
      <c r="E146" s="72" t="inlineStr">
        <is>
          <t>1/1</t>
        </is>
      </c>
      <c r="F146" s="73" t="inlineStr">
        <is>
          <t>HTE</t>
        </is>
      </c>
      <c r="G146" s="69" t="inlineStr">
        <is>
          <t>4*7628</t>
        </is>
      </c>
      <c r="H146" s="73">
        <f>ROUND(J146/13.33,2)</f>
        <v/>
      </c>
      <c r="I146" s="73">
        <f>ROUND(H146*12,0)</f>
        <v/>
      </c>
      <c r="J146" s="99" t="n">
        <v>237</v>
      </c>
      <c r="K146" s="73">
        <f>ROUND(H146*14,0)</f>
        <v/>
      </c>
      <c r="L146" s="42" t="n"/>
      <c r="M146" s="99" t="n">
        <v>205</v>
      </c>
      <c r="N146" s="65" t="n">
        <v>0.16</v>
      </c>
      <c r="O146" s="99" t="n">
        <v>192</v>
      </c>
      <c r="P146" s="66" t="n">
        <v>0.07000000000000001</v>
      </c>
      <c r="Q146" s="34" t="n">
        <v>179</v>
      </c>
      <c r="R146" s="67">
        <f>ROUND((J146-Q146)/Q146,2)</f>
        <v/>
      </c>
      <c r="S146" s="34" t="n">
        <v>167</v>
      </c>
      <c r="T146" s="67">
        <f>ROUND((J146-S146)/S146,2)</f>
        <v/>
      </c>
    </row>
    <row r="147" customFormat="1" s="34">
      <c r="B147" s="69" t="inlineStr">
        <is>
          <t>NY2150</t>
        </is>
      </c>
      <c r="C147" s="101" t="n">
        <v>0.7</v>
      </c>
      <c r="D147" s="102" t="inlineStr">
        <is>
          <t>芯厚</t>
        </is>
      </c>
      <c r="E147" s="72" t="inlineStr">
        <is>
          <t>2/2</t>
        </is>
      </c>
      <c r="F147" s="73" t="inlineStr">
        <is>
          <t>HTE</t>
        </is>
      </c>
      <c r="G147" s="69" t="inlineStr">
        <is>
          <t>4*7628</t>
        </is>
      </c>
      <c r="H147" s="73">
        <f>ROUND(J147/13.33,2)</f>
        <v/>
      </c>
      <c r="I147" s="73">
        <f>ROUND(H147*12,0)</f>
        <v/>
      </c>
      <c r="J147" s="99">
        <f>J146+140</f>
        <v/>
      </c>
      <c r="K147" s="73">
        <f>ROUND(H147*14,0)</f>
        <v/>
      </c>
      <c r="L147" s="42" t="n"/>
      <c r="M147" s="99" t="n">
        <v>339</v>
      </c>
      <c r="N147" s="65" t="n">
        <v>0.11</v>
      </c>
      <c r="O147" s="99" t="n">
        <v>317</v>
      </c>
      <c r="P147" s="66" t="n">
        <v>0.07000000000000001</v>
      </c>
      <c r="Q147" s="34" t="n">
        <v>302</v>
      </c>
      <c r="R147" s="67">
        <f>ROUND((J147-Q147)/Q147,2)</f>
        <v/>
      </c>
      <c r="S147" s="34" t="n">
        <v>282</v>
      </c>
      <c r="T147" s="67">
        <f>ROUND((J147-S147)/S147,2)</f>
        <v/>
      </c>
    </row>
    <row r="148" customFormat="1" s="34">
      <c r="B148" s="69" t="inlineStr">
        <is>
          <t>NY2150</t>
        </is>
      </c>
      <c r="C148" s="101" t="n">
        <v>0.8</v>
      </c>
      <c r="D148" s="102" t="inlineStr">
        <is>
          <t>总厚</t>
        </is>
      </c>
      <c r="E148" s="72" t="inlineStr">
        <is>
          <t>H/H</t>
        </is>
      </c>
      <c r="F148" s="73" t="inlineStr">
        <is>
          <t>HTE</t>
        </is>
      </c>
      <c r="G148" s="69" t="inlineStr">
        <is>
          <t>4*7628</t>
        </is>
      </c>
      <c r="H148" s="73">
        <f>ROUND(J148/13.33,2)</f>
        <v/>
      </c>
      <c r="I148" s="73">
        <f>ROUND(H148*12,0)</f>
        <v/>
      </c>
      <c r="J148" s="99">
        <f>J149-60</f>
        <v/>
      </c>
      <c r="K148" s="73">
        <f>ROUND(H148*14,0)</f>
        <v/>
      </c>
      <c r="L148" s="42" t="n"/>
      <c r="M148" s="99" t="n">
        <v>159</v>
      </c>
      <c r="N148" s="65" t="n">
        <v>0.14</v>
      </c>
      <c r="O148" s="99" t="n">
        <v>146</v>
      </c>
      <c r="P148" s="66" t="n">
        <v>0.09</v>
      </c>
      <c r="Q148" s="34" t="n">
        <v>133</v>
      </c>
      <c r="R148" s="67">
        <f>ROUND((J148-Q148)/Q148,2)</f>
        <v/>
      </c>
      <c r="S148" s="34" t="n">
        <v>124</v>
      </c>
      <c r="T148" s="67">
        <f>ROUND((J148-S148)/S148,2)</f>
        <v/>
      </c>
    </row>
    <row r="149" customFormat="1" s="34">
      <c r="B149" s="69" t="inlineStr">
        <is>
          <t>NY2150</t>
        </is>
      </c>
      <c r="C149" s="101" t="n">
        <v>0.8</v>
      </c>
      <c r="D149" s="102" t="inlineStr">
        <is>
          <t>总厚</t>
        </is>
      </c>
      <c r="E149" s="72" t="inlineStr">
        <is>
          <t>1/1</t>
        </is>
      </c>
      <c r="F149" s="73" t="inlineStr">
        <is>
          <t>HTE</t>
        </is>
      </c>
      <c r="G149" s="69" t="inlineStr">
        <is>
          <t>4*7628</t>
        </is>
      </c>
      <c r="H149" s="73">
        <f>ROUND(J149/13.33,2)</f>
        <v/>
      </c>
      <c r="I149" s="73">
        <f>ROUND(H149*12,0)</f>
        <v/>
      </c>
      <c r="J149" s="99" t="n">
        <v>241</v>
      </c>
      <c r="K149" s="73">
        <f>ROUND(H149*14,0)</f>
        <v/>
      </c>
      <c r="L149" s="42" t="n"/>
      <c r="M149" s="99" t="n">
        <v>210</v>
      </c>
      <c r="N149" s="65" t="n">
        <v>0.15</v>
      </c>
      <c r="O149" s="99" t="n">
        <v>196</v>
      </c>
      <c r="P149" s="66" t="n">
        <v>0.07000000000000001</v>
      </c>
      <c r="Q149" s="34" t="n">
        <v>181</v>
      </c>
      <c r="R149" s="67">
        <f>ROUND((J149-Q149)/Q149,2)</f>
        <v/>
      </c>
      <c r="S149" s="34" t="n">
        <v>169</v>
      </c>
      <c r="T149" s="67">
        <f>ROUND((J149-S149)/S149,2)</f>
        <v/>
      </c>
    </row>
    <row r="150" customFormat="1" s="34">
      <c r="B150" s="69" t="inlineStr">
        <is>
          <t>NY2150</t>
        </is>
      </c>
      <c r="C150" s="101" t="n">
        <v>0.8</v>
      </c>
      <c r="D150" s="102" t="inlineStr">
        <is>
          <t>总厚</t>
        </is>
      </c>
      <c r="E150" s="72" t="inlineStr">
        <is>
          <t>2/2</t>
        </is>
      </c>
      <c r="F150" s="73" t="inlineStr">
        <is>
          <t>HTE</t>
        </is>
      </c>
      <c r="G150" s="69" t="inlineStr">
        <is>
          <t>4*7628</t>
        </is>
      </c>
      <c r="H150" s="73">
        <f>ROUND(J150/13.33,2)</f>
        <v/>
      </c>
      <c r="I150" s="73">
        <f>ROUND(H150*12,0)</f>
        <v/>
      </c>
      <c r="J150" s="99">
        <f>J149+140</f>
        <v/>
      </c>
      <c r="K150" s="73">
        <f>ROUND(H150*14,0)</f>
        <v/>
      </c>
      <c r="L150" s="42" t="n"/>
      <c r="M150" s="99" t="n">
        <v>343</v>
      </c>
      <c r="N150" s="65" t="n">
        <v>0.11</v>
      </c>
      <c r="O150" s="99" t="n">
        <v>321</v>
      </c>
      <c r="P150" s="66" t="n">
        <v>0.07000000000000001</v>
      </c>
      <c r="Q150" s="34" t="n">
        <v>304</v>
      </c>
      <c r="R150" s="67">
        <f>ROUND((J150-Q150)/Q150,2)</f>
        <v/>
      </c>
      <c r="S150" s="34" t="n">
        <v>284</v>
      </c>
      <c r="T150" s="67">
        <f>ROUND((J150-S150)/S150,2)</f>
        <v/>
      </c>
    </row>
    <row r="151" customFormat="1" s="34">
      <c r="B151" s="69" t="inlineStr">
        <is>
          <t>NY2150</t>
        </is>
      </c>
      <c r="C151" s="101" t="n">
        <v>0.8</v>
      </c>
      <c r="D151" s="102" t="inlineStr">
        <is>
          <t>总厚</t>
        </is>
      </c>
      <c r="E151" s="72" t="inlineStr">
        <is>
          <t>3/3</t>
        </is>
      </c>
      <c r="F151" s="73" t="inlineStr">
        <is>
          <t>HTE</t>
        </is>
      </c>
      <c r="G151" s="69" t="inlineStr">
        <is>
          <t>3*7628</t>
        </is>
      </c>
      <c r="H151" s="73">
        <f>ROUND(J151/13.33,2)</f>
        <v/>
      </c>
      <c r="I151" s="73">
        <f>ROUND(H151*12,0)</f>
        <v/>
      </c>
      <c r="J151" s="99">
        <f>J150+140</f>
        <v/>
      </c>
      <c r="K151" s="73">
        <f>ROUND(H151*14,0)</f>
        <v/>
      </c>
      <c r="L151" s="42" t="n"/>
      <c r="M151" s="99" t="n">
        <v>474</v>
      </c>
      <c r="N151" s="65" t="n">
        <v>0.1</v>
      </c>
      <c r="O151" s="99" t="n">
        <v>451</v>
      </c>
      <c r="P151" s="66" t="n">
        <v>0.05</v>
      </c>
      <c r="Q151" s="34" t="n">
        <v>422</v>
      </c>
      <c r="R151" s="67">
        <f>ROUND((J151-Q151)/Q151,2)</f>
        <v/>
      </c>
      <c r="T151" s="67">
        <f>ROUND((J151-S151)/S151,2)</f>
        <v/>
      </c>
    </row>
    <row r="152" customFormat="1" s="34">
      <c r="B152" s="69" t="inlineStr">
        <is>
          <t>NY2150</t>
        </is>
      </c>
      <c r="C152" s="101" t="n">
        <v>0.9</v>
      </c>
      <c r="D152" s="102" t="inlineStr">
        <is>
          <t>总厚</t>
        </is>
      </c>
      <c r="E152" s="72" t="inlineStr">
        <is>
          <t>H/H</t>
        </is>
      </c>
      <c r="F152" s="73" t="inlineStr">
        <is>
          <t>HTE</t>
        </is>
      </c>
      <c r="G152" s="69" t="inlineStr">
        <is>
          <t>5*7628</t>
        </is>
      </c>
      <c r="H152" s="73">
        <f>ROUND(J152/13.33,2)</f>
        <v/>
      </c>
      <c r="I152" s="73">
        <f>ROUND(H152*12,0)</f>
        <v/>
      </c>
      <c r="J152" s="99">
        <f>J153-60</f>
        <v/>
      </c>
      <c r="K152" s="73">
        <f>ROUND(H152*14,0)</f>
        <v/>
      </c>
      <c r="L152" s="42" t="n"/>
      <c r="M152" s="99" t="n">
        <v>176</v>
      </c>
      <c r="N152" s="65" t="n">
        <v>0.14</v>
      </c>
      <c r="O152" s="99" t="n">
        <v>160</v>
      </c>
      <c r="P152" s="66" t="n">
        <v>0.1</v>
      </c>
      <c r="Q152" s="34" t="n">
        <v>140</v>
      </c>
      <c r="R152" s="67">
        <f>ROUND((J152-Q152)/Q152,2)</f>
        <v/>
      </c>
      <c r="S152" s="34" t="n">
        <v>131</v>
      </c>
      <c r="T152" s="67">
        <f>ROUND((J152-S152)/S152,2)</f>
        <v/>
      </c>
    </row>
    <row r="153" customFormat="1" s="34">
      <c r="B153" s="69" t="inlineStr">
        <is>
          <t>NY2150</t>
        </is>
      </c>
      <c r="C153" s="101" t="n">
        <v>0.9</v>
      </c>
      <c r="D153" s="102" t="inlineStr">
        <is>
          <t>总厚</t>
        </is>
      </c>
      <c r="E153" s="72" t="inlineStr">
        <is>
          <t>1/1</t>
        </is>
      </c>
      <c r="F153" s="73" t="inlineStr">
        <is>
          <t>HTE</t>
        </is>
      </c>
      <c r="G153" s="69" t="inlineStr">
        <is>
          <t>5*7628</t>
        </is>
      </c>
      <c r="H153" s="73">
        <f>ROUND(J153/13.33,2)</f>
        <v/>
      </c>
      <c r="I153" s="73">
        <f>ROUND(H153*12,0)</f>
        <v/>
      </c>
      <c r="J153" s="99" t="n">
        <v>260</v>
      </c>
      <c r="K153" s="73">
        <f>ROUND(H153*14,0)</f>
        <v/>
      </c>
      <c r="L153" s="42" t="n"/>
      <c r="M153" s="99" t="n">
        <v>227</v>
      </c>
      <c r="N153" s="65" t="n">
        <v>0.15</v>
      </c>
      <c r="O153" s="99" t="n">
        <v>210</v>
      </c>
      <c r="P153" s="66" t="n">
        <v>0.08</v>
      </c>
      <c r="Q153" s="34" t="n">
        <v>188</v>
      </c>
      <c r="R153" s="67">
        <f>ROUND((J153-Q153)/Q153,2)</f>
        <v/>
      </c>
      <c r="S153" s="34" t="n">
        <v>176</v>
      </c>
      <c r="T153" s="67">
        <f>ROUND((J153-S153)/S153,2)</f>
        <v/>
      </c>
    </row>
    <row r="154" customFormat="1" s="34">
      <c r="B154" s="69" t="inlineStr">
        <is>
          <t>NY2150</t>
        </is>
      </c>
      <c r="C154" s="101" t="n">
        <v>0.9</v>
      </c>
      <c r="D154" s="102" t="inlineStr">
        <is>
          <t>总厚</t>
        </is>
      </c>
      <c r="E154" s="72" t="inlineStr">
        <is>
          <t>2/2</t>
        </is>
      </c>
      <c r="F154" s="73" t="inlineStr">
        <is>
          <t>HTE</t>
        </is>
      </c>
      <c r="G154" s="69" t="inlineStr">
        <is>
          <t>4*7628</t>
        </is>
      </c>
      <c r="H154" s="73">
        <f>ROUND(J154/13.33,2)</f>
        <v/>
      </c>
      <c r="I154" s="73">
        <f>ROUND(H154*12,0)</f>
        <v/>
      </c>
      <c r="J154" s="99">
        <f>J153+130</f>
        <v/>
      </c>
      <c r="K154" s="73">
        <f>ROUND(H154*14,0)</f>
        <v/>
      </c>
      <c r="L154" s="42" t="n"/>
      <c r="M154" s="99" t="n">
        <v>360</v>
      </c>
      <c r="N154" s="65" t="n">
        <v>0.08</v>
      </c>
      <c r="O154" s="99" t="n">
        <v>327</v>
      </c>
      <c r="P154" s="66" t="n">
        <v>0.1</v>
      </c>
      <c r="Q154" s="34" t="n">
        <v>309</v>
      </c>
      <c r="R154" s="67">
        <f>ROUND((J154-Q154)/Q154,2)</f>
        <v/>
      </c>
      <c r="S154" s="34" t="n">
        <v>289</v>
      </c>
      <c r="T154" s="67">
        <f>ROUND((J154-S154)/S154,2)</f>
        <v/>
      </c>
    </row>
    <row r="155" customFormat="1" s="34">
      <c r="B155" s="69" t="inlineStr">
        <is>
          <t>NY2150</t>
        </is>
      </c>
      <c r="C155" s="101" t="n">
        <v>0.9</v>
      </c>
      <c r="D155" s="102" t="inlineStr">
        <is>
          <t>总厚</t>
        </is>
      </c>
      <c r="E155" s="72" t="inlineStr">
        <is>
          <t>3/3</t>
        </is>
      </c>
      <c r="F155" s="73" t="inlineStr">
        <is>
          <t>HTE</t>
        </is>
      </c>
      <c r="G155" s="69" t="inlineStr">
        <is>
          <t>4*7628</t>
        </is>
      </c>
      <c r="H155" s="73">
        <f>ROUND(J155/13.33,2)</f>
        <v/>
      </c>
      <c r="I155" s="73">
        <f>ROUND(H155*12,0)</f>
        <v/>
      </c>
      <c r="J155" s="99">
        <f>J154+150</f>
        <v/>
      </c>
      <c r="K155" s="73">
        <f>ROUND(H155*14,0)</f>
        <v/>
      </c>
      <c r="L155" s="42" t="n"/>
      <c r="M155" s="99" t="n">
        <v>494</v>
      </c>
      <c r="N155" s="65" t="n">
        <v>0.09</v>
      </c>
      <c r="O155" s="99" t="n">
        <v>457</v>
      </c>
      <c r="P155" s="66" t="n">
        <v>0.08</v>
      </c>
      <c r="Q155" s="34" t="n">
        <v>427</v>
      </c>
      <c r="R155" s="67">
        <f>ROUND((J155-Q155)/Q155,2)</f>
        <v/>
      </c>
      <c r="S155" s="34" t="n">
        <v>399</v>
      </c>
      <c r="T155" s="67">
        <f>ROUND((J155-S155)/S155,2)</f>
        <v/>
      </c>
    </row>
    <row r="156" customFormat="1" s="34">
      <c r="B156" s="69" t="inlineStr">
        <is>
          <t>NY2150</t>
        </is>
      </c>
      <c r="C156" s="101" t="n">
        <v>1</v>
      </c>
      <c r="D156" s="102" t="inlineStr">
        <is>
          <t>总厚</t>
        </is>
      </c>
      <c r="E156" s="72" t="inlineStr">
        <is>
          <t>H/H</t>
        </is>
      </c>
      <c r="F156" s="73" t="inlineStr">
        <is>
          <t>HTE</t>
        </is>
      </c>
      <c r="G156" s="69" t="inlineStr">
        <is>
          <t>5*7628</t>
        </is>
      </c>
      <c r="H156" s="73">
        <f>ROUND(J156/13.33,2)</f>
        <v/>
      </c>
      <c r="I156" s="73">
        <f>ROUND(H156*12,0)</f>
        <v/>
      </c>
      <c r="J156" s="99">
        <f>J157-60</f>
        <v/>
      </c>
      <c r="K156" s="73">
        <f>ROUND(H156*14,0)</f>
        <v/>
      </c>
      <c r="L156" s="42" t="n"/>
      <c r="M156" s="99" t="n">
        <v>180</v>
      </c>
      <c r="N156" s="65" t="n">
        <v>0.13</v>
      </c>
      <c r="O156" s="99" t="n">
        <v>164</v>
      </c>
      <c r="P156" s="66" t="n">
        <v>0.1</v>
      </c>
      <c r="Q156" s="34" t="n">
        <v>147</v>
      </c>
      <c r="R156" s="67">
        <f>ROUND((J156-Q156)/Q156,2)</f>
        <v/>
      </c>
      <c r="S156" s="34" t="n">
        <v>137</v>
      </c>
      <c r="T156" s="67">
        <f>ROUND((J156-S156)/S156,2)</f>
        <v/>
      </c>
    </row>
    <row r="157" customFormat="1" s="34">
      <c r="B157" s="69" t="inlineStr">
        <is>
          <t>NY2150</t>
        </is>
      </c>
      <c r="C157" s="101" t="n">
        <v>1</v>
      </c>
      <c r="D157" s="102" t="inlineStr">
        <is>
          <t>总厚</t>
        </is>
      </c>
      <c r="E157" s="72" t="inlineStr">
        <is>
          <t>1/1</t>
        </is>
      </c>
      <c r="F157" s="73" t="inlineStr">
        <is>
          <t>HTE</t>
        </is>
      </c>
      <c r="G157" s="69" t="inlineStr">
        <is>
          <t>5*7628</t>
        </is>
      </c>
      <c r="H157" s="73">
        <f>ROUND(J157/13.33,2)</f>
        <v/>
      </c>
      <c r="I157" s="73">
        <f>ROUND(H157*12,0)</f>
        <v/>
      </c>
      <c r="J157" s="99" t="n">
        <v>264</v>
      </c>
      <c r="K157" s="73">
        <f>ROUND(H157*14,0)</f>
        <v/>
      </c>
      <c r="L157" s="42" t="n"/>
      <c r="M157" s="99" t="n">
        <v>231</v>
      </c>
      <c r="N157" s="65" t="n">
        <v>0.14</v>
      </c>
      <c r="O157" s="99" t="n">
        <v>214</v>
      </c>
      <c r="P157" s="66" t="n">
        <v>0.08</v>
      </c>
      <c r="Q157" s="34" t="n">
        <v>194</v>
      </c>
      <c r="R157" s="67">
        <f>ROUND((J157-Q157)/Q157,2)</f>
        <v/>
      </c>
      <c r="S157" s="34" t="n">
        <v>181</v>
      </c>
      <c r="T157" s="67">
        <f>ROUND((J157-S157)/S157,2)</f>
        <v/>
      </c>
    </row>
    <row r="158" customFormat="1" s="34">
      <c r="B158" s="69" t="inlineStr">
        <is>
          <t>NY2150</t>
        </is>
      </c>
      <c r="C158" s="101" t="n">
        <v>1</v>
      </c>
      <c r="D158" s="102" t="inlineStr">
        <is>
          <t>总厚</t>
        </is>
      </c>
      <c r="E158" s="72" t="inlineStr">
        <is>
          <t>2/2</t>
        </is>
      </c>
      <c r="F158" s="73" t="inlineStr">
        <is>
          <t>HTE</t>
        </is>
      </c>
      <c r="G158" s="69" t="inlineStr">
        <is>
          <t>5*7628</t>
        </is>
      </c>
      <c r="H158" s="73">
        <f>ROUND(J158/13.33,2)</f>
        <v/>
      </c>
      <c r="I158" s="73">
        <f>ROUND(H158*12,0)</f>
        <v/>
      </c>
      <c r="J158" s="99">
        <f>J157+140</f>
        <v/>
      </c>
      <c r="K158" s="73">
        <f>ROUND(H158*14,0)</f>
        <v/>
      </c>
      <c r="L158" s="42" t="n"/>
      <c r="M158" s="99" t="n">
        <v>363</v>
      </c>
      <c r="N158" s="65" t="n">
        <v>0.11</v>
      </c>
      <c r="O158" s="99" t="n">
        <v>339</v>
      </c>
      <c r="P158" s="66" t="n">
        <v>0.07000000000000001</v>
      </c>
      <c r="Q158" s="34" t="n">
        <v>317</v>
      </c>
      <c r="R158" s="67">
        <f>ROUND((J158-Q158)/Q158,2)</f>
        <v/>
      </c>
      <c r="S158" s="34" t="n">
        <v>296</v>
      </c>
      <c r="T158" s="67">
        <f>ROUND((J158-S158)/S158,2)</f>
        <v/>
      </c>
    </row>
    <row r="159" customFormat="1" s="34">
      <c r="B159" s="69" t="inlineStr">
        <is>
          <t>NY2150</t>
        </is>
      </c>
      <c r="C159" s="101" t="n">
        <v>1</v>
      </c>
      <c r="D159" s="102" t="inlineStr">
        <is>
          <t>总厚</t>
        </is>
      </c>
      <c r="E159" s="72" t="inlineStr">
        <is>
          <t>3/3</t>
        </is>
      </c>
      <c r="F159" s="73" t="inlineStr">
        <is>
          <t>HTE</t>
        </is>
      </c>
      <c r="G159" s="69" t="inlineStr">
        <is>
          <t>4*7628</t>
        </is>
      </c>
      <c r="H159" s="73">
        <f>ROUND(J159/13.33,2)</f>
        <v/>
      </c>
      <c r="I159" s="73">
        <f>ROUND(H159*12,0)</f>
        <v/>
      </c>
      <c r="J159" s="99">
        <f>J158+140</f>
        <v/>
      </c>
      <c r="K159" s="73">
        <f>ROUND(H159*14,0)</f>
        <v/>
      </c>
      <c r="L159" s="42" t="n"/>
      <c r="M159" s="99" t="n">
        <v>497</v>
      </c>
      <c r="N159" s="65" t="n">
        <v>0.09</v>
      </c>
      <c r="O159" s="99" t="n">
        <v>469</v>
      </c>
      <c r="P159" s="66" t="n">
        <v>0.06</v>
      </c>
      <c r="Q159" s="34" t="n">
        <v>440</v>
      </c>
      <c r="R159" s="67">
        <f>ROUND((J159-Q159)/Q159,2)</f>
        <v/>
      </c>
      <c r="S159" s="34" t="n">
        <v>411</v>
      </c>
      <c r="T159" s="67">
        <f>ROUND((J159-S159)/S159,2)</f>
        <v/>
      </c>
    </row>
    <row r="160" customFormat="1" s="34">
      <c r="B160" s="69" t="inlineStr">
        <is>
          <t>NY2150</t>
        </is>
      </c>
      <c r="C160" s="101" t="n">
        <v>1.1</v>
      </c>
      <c r="D160" s="102" t="inlineStr">
        <is>
          <t>总厚</t>
        </is>
      </c>
      <c r="E160" s="72" t="inlineStr">
        <is>
          <t>H/H</t>
        </is>
      </c>
      <c r="F160" s="73" t="inlineStr">
        <is>
          <t>HTE</t>
        </is>
      </c>
      <c r="G160" s="69" t="inlineStr">
        <is>
          <t>6*7628</t>
        </is>
      </c>
      <c r="H160" s="73">
        <f>ROUND(J160/13.33,2)</f>
        <v/>
      </c>
      <c r="I160" s="73">
        <f>ROUND(H160*12,0)</f>
        <v/>
      </c>
      <c r="J160" s="99">
        <f>J161-60</f>
        <v/>
      </c>
      <c r="K160" s="73">
        <f>ROUND(H160*14,0)</f>
        <v/>
      </c>
      <c r="L160" s="42" t="n"/>
      <c r="M160" s="99" t="n">
        <v>198</v>
      </c>
      <c r="N160" s="65" t="n">
        <v>0.13</v>
      </c>
      <c r="O160" s="99" t="n">
        <v>178</v>
      </c>
      <c r="P160" s="66" t="n">
        <v>0.11</v>
      </c>
      <c r="Q160" s="34" t="n">
        <v>154</v>
      </c>
      <c r="R160" s="67">
        <f>ROUND((J160-Q160)/Q160,2)</f>
        <v/>
      </c>
      <c r="S160" s="34" t="n">
        <v>144</v>
      </c>
      <c r="T160" s="67">
        <f>ROUND((J160-S160)/S160,2)</f>
        <v/>
      </c>
    </row>
    <row r="161" customFormat="1" s="34">
      <c r="B161" s="69" t="inlineStr">
        <is>
          <t>NY2150</t>
        </is>
      </c>
      <c r="C161" s="101" t="n">
        <v>1.1</v>
      </c>
      <c r="D161" s="102" t="inlineStr">
        <is>
          <t>总厚</t>
        </is>
      </c>
      <c r="E161" s="72" t="inlineStr">
        <is>
          <t>1/1</t>
        </is>
      </c>
      <c r="F161" s="73" t="inlineStr">
        <is>
          <t>HTE</t>
        </is>
      </c>
      <c r="G161" s="69" t="inlineStr">
        <is>
          <t>6*7628</t>
        </is>
      </c>
      <c r="H161" s="73">
        <f>ROUND(J161/13.33,2)</f>
        <v/>
      </c>
      <c r="I161" s="73">
        <f>ROUND(H161*12,0)</f>
        <v/>
      </c>
      <c r="J161" s="99" t="n">
        <v>283</v>
      </c>
      <c r="K161" s="73">
        <f>ROUND(H161*14,0)</f>
        <v/>
      </c>
      <c r="L161" s="42" t="n"/>
      <c r="M161" s="99" t="n">
        <v>249</v>
      </c>
      <c r="N161" s="65" t="n">
        <v>0.14</v>
      </c>
      <c r="O161" s="99" t="n">
        <v>228</v>
      </c>
      <c r="P161" s="66" t="n">
        <v>0.09</v>
      </c>
      <c r="Q161" s="34" t="n">
        <v>201</v>
      </c>
      <c r="R161" s="67">
        <f>ROUND((J161-Q161)/Q161,2)</f>
        <v/>
      </c>
      <c r="S161" s="34" t="n">
        <v>188</v>
      </c>
      <c r="T161" s="67">
        <f>ROUND((J161-S161)/S161,2)</f>
        <v/>
      </c>
    </row>
    <row r="162" customFormat="1" s="34">
      <c r="B162" s="69" t="inlineStr">
        <is>
          <t>NY2150</t>
        </is>
      </c>
      <c r="C162" s="101" t="n">
        <v>1.1</v>
      </c>
      <c r="D162" s="102" t="inlineStr">
        <is>
          <t>总厚</t>
        </is>
      </c>
      <c r="E162" s="72" t="inlineStr">
        <is>
          <t>2/2</t>
        </is>
      </c>
      <c r="F162" s="73" t="inlineStr">
        <is>
          <t>HTE</t>
        </is>
      </c>
      <c r="G162" s="69" t="inlineStr">
        <is>
          <t>5*7628</t>
        </is>
      </c>
      <c r="H162" s="73">
        <f>ROUND(J162/13.33,2)</f>
        <v/>
      </c>
      <c r="I162" s="73">
        <f>ROUND(H162*12,0)</f>
        <v/>
      </c>
      <c r="J162" s="99">
        <f>J161+130</f>
        <v/>
      </c>
      <c r="K162" s="73">
        <f>ROUND(H162*14,0)</f>
        <v/>
      </c>
      <c r="L162" s="42" t="n"/>
      <c r="M162" s="99" t="n">
        <v>380</v>
      </c>
      <c r="N162" s="65" t="n">
        <v>0.09</v>
      </c>
      <c r="O162" s="99" t="n">
        <v>345</v>
      </c>
      <c r="P162" s="66" t="n">
        <v>0.1</v>
      </c>
      <c r="Q162" s="34" t="n">
        <v>321</v>
      </c>
      <c r="R162" s="67">
        <f>ROUND((J162-Q162)/Q162,2)</f>
        <v/>
      </c>
      <c r="S162" s="34" t="n">
        <v>300</v>
      </c>
      <c r="T162" s="67">
        <f>ROUND((J162-S162)/S162,2)</f>
        <v/>
      </c>
    </row>
    <row r="163" customFormat="1" s="34">
      <c r="B163" s="69" t="inlineStr">
        <is>
          <t>NY2150</t>
        </is>
      </c>
      <c r="C163" s="101" t="n">
        <v>1.1</v>
      </c>
      <c r="D163" s="102" t="inlineStr">
        <is>
          <t>总厚</t>
        </is>
      </c>
      <c r="E163" s="72" t="inlineStr">
        <is>
          <t>3/3</t>
        </is>
      </c>
      <c r="F163" s="73" t="inlineStr">
        <is>
          <t>HTE</t>
        </is>
      </c>
      <c r="G163" s="69" t="inlineStr">
        <is>
          <t>5*7628</t>
        </is>
      </c>
      <c r="H163" s="73">
        <f>ROUND(J163/13.33,2)</f>
        <v/>
      </c>
      <c r="I163" s="73">
        <f>ROUND(H163*12,0)</f>
        <v/>
      </c>
      <c r="J163" s="99">
        <f>J162+150</f>
        <v/>
      </c>
      <c r="K163" s="73">
        <f>ROUND(H163*14,0)</f>
        <v/>
      </c>
      <c r="L163" s="42" t="n"/>
      <c r="M163" s="99" t="n">
        <v>513</v>
      </c>
      <c r="N163" s="65" t="n">
        <v>0.1</v>
      </c>
      <c r="O163" s="99" t="n">
        <v>475</v>
      </c>
      <c r="P163" s="66" t="n">
        <v>0.08</v>
      </c>
      <c r="Q163" s="34" t="n">
        <v>444</v>
      </c>
      <c r="R163" s="67">
        <f>ROUND((J163-Q163)/Q163,2)</f>
        <v/>
      </c>
      <c r="S163" s="34" t="n">
        <v>415</v>
      </c>
      <c r="T163" s="67">
        <f>ROUND((J163-S163)/S163,2)</f>
        <v/>
      </c>
    </row>
    <row r="164" customFormat="1" s="34">
      <c r="B164" s="69" t="inlineStr">
        <is>
          <t>NY2150</t>
        </is>
      </c>
      <c r="C164" s="101" t="n">
        <v>1.2</v>
      </c>
      <c r="D164" s="102" t="inlineStr">
        <is>
          <t>总厚</t>
        </is>
      </c>
      <c r="E164" s="72" t="inlineStr">
        <is>
          <t>H/H</t>
        </is>
      </c>
      <c r="F164" s="73" t="inlineStr">
        <is>
          <t>HTE</t>
        </is>
      </c>
      <c r="G164" s="69" t="inlineStr">
        <is>
          <t>6*7628</t>
        </is>
      </c>
      <c r="H164" s="73">
        <f>ROUND(J164/13.33,2)</f>
        <v/>
      </c>
      <c r="I164" s="73">
        <f>ROUND(H164*12,0)</f>
        <v/>
      </c>
      <c r="J164" s="99">
        <f>J165-60</f>
        <v/>
      </c>
      <c r="K164" s="73">
        <f>ROUND(H164*14,0)</f>
        <v/>
      </c>
      <c r="L164" s="42" t="n"/>
      <c r="M164" s="99" t="n">
        <v>202</v>
      </c>
      <c r="N164" s="65" t="n">
        <v>0.12</v>
      </c>
      <c r="O164" s="99" t="n">
        <v>182</v>
      </c>
      <c r="P164" s="66" t="n">
        <v>0.11</v>
      </c>
      <c r="Q164" s="34" t="n">
        <v>155</v>
      </c>
      <c r="R164" s="67">
        <f>ROUND((J164-Q164)/Q164,2)</f>
        <v/>
      </c>
      <c r="S164" s="34" t="n">
        <v>145</v>
      </c>
      <c r="T164" s="67">
        <f>ROUND((J164-S164)/S164,2)</f>
        <v/>
      </c>
    </row>
    <row r="165" customFormat="1" s="34">
      <c r="B165" s="69" t="inlineStr">
        <is>
          <t>NY2150</t>
        </is>
      </c>
      <c r="C165" s="101" t="n">
        <v>1.2</v>
      </c>
      <c r="D165" s="102" t="inlineStr">
        <is>
          <t>总厚</t>
        </is>
      </c>
      <c r="E165" s="72" t="inlineStr">
        <is>
          <t>1/1</t>
        </is>
      </c>
      <c r="F165" s="73" t="inlineStr">
        <is>
          <t>HTE</t>
        </is>
      </c>
      <c r="G165" s="69" t="inlineStr">
        <is>
          <t>6*7628</t>
        </is>
      </c>
      <c r="H165" s="73">
        <f>ROUND(J165/13.33,2)</f>
        <v/>
      </c>
      <c r="I165" s="73">
        <f>ROUND(H165*12,0)</f>
        <v/>
      </c>
      <c r="J165" s="99" t="n">
        <v>287</v>
      </c>
      <c r="K165" s="73">
        <f>ROUND(H165*14,0)</f>
        <v/>
      </c>
      <c r="L165" s="42" t="n"/>
      <c r="M165" s="99" t="n">
        <v>253</v>
      </c>
      <c r="N165" s="65" t="n">
        <v>0.13</v>
      </c>
      <c r="O165" s="99" t="n">
        <v>232</v>
      </c>
      <c r="P165" s="66" t="n">
        <v>0.09</v>
      </c>
      <c r="Q165" s="34" t="n">
        <v>209</v>
      </c>
      <c r="R165" s="67">
        <f>ROUND((J165-Q165)/Q165,2)</f>
        <v/>
      </c>
      <c r="S165" s="34" t="n">
        <v>195</v>
      </c>
      <c r="T165" s="67">
        <f>ROUND((J165-S165)/S165,2)</f>
        <v/>
      </c>
    </row>
    <row r="166" customFormat="1" s="34">
      <c r="B166" s="69" t="inlineStr">
        <is>
          <t>NY2150</t>
        </is>
      </c>
      <c r="C166" s="101" t="n">
        <v>1.2</v>
      </c>
      <c r="D166" s="102" t="inlineStr">
        <is>
          <t>总厚</t>
        </is>
      </c>
      <c r="E166" s="72" t="inlineStr">
        <is>
          <t>2/2</t>
        </is>
      </c>
      <c r="F166" s="73" t="inlineStr">
        <is>
          <t>HTE</t>
        </is>
      </c>
      <c r="G166" s="69" t="inlineStr">
        <is>
          <t>6*7628</t>
        </is>
      </c>
      <c r="H166" s="73">
        <f>ROUND(J166/13.33,2)</f>
        <v/>
      </c>
      <c r="I166" s="73">
        <f>ROUND(H166*12,0)</f>
        <v/>
      </c>
      <c r="J166" s="99">
        <f>J165+140</f>
        <v/>
      </c>
      <c r="K166" s="73">
        <f>ROUND(H166*14,0)</f>
        <v/>
      </c>
      <c r="L166" s="42" t="n"/>
      <c r="M166" s="99" t="n">
        <v>386</v>
      </c>
      <c r="N166" s="65" t="n">
        <v>0.11</v>
      </c>
      <c r="O166" s="99" t="n">
        <v>357</v>
      </c>
      <c r="P166" s="66" t="n">
        <v>0.08</v>
      </c>
      <c r="Q166" s="34" t="n">
        <v>332</v>
      </c>
      <c r="R166" s="67">
        <f>ROUND((J166-Q166)/Q166,2)</f>
        <v/>
      </c>
      <c r="S166" s="34" t="n">
        <v>310</v>
      </c>
      <c r="T166" s="67">
        <f>ROUND((J166-S166)/S166,2)</f>
        <v/>
      </c>
    </row>
    <row r="167" customFormat="1" s="34">
      <c r="B167" s="69" t="inlineStr">
        <is>
          <t>NY2150</t>
        </is>
      </c>
      <c r="C167" s="101" t="n">
        <v>1.2</v>
      </c>
      <c r="D167" s="102" t="inlineStr">
        <is>
          <t>总厚</t>
        </is>
      </c>
      <c r="E167" s="72" t="inlineStr">
        <is>
          <t>3/3</t>
        </is>
      </c>
      <c r="F167" s="73" t="inlineStr">
        <is>
          <t>HTE</t>
        </is>
      </c>
      <c r="G167" s="69" t="inlineStr">
        <is>
          <t>5*7628</t>
        </is>
      </c>
      <c r="H167" s="73">
        <f>ROUND(J167/13.33,2)</f>
        <v/>
      </c>
      <c r="I167" s="73">
        <f>ROUND(H167*12,0)</f>
        <v/>
      </c>
      <c r="J167" s="99">
        <f>ROUND(O167*(1+P167),0)</f>
        <v/>
      </c>
      <c r="K167" s="73">
        <f>ROUND(H167*14,0)</f>
        <v/>
      </c>
      <c r="L167" s="42" t="n"/>
      <c r="M167" s="99" t="n">
        <v>516</v>
      </c>
      <c r="N167" s="65" t="n">
        <v>0</v>
      </c>
      <c r="O167" s="99" t="n">
        <v>487</v>
      </c>
      <c r="P167" s="66" t="n">
        <v>0.06</v>
      </c>
      <c r="Q167" s="34" t="n">
        <v>455</v>
      </c>
      <c r="R167" s="67">
        <f>ROUND((J167-Q167)/Q167,2)</f>
        <v/>
      </c>
      <c r="S167" s="34" t="n">
        <v>425</v>
      </c>
      <c r="T167" s="67">
        <f>ROUND((J167-S167)/S167,2)</f>
        <v/>
      </c>
    </row>
    <row r="168" customFormat="1" s="34">
      <c r="B168" s="69" t="inlineStr">
        <is>
          <t>NY2150</t>
        </is>
      </c>
      <c r="C168" s="101" t="n">
        <v>1.3</v>
      </c>
      <c r="D168" s="102" t="inlineStr">
        <is>
          <t>总厚</t>
        </is>
      </c>
      <c r="E168" s="72" t="inlineStr">
        <is>
          <t>H/H</t>
        </is>
      </c>
      <c r="F168" s="73" t="inlineStr">
        <is>
          <t>HTE</t>
        </is>
      </c>
      <c r="G168" s="69" t="inlineStr">
        <is>
          <t>7*7628</t>
        </is>
      </c>
      <c r="H168" s="73">
        <f>ROUND(J168/13.33,2)</f>
        <v/>
      </c>
      <c r="I168" s="73">
        <f>ROUND(H168*12,0)</f>
        <v/>
      </c>
      <c r="J168" s="99">
        <f>J169-60</f>
        <v/>
      </c>
      <c r="K168" s="73">
        <f>ROUND(H168*14,0)</f>
        <v/>
      </c>
      <c r="L168" s="42" t="n"/>
      <c r="M168" s="99" t="n">
        <v>218</v>
      </c>
      <c r="N168" s="65" t="n">
        <v>0.13</v>
      </c>
      <c r="O168" s="99" t="n">
        <v>196</v>
      </c>
      <c r="P168" s="66" t="n">
        <v>0.11</v>
      </c>
      <c r="Q168" s="34" t="n">
        <v>169</v>
      </c>
      <c r="R168" s="67">
        <f>ROUND((J168-Q168)/Q168,2)</f>
        <v/>
      </c>
      <c r="S168" s="34" t="n">
        <v>158</v>
      </c>
      <c r="T168" s="67">
        <f>ROUND((J168-S168)/S168,2)</f>
        <v/>
      </c>
    </row>
    <row r="169" customFormat="1" s="34">
      <c r="B169" s="69" t="inlineStr">
        <is>
          <t>NY2150</t>
        </is>
      </c>
      <c r="C169" s="101" t="n">
        <v>1.3</v>
      </c>
      <c r="D169" s="102" t="inlineStr">
        <is>
          <t>总厚</t>
        </is>
      </c>
      <c r="E169" s="72" t="inlineStr">
        <is>
          <t>1/1</t>
        </is>
      </c>
      <c r="F169" s="73" t="inlineStr">
        <is>
          <t>HTE</t>
        </is>
      </c>
      <c r="G169" s="69" t="inlineStr">
        <is>
          <t>7*7628</t>
        </is>
      </c>
      <c r="H169" s="73">
        <f>ROUND(J169/13.33,2)</f>
        <v/>
      </c>
      <c r="I169" s="73">
        <f>ROUND(H169*12,0)</f>
        <v/>
      </c>
      <c r="J169" s="99" t="n">
        <v>306</v>
      </c>
      <c r="K169" s="73">
        <f>ROUND(H169*14,0)</f>
        <v/>
      </c>
      <c r="L169" s="42" t="n"/>
      <c r="M169" s="99" t="n">
        <v>271</v>
      </c>
      <c r="N169" s="65" t="n">
        <v>0.13</v>
      </c>
      <c r="O169" s="99" t="n">
        <v>246</v>
      </c>
      <c r="P169" s="66" t="n">
        <v>0.1</v>
      </c>
      <c r="Q169" s="34" t="n">
        <v>217</v>
      </c>
      <c r="R169" s="67">
        <f>ROUND((J169-Q169)/Q169,2)</f>
        <v/>
      </c>
      <c r="S169" s="34" t="n">
        <v>203</v>
      </c>
      <c r="T169" s="67">
        <f>ROUND((J169-S169)/S169,2)</f>
        <v/>
      </c>
    </row>
    <row r="170" customFormat="1" s="34">
      <c r="B170" s="69" t="inlineStr">
        <is>
          <t>NY2150</t>
        </is>
      </c>
      <c r="C170" s="101" t="n">
        <v>1.3</v>
      </c>
      <c r="D170" s="102" t="inlineStr">
        <is>
          <t>总厚</t>
        </is>
      </c>
      <c r="E170" s="72" t="inlineStr">
        <is>
          <t>2/2</t>
        </is>
      </c>
      <c r="F170" s="73" t="inlineStr">
        <is>
          <t>HTE</t>
        </is>
      </c>
      <c r="G170" s="69" t="inlineStr">
        <is>
          <t>6*7628</t>
        </is>
      </c>
      <c r="H170" s="73">
        <f>ROUND(J170/13.33,2)</f>
        <v/>
      </c>
      <c r="I170" s="73">
        <f>ROUND(H170*12,0)</f>
        <v/>
      </c>
      <c r="J170" s="99">
        <f>J169+130</f>
        <v/>
      </c>
      <c r="K170" s="73">
        <f>ROUND(H170*14,0)</f>
        <v/>
      </c>
      <c r="L170" s="42" t="n"/>
      <c r="M170" s="99" t="n">
        <v>403</v>
      </c>
      <c r="N170" s="65" t="n">
        <v>0.08</v>
      </c>
      <c r="O170" s="99" t="n">
        <v>363</v>
      </c>
      <c r="P170" s="66" t="n">
        <v>0.11</v>
      </c>
      <c r="Q170" s="34" t="n">
        <v>337</v>
      </c>
      <c r="R170" s="67">
        <f>ROUND((J170-Q170)/Q170,2)</f>
        <v/>
      </c>
      <c r="S170" s="34" t="n">
        <v>315</v>
      </c>
      <c r="T170" s="67">
        <f>ROUND((J170-S170)/S170,2)</f>
        <v/>
      </c>
    </row>
    <row r="171" customFormat="1" s="34">
      <c r="B171" s="69" t="inlineStr">
        <is>
          <t>NY2150</t>
        </is>
      </c>
      <c r="C171" s="101" t="n">
        <v>1.3</v>
      </c>
      <c r="D171" s="102" t="inlineStr">
        <is>
          <t>总厚</t>
        </is>
      </c>
      <c r="E171" s="72" t="inlineStr">
        <is>
          <t>3/3</t>
        </is>
      </c>
      <c r="F171" s="73" t="inlineStr">
        <is>
          <t>HTE</t>
        </is>
      </c>
      <c r="G171" s="69" t="inlineStr">
        <is>
          <t>6*7628</t>
        </is>
      </c>
      <c r="H171" s="73">
        <f>ROUND(J171/13.33,2)</f>
        <v/>
      </c>
      <c r="I171" s="73">
        <f>ROUND(H171*12,0)</f>
        <v/>
      </c>
      <c r="J171" s="99">
        <f>J170+150</f>
        <v/>
      </c>
      <c r="K171" s="73">
        <f>ROUND(H171*14,0)</f>
        <v/>
      </c>
      <c r="L171" s="42" t="n"/>
      <c r="M171" s="99" t="n">
        <v>532</v>
      </c>
      <c r="N171" s="65" t="n">
        <v>0.1</v>
      </c>
      <c r="O171" s="99" t="n">
        <v>493</v>
      </c>
      <c r="P171" s="66" t="n">
        <v>0.08</v>
      </c>
      <c r="Q171" s="34" t="n">
        <v>460</v>
      </c>
      <c r="R171" s="67">
        <f>ROUND((J171-Q171)/Q171,2)</f>
        <v/>
      </c>
      <c r="S171" s="34" t="n">
        <v>430</v>
      </c>
      <c r="T171" s="67">
        <f>ROUND((J171-S171)/S171,2)</f>
        <v/>
      </c>
    </row>
    <row r="172" customFormat="1" s="34">
      <c r="B172" s="69" t="inlineStr">
        <is>
          <t>NY2150</t>
        </is>
      </c>
      <c r="C172" s="101" t="n">
        <v>1.4</v>
      </c>
      <c r="D172" s="102" t="inlineStr">
        <is>
          <t>总厚</t>
        </is>
      </c>
      <c r="E172" s="72" t="inlineStr">
        <is>
          <t>H/H</t>
        </is>
      </c>
      <c r="F172" s="73" t="inlineStr">
        <is>
          <t>HTE</t>
        </is>
      </c>
      <c r="G172" s="69" t="inlineStr">
        <is>
          <t>7*7628</t>
        </is>
      </c>
      <c r="H172" s="73">
        <f>ROUND(J172/13.33,2)</f>
        <v/>
      </c>
      <c r="I172" s="73">
        <f>ROUND(H172*12,0)</f>
        <v/>
      </c>
      <c r="J172" s="99">
        <f>J173-60</f>
        <v/>
      </c>
      <c r="K172" s="73">
        <f>ROUND(H172*14,0)</f>
        <v/>
      </c>
      <c r="L172" s="42" t="n"/>
      <c r="M172" s="99" t="n">
        <v>222</v>
      </c>
      <c r="N172" s="65" t="n">
        <v>0.13</v>
      </c>
      <c r="O172" s="99" t="n">
        <v>200</v>
      </c>
      <c r="P172" s="66" t="n">
        <v>0.11</v>
      </c>
      <c r="Q172" s="34" t="n">
        <v>175</v>
      </c>
      <c r="R172" s="67">
        <f>ROUND((J172-Q172)/Q172,2)</f>
        <v/>
      </c>
      <c r="S172" s="34" t="n">
        <v>164</v>
      </c>
      <c r="T172" s="67">
        <f>ROUND((J172-S172)/S172,2)</f>
        <v/>
      </c>
    </row>
    <row r="173" customFormat="1" s="34">
      <c r="B173" s="69" t="inlineStr">
        <is>
          <t>NY2150</t>
        </is>
      </c>
      <c r="C173" s="101" t="n">
        <v>1.4</v>
      </c>
      <c r="D173" s="102" t="inlineStr">
        <is>
          <t>总厚</t>
        </is>
      </c>
      <c r="E173" s="72" t="inlineStr">
        <is>
          <t>1/1</t>
        </is>
      </c>
      <c r="F173" s="73" t="inlineStr">
        <is>
          <t>HTE</t>
        </is>
      </c>
      <c r="G173" s="69" t="inlineStr">
        <is>
          <t>7*7628</t>
        </is>
      </c>
      <c r="H173" s="73">
        <f>ROUND(J173/13.33,2)</f>
        <v/>
      </c>
      <c r="I173" s="73">
        <f>ROUND(H173*12,0)</f>
        <v/>
      </c>
      <c r="J173" s="99" t="n">
        <v>310</v>
      </c>
      <c r="K173" s="73">
        <f>ROUND(H173*14,0)</f>
        <v/>
      </c>
      <c r="L173" s="42" t="n"/>
      <c r="M173" s="99" t="n">
        <v>275</v>
      </c>
      <c r="N173" s="65" t="n">
        <v>0.13</v>
      </c>
      <c r="O173" s="99" t="n">
        <v>250</v>
      </c>
      <c r="P173" s="66" t="n">
        <v>0.1</v>
      </c>
      <c r="Q173" s="34" t="n">
        <v>224</v>
      </c>
      <c r="R173" s="67">
        <f>ROUND((J173-Q173)/Q173,2)</f>
        <v/>
      </c>
      <c r="S173" s="34" t="n">
        <v>209</v>
      </c>
      <c r="T173" s="67">
        <f>ROUND((J173-S173)/S173,2)</f>
        <v/>
      </c>
    </row>
    <row r="174" customFormat="1" s="34">
      <c r="B174" s="69" t="inlineStr">
        <is>
          <t>NY2150</t>
        </is>
      </c>
      <c r="C174" s="101" t="n">
        <v>1.4</v>
      </c>
      <c r="D174" s="102" t="inlineStr">
        <is>
          <t>总厚</t>
        </is>
      </c>
      <c r="E174" s="72" t="inlineStr">
        <is>
          <t>2/2</t>
        </is>
      </c>
      <c r="F174" s="73" t="inlineStr">
        <is>
          <t>HTE</t>
        </is>
      </c>
      <c r="G174" s="69" t="inlineStr">
        <is>
          <t>7*7628</t>
        </is>
      </c>
      <c r="H174" s="73">
        <f>ROUND(J174/13.33,2)</f>
        <v/>
      </c>
      <c r="I174" s="73">
        <f>ROUND(H174*12,0)</f>
        <v/>
      </c>
      <c r="J174" s="99">
        <f>J173+140</f>
        <v/>
      </c>
      <c r="K174" s="73">
        <f>ROUND(H174*14,0)</f>
        <v/>
      </c>
      <c r="L174" s="42" t="n"/>
      <c r="M174" s="99" t="n">
        <v>405</v>
      </c>
      <c r="N174" s="65" t="n">
        <v>0.11</v>
      </c>
      <c r="O174" s="99" t="n">
        <v>375</v>
      </c>
      <c r="P174" s="66" t="n">
        <v>0.08</v>
      </c>
      <c r="Q174" s="34" t="n">
        <v>347</v>
      </c>
      <c r="R174" s="67">
        <f>ROUND((J174-Q174)/Q174,2)</f>
        <v/>
      </c>
      <c r="S174" s="34" t="n">
        <v>324</v>
      </c>
      <c r="T174" s="67">
        <f>ROUND((J174-S174)/S174,2)</f>
        <v/>
      </c>
    </row>
    <row r="175" customFormat="1" s="34">
      <c r="B175" s="69" t="inlineStr">
        <is>
          <t>NY2150</t>
        </is>
      </c>
      <c r="C175" s="101" t="n">
        <v>1.4</v>
      </c>
      <c r="D175" s="102" t="inlineStr">
        <is>
          <t>总厚</t>
        </is>
      </c>
      <c r="E175" s="72" t="inlineStr">
        <is>
          <t>3/3</t>
        </is>
      </c>
      <c r="F175" s="73" t="inlineStr">
        <is>
          <t>HTE</t>
        </is>
      </c>
      <c r="G175" s="69" t="inlineStr">
        <is>
          <t>6*7628</t>
        </is>
      </c>
      <c r="H175" s="73">
        <f>ROUND(J175/13.33,2)</f>
        <v/>
      </c>
      <c r="I175" s="73">
        <f>ROUND(H175*12,0)</f>
        <v/>
      </c>
      <c r="J175" s="99">
        <f>J174+140</f>
        <v/>
      </c>
      <c r="K175" s="73">
        <f>ROUND(H175*14,0)</f>
        <v/>
      </c>
      <c r="L175" s="42" t="n"/>
      <c r="M175" s="99" t="n">
        <v>540</v>
      </c>
      <c r="N175" s="65" t="n">
        <v>0.09</v>
      </c>
      <c r="O175" s="99" t="n">
        <v>505</v>
      </c>
      <c r="P175" s="66" t="n">
        <v>0.07000000000000001</v>
      </c>
      <c r="Q175" s="34" t="n">
        <v>470</v>
      </c>
      <c r="R175" s="67">
        <f>ROUND((J175-Q175)/Q175,2)</f>
        <v/>
      </c>
      <c r="S175" s="34" t="n">
        <v>439</v>
      </c>
      <c r="T175" s="67">
        <f>ROUND((J175-S175)/S175,2)</f>
        <v/>
      </c>
    </row>
    <row r="176" customFormat="1" s="34">
      <c r="B176" s="69" t="inlineStr">
        <is>
          <t>NY2150</t>
        </is>
      </c>
      <c r="C176" s="101" t="n">
        <v>1.45</v>
      </c>
      <c r="D176" s="102" t="inlineStr">
        <is>
          <t>总厚</t>
        </is>
      </c>
      <c r="E176" s="72" t="inlineStr">
        <is>
          <t>H/H</t>
        </is>
      </c>
      <c r="F176" s="73" t="inlineStr">
        <is>
          <t>HTE</t>
        </is>
      </c>
      <c r="G176" s="69" t="inlineStr">
        <is>
          <t>7*7628</t>
        </is>
      </c>
      <c r="H176" s="73">
        <f>ROUND(J176/13.33,2)</f>
        <v/>
      </c>
      <c r="I176" s="73">
        <f>ROUND(H176*12,0)</f>
        <v/>
      </c>
      <c r="J176" s="99">
        <f>J177-60</f>
        <v/>
      </c>
      <c r="K176" s="73">
        <f>ROUND(H176*14,0)</f>
        <v/>
      </c>
      <c r="L176" s="42" t="n"/>
      <c r="M176" s="99" t="n">
        <v>225</v>
      </c>
      <c r="N176" s="65" t="n">
        <v>0.12</v>
      </c>
      <c r="O176" s="99" t="n">
        <v>210</v>
      </c>
      <c r="P176" s="66" t="n">
        <v>0.07000000000000001</v>
      </c>
      <c r="R176" s="67" t="n"/>
      <c r="T176" s="67" t="n"/>
    </row>
    <row r="177" customFormat="1" s="34">
      <c r="B177" s="69" t="inlineStr">
        <is>
          <t>NY2150</t>
        </is>
      </c>
      <c r="C177" s="101" t="n">
        <v>1.45</v>
      </c>
      <c r="D177" s="102" t="inlineStr">
        <is>
          <t>总厚</t>
        </is>
      </c>
      <c r="E177" s="72" t="inlineStr">
        <is>
          <t>1/1</t>
        </is>
      </c>
      <c r="F177" s="73" t="inlineStr">
        <is>
          <t>HTE</t>
        </is>
      </c>
      <c r="G177" s="69" t="inlineStr">
        <is>
          <t>7*7628</t>
        </is>
      </c>
      <c r="H177" s="73">
        <f>ROUND(J177/13.33,2)</f>
        <v/>
      </c>
      <c r="I177" s="73">
        <f>ROUND(H177*12,0)</f>
        <v/>
      </c>
      <c r="J177" s="99" t="n">
        <v>313</v>
      </c>
      <c r="K177" s="73">
        <f>ROUND(H177*14,0)</f>
        <v/>
      </c>
      <c r="L177" s="42" t="n"/>
      <c r="M177" s="99" t="n">
        <v>275</v>
      </c>
      <c r="N177" s="65" t="n">
        <v>0.14</v>
      </c>
      <c r="O177" s="99" t="n">
        <v>250</v>
      </c>
      <c r="P177" s="66" t="n">
        <v>0.1</v>
      </c>
      <c r="R177" s="67" t="n"/>
      <c r="T177" s="67">
        <f>ROUND((J177-S177)/S177,2)</f>
        <v/>
      </c>
    </row>
    <row r="178" customFormat="1" s="34">
      <c r="B178" s="69" t="inlineStr">
        <is>
          <t>NY2150</t>
        </is>
      </c>
      <c r="C178" s="101" t="n">
        <v>1.5</v>
      </c>
      <c r="D178" s="102" t="inlineStr">
        <is>
          <t>总厚</t>
        </is>
      </c>
      <c r="E178" s="72" t="inlineStr">
        <is>
          <t>H/H</t>
        </is>
      </c>
      <c r="F178" s="73" t="inlineStr">
        <is>
          <t>HTE</t>
        </is>
      </c>
      <c r="G178" s="69" t="inlineStr">
        <is>
          <t>8*7628</t>
        </is>
      </c>
      <c r="H178" s="73">
        <f>ROUND(J178/13.33,2)</f>
        <v/>
      </c>
      <c r="I178" s="73">
        <f>ROUND(H178*12,0)</f>
        <v/>
      </c>
      <c r="J178" s="99">
        <f>J179-60</f>
        <v/>
      </c>
      <c r="K178" s="73">
        <f>ROUND(H178*14,0)</f>
        <v/>
      </c>
      <c r="L178" s="42" t="n"/>
      <c r="M178" s="99" t="n">
        <v>229</v>
      </c>
      <c r="N178" s="65" t="n">
        <v>0.2</v>
      </c>
      <c r="O178" s="99" t="n">
        <v>214</v>
      </c>
      <c r="P178" s="66" t="n">
        <v>0.07000000000000001</v>
      </c>
      <c r="Q178" s="34" t="n">
        <v>182</v>
      </c>
      <c r="R178" s="67">
        <f>ROUND((J178-Q178)/Q178,2)</f>
        <v/>
      </c>
      <c r="S178" s="34" t="n">
        <v>170</v>
      </c>
      <c r="T178" s="67">
        <f>ROUND((J178-S178)/S178,2)</f>
        <v/>
      </c>
    </row>
    <row r="179" customFormat="1" s="34">
      <c r="B179" s="69" t="inlineStr">
        <is>
          <t>NY2150</t>
        </is>
      </c>
      <c r="C179" s="101" t="n">
        <v>1.5</v>
      </c>
      <c r="D179" s="102" t="inlineStr">
        <is>
          <t>总厚</t>
        </is>
      </c>
      <c r="E179" s="72" t="inlineStr">
        <is>
          <t>1/1</t>
        </is>
      </c>
      <c r="F179" s="73" t="inlineStr">
        <is>
          <t>HTE</t>
        </is>
      </c>
      <c r="G179" s="69" t="inlineStr">
        <is>
          <t>8*7628</t>
        </is>
      </c>
      <c r="H179" s="73">
        <f>ROUND(J179/13.33,2)</f>
        <v/>
      </c>
      <c r="I179" s="73">
        <f>ROUND(H179*12,0)</f>
        <v/>
      </c>
      <c r="J179" s="99" t="n">
        <v>335</v>
      </c>
      <c r="K179" s="73">
        <f>ROUND(H179*14,0)</f>
        <v/>
      </c>
      <c r="L179" s="42" t="n"/>
      <c r="M179" s="99" t="n">
        <v>280</v>
      </c>
      <c r="N179" s="65" t="n">
        <v>0.2</v>
      </c>
      <c r="O179" s="99" t="n">
        <v>264</v>
      </c>
      <c r="P179" s="66" t="n">
        <v>0.06</v>
      </c>
      <c r="Q179" s="34" t="n">
        <v>230</v>
      </c>
      <c r="R179" s="67">
        <f>ROUND((J179-Q179)/Q179,2)</f>
        <v/>
      </c>
      <c r="S179" s="34" t="n">
        <v>215</v>
      </c>
      <c r="T179" s="67">
        <f>ROUND((J179-S179)/S179,2)</f>
        <v/>
      </c>
    </row>
    <row r="180" customFormat="1" s="34">
      <c r="B180" s="69" t="inlineStr">
        <is>
          <t>NY2150</t>
        </is>
      </c>
      <c r="C180" s="101" t="n">
        <v>1.5</v>
      </c>
      <c r="D180" s="102" t="inlineStr">
        <is>
          <t>总厚</t>
        </is>
      </c>
      <c r="E180" s="72" t="inlineStr">
        <is>
          <t>2/2</t>
        </is>
      </c>
      <c r="F180" s="73" t="inlineStr">
        <is>
          <t>HTE</t>
        </is>
      </c>
      <c r="G180" s="69" t="inlineStr">
        <is>
          <t>7*7628</t>
        </is>
      </c>
      <c r="H180" s="73">
        <f>ROUND(J180/13.33,2)</f>
        <v/>
      </c>
      <c r="I180" s="73">
        <f>ROUND(H180*12,0)</f>
        <v/>
      </c>
      <c r="J180" s="99">
        <f>J179+130</f>
        <v/>
      </c>
      <c r="K180" s="73">
        <f>ROUND(H180*14,0)</f>
        <v/>
      </c>
      <c r="L180" s="42" t="n"/>
      <c r="M180" s="99" t="n">
        <v>411</v>
      </c>
      <c r="N180" s="65" t="n">
        <v>0.13</v>
      </c>
      <c r="O180" s="99" t="n">
        <v>381</v>
      </c>
      <c r="P180" s="66" t="n">
        <v>0.08</v>
      </c>
      <c r="Q180" s="34" t="n">
        <v>353</v>
      </c>
      <c r="R180" s="67">
        <f>ROUND((J180-Q180)/Q180,2)</f>
        <v/>
      </c>
      <c r="S180" s="34" t="n">
        <v>330</v>
      </c>
      <c r="T180" s="67">
        <f>ROUND((J180-S180)/S180,2)</f>
        <v/>
      </c>
    </row>
    <row r="181" customFormat="1" s="34">
      <c r="B181" s="69" t="inlineStr">
        <is>
          <t>NY2150</t>
        </is>
      </c>
      <c r="C181" s="101" t="n">
        <v>1.5</v>
      </c>
      <c r="D181" s="102" t="inlineStr">
        <is>
          <t>总厚</t>
        </is>
      </c>
      <c r="E181" s="72" t="inlineStr">
        <is>
          <t>3/3</t>
        </is>
      </c>
      <c r="F181" s="73" t="inlineStr">
        <is>
          <t>HTE</t>
        </is>
      </c>
      <c r="G181" s="69" t="inlineStr">
        <is>
          <t>7*7628</t>
        </is>
      </c>
      <c r="H181" s="73">
        <f>ROUND(J181/13.33,2)</f>
        <v/>
      </c>
      <c r="I181" s="73">
        <f>ROUND(H181*12,0)</f>
        <v/>
      </c>
      <c r="J181" s="99">
        <f>J180+150</f>
        <v/>
      </c>
      <c r="K181" s="73">
        <f>ROUND(H181*14,0)</f>
        <v/>
      </c>
      <c r="L181" s="42" t="n"/>
      <c r="M181" s="99" t="n">
        <v>547</v>
      </c>
      <c r="N181" s="65" t="n">
        <v>0.12</v>
      </c>
      <c r="O181" s="99" t="n">
        <v>511</v>
      </c>
      <c r="P181" s="66" t="n">
        <v>0.07000000000000001</v>
      </c>
      <c r="Q181" s="34" t="n">
        <v>476</v>
      </c>
      <c r="R181" s="67">
        <f>ROUND((J181-Q181)/Q181,2)</f>
        <v/>
      </c>
      <c r="S181" s="34" t="n">
        <v>445</v>
      </c>
      <c r="T181" s="67">
        <f>ROUND((J181-S181)/S181,2)</f>
        <v/>
      </c>
    </row>
    <row r="182" customFormat="1" s="34">
      <c r="B182" s="69" t="inlineStr">
        <is>
          <t>NY2150</t>
        </is>
      </c>
      <c r="C182" s="101" t="n">
        <v>1.6</v>
      </c>
      <c r="D182" s="102" t="inlineStr">
        <is>
          <t>总厚</t>
        </is>
      </c>
      <c r="E182" s="72" t="inlineStr">
        <is>
          <t>H/H</t>
        </is>
      </c>
      <c r="F182" s="73" t="inlineStr">
        <is>
          <t>HTE</t>
        </is>
      </c>
      <c r="G182" s="69" t="inlineStr">
        <is>
          <t>8*7628</t>
        </is>
      </c>
      <c r="H182" s="73">
        <f>ROUND(J182/13.33,2)</f>
        <v/>
      </c>
      <c r="I182" s="73">
        <f>ROUND(H182*12,0)</f>
        <v/>
      </c>
      <c r="J182" s="99">
        <f>J183-60</f>
        <v/>
      </c>
      <c r="K182" s="73">
        <f>ROUND(H182*14,0)</f>
        <v/>
      </c>
      <c r="L182" s="42" t="n"/>
      <c r="M182" s="99" t="n">
        <v>235</v>
      </c>
      <c r="N182" s="65" t="n">
        <v>0.19</v>
      </c>
      <c r="O182" s="99" t="n">
        <v>218</v>
      </c>
      <c r="P182" s="66" t="n">
        <v>0.08</v>
      </c>
      <c r="Q182" s="34" t="n">
        <v>187</v>
      </c>
      <c r="R182" s="67">
        <f>ROUND((J182-Q182)/Q182,2)</f>
        <v/>
      </c>
      <c r="S182" s="34" t="n">
        <v>175</v>
      </c>
      <c r="T182" s="67">
        <f>ROUND((J182-S182)/S182,2)</f>
        <v/>
      </c>
    </row>
    <row r="183" customFormat="1" s="34">
      <c r="B183" s="69" t="inlineStr">
        <is>
          <t>NY2150</t>
        </is>
      </c>
      <c r="C183" s="101" t="n">
        <v>1.6</v>
      </c>
      <c r="D183" s="102" t="inlineStr">
        <is>
          <t>总厚</t>
        </is>
      </c>
      <c r="E183" s="72" t="inlineStr">
        <is>
          <t>1/1</t>
        </is>
      </c>
      <c r="F183" s="73" t="inlineStr">
        <is>
          <t>HTE</t>
        </is>
      </c>
      <c r="G183" s="69" t="inlineStr">
        <is>
          <t>8*7628</t>
        </is>
      </c>
      <c r="H183" s="73">
        <f>ROUND(J183/13.33,2)</f>
        <v/>
      </c>
      <c r="I183" s="73">
        <f>ROUND(H183*12,0)</f>
        <v/>
      </c>
      <c r="J183" s="99" t="n">
        <v>340</v>
      </c>
      <c r="K183" s="73">
        <f>ROUND(H183*14,0)</f>
        <v/>
      </c>
      <c r="L183" s="42" t="n"/>
      <c r="M183" s="99" t="n">
        <v>284</v>
      </c>
      <c r="N183" s="65" t="n">
        <v>0.2</v>
      </c>
      <c r="O183" s="99" t="n">
        <v>268</v>
      </c>
      <c r="P183" s="66" t="n">
        <v>0.06</v>
      </c>
      <c r="Q183" s="34" t="n">
        <v>235</v>
      </c>
      <c r="R183" s="67">
        <f>ROUND((J183-Q183)/Q183,2)</f>
        <v/>
      </c>
      <c r="S183" s="34" t="n">
        <v>220</v>
      </c>
      <c r="T183" s="67">
        <f>ROUND((J183-S183)/S183,2)</f>
        <v/>
      </c>
    </row>
    <row r="184" customFormat="1" s="34">
      <c r="B184" s="69" t="inlineStr">
        <is>
          <t>NY2150</t>
        </is>
      </c>
      <c r="C184" s="101" t="n">
        <v>1.6</v>
      </c>
      <c r="D184" s="102" t="inlineStr">
        <is>
          <t>总厚</t>
        </is>
      </c>
      <c r="E184" s="72" t="inlineStr">
        <is>
          <t>2/2</t>
        </is>
      </c>
      <c r="F184" s="73" t="inlineStr">
        <is>
          <t>HTE</t>
        </is>
      </c>
      <c r="G184" s="69" t="inlineStr">
        <is>
          <t>8*7628</t>
        </is>
      </c>
      <c r="H184" s="73">
        <f>ROUND(J184/13.33,2)</f>
        <v/>
      </c>
      <c r="I184" s="73">
        <f>ROUND(H184*12,0)</f>
        <v/>
      </c>
      <c r="J184" s="99">
        <f>J183+140</f>
        <v/>
      </c>
      <c r="K184" s="73">
        <f>ROUND(H184*14,0)</f>
        <v/>
      </c>
      <c r="L184" s="42" t="n"/>
      <c r="M184" s="99" t="n">
        <v>417</v>
      </c>
      <c r="N184" s="65" t="n">
        <v>0.15</v>
      </c>
      <c r="O184" s="99" t="n">
        <v>393</v>
      </c>
      <c r="P184" s="66" t="n">
        <v>0.06</v>
      </c>
      <c r="Q184" s="34" t="n">
        <v>358</v>
      </c>
      <c r="R184" s="67">
        <f>ROUND((J184-Q184)/Q184,2)</f>
        <v/>
      </c>
      <c r="S184" s="34" t="n">
        <v>335</v>
      </c>
      <c r="T184" s="67">
        <f>ROUND((J184-S184)/S184,2)</f>
        <v/>
      </c>
    </row>
    <row r="185" customFormat="1" s="34">
      <c r="B185" s="69" t="inlineStr">
        <is>
          <t>NY2150</t>
        </is>
      </c>
      <c r="C185" s="101" t="n">
        <v>1.6</v>
      </c>
      <c r="D185" s="102" t="inlineStr">
        <is>
          <t>总厚</t>
        </is>
      </c>
      <c r="E185" s="72" t="inlineStr">
        <is>
          <t>3/3</t>
        </is>
      </c>
      <c r="F185" s="73" t="inlineStr">
        <is>
          <t>HTE</t>
        </is>
      </c>
      <c r="G185" s="69" t="inlineStr">
        <is>
          <t>7*7628</t>
        </is>
      </c>
      <c r="H185" s="73">
        <f>ROUND(J185/13.33,2)</f>
        <v/>
      </c>
      <c r="I185" s="73">
        <f>ROUND(H185*12,0)</f>
        <v/>
      </c>
      <c r="J185" s="99">
        <f>J184+140</f>
        <v/>
      </c>
      <c r="K185" s="73">
        <f>ROUND(H185*14,0)</f>
        <v/>
      </c>
      <c r="L185" s="42" t="n"/>
      <c r="M185" s="99" t="n">
        <v>549</v>
      </c>
      <c r="N185" s="65" t="n">
        <v>0.13</v>
      </c>
      <c r="O185" s="99" t="n">
        <v>523</v>
      </c>
      <c r="P185" s="66" t="n">
        <v>0.05</v>
      </c>
      <c r="Q185" s="34" t="n">
        <v>482</v>
      </c>
      <c r="R185" s="67">
        <f>ROUND((J185-Q185)/Q185,2)</f>
        <v/>
      </c>
      <c r="S185" s="34" t="n">
        <v>450</v>
      </c>
      <c r="T185" s="67">
        <f>ROUND((J185-S185)/S185,2)</f>
        <v/>
      </c>
    </row>
    <row r="186" customFormat="1" s="34">
      <c r="B186" s="69" t="inlineStr">
        <is>
          <t>NY2170</t>
        </is>
      </c>
      <c r="C186" s="103" t="n">
        <v>0.076</v>
      </c>
      <c r="D186" s="102" t="inlineStr">
        <is>
          <t>芯厚</t>
        </is>
      </c>
      <c r="E186" s="72" t="inlineStr">
        <is>
          <t>1/1</t>
        </is>
      </c>
      <c r="F186" s="73" t="inlineStr">
        <is>
          <t>HTE</t>
        </is>
      </c>
      <c r="G186" s="69" t="inlineStr">
        <is>
          <t>1*1080</t>
        </is>
      </c>
      <c r="H186" s="73">
        <f>ROUND(J186/13.33,2)</f>
        <v/>
      </c>
      <c r="I186" s="73">
        <f>ROUND(H186*12,0)</f>
        <v/>
      </c>
      <c r="J186" s="99" t="n">
        <v>172</v>
      </c>
      <c r="K186" s="73">
        <f>ROUND(H186*14,0)</f>
        <v/>
      </c>
      <c r="L186" s="42" t="n"/>
      <c r="M186" s="99" t="n">
        <v>158</v>
      </c>
      <c r="N186" s="65" t="n">
        <v>0.09</v>
      </c>
      <c r="O186" s="99" t="n">
        <v>146</v>
      </c>
      <c r="P186" s="66" t="n">
        <v>0.08</v>
      </c>
      <c r="R186" s="67" t="n"/>
      <c r="T186" s="67" t="n"/>
    </row>
    <row r="187" customFormat="1" s="34">
      <c r="B187" s="69" t="inlineStr">
        <is>
          <t>NY2170</t>
        </is>
      </c>
      <c r="C187" s="101" t="n">
        <v>0.1</v>
      </c>
      <c r="D187" s="102" t="inlineStr">
        <is>
          <t>芯厚</t>
        </is>
      </c>
      <c r="E187" s="72" t="inlineStr">
        <is>
          <t>H/H</t>
        </is>
      </c>
      <c r="F187" s="73" t="inlineStr">
        <is>
          <t>HTE</t>
        </is>
      </c>
      <c r="G187" s="73" t="inlineStr">
        <is>
          <t>1*2116</t>
        </is>
      </c>
      <c r="H187" s="73">
        <f>ROUND(J187/13.33,2)</f>
        <v/>
      </c>
      <c r="I187" s="73">
        <f>ROUND(H187*12,0)</f>
        <v/>
      </c>
      <c r="J187" s="99">
        <f>J188-60</f>
        <v/>
      </c>
      <c r="K187" s="73">
        <f>ROUND(H187*14,0)</f>
        <v/>
      </c>
      <c r="L187" s="42" t="n"/>
      <c r="M187" s="99" t="n">
        <v>103</v>
      </c>
      <c r="N187" s="65" t="n">
        <v>0.07000000000000001</v>
      </c>
      <c r="O187" s="99" t="n">
        <v>96</v>
      </c>
      <c r="P187" s="66" t="n">
        <v>0.07000000000000001</v>
      </c>
      <c r="Q187" s="34" t="n">
        <v>93</v>
      </c>
      <c r="R187" s="67">
        <f>ROUND((J187-Q187)/Q187,2)</f>
        <v/>
      </c>
      <c r="S187" s="34" t="n">
        <v>87</v>
      </c>
      <c r="T187" s="67">
        <f>ROUND((J187-S187)/S187,2)</f>
        <v/>
      </c>
    </row>
    <row r="188" customFormat="1" s="34">
      <c r="B188" s="69" t="inlineStr">
        <is>
          <t>NY2170</t>
        </is>
      </c>
      <c r="C188" s="101" t="n">
        <v>0.1</v>
      </c>
      <c r="D188" s="102" t="inlineStr">
        <is>
          <t>芯厚</t>
        </is>
      </c>
      <c r="E188" s="72" t="inlineStr">
        <is>
          <t>1/1</t>
        </is>
      </c>
      <c r="F188" s="73" t="inlineStr">
        <is>
          <t>HTE</t>
        </is>
      </c>
      <c r="G188" s="73" t="inlineStr">
        <is>
          <t>1*2116</t>
        </is>
      </c>
      <c r="H188" s="73">
        <f>ROUND(J188/13.33,2)</f>
        <v/>
      </c>
      <c r="I188" s="73">
        <f>ROUND(H188*12,0)</f>
        <v/>
      </c>
      <c r="J188" s="99" t="n">
        <v>170</v>
      </c>
      <c r="K188" s="73">
        <f>ROUND(H188*14,0)</f>
        <v/>
      </c>
      <c r="L188" s="42" t="n"/>
      <c r="M188" s="99" t="n">
        <v>153</v>
      </c>
      <c r="N188" s="65" t="n">
        <v>0.11</v>
      </c>
      <c r="O188" s="99" t="n">
        <v>146</v>
      </c>
      <c r="P188" s="66" t="n">
        <v>0.05</v>
      </c>
      <c r="Q188" s="34" t="n">
        <v>146</v>
      </c>
      <c r="R188" s="67">
        <f>ROUND((J188-Q188)/Q188,2)</f>
        <v/>
      </c>
      <c r="S188" s="34" t="n">
        <v>136</v>
      </c>
      <c r="T188" s="67">
        <f>ROUND((J188-S188)/S188,2)</f>
        <v/>
      </c>
    </row>
    <row r="189" customFormat="1" s="34">
      <c r="B189" s="69" t="inlineStr">
        <is>
          <t>NY2170</t>
        </is>
      </c>
      <c r="C189" s="101" t="n">
        <v>0.1</v>
      </c>
      <c r="D189" s="102" t="inlineStr">
        <is>
          <t>芯厚</t>
        </is>
      </c>
      <c r="E189" s="72" t="inlineStr">
        <is>
          <t>2/2</t>
        </is>
      </c>
      <c r="F189" s="73" t="inlineStr">
        <is>
          <t>HTE</t>
        </is>
      </c>
      <c r="G189" s="73" t="inlineStr">
        <is>
          <t>1*2116</t>
        </is>
      </c>
      <c r="H189" s="73">
        <f>ROUND(J189/13.33,2)</f>
        <v/>
      </c>
      <c r="I189" s="73">
        <f>ROUND(H189*12,0)</f>
        <v/>
      </c>
      <c r="J189" s="99">
        <f>J188+140</f>
        <v/>
      </c>
      <c r="K189" s="73">
        <f>ROUND(H189*14,0)</f>
        <v/>
      </c>
      <c r="L189" s="42" t="n"/>
      <c r="M189" s="99" t="n">
        <v>287</v>
      </c>
      <c r="N189" s="65" t="n">
        <v>0.08</v>
      </c>
      <c r="O189" s="99" t="n">
        <v>271</v>
      </c>
      <c r="P189" s="66" t="n">
        <v>0.06</v>
      </c>
      <c r="Q189" s="34" t="n">
        <v>269</v>
      </c>
      <c r="R189" s="67">
        <f>ROUND((J189-Q189)/Q189,2)</f>
        <v/>
      </c>
      <c r="S189" s="34" t="n">
        <v>251</v>
      </c>
      <c r="T189" s="67">
        <f>ROUND((J189-S189)/S189,2)</f>
        <v/>
      </c>
    </row>
    <row r="190" customFormat="1" s="34">
      <c r="B190" s="69" t="inlineStr">
        <is>
          <t>NY2170</t>
        </is>
      </c>
      <c r="C190" s="101" t="n">
        <v>0.1</v>
      </c>
      <c r="D190" s="102" t="inlineStr">
        <is>
          <t>芯厚</t>
        </is>
      </c>
      <c r="E190" s="72" t="inlineStr">
        <is>
          <t>3/3</t>
        </is>
      </c>
      <c r="F190" s="73" t="inlineStr">
        <is>
          <t>HTE</t>
        </is>
      </c>
      <c r="G190" s="73" t="inlineStr">
        <is>
          <t>1*2116</t>
        </is>
      </c>
      <c r="H190" s="73">
        <f>ROUND(J190/13.33,2)</f>
        <v/>
      </c>
      <c r="I190" s="73">
        <f>ROUND(H190*12,0)</f>
        <v/>
      </c>
      <c r="J190" s="99">
        <f>J189+150</f>
        <v/>
      </c>
      <c r="K190" s="73">
        <f>ROUND(H190*14,0)</f>
        <v/>
      </c>
      <c r="L190" s="42" t="n"/>
      <c r="M190" s="99" t="n">
        <v>417</v>
      </c>
      <c r="N190" s="65" t="n">
        <v>0.1</v>
      </c>
      <c r="O190" s="99" t="n">
        <v>401</v>
      </c>
      <c r="P190" s="66" t="n">
        <v>0.04</v>
      </c>
      <c r="Q190" s="34" t="n">
        <v>402</v>
      </c>
      <c r="R190" s="67">
        <f>ROUND((J190-Q190)/Q190,2)</f>
        <v/>
      </c>
      <c r="S190" s="34" t="n">
        <v>376</v>
      </c>
      <c r="T190" s="67">
        <f>ROUND((J190-S190)/S190,2)</f>
        <v/>
      </c>
    </row>
    <row r="191" customFormat="1" s="34">
      <c r="B191" s="69" t="inlineStr">
        <is>
          <t>NY2170</t>
        </is>
      </c>
      <c r="C191" s="101" t="n">
        <v>0.13</v>
      </c>
      <c r="D191" s="102" t="inlineStr">
        <is>
          <t>芯厚</t>
        </is>
      </c>
      <c r="E191" s="72" t="inlineStr">
        <is>
          <t>H/H</t>
        </is>
      </c>
      <c r="F191" s="73" t="inlineStr">
        <is>
          <t>HTE</t>
        </is>
      </c>
      <c r="G191" s="73" t="inlineStr">
        <is>
          <t>1*2116</t>
        </is>
      </c>
      <c r="H191" s="73">
        <f>ROUND(J191/13.33,2)</f>
        <v/>
      </c>
      <c r="I191" s="73">
        <f>ROUND(H191*12,0)</f>
        <v/>
      </c>
      <c r="J191" s="99">
        <f>J192-60</f>
        <v/>
      </c>
      <c r="K191" s="73">
        <f>ROUND(H191*14,0)</f>
        <v/>
      </c>
      <c r="L191" s="42" t="n"/>
      <c r="M191" s="99" t="n">
        <v>104</v>
      </c>
      <c r="N191" s="65" t="n">
        <v>0.06</v>
      </c>
      <c r="O191" s="99" t="n">
        <v>96</v>
      </c>
      <c r="P191" s="66" t="n">
        <v>0.08</v>
      </c>
      <c r="Q191" s="34" t="n">
        <v>93</v>
      </c>
      <c r="R191" s="67">
        <f>ROUND((J191-Q191)/Q191,2)</f>
        <v/>
      </c>
      <c r="S191" s="34" t="n">
        <v>87</v>
      </c>
      <c r="T191" s="67">
        <f>ROUND((J191-S191)/S191,2)</f>
        <v/>
      </c>
    </row>
    <row r="192" customFormat="1" s="34">
      <c r="B192" s="69" t="inlineStr">
        <is>
          <t>NY2170</t>
        </is>
      </c>
      <c r="C192" s="101" t="n">
        <v>0.13</v>
      </c>
      <c r="D192" s="102" t="inlineStr">
        <is>
          <t>芯厚</t>
        </is>
      </c>
      <c r="E192" s="72" t="inlineStr">
        <is>
          <t>1/1</t>
        </is>
      </c>
      <c r="F192" s="73" t="inlineStr">
        <is>
          <t>HTE</t>
        </is>
      </c>
      <c r="G192" s="73" t="inlineStr">
        <is>
          <t>1*2116</t>
        </is>
      </c>
      <c r="H192" s="73">
        <f>ROUND(J192/13.33,2)</f>
        <v/>
      </c>
      <c r="I192" s="73">
        <f>ROUND(H192*12,0)</f>
        <v/>
      </c>
      <c r="J192" s="99" t="n">
        <v>170</v>
      </c>
      <c r="K192" s="73">
        <f>ROUND(H192*14,0)</f>
        <v/>
      </c>
      <c r="L192" s="42" t="n"/>
      <c r="M192" s="99" t="n">
        <v>154</v>
      </c>
      <c r="N192" s="65" t="n">
        <v>0.1</v>
      </c>
      <c r="O192" s="99" t="n">
        <v>147</v>
      </c>
      <c r="P192" s="66" t="n">
        <v>0.05</v>
      </c>
      <c r="Q192" s="34" t="n">
        <v>146</v>
      </c>
      <c r="R192" s="67">
        <f>ROUND((J192-Q192)/Q192,2)</f>
        <v/>
      </c>
      <c r="S192" s="34" t="n">
        <v>136</v>
      </c>
      <c r="T192" s="67">
        <f>ROUND((J192-S192)/S192,2)</f>
        <v/>
      </c>
    </row>
    <row r="193" customFormat="1" s="34">
      <c r="B193" s="69" t="inlineStr">
        <is>
          <t>NY2170</t>
        </is>
      </c>
      <c r="C193" s="101" t="n">
        <v>0.13</v>
      </c>
      <c r="D193" s="102" t="inlineStr">
        <is>
          <t>芯厚</t>
        </is>
      </c>
      <c r="E193" s="72" t="inlineStr">
        <is>
          <t>2/2</t>
        </is>
      </c>
      <c r="F193" s="73" t="inlineStr">
        <is>
          <t>HTE</t>
        </is>
      </c>
      <c r="G193" s="73" t="inlineStr">
        <is>
          <t>1*2116</t>
        </is>
      </c>
      <c r="H193" s="73">
        <f>ROUND(J193/13.33,2)</f>
        <v/>
      </c>
      <c r="I193" s="73">
        <f>ROUND(H193*12,0)</f>
        <v/>
      </c>
      <c r="J193" s="99">
        <f>J192+140</f>
        <v/>
      </c>
      <c r="K193" s="73">
        <f>ROUND(H193*14,0)</f>
        <v/>
      </c>
      <c r="L193" s="42" t="n"/>
      <c r="M193" s="99" t="n">
        <v>288</v>
      </c>
      <c r="N193" s="65" t="n">
        <v>0.08</v>
      </c>
      <c r="O193" s="99" t="n">
        <v>272</v>
      </c>
      <c r="P193" s="66" t="n">
        <v>0.06</v>
      </c>
      <c r="Q193" s="34" t="n">
        <v>269</v>
      </c>
      <c r="R193" s="67">
        <f>ROUND((J193-Q193)/Q193,2)</f>
        <v/>
      </c>
      <c r="S193" s="34" t="n">
        <v>251</v>
      </c>
      <c r="T193" s="67">
        <f>ROUND((J193-S193)/S193,2)</f>
        <v/>
      </c>
    </row>
    <row r="194" customFormat="1" s="34">
      <c r="B194" s="69" t="inlineStr">
        <is>
          <t>NY2170</t>
        </is>
      </c>
      <c r="C194" s="101" t="n">
        <v>0.13</v>
      </c>
      <c r="D194" s="102" t="inlineStr">
        <is>
          <t>芯厚</t>
        </is>
      </c>
      <c r="E194" s="72" t="inlineStr">
        <is>
          <t>3/3</t>
        </is>
      </c>
      <c r="F194" s="73" t="inlineStr">
        <is>
          <t>HTE</t>
        </is>
      </c>
      <c r="G194" s="73" t="inlineStr">
        <is>
          <t>1*2116</t>
        </is>
      </c>
      <c r="H194" s="73">
        <f>ROUND(J194/13.33,2)</f>
        <v/>
      </c>
      <c r="I194" s="73">
        <f>ROUND(H194*12,0)</f>
        <v/>
      </c>
      <c r="J194" s="99">
        <f>J193+150</f>
        <v/>
      </c>
      <c r="K194" s="73">
        <f>ROUND(H194*14,0)</f>
        <v/>
      </c>
      <c r="L194" s="42" t="n"/>
      <c r="M194" s="99" t="n">
        <v>418</v>
      </c>
      <c r="N194" s="65" t="n">
        <v>0.1</v>
      </c>
      <c r="O194" s="99" t="n">
        <v>402</v>
      </c>
      <c r="P194" s="66" t="n">
        <v>0.04</v>
      </c>
      <c r="Q194" s="34" t="n">
        <v>402</v>
      </c>
      <c r="R194" s="67">
        <f>ROUND((J194-Q194)/Q194,2)</f>
        <v/>
      </c>
      <c r="S194" s="34" t="n">
        <v>376</v>
      </c>
      <c r="T194" s="67">
        <f>ROUND((J194-S194)/S194,2)</f>
        <v/>
      </c>
    </row>
    <row r="195" customFormat="1" s="34">
      <c r="B195" s="69" t="inlineStr">
        <is>
          <t>NY2170</t>
        </is>
      </c>
      <c r="C195" s="101" t="n">
        <v>0.15</v>
      </c>
      <c r="D195" s="102" t="inlineStr">
        <is>
          <t>芯厚</t>
        </is>
      </c>
      <c r="E195" s="72" t="inlineStr">
        <is>
          <t>H/H</t>
        </is>
      </c>
      <c r="F195" s="73" t="inlineStr">
        <is>
          <t>HTE</t>
        </is>
      </c>
      <c r="G195" s="73" t="inlineStr">
        <is>
          <t>1*1506</t>
        </is>
      </c>
      <c r="H195" s="73">
        <f>ROUND(J195/13.33,2)</f>
        <v/>
      </c>
      <c r="I195" s="73">
        <f>ROUND(H195*12,0)</f>
        <v/>
      </c>
      <c r="J195" s="99">
        <f>J196-60</f>
        <v/>
      </c>
      <c r="K195" s="73">
        <f>ROUND(H195*14,0)</f>
        <v/>
      </c>
      <c r="L195" s="42" t="n"/>
      <c r="M195" s="99" t="n">
        <v>105</v>
      </c>
      <c r="N195" s="65" t="n">
        <v>0.07000000000000001</v>
      </c>
      <c r="O195" s="99" t="n">
        <v>99</v>
      </c>
      <c r="P195" s="66" t="n">
        <v>0.06</v>
      </c>
      <c r="Q195" s="34" t="n">
        <v>93</v>
      </c>
      <c r="R195" s="67">
        <f>ROUND((J195-Q195)/Q195,2)</f>
        <v/>
      </c>
      <c r="S195" s="34" t="n">
        <v>87</v>
      </c>
      <c r="T195" s="67">
        <f>ROUND((J195-S195)/S195,2)</f>
        <v/>
      </c>
    </row>
    <row r="196" customFormat="1" s="34">
      <c r="B196" s="69" t="inlineStr">
        <is>
          <t>NY2170</t>
        </is>
      </c>
      <c r="C196" s="101" t="n">
        <v>0.15</v>
      </c>
      <c r="D196" s="102" t="inlineStr">
        <is>
          <t>芯厚</t>
        </is>
      </c>
      <c r="E196" s="72" t="inlineStr">
        <is>
          <t>1/1</t>
        </is>
      </c>
      <c r="F196" s="73" t="inlineStr">
        <is>
          <t>HTE</t>
        </is>
      </c>
      <c r="G196" s="73" t="inlineStr">
        <is>
          <t>1*1506</t>
        </is>
      </c>
      <c r="H196" s="73">
        <f>ROUND(J196/13.33,2)</f>
        <v/>
      </c>
      <c r="I196" s="73">
        <f>ROUND(H196*12,0)</f>
        <v/>
      </c>
      <c r="J196" s="99" t="n">
        <v>172</v>
      </c>
      <c r="K196" s="73">
        <f>ROUND(H196*14,0)</f>
        <v/>
      </c>
      <c r="L196" s="42" t="n"/>
      <c r="M196" s="99" t="n">
        <v>156</v>
      </c>
      <c r="N196" s="65" t="n">
        <v>0.1</v>
      </c>
      <c r="O196" s="99" t="n">
        <v>150</v>
      </c>
      <c r="P196" s="66" t="n">
        <v>0.04</v>
      </c>
      <c r="Q196" s="34" t="n">
        <v>146</v>
      </c>
      <c r="R196" s="67">
        <f>ROUND((J196-Q196)/Q196,2)</f>
        <v/>
      </c>
      <c r="S196" s="34" t="n">
        <v>136</v>
      </c>
      <c r="T196" s="67">
        <f>ROUND((J196-S196)/S196,2)</f>
        <v/>
      </c>
    </row>
    <row r="197" customFormat="1" s="34">
      <c r="B197" s="69" t="inlineStr">
        <is>
          <t>NY2170</t>
        </is>
      </c>
      <c r="C197" s="101" t="n">
        <v>0.15</v>
      </c>
      <c r="D197" s="102" t="inlineStr">
        <is>
          <t>芯厚</t>
        </is>
      </c>
      <c r="E197" s="72" t="inlineStr">
        <is>
          <t>2/2</t>
        </is>
      </c>
      <c r="F197" s="73" t="inlineStr">
        <is>
          <t>HTE</t>
        </is>
      </c>
      <c r="G197" s="73" t="inlineStr">
        <is>
          <t>1*1506</t>
        </is>
      </c>
      <c r="H197" s="73">
        <f>ROUND(J197/13.33,2)</f>
        <v/>
      </c>
      <c r="I197" s="73">
        <f>ROUND(H197*12,0)</f>
        <v/>
      </c>
      <c r="J197" s="99">
        <f>J196+140</f>
        <v/>
      </c>
      <c r="K197" s="73">
        <f>ROUND(H197*14,0)</f>
        <v/>
      </c>
      <c r="L197" s="42" t="n"/>
      <c r="M197" s="99" t="n">
        <v>289</v>
      </c>
      <c r="N197" s="65" t="n">
        <v>0.08</v>
      </c>
      <c r="O197" s="99" t="n">
        <v>275</v>
      </c>
      <c r="P197" s="66" t="n">
        <v>0.05</v>
      </c>
      <c r="Q197" s="34" t="n">
        <v>269</v>
      </c>
      <c r="R197" s="67">
        <f>ROUND((J197-Q197)/Q197,2)</f>
        <v/>
      </c>
      <c r="S197" s="34" t="n">
        <v>251</v>
      </c>
      <c r="T197" s="67">
        <f>ROUND((J197-S197)/S197,2)</f>
        <v/>
      </c>
    </row>
    <row r="198" customFormat="1" s="34">
      <c r="B198" s="69" t="inlineStr">
        <is>
          <t>NY2170</t>
        </is>
      </c>
      <c r="C198" s="101" t="n">
        <v>0.15</v>
      </c>
      <c r="D198" s="102" t="inlineStr">
        <is>
          <t>芯厚</t>
        </is>
      </c>
      <c r="E198" s="72" t="inlineStr">
        <is>
          <t>3/3</t>
        </is>
      </c>
      <c r="F198" s="73" t="inlineStr">
        <is>
          <t>HTE</t>
        </is>
      </c>
      <c r="G198" s="73" t="inlineStr">
        <is>
          <t>1*1506</t>
        </is>
      </c>
      <c r="H198" s="73">
        <f>ROUND(J198/13.33,2)</f>
        <v/>
      </c>
      <c r="I198" s="73">
        <f>ROUND(H198*12,0)</f>
        <v/>
      </c>
      <c r="J198" s="99">
        <f>J197+150</f>
        <v/>
      </c>
      <c r="K198" s="73">
        <f>ROUND(H198*14,0)</f>
        <v/>
      </c>
      <c r="L198" s="42" t="n"/>
      <c r="M198" s="99" t="n">
        <v>421</v>
      </c>
      <c r="N198" s="65" t="n">
        <v>0.1</v>
      </c>
      <c r="O198" s="99" t="n">
        <v>405</v>
      </c>
      <c r="P198" s="66" t="n">
        <v>0.04</v>
      </c>
      <c r="Q198" s="34" t="n">
        <v>402</v>
      </c>
      <c r="R198" s="67">
        <f>ROUND((J198-Q198)/Q198,2)</f>
        <v/>
      </c>
      <c r="S198" s="34" t="n">
        <v>376</v>
      </c>
      <c r="T198" s="67">
        <f>ROUND((J198-S198)/S198,2)</f>
        <v/>
      </c>
    </row>
    <row r="199" customFormat="1" s="34">
      <c r="B199" s="69" t="inlineStr">
        <is>
          <t>NY2170</t>
        </is>
      </c>
      <c r="C199" s="101" t="n">
        <v>0.2</v>
      </c>
      <c r="D199" s="102" t="inlineStr">
        <is>
          <t>芯厚</t>
        </is>
      </c>
      <c r="E199" s="72" t="inlineStr">
        <is>
          <t>H/H</t>
        </is>
      </c>
      <c r="F199" s="73" t="inlineStr">
        <is>
          <t>HTE</t>
        </is>
      </c>
      <c r="G199" s="69" t="inlineStr">
        <is>
          <t>1*7628</t>
        </is>
      </c>
      <c r="H199" s="73">
        <f>ROUND(J199/13.33,2)</f>
        <v/>
      </c>
      <c r="I199" s="73">
        <f>ROUND(H199*12,0)</f>
        <v/>
      </c>
      <c r="J199" s="99">
        <f>J200-60</f>
        <v/>
      </c>
      <c r="K199" s="73">
        <f>ROUND(H199*14,0)</f>
        <v/>
      </c>
      <c r="L199" s="42" t="n"/>
      <c r="M199" s="99" t="n">
        <v>104</v>
      </c>
      <c r="N199" s="65" t="n">
        <v>0.08</v>
      </c>
      <c r="O199" s="99" t="n">
        <v>99</v>
      </c>
      <c r="P199" s="66" t="n">
        <v>0.05</v>
      </c>
      <c r="Q199" s="34" t="n">
        <v>93</v>
      </c>
      <c r="R199" s="67">
        <f>ROUND((J199-Q199)/Q199,2)</f>
        <v/>
      </c>
      <c r="S199" s="34" t="n">
        <v>87</v>
      </c>
      <c r="T199" s="67">
        <f>ROUND((J199-S199)/S199,2)</f>
        <v/>
      </c>
    </row>
    <row r="200" customFormat="1" s="34">
      <c r="B200" s="69" t="inlineStr">
        <is>
          <t>NY2170</t>
        </is>
      </c>
      <c r="C200" s="101" t="n">
        <v>0.2</v>
      </c>
      <c r="D200" s="102" t="inlineStr">
        <is>
          <t>芯厚</t>
        </is>
      </c>
      <c r="E200" s="72" t="inlineStr">
        <is>
          <t>1/1</t>
        </is>
      </c>
      <c r="F200" s="73" t="inlineStr">
        <is>
          <t>HTE</t>
        </is>
      </c>
      <c r="G200" s="69" t="inlineStr">
        <is>
          <t>1*7628</t>
        </is>
      </c>
      <c r="H200" s="73">
        <f>ROUND(J200/13.33,2)</f>
        <v/>
      </c>
      <c r="I200" s="73">
        <f>ROUND(H200*12,0)</f>
        <v/>
      </c>
      <c r="J200" s="99" t="n">
        <v>172</v>
      </c>
      <c r="K200" s="73">
        <f>ROUND(H200*14,0)</f>
        <v/>
      </c>
      <c r="L200" s="42" t="n"/>
      <c r="M200" s="99" t="n">
        <v>154</v>
      </c>
      <c r="N200" s="65" t="n">
        <v>0.12</v>
      </c>
      <c r="O200" s="99" t="n">
        <v>147</v>
      </c>
      <c r="P200" s="66" t="n">
        <v>0.05</v>
      </c>
      <c r="Q200" s="34" t="n">
        <v>146</v>
      </c>
      <c r="R200" s="67">
        <f>ROUND((J200-Q200)/Q200,2)</f>
        <v/>
      </c>
      <c r="S200" s="34" t="n">
        <v>136</v>
      </c>
      <c r="T200" s="67">
        <f>ROUND((J200-S200)/S200,2)</f>
        <v/>
      </c>
    </row>
    <row r="201" customFormat="1" s="34">
      <c r="B201" s="69" t="inlineStr">
        <is>
          <t>NY2170</t>
        </is>
      </c>
      <c r="C201" s="101" t="n">
        <v>0.2</v>
      </c>
      <c r="D201" s="102" t="inlineStr">
        <is>
          <t>芯厚</t>
        </is>
      </c>
      <c r="E201" s="72" t="inlineStr">
        <is>
          <t>2/2</t>
        </is>
      </c>
      <c r="F201" s="73" t="inlineStr">
        <is>
          <t>HTE</t>
        </is>
      </c>
      <c r="G201" s="69" t="inlineStr">
        <is>
          <t>1*7628</t>
        </is>
      </c>
      <c r="H201" s="73">
        <f>ROUND(J201/13.33,2)</f>
        <v/>
      </c>
      <c r="I201" s="73">
        <f>ROUND(H201*12,0)</f>
        <v/>
      </c>
      <c r="J201" s="99">
        <f>J200+140</f>
        <v/>
      </c>
      <c r="K201" s="73">
        <f>ROUND(H201*14,0)</f>
        <v/>
      </c>
      <c r="L201" s="42" t="n"/>
      <c r="M201" s="99" t="n">
        <v>288</v>
      </c>
      <c r="N201" s="65" t="n">
        <v>0.08</v>
      </c>
      <c r="O201" s="99" t="n">
        <v>272</v>
      </c>
      <c r="P201" s="66" t="n">
        <v>0.06</v>
      </c>
      <c r="Q201" s="34" t="n">
        <v>269</v>
      </c>
      <c r="R201" s="67">
        <f>ROUND((J201-Q201)/Q201,2)</f>
        <v/>
      </c>
      <c r="S201" s="34" t="n">
        <v>251</v>
      </c>
      <c r="T201" s="67">
        <f>ROUND((J201-S201)/S201,2)</f>
        <v/>
      </c>
    </row>
    <row r="202" customFormat="1" s="34">
      <c r="B202" s="69" t="inlineStr">
        <is>
          <t>NY2170</t>
        </is>
      </c>
      <c r="C202" s="101" t="n">
        <v>0.2</v>
      </c>
      <c r="D202" s="102" t="inlineStr">
        <is>
          <t>芯厚</t>
        </is>
      </c>
      <c r="E202" s="72" t="inlineStr">
        <is>
          <t>3/3</t>
        </is>
      </c>
      <c r="F202" s="73" t="inlineStr">
        <is>
          <t>HTE</t>
        </is>
      </c>
      <c r="G202" s="69" t="inlineStr">
        <is>
          <t>1*7628</t>
        </is>
      </c>
      <c r="H202" s="73">
        <f>ROUND(J202/13.33,2)</f>
        <v/>
      </c>
      <c r="I202" s="73">
        <f>ROUND(H202*12,0)</f>
        <v/>
      </c>
      <c r="J202" s="99">
        <f>J201+150</f>
        <v/>
      </c>
      <c r="K202" s="73">
        <f>ROUND(H202*14,0)</f>
        <v/>
      </c>
      <c r="L202" s="42" t="n"/>
      <c r="M202" s="99" t="n">
        <v>418</v>
      </c>
      <c r="N202" s="65" t="n">
        <v>0.11</v>
      </c>
      <c r="O202" s="99" t="n">
        <v>402</v>
      </c>
      <c r="P202" s="66" t="n">
        <v>0.04</v>
      </c>
      <c r="Q202" s="34" t="n">
        <v>402</v>
      </c>
      <c r="R202" s="67">
        <f>ROUND((J202-Q202)/Q202,2)</f>
        <v/>
      </c>
      <c r="S202" s="34" t="n">
        <v>376</v>
      </c>
      <c r="T202" s="67">
        <f>ROUND((J202-S202)/S202,2)</f>
        <v/>
      </c>
    </row>
    <row r="203" customFormat="1" s="34">
      <c r="B203" s="69" t="inlineStr">
        <is>
          <t>NY2170</t>
        </is>
      </c>
      <c r="C203" s="101" t="n">
        <v>0.25</v>
      </c>
      <c r="D203" s="102" t="inlineStr">
        <is>
          <t>芯厚</t>
        </is>
      </c>
      <c r="E203" s="72" t="inlineStr">
        <is>
          <t>H/H</t>
        </is>
      </c>
      <c r="F203" s="73" t="inlineStr">
        <is>
          <t>HTE</t>
        </is>
      </c>
      <c r="G203" s="69" t="inlineStr">
        <is>
          <t>2*2116</t>
        </is>
      </c>
      <c r="H203" s="73">
        <f>ROUND(J203/13.33,2)</f>
        <v/>
      </c>
      <c r="I203" s="73">
        <f>ROUND(H203*12,0)</f>
        <v/>
      </c>
      <c r="J203" s="99">
        <f>J204-60</f>
        <v/>
      </c>
      <c r="K203" s="73">
        <f>ROUND(H203*14,0)</f>
        <v/>
      </c>
      <c r="L203" s="42" t="n"/>
      <c r="M203" s="99" t="n">
        <v>127</v>
      </c>
      <c r="N203" s="65" t="n">
        <v>0.07000000000000001</v>
      </c>
      <c r="O203" s="99" t="n">
        <v>118</v>
      </c>
      <c r="P203" s="66" t="n">
        <v>0.08</v>
      </c>
      <c r="Q203" s="34" t="n">
        <v>112</v>
      </c>
      <c r="R203" s="67">
        <f>ROUND((J203-Q203)/Q203,2)</f>
        <v/>
      </c>
      <c r="S203" s="34" t="n">
        <v>105</v>
      </c>
      <c r="T203" s="67">
        <f>ROUND((J203-S203)/S203,2)</f>
        <v/>
      </c>
    </row>
    <row r="204" customFormat="1" s="34">
      <c r="B204" s="69" t="inlineStr">
        <is>
          <t>NY2170</t>
        </is>
      </c>
      <c r="C204" s="101" t="n">
        <v>0.25</v>
      </c>
      <c r="D204" s="102" t="inlineStr">
        <is>
          <t>芯厚</t>
        </is>
      </c>
      <c r="E204" s="72" t="inlineStr">
        <is>
          <t>1/1</t>
        </is>
      </c>
      <c r="F204" s="73" t="inlineStr">
        <is>
          <t>HTE</t>
        </is>
      </c>
      <c r="G204" s="69" t="inlineStr">
        <is>
          <t>2*2116</t>
        </is>
      </c>
      <c r="H204" s="73">
        <f>ROUND(J204/13.33,2)</f>
        <v/>
      </c>
      <c r="I204" s="73">
        <f>ROUND(H204*12,0)</f>
        <v/>
      </c>
      <c r="J204" s="99" t="n">
        <v>196</v>
      </c>
      <c r="K204" s="73">
        <f>ROUND(H204*14,0)</f>
        <v/>
      </c>
      <c r="L204" s="42" t="n"/>
      <c r="M204" s="99" t="n">
        <v>179</v>
      </c>
      <c r="N204" s="65" t="n">
        <v>0.09</v>
      </c>
      <c r="O204" s="99" t="n">
        <v>170</v>
      </c>
      <c r="P204" s="66" t="n">
        <v>0.05</v>
      </c>
      <c r="Q204" s="34" t="n">
        <v>161</v>
      </c>
      <c r="R204" s="67">
        <f>ROUND((J204-Q204)/Q204,2)</f>
        <v/>
      </c>
      <c r="S204" s="34" t="n">
        <v>150</v>
      </c>
      <c r="T204" s="67">
        <f>ROUND((J204-S204)/S204,2)</f>
        <v/>
      </c>
    </row>
    <row r="205" customFormat="1" s="34">
      <c r="B205" s="69" t="inlineStr">
        <is>
          <t>NY2170</t>
        </is>
      </c>
      <c r="C205" s="101" t="n">
        <v>0.25</v>
      </c>
      <c r="D205" s="102" t="inlineStr">
        <is>
          <t>芯厚</t>
        </is>
      </c>
      <c r="E205" s="72" t="inlineStr">
        <is>
          <t>2/2</t>
        </is>
      </c>
      <c r="F205" s="73" t="inlineStr">
        <is>
          <t>HTE</t>
        </is>
      </c>
      <c r="G205" s="69" t="inlineStr">
        <is>
          <t>2*2116</t>
        </is>
      </c>
      <c r="H205" s="73">
        <f>ROUND(J205/13.33,2)</f>
        <v/>
      </c>
      <c r="I205" s="73">
        <f>ROUND(H205*12,0)</f>
        <v/>
      </c>
      <c r="J205" s="99">
        <f>J204+140</f>
        <v/>
      </c>
      <c r="K205" s="73">
        <f>ROUND(H205*14,0)</f>
        <v/>
      </c>
      <c r="L205" s="42" t="n"/>
      <c r="M205" s="99" t="n">
        <v>310</v>
      </c>
      <c r="N205" s="65" t="n">
        <v>0.08</v>
      </c>
      <c r="O205" s="99" t="n">
        <v>295</v>
      </c>
      <c r="P205" s="66" t="n">
        <v>0.05</v>
      </c>
      <c r="Q205" s="34" t="n">
        <v>284</v>
      </c>
      <c r="R205" s="67">
        <f>ROUND((J205-Q205)/Q205,2)</f>
        <v/>
      </c>
      <c r="S205" s="34" t="n">
        <v>265</v>
      </c>
      <c r="T205" s="67">
        <f>ROUND((J205-S205)/S205,2)</f>
        <v/>
      </c>
    </row>
    <row r="206" customFormat="1" s="34">
      <c r="B206" s="69" t="inlineStr">
        <is>
          <t>NY2170</t>
        </is>
      </c>
      <c r="C206" s="101" t="n">
        <v>0.25</v>
      </c>
      <c r="D206" s="102" t="inlineStr">
        <is>
          <t>芯厚</t>
        </is>
      </c>
      <c r="E206" s="72" t="inlineStr">
        <is>
          <t>3/3</t>
        </is>
      </c>
      <c r="F206" s="73" t="inlineStr">
        <is>
          <t>HTE</t>
        </is>
      </c>
      <c r="G206" s="69" t="inlineStr">
        <is>
          <t>2*2116</t>
        </is>
      </c>
      <c r="H206" s="73">
        <f>ROUND(J206/13.33,2)</f>
        <v/>
      </c>
      <c r="I206" s="73">
        <f>ROUND(H206*12,0)</f>
        <v/>
      </c>
      <c r="J206" s="99">
        <f>J205+150</f>
        <v/>
      </c>
      <c r="K206" s="73">
        <f>ROUND(H206*14,0)</f>
        <v/>
      </c>
      <c r="L206" s="42" t="n"/>
      <c r="M206" s="99" t="n">
        <v>442</v>
      </c>
      <c r="N206" s="65" t="n">
        <v>0.1</v>
      </c>
      <c r="O206" s="99" t="n">
        <v>425</v>
      </c>
      <c r="P206" s="66" t="n">
        <v>0.04</v>
      </c>
      <c r="Q206" s="34" t="n">
        <v>417</v>
      </c>
      <c r="R206" s="67">
        <f>ROUND((J206-Q206)/Q206,2)</f>
        <v/>
      </c>
      <c r="S206" s="34" t="n">
        <v>390</v>
      </c>
      <c r="T206" s="67">
        <f>ROUND((J206-S206)/S206,2)</f>
        <v/>
      </c>
    </row>
    <row r="207" customFormat="1" s="34">
      <c r="B207" s="69" t="inlineStr">
        <is>
          <t>NY2170</t>
        </is>
      </c>
      <c r="C207" s="101" t="n">
        <v>0.3</v>
      </c>
      <c r="D207" s="102" t="inlineStr">
        <is>
          <t>芯厚</t>
        </is>
      </c>
      <c r="E207" s="72" t="inlineStr">
        <is>
          <t>H/H</t>
        </is>
      </c>
      <c r="F207" s="73" t="inlineStr">
        <is>
          <t>HTE</t>
        </is>
      </c>
      <c r="G207" s="69" t="inlineStr">
        <is>
          <t>2*1506</t>
        </is>
      </c>
      <c r="H207" s="73">
        <f>ROUND(J207/13.33,2)</f>
        <v/>
      </c>
      <c r="I207" s="73">
        <f>ROUND(H207*12,0)</f>
        <v/>
      </c>
      <c r="J207" s="99">
        <f>J208-60</f>
        <v/>
      </c>
      <c r="K207" s="73">
        <f>ROUND(H207*14,0)</f>
        <v/>
      </c>
      <c r="L207" s="42" t="n"/>
      <c r="M207" s="99" t="n">
        <v>130</v>
      </c>
      <c r="N207" s="65" t="n">
        <v>0.05</v>
      </c>
      <c r="O207" s="99" t="n">
        <v>120</v>
      </c>
      <c r="P207" s="66" t="n">
        <v>0.08</v>
      </c>
      <c r="Q207" s="34" t="n">
        <v>113</v>
      </c>
      <c r="R207" s="67">
        <f>ROUND((J207-Q207)/Q207,2)</f>
        <v/>
      </c>
      <c r="S207" s="34" t="n">
        <v>106</v>
      </c>
      <c r="T207" s="67">
        <f>ROUND((J207-S207)/S207,2)</f>
        <v/>
      </c>
    </row>
    <row r="208" customFormat="1" s="34">
      <c r="B208" s="69" t="inlineStr">
        <is>
          <t>NY2170</t>
        </is>
      </c>
      <c r="C208" s="101" t="n">
        <v>0.3</v>
      </c>
      <c r="D208" s="102" t="inlineStr">
        <is>
          <t>芯厚</t>
        </is>
      </c>
      <c r="E208" s="72" t="inlineStr">
        <is>
          <t>1/1</t>
        </is>
      </c>
      <c r="F208" s="73" t="inlineStr">
        <is>
          <t>HTE</t>
        </is>
      </c>
      <c r="G208" s="69" t="inlineStr">
        <is>
          <t>2*1506</t>
        </is>
      </c>
      <c r="H208" s="73">
        <f>ROUND(J208/13.33,2)</f>
        <v/>
      </c>
      <c r="I208" s="73">
        <f>ROUND(H208*12,0)</f>
        <v/>
      </c>
      <c r="J208" s="99" t="n">
        <v>197</v>
      </c>
      <c r="K208" s="73">
        <f>ROUND(H208*14,0)</f>
        <v/>
      </c>
      <c r="L208" s="42" t="n"/>
      <c r="M208" s="99" t="n">
        <v>181</v>
      </c>
      <c r="N208" s="65" t="n">
        <v>0.09</v>
      </c>
      <c r="O208" s="99" t="n">
        <v>172</v>
      </c>
      <c r="P208" s="66" t="n">
        <v>0.05</v>
      </c>
      <c r="Q208" s="34" t="n">
        <v>162</v>
      </c>
      <c r="R208" s="67">
        <f>ROUND((J208-Q208)/Q208,2)</f>
        <v/>
      </c>
      <c r="S208" s="34" t="n">
        <v>151</v>
      </c>
      <c r="T208" s="67">
        <f>ROUND((J208-S208)/S208,2)</f>
        <v/>
      </c>
    </row>
    <row r="209" customFormat="1" s="34">
      <c r="B209" s="69" t="inlineStr">
        <is>
          <t>NY2170</t>
        </is>
      </c>
      <c r="C209" s="101" t="n">
        <v>0.3</v>
      </c>
      <c r="D209" s="102" t="inlineStr">
        <is>
          <t>芯厚</t>
        </is>
      </c>
      <c r="E209" s="72" t="inlineStr">
        <is>
          <t>2/2</t>
        </is>
      </c>
      <c r="F209" s="73" t="inlineStr">
        <is>
          <t>HTE</t>
        </is>
      </c>
      <c r="G209" s="69" t="inlineStr">
        <is>
          <t>2*1506</t>
        </is>
      </c>
      <c r="H209" s="73">
        <f>ROUND(J209/13.33,2)</f>
        <v/>
      </c>
      <c r="I209" s="73">
        <f>ROUND(H209*12,0)</f>
        <v/>
      </c>
      <c r="J209" s="99">
        <f>J208+140</f>
        <v/>
      </c>
      <c r="K209" s="73">
        <f>ROUND(H209*14,0)</f>
        <v/>
      </c>
      <c r="L209" s="42" t="n"/>
      <c r="M209" s="99" t="n">
        <v>312</v>
      </c>
      <c r="N209" s="65" t="n">
        <v>0.08</v>
      </c>
      <c r="O209" s="99" t="n">
        <v>297</v>
      </c>
      <c r="P209" s="66" t="n">
        <v>0.05</v>
      </c>
      <c r="Q209" s="34" t="n">
        <v>285</v>
      </c>
      <c r="R209" s="67">
        <f>ROUND((J209-Q209)/Q209,2)</f>
        <v/>
      </c>
      <c r="S209" s="34" t="n">
        <v>266</v>
      </c>
      <c r="T209" s="67">
        <f>ROUND((J209-S209)/S209,2)</f>
        <v/>
      </c>
    </row>
    <row r="210" customFormat="1" s="34">
      <c r="B210" s="69" t="inlineStr">
        <is>
          <t>NY2170</t>
        </is>
      </c>
      <c r="C210" s="101" t="n">
        <v>0.3</v>
      </c>
      <c r="D210" s="102" t="inlineStr">
        <is>
          <t>芯厚</t>
        </is>
      </c>
      <c r="E210" s="72" t="inlineStr">
        <is>
          <t>3/3</t>
        </is>
      </c>
      <c r="F210" s="73" t="inlineStr">
        <is>
          <t>HTE</t>
        </is>
      </c>
      <c r="G210" s="69" t="inlineStr">
        <is>
          <t>2*1506</t>
        </is>
      </c>
      <c r="H210" s="73">
        <f>ROUND(J210/13.33,2)</f>
        <v/>
      </c>
      <c r="I210" s="73">
        <f>ROUND(H210*12,0)</f>
        <v/>
      </c>
      <c r="J210" s="99">
        <f>J209+150</f>
        <v/>
      </c>
      <c r="K210" s="73">
        <f>ROUND(H210*14,0)</f>
        <v/>
      </c>
      <c r="L210" s="42" t="n"/>
      <c r="M210" s="99" t="n">
        <v>444</v>
      </c>
      <c r="N210" s="65" t="n">
        <v>0.1</v>
      </c>
      <c r="O210" s="99" t="n">
        <v>427</v>
      </c>
      <c r="P210" s="66" t="n">
        <v>0.04</v>
      </c>
      <c r="Q210" s="34" t="n">
        <v>418</v>
      </c>
      <c r="R210" s="67">
        <f>ROUND((J210-Q210)/Q210,2)</f>
        <v/>
      </c>
      <c r="S210" s="34" t="n">
        <v>391</v>
      </c>
      <c r="T210" s="67">
        <f>ROUND((J210-S210)/S210,2)</f>
        <v/>
      </c>
    </row>
    <row r="211" customFormat="1" s="34">
      <c r="B211" s="69" t="inlineStr">
        <is>
          <t>NY2170</t>
        </is>
      </c>
      <c r="C211" s="101" t="n">
        <v>0.35</v>
      </c>
      <c r="D211" s="102" t="inlineStr">
        <is>
          <t>芯厚</t>
        </is>
      </c>
      <c r="E211" s="72" t="inlineStr">
        <is>
          <t>H/H</t>
        </is>
      </c>
      <c r="F211" s="73" t="inlineStr">
        <is>
          <t>HTE</t>
        </is>
      </c>
      <c r="G211" s="69" t="inlineStr">
        <is>
          <t>2*7628</t>
        </is>
      </c>
      <c r="H211" s="73">
        <f>ROUND(J211/13.33,2)</f>
        <v/>
      </c>
      <c r="I211" s="73">
        <f>ROUND(H211*12,0)</f>
        <v/>
      </c>
      <c r="J211" s="99">
        <f>J212-60</f>
        <v/>
      </c>
      <c r="K211" s="73">
        <f>ROUND(H211*14,0)</f>
        <v/>
      </c>
      <c r="L211" s="42" t="n"/>
      <c r="M211" s="99" t="n">
        <v>127</v>
      </c>
      <c r="N211" s="65" t="n">
        <v>0.08</v>
      </c>
      <c r="O211" s="99" t="n">
        <v>118</v>
      </c>
      <c r="P211" s="66" t="n">
        <v>0.08</v>
      </c>
      <c r="Q211" s="34" t="n">
        <v>112</v>
      </c>
      <c r="R211" s="67">
        <f>ROUND((J211-Q211)/Q211,2)</f>
        <v/>
      </c>
      <c r="S211" s="34" t="n">
        <v>105</v>
      </c>
      <c r="T211" s="67">
        <f>ROUND((J211-S211)/S211,2)</f>
        <v/>
      </c>
    </row>
    <row r="212" customFormat="1" s="34">
      <c r="B212" s="69" t="inlineStr">
        <is>
          <t>NY2170</t>
        </is>
      </c>
      <c r="C212" s="101" t="n">
        <v>0.35</v>
      </c>
      <c r="D212" s="102" t="inlineStr">
        <is>
          <t>芯厚</t>
        </is>
      </c>
      <c r="E212" s="72" t="inlineStr">
        <is>
          <t>1/1</t>
        </is>
      </c>
      <c r="F212" s="73" t="inlineStr">
        <is>
          <t>HTE</t>
        </is>
      </c>
      <c r="G212" s="69" t="inlineStr">
        <is>
          <t>2*7628</t>
        </is>
      </c>
      <c r="H212" s="73">
        <f>ROUND(J212/13.33,2)</f>
        <v/>
      </c>
      <c r="I212" s="73">
        <f>ROUND(H212*12,0)</f>
        <v/>
      </c>
      <c r="J212" s="99" t="n">
        <v>197</v>
      </c>
      <c r="K212" s="73">
        <f>ROUND(H212*14,0)</f>
        <v/>
      </c>
      <c r="L212" s="42" t="n"/>
      <c r="M212" s="99" t="n">
        <v>179</v>
      </c>
      <c r="N212" s="65" t="n">
        <v>0.1</v>
      </c>
      <c r="O212" s="99" t="n">
        <v>170</v>
      </c>
      <c r="P212" s="66" t="n">
        <v>0.05</v>
      </c>
      <c r="Q212" s="34" t="n">
        <v>161</v>
      </c>
      <c r="R212" s="67">
        <f>ROUND((J212-Q212)/Q212,2)</f>
        <v/>
      </c>
      <c r="S212" s="34" t="n">
        <v>150</v>
      </c>
      <c r="T212" s="67">
        <f>ROUND((J212-S212)/S212,2)</f>
        <v/>
      </c>
    </row>
    <row r="213" customFormat="1" s="34">
      <c r="B213" s="69" t="inlineStr">
        <is>
          <t>NY2170</t>
        </is>
      </c>
      <c r="C213" s="101" t="n">
        <v>0.35</v>
      </c>
      <c r="D213" s="102" t="inlineStr">
        <is>
          <t>芯厚</t>
        </is>
      </c>
      <c r="E213" s="72" t="inlineStr">
        <is>
          <t>2/2</t>
        </is>
      </c>
      <c r="F213" s="73" t="inlineStr">
        <is>
          <t>HTE</t>
        </is>
      </c>
      <c r="G213" s="69" t="inlineStr">
        <is>
          <t>2*7628</t>
        </is>
      </c>
      <c r="H213" s="73">
        <f>ROUND(J213/13.33,2)</f>
        <v/>
      </c>
      <c r="I213" s="73">
        <f>ROUND(H213*12,0)</f>
        <v/>
      </c>
      <c r="J213" s="99">
        <f>J212+140</f>
        <v/>
      </c>
      <c r="K213" s="73">
        <f>ROUND(H213*14,0)</f>
        <v/>
      </c>
      <c r="L213" s="42" t="n"/>
      <c r="M213" s="99" t="n">
        <v>310</v>
      </c>
      <c r="N213" s="65" t="n">
        <v>0.09</v>
      </c>
      <c r="O213" s="99" t="n">
        <v>295</v>
      </c>
      <c r="P213" s="66" t="n">
        <v>0.05</v>
      </c>
      <c r="Q213" s="34" t="n">
        <v>284</v>
      </c>
      <c r="R213" s="67">
        <f>ROUND((J213-Q213)/Q213,2)</f>
        <v/>
      </c>
      <c r="S213" s="34" t="n">
        <v>265</v>
      </c>
      <c r="T213" s="67">
        <f>ROUND((J213-S213)/S213,2)</f>
        <v/>
      </c>
    </row>
    <row r="214" customFormat="1" s="34">
      <c r="B214" s="69" t="inlineStr">
        <is>
          <t>NY2170</t>
        </is>
      </c>
      <c r="C214" s="101" t="n">
        <v>0.35</v>
      </c>
      <c r="D214" s="102" t="inlineStr">
        <is>
          <t>芯厚</t>
        </is>
      </c>
      <c r="E214" s="72" t="inlineStr">
        <is>
          <t>3/3</t>
        </is>
      </c>
      <c r="F214" s="73" t="inlineStr">
        <is>
          <t>HTE</t>
        </is>
      </c>
      <c r="G214" s="69" t="inlineStr">
        <is>
          <t>2*7628</t>
        </is>
      </c>
      <c r="H214" s="73">
        <f>ROUND(J214/13.33,2)</f>
        <v/>
      </c>
      <c r="I214" s="73">
        <f>ROUND(H214*12,0)</f>
        <v/>
      </c>
      <c r="J214" s="99">
        <f>J213+150</f>
        <v/>
      </c>
      <c r="K214" s="73">
        <f>ROUND(H214*14,0)</f>
        <v/>
      </c>
      <c r="L214" s="42" t="n"/>
      <c r="M214" s="99" t="n">
        <v>442</v>
      </c>
      <c r="N214" s="65" t="n">
        <v>0.1</v>
      </c>
      <c r="O214" s="99" t="n">
        <v>425</v>
      </c>
      <c r="P214" s="66" t="n">
        <v>0.04</v>
      </c>
      <c r="Q214" s="34" t="n">
        <v>417</v>
      </c>
      <c r="R214" s="67">
        <f>ROUND((J214-Q214)/Q214,2)</f>
        <v/>
      </c>
      <c r="S214" s="34" t="n">
        <v>390</v>
      </c>
      <c r="T214" s="67">
        <f>ROUND((J214-S214)/S214,2)</f>
        <v/>
      </c>
    </row>
    <row r="215" customFormat="1" s="34">
      <c r="B215" s="69" t="inlineStr">
        <is>
          <t>NY2170</t>
        </is>
      </c>
      <c r="C215" s="102" t="n">
        <v>0.4</v>
      </c>
      <c r="D215" s="102" t="inlineStr">
        <is>
          <t>芯厚</t>
        </is>
      </c>
      <c r="E215" s="72" t="inlineStr">
        <is>
          <t>H/H</t>
        </is>
      </c>
      <c r="F215" s="73" t="inlineStr">
        <is>
          <t>HTE</t>
        </is>
      </c>
      <c r="G215" s="69" t="inlineStr">
        <is>
          <t>2*7628</t>
        </is>
      </c>
      <c r="H215" s="73">
        <f>ROUND(J215/13.33,2)</f>
        <v/>
      </c>
      <c r="I215" s="73">
        <f>ROUND(H215*12,0)</f>
        <v/>
      </c>
      <c r="J215" s="99">
        <f>J216-60</f>
        <v/>
      </c>
      <c r="K215" s="73">
        <f>ROUND(H215*14,0)</f>
        <v/>
      </c>
      <c r="L215" s="42" t="n"/>
      <c r="M215" s="99" t="n">
        <v>127</v>
      </c>
      <c r="N215" s="65" t="n">
        <v>0.09</v>
      </c>
      <c r="O215" s="99" t="n">
        <v>118</v>
      </c>
      <c r="P215" s="66" t="n">
        <v>0.08</v>
      </c>
      <c r="Q215" s="34" t="n">
        <v>112</v>
      </c>
      <c r="R215" s="67">
        <f>ROUND((J215-Q215)/Q215,2)</f>
        <v/>
      </c>
      <c r="S215" s="34" t="n">
        <v>105</v>
      </c>
      <c r="T215" s="67">
        <f>ROUND((J215-S215)/S215,2)</f>
        <v/>
      </c>
    </row>
    <row r="216" customFormat="1" s="34">
      <c r="B216" s="69" t="inlineStr">
        <is>
          <t>NY2170</t>
        </is>
      </c>
      <c r="C216" s="102" t="n">
        <v>0.4</v>
      </c>
      <c r="D216" s="102" t="inlineStr">
        <is>
          <t>芯厚</t>
        </is>
      </c>
      <c r="E216" s="72" t="inlineStr">
        <is>
          <t>1/1</t>
        </is>
      </c>
      <c r="F216" s="73" t="inlineStr">
        <is>
          <t>HTE</t>
        </is>
      </c>
      <c r="G216" s="69" t="inlineStr">
        <is>
          <t>2*7628</t>
        </is>
      </c>
      <c r="H216" s="73">
        <f>ROUND(J216/13.33,2)</f>
        <v/>
      </c>
      <c r="I216" s="73">
        <f>ROUND(H216*12,0)</f>
        <v/>
      </c>
      <c r="J216" s="99" t="n">
        <v>198</v>
      </c>
      <c r="K216" s="73">
        <f>ROUND(H216*14,0)</f>
        <v/>
      </c>
      <c r="L216" s="42" t="n"/>
      <c r="M216" s="99" t="n">
        <v>179</v>
      </c>
      <c r="N216" s="65" t="n">
        <v>0.11</v>
      </c>
      <c r="O216" s="99" t="n">
        <v>170</v>
      </c>
      <c r="P216" s="66" t="n">
        <v>0.05</v>
      </c>
      <c r="Q216" s="34" t="n">
        <v>161</v>
      </c>
      <c r="R216" s="67">
        <f>ROUND((J216-Q216)/Q216,2)</f>
        <v/>
      </c>
      <c r="S216" s="34" t="n">
        <v>150</v>
      </c>
      <c r="T216" s="67">
        <f>ROUND((J216-S216)/S216,2)</f>
        <v/>
      </c>
    </row>
    <row r="217" customFormat="1" s="34">
      <c r="B217" s="69" t="inlineStr">
        <is>
          <t>NY2170</t>
        </is>
      </c>
      <c r="C217" s="102" t="n">
        <v>0.4</v>
      </c>
      <c r="D217" s="102" t="inlineStr">
        <is>
          <t>芯厚</t>
        </is>
      </c>
      <c r="E217" s="72" t="inlineStr">
        <is>
          <t>2/2</t>
        </is>
      </c>
      <c r="F217" s="73" t="inlineStr">
        <is>
          <t>HTE</t>
        </is>
      </c>
      <c r="G217" s="69" t="inlineStr">
        <is>
          <t>2*7628</t>
        </is>
      </c>
      <c r="H217" s="73">
        <f>ROUND(J217/13.33,2)</f>
        <v/>
      </c>
      <c r="I217" s="73">
        <f>ROUND(H217*12,0)</f>
        <v/>
      </c>
      <c r="J217" s="99">
        <f>J216+140</f>
        <v/>
      </c>
      <c r="K217" s="73">
        <f>ROUND(H217*14,0)</f>
        <v/>
      </c>
      <c r="L217" s="42" t="n"/>
      <c r="M217" s="99" t="n">
        <v>310</v>
      </c>
      <c r="N217" s="65" t="n">
        <v>0.09</v>
      </c>
      <c r="O217" s="99" t="n">
        <v>295</v>
      </c>
      <c r="P217" s="66" t="n">
        <v>0.05</v>
      </c>
      <c r="Q217" s="34" t="n">
        <v>284</v>
      </c>
      <c r="R217" s="67">
        <f>ROUND((J217-Q217)/Q217,2)</f>
        <v/>
      </c>
      <c r="S217" s="34" t="n">
        <v>265</v>
      </c>
      <c r="T217" s="67">
        <f>ROUND((J217-S217)/S217,2)</f>
        <v/>
      </c>
    </row>
    <row r="218" customFormat="1" s="34">
      <c r="B218" s="69" t="inlineStr">
        <is>
          <t>NY2170</t>
        </is>
      </c>
      <c r="C218" s="102" t="n">
        <v>0.4</v>
      </c>
      <c r="D218" s="102" t="inlineStr">
        <is>
          <t>芯厚</t>
        </is>
      </c>
      <c r="E218" s="72" t="inlineStr">
        <is>
          <t>3/3</t>
        </is>
      </c>
      <c r="F218" s="73" t="inlineStr">
        <is>
          <t>HTE</t>
        </is>
      </c>
      <c r="G218" s="69" t="inlineStr">
        <is>
          <t>2*7628</t>
        </is>
      </c>
      <c r="H218" s="73">
        <f>ROUND(J218/13.33,2)</f>
        <v/>
      </c>
      <c r="I218" s="73">
        <f>ROUND(H218*12,0)</f>
        <v/>
      </c>
      <c r="J218" s="99">
        <f>J217+150</f>
        <v/>
      </c>
      <c r="K218" s="73">
        <f>ROUND(H218*14,0)</f>
        <v/>
      </c>
      <c r="L218" s="42" t="n"/>
      <c r="M218" s="99" t="n">
        <v>442</v>
      </c>
      <c r="N218" s="65" t="n">
        <v>0.1</v>
      </c>
      <c r="O218" s="99" t="n">
        <v>425</v>
      </c>
      <c r="P218" s="66" t="n">
        <v>0.04</v>
      </c>
      <c r="Q218" s="34" t="n">
        <v>417</v>
      </c>
      <c r="R218" s="67">
        <f>ROUND((J218-Q218)/Q218,2)</f>
        <v/>
      </c>
      <c r="S218" s="34" t="n">
        <v>390</v>
      </c>
      <c r="T218" s="67">
        <f>ROUND((J218-S218)/S218,2)</f>
        <v/>
      </c>
    </row>
    <row r="219" customFormat="1" s="34">
      <c r="B219" s="69" t="inlineStr">
        <is>
          <t>NY2170</t>
        </is>
      </c>
      <c r="C219" s="101" t="n">
        <v>0.45</v>
      </c>
      <c r="D219" s="102" t="inlineStr">
        <is>
          <t>芯厚</t>
        </is>
      </c>
      <c r="E219" s="72" t="inlineStr">
        <is>
          <t>H/H</t>
        </is>
      </c>
      <c r="F219" s="73" t="inlineStr">
        <is>
          <t>HTE</t>
        </is>
      </c>
      <c r="G219" s="69" t="inlineStr">
        <is>
          <t>2*7628+1*1080</t>
        </is>
      </c>
      <c r="H219" s="73">
        <f>ROUND(J219/13.33,2)</f>
        <v/>
      </c>
      <c r="I219" s="73">
        <f>ROUND(H219*12,0)</f>
        <v/>
      </c>
      <c r="J219" s="99">
        <f>J220-60</f>
        <v/>
      </c>
      <c r="K219" s="73">
        <f>ROUND(H219*14,0)</f>
        <v/>
      </c>
      <c r="L219" s="42" t="n"/>
      <c r="M219" s="99" t="n">
        <v>143</v>
      </c>
      <c r="N219" s="65" t="n">
        <v>0.11</v>
      </c>
      <c r="O219" s="99" t="n">
        <v>132</v>
      </c>
      <c r="P219" s="66" t="n">
        <v>0.08</v>
      </c>
      <c r="Q219" s="34" t="n">
        <v>122</v>
      </c>
      <c r="R219" s="67">
        <f>ROUND((J219-Q219)/Q219,2)</f>
        <v/>
      </c>
      <c r="S219" s="34" t="n">
        <v>114</v>
      </c>
      <c r="T219" s="67">
        <f>ROUND((J219-S219)/S219,2)</f>
        <v/>
      </c>
    </row>
    <row r="220" customFormat="1" s="34">
      <c r="B220" s="69" t="inlineStr">
        <is>
          <t>NY2170</t>
        </is>
      </c>
      <c r="C220" s="101" t="n">
        <v>0.45</v>
      </c>
      <c r="D220" s="102" t="inlineStr">
        <is>
          <t>芯厚</t>
        </is>
      </c>
      <c r="E220" s="72" t="inlineStr">
        <is>
          <t>1/1</t>
        </is>
      </c>
      <c r="F220" s="73" t="inlineStr">
        <is>
          <t>HTE</t>
        </is>
      </c>
      <c r="G220" s="69" t="inlineStr">
        <is>
          <t>2*7628+1*1080</t>
        </is>
      </c>
      <c r="H220" s="73">
        <f>ROUND(J220/13.33,2)</f>
        <v/>
      </c>
      <c r="I220" s="73">
        <f>ROUND(H220*12,0)</f>
        <v/>
      </c>
      <c r="J220" s="99" t="n">
        <v>219</v>
      </c>
      <c r="K220" s="73">
        <f>ROUND(H220*14,0)</f>
        <v/>
      </c>
      <c r="L220" s="42" t="n"/>
      <c r="M220" s="99" t="n">
        <v>194</v>
      </c>
      <c r="N220" s="65" t="n">
        <v>0.13</v>
      </c>
      <c r="O220" s="99" t="n">
        <v>185</v>
      </c>
      <c r="P220" s="66" t="n">
        <v>0.05</v>
      </c>
      <c r="Q220" s="34" t="n">
        <v>170</v>
      </c>
      <c r="R220" s="67">
        <f>ROUND((J220-Q220)/Q220,2)</f>
        <v/>
      </c>
      <c r="S220" s="34" t="n">
        <v>159</v>
      </c>
      <c r="T220" s="67">
        <f>ROUND((J220-S220)/S220,2)</f>
        <v/>
      </c>
    </row>
    <row r="221" customFormat="1" s="34">
      <c r="B221" s="69" t="inlineStr">
        <is>
          <t>NY2170</t>
        </is>
      </c>
      <c r="C221" s="101" t="n">
        <v>0.45</v>
      </c>
      <c r="D221" s="102" t="inlineStr">
        <is>
          <t>芯厚</t>
        </is>
      </c>
      <c r="E221" s="72" t="inlineStr">
        <is>
          <t>2/2</t>
        </is>
      </c>
      <c r="F221" s="73" t="inlineStr">
        <is>
          <t>HTE</t>
        </is>
      </c>
      <c r="G221" s="69" t="inlineStr">
        <is>
          <t>2*7628+1*1080</t>
        </is>
      </c>
      <c r="H221" s="73">
        <f>ROUND(J221/13.33,2)</f>
        <v/>
      </c>
      <c r="I221" s="73">
        <f>ROUND(H221*12,0)</f>
        <v/>
      </c>
      <c r="J221" s="99">
        <f>J220+140</f>
        <v/>
      </c>
      <c r="K221" s="73">
        <f>ROUND(H221*14,0)</f>
        <v/>
      </c>
      <c r="L221" s="42" t="n"/>
      <c r="M221" s="99" t="n">
        <v>326</v>
      </c>
      <c r="N221" s="65" t="n">
        <v>0.1</v>
      </c>
      <c r="O221" s="99" t="n">
        <v>310</v>
      </c>
      <c r="P221" s="66" t="n">
        <v>0.05</v>
      </c>
      <c r="Q221" s="34" t="n">
        <v>293</v>
      </c>
      <c r="R221" s="67">
        <f>ROUND((J221-Q221)/Q221,2)</f>
        <v/>
      </c>
      <c r="S221" s="34" t="n">
        <v>274</v>
      </c>
      <c r="T221" s="67">
        <f>ROUND((J221-S221)/S221,2)</f>
        <v/>
      </c>
    </row>
    <row r="222" customFormat="1" s="34">
      <c r="B222" s="69" t="inlineStr">
        <is>
          <t>NY2170</t>
        </is>
      </c>
      <c r="C222" s="101" t="n">
        <v>0.45</v>
      </c>
      <c r="D222" s="102" t="inlineStr">
        <is>
          <t>芯厚</t>
        </is>
      </c>
      <c r="E222" s="72" t="inlineStr">
        <is>
          <t>3/3</t>
        </is>
      </c>
      <c r="F222" s="73" t="inlineStr">
        <is>
          <t>HTE</t>
        </is>
      </c>
      <c r="G222" s="69" t="inlineStr">
        <is>
          <t>2*7628+1*1080</t>
        </is>
      </c>
      <c r="H222" s="73">
        <f>ROUND(J222/13.33,2)</f>
        <v/>
      </c>
      <c r="I222" s="73">
        <f>ROUND(H222*12,0)</f>
        <v/>
      </c>
      <c r="J222" s="99">
        <f>J221+150</f>
        <v/>
      </c>
      <c r="K222" s="73">
        <f>ROUND(H222*14,0)</f>
        <v/>
      </c>
      <c r="L222" s="42" t="n"/>
      <c r="M222" s="99" t="n">
        <v>458</v>
      </c>
      <c r="N222" s="65" t="n">
        <v>0.11</v>
      </c>
      <c r="O222" s="99" t="n">
        <v>440</v>
      </c>
      <c r="P222" s="66" t="n">
        <v>0.04</v>
      </c>
      <c r="Q222" s="34" t="n">
        <v>427</v>
      </c>
      <c r="R222" s="67">
        <f>ROUND((J222-Q222)/Q222,2)</f>
        <v/>
      </c>
      <c r="S222" s="34" t="n">
        <v>399</v>
      </c>
      <c r="T222" s="67">
        <f>ROUND((J222-S222)/S222,2)</f>
        <v/>
      </c>
    </row>
    <row r="223" customFormat="1" s="34">
      <c r="B223" s="69" t="inlineStr">
        <is>
          <t>NY2170</t>
        </is>
      </c>
      <c r="C223" s="101" t="n">
        <v>0.5</v>
      </c>
      <c r="D223" s="102" t="inlineStr">
        <is>
          <t>芯厚</t>
        </is>
      </c>
      <c r="E223" s="72" t="inlineStr">
        <is>
          <t>H/H</t>
        </is>
      </c>
      <c r="F223" s="73" t="inlineStr">
        <is>
          <t>HTE</t>
        </is>
      </c>
      <c r="G223" s="69" t="inlineStr">
        <is>
          <t>2*7628+1*2116</t>
        </is>
      </c>
      <c r="H223" s="73">
        <f>ROUND(J223/13.33,2)</f>
        <v/>
      </c>
      <c r="I223" s="73">
        <f>ROUND(H223*12,0)</f>
        <v/>
      </c>
      <c r="J223" s="99">
        <f>J224-60</f>
        <v/>
      </c>
      <c r="K223" s="73">
        <f>ROUND(H223*14,0)</f>
        <v/>
      </c>
      <c r="L223" s="42" t="n"/>
      <c r="M223" s="99" t="n">
        <v>143</v>
      </c>
      <c r="N223" s="65" t="n">
        <v>0.12</v>
      </c>
      <c r="O223" s="99" t="n">
        <v>132</v>
      </c>
      <c r="P223" s="66" t="n">
        <v>0.08</v>
      </c>
      <c r="Q223" s="34" t="n">
        <v>123</v>
      </c>
      <c r="R223" s="67">
        <f>ROUND((J223-Q223)/Q223,2)</f>
        <v/>
      </c>
      <c r="S223" s="34" t="n">
        <v>115</v>
      </c>
      <c r="T223" s="67">
        <f>ROUND((J223-S223)/S223,2)</f>
        <v/>
      </c>
    </row>
    <row r="224" customFormat="1" s="34">
      <c r="B224" s="69" t="inlineStr">
        <is>
          <t>NY2170</t>
        </is>
      </c>
      <c r="C224" s="101" t="n">
        <v>0.5</v>
      </c>
      <c r="D224" s="102" t="inlineStr">
        <is>
          <t>芯厚</t>
        </is>
      </c>
      <c r="E224" s="72" t="inlineStr">
        <is>
          <t>1/1</t>
        </is>
      </c>
      <c r="F224" s="73" t="inlineStr">
        <is>
          <t>HTE</t>
        </is>
      </c>
      <c r="G224" s="69" t="inlineStr">
        <is>
          <t>2*7628+1*2116</t>
        </is>
      </c>
      <c r="H224" s="73">
        <f>ROUND(J224/13.33,2)</f>
        <v/>
      </c>
      <c r="I224" s="73">
        <f>ROUND(H224*12,0)</f>
        <v/>
      </c>
      <c r="J224" s="99" t="n">
        <v>220</v>
      </c>
      <c r="K224" s="73">
        <f>ROUND(H224*14,0)</f>
        <v/>
      </c>
      <c r="L224" s="42" t="n"/>
      <c r="M224" s="99" t="n">
        <v>194</v>
      </c>
      <c r="N224" s="65" t="n">
        <v>0.13</v>
      </c>
      <c r="O224" s="99" t="n">
        <v>185</v>
      </c>
      <c r="P224" s="66" t="n">
        <v>0.05</v>
      </c>
      <c r="Q224" s="34" t="n">
        <v>171</v>
      </c>
      <c r="R224" s="67">
        <f>ROUND((J224-Q224)/Q224,2)</f>
        <v/>
      </c>
      <c r="S224" s="34" t="n">
        <v>160</v>
      </c>
      <c r="T224" s="67">
        <f>ROUND((J224-S224)/S224,2)</f>
        <v/>
      </c>
    </row>
    <row r="225" customFormat="1" s="34">
      <c r="B225" s="69" t="inlineStr">
        <is>
          <t>NY2170</t>
        </is>
      </c>
      <c r="C225" s="101" t="n">
        <v>0.5</v>
      </c>
      <c r="D225" s="102" t="inlineStr">
        <is>
          <t>芯厚</t>
        </is>
      </c>
      <c r="E225" s="72" t="inlineStr">
        <is>
          <t>2/2</t>
        </is>
      </c>
      <c r="F225" s="73" t="inlineStr">
        <is>
          <t>HTE</t>
        </is>
      </c>
      <c r="G225" s="69" t="inlineStr">
        <is>
          <t>2*7628+1*2116</t>
        </is>
      </c>
      <c r="H225" s="73">
        <f>ROUND(J225/13.33,2)</f>
        <v/>
      </c>
      <c r="I225" s="73">
        <f>ROUND(H225*12,0)</f>
        <v/>
      </c>
      <c r="J225" s="99">
        <f>J224+140</f>
        <v/>
      </c>
      <c r="K225" s="73">
        <f>ROUND(H225*14,0)</f>
        <v/>
      </c>
      <c r="L225" s="42" t="n"/>
      <c r="M225" s="99" t="n">
        <v>326</v>
      </c>
      <c r="N225" s="65" t="n">
        <v>0.1</v>
      </c>
      <c r="O225" s="99" t="n">
        <v>310</v>
      </c>
      <c r="P225" s="66" t="n">
        <v>0.05</v>
      </c>
      <c r="Q225" s="34" t="n">
        <v>294</v>
      </c>
      <c r="R225" s="67">
        <f>ROUND((J225-Q225)/Q225,2)</f>
        <v/>
      </c>
      <c r="S225" s="34" t="n">
        <v>275</v>
      </c>
      <c r="T225" s="67">
        <f>ROUND((J225-S225)/S225,2)</f>
        <v/>
      </c>
    </row>
    <row r="226" customFormat="1" s="34">
      <c r="B226" s="69" t="inlineStr">
        <is>
          <t>NY2170</t>
        </is>
      </c>
      <c r="C226" s="101" t="n">
        <v>0.5</v>
      </c>
      <c r="D226" s="102" t="inlineStr">
        <is>
          <t>芯厚</t>
        </is>
      </c>
      <c r="E226" s="72" t="inlineStr">
        <is>
          <t>3/3</t>
        </is>
      </c>
      <c r="F226" s="73" t="inlineStr">
        <is>
          <t>HTE</t>
        </is>
      </c>
      <c r="G226" s="69" t="inlineStr">
        <is>
          <t>2*7628+1*2116</t>
        </is>
      </c>
      <c r="H226" s="73">
        <f>ROUND(J226/13.33,2)</f>
        <v/>
      </c>
      <c r="I226" s="73">
        <f>ROUND(H226*12,0)</f>
        <v/>
      </c>
      <c r="J226" s="99">
        <f>J225+150</f>
        <v/>
      </c>
      <c r="K226" s="73">
        <f>ROUND(H226*14,0)</f>
        <v/>
      </c>
      <c r="L226" s="42" t="n"/>
      <c r="M226" s="99" t="n">
        <v>458</v>
      </c>
      <c r="N226" s="65" t="n">
        <v>0.11</v>
      </c>
      <c r="O226" s="99" t="n">
        <v>440</v>
      </c>
      <c r="P226" s="66" t="n">
        <v>0.04</v>
      </c>
      <c r="Q226" s="34" t="n">
        <v>428</v>
      </c>
      <c r="R226" s="67">
        <f>ROUND((J226-Q226)/Q226,2)</f>
        <v/>
      </c>
      <c r="S226" s="34" t="n">
        <v>400</v>
      </c>
      <c r="T226" s="67">
        <f>ROUND((J226-S226)/S226,2)</f>
        <v/>
      </c>
    </row>
    <row r="227" customFormat="1" s="34">
      <c r="B227" s="69" t="inlineStr">
        <is>
          <t>NY2170</t>
        </is>
      </c>
      <c r="C227" s="101" t="n">
        <v>0.6</v>
      </c>
      <c r="D227" s="102" t="inlineStr">
        <is>
          <t>芯厚</t>
        </is>
      </c>
      <c r="E227" s="72" t="inlineStr">
        <is>
          <t>H/H</t>
        </is>
      </c>
      <c r="F227" s="73" t="inlineStr">
        <is>
          <t>HTE</t>
        </is>
      </c>
      <c r="G227" s="69" t="inlineStr">
        <is>
          <t>3*7628</t>
        </is>
      </c>
      <c r="H227" s="73">
        <f>ROUND(J227/13.33,2)</f>
        <v/>
      </c>
      <c r="I227" s="73">
        <f>ROUND(H227*12,0)</f>
        <v/>
      </c>
      <c r="J227" s="99">
        <f>J228-60</f>
        <v/>
      </c>
      <c r="K227" s="73">
        <f>ROUND(H227*14,0)</f>
        <v/>
      </c>
      <c r="L227" s="42" t="n"/>
      <c r="M227" s="99" t="n">
        <v>145</v>
      </c>
      <c r="N227" s="65" t="n">
        <v>0.12</v>
      </c>
      <c r="O227" s="99" t="n">
        <v>134</v>
      </c>
      <c r="P227" s="66" t="n">
        <v>0.08</v>
      </c>
      <c r="Q227" s="34" t="n">
        <v>124</v>
      </c>
      <c r="R227" s="67">
        <f>ROUND((J227-Q227)/Q227,2)</f>
        <v/>
      </c>
      <c r="S227" s="34" t="n">
        <v>116</v>
      </c>
      <c r="T227" s="67">
        <f>ROUND((J227-S227)/S227,2)</f>
        <v/>
      </c>
    </row>
    <row r="228" customFormat="1" s="34">
      <c r="B228" s="69" t="inlineStr">
        <is>
          <t>NY2170</t>
        </is>
      </c>
      <c r="C228" s="101" t="n">
        <v>0.6</v>
      </c>
      <c r="D228" s="102" t="inlineStr">
        <is>
          <t>芯厚</t>
        </is>
      </c>
      <c r="E228" s="72" t="inlineStr">
        <is>
          <t>1/1</t>
        </is>
      </c>
      <c r="F228" s="73" t="inlineStr">
        <is>
          <t>HTE</t>
        </is>
      </c>
      <c r="G228" s="69" t="inlineStr">
        <is>
          <t>3*7628</t>
        </is>
      </c>
      <c r="H228" s="73">
        <f>ROUND(J228/13.33,2)</f>
        <v/>
      </c>
      <c r="I228" s="73">
        <f>ROUND(H228*12,0)</f>
        <v/>
      </c>
      <c r="J228" s="99" t="n">
        <v>222</v>
      </c>
      <c r="K228" s="73">
        <f>ROUND(H228*14,0)</f>
        <v/>
      </c>
      <c r="L228" s="42" t="n"/>
      <c r="M228" s="99" t="n">
        <v>196</v>
      </c>
      <c r="N228" s="65" t="n">
        <v>0.13</v>
      </c>
      <c r="O228" s="99" t="n">
        <v>187</v>
      </c>
      <c r="P228" s="66" t="n">
        <v>0.05</v>
      </c>
      <c r="Q228" s="34" t="n">
        <v>172</v>
      </c>
      <c r="R228" s="67">
        <f>ROUND((J228-Q228)/Q228,2)</f>
        <v/>
      </c>
      <c r="S228" s="34" t="n">
        <v>161</v>
      </c>
      <c r="T228" s="67">
        <f>ROUND((J228-S228)/S228,2)</f>
        <v/>
      </c>
    </row>
    <row r="229" customFormat="1" s="34">
      <c r="B229" s="69" t="inlineStr">
        <is>
          <t>NY2170</t>
        </is>
      </c>
      <c r="C229" s="101" t="n">
        <v>0.6</v>
      </c>
      <c r="D229" s="102" t="inlineStr">
        <is>
          <t>芯厚</t>
        </is>
      </c>
      <c r="E229" s="72" t="inlineStr">
        <is>
          <t>2/2</t>
        </is>
      </c>
      <c r="F229" s="73" t="inlineStr">
        <is>
          <t>HTE</t>
        </is>
      </c>
      <c r="G229" s="69" t="inlineStr">
        <is>
          <t>2*7628+1*2116</t>
        </is>
      </c>
      <c r="H229" s="73">
        <f>ROUND(J229/13.33,2)</f>
        <v/>
      </c>
      <c r="I229" s="73">
        <f>ROUND(H229*12,0)</f>
        <v/>
      </c>
      <c r="J229" s="99">
        <f>J228+140</f>
        <v/>
      </c>
      <c r="K229" s="73">
        <f>ROUND(H229*14,0)</f>
        <v/>
      </c>
      <c r="L229" s="42" t="n"/>
      <c r="M229" s="99" t="n">
        <v>328</v>
      </c>
      <c r="N229" s="65" t="n">
        <v>0.1</v>
      </c>
      <c r="O229" s="99" t="n">
        <v>312</v>
      </c>
      <c r="P229" s="66" t="n">
        <v>0.05</v>
      </c>
      <c r="Q229" s="34" t="n">
        <v>295</v>
      </c>
      <c r="R229" s="67">
        <f>ROUND((J229-Q229)/Q229,2)</f>
        <v/>
      </c>
      <c r="S229" s="34" t="n">
        <v>276</v>
      </c>
      <c r="T229" s="67">
        <f>ROUND((J229-S229)/S229,2)</f>
        <v/>
      </c>
    </row>
    <row r="230" customFormat="1" s="34">
      <c r="B230" s="69" t="inlineStr">
        <is>
          <t>NY2170</t>
        </is>
      </c>
      <c r="C230" s="101" t="n">
        <v>0.7</v>
      </c>
      <c r="D230" s="102" t="inlineStr">
        <is>
          <t>芯厚</t>
        </is>
      </c>
      <c r="E230" s="72" t="inlineStr">
        <is>
          <t>H/H</t>
        </is>
      </c>
      <c r="F230" s="73" t="inlineStr">
        <is>
          <t>HTE</t>
        </is>
      </c>
      <c r="G230" s="69" t="inlineStr">
        <is>
          <t>4*7628</t>
        </is>
      </c>
      <c r="H230" s="73">
        <f>ROUND(J230/13.33,2)</f>
        <v/>
      </c>
      <c r="I230" s="73">
        <f>ROUND(H230*12,0)</f>
        <v/>
      </c>
      <c r="J230" s="99">
        <f>J231-60</f>
        <v/>
      </c>
      <c r="K230" s="73">
        <f>ROUND(H230*14,0)</f>
        <v/>
      </c>
      <c r="L230" s="42" t="n"/>
      <c r="M230" s="99" t="n">
        <v>161</v>
      </c>
      <c r="N230" s="65" t="n">
        <v>0.14</v>
      </c>
      <c r="O230" s="99" t="n">
        <v>149</v>
      </c>
      <c r="P230" s="66" t="n">
        <v>0.08</v>
      </c>
      <c r="Q230" s="34" t="n">
        <v>136</v>
      </c>
      <c r="R230" s="67">
        <f>ROUND((J230-Q230)/Q230,2)</f>
        <v/>
      </c>
      <c r="S230" s="34" t="n">
        <v>127</v>
      </c>
      <c r="T230" s="67">
        <f>ROUND((J230-S230)/S230,2)</f>
        <v/>
      </c>
    </row>
    <row r="231" customFormat="1" s="34">
      <c r="B231" s="69" t="inlineStr">
        <is>
          <t>NY2170</t>
        </is>
      </c>
      <c r="C231" s="101" t="n">
        <v>0.7</v>
      </c>
      <c r="D231" s="102" t="inlineStr">
        <is>
          <t>芯厚</t>
        </is>
      </c>
      <c r="E231" s="72" t="inlineStr">
        <is>
          <t>1/1</t>
        </is>
      </c>
      <c r="F231" s="73" t="inlineStr">
        <is>
          <t>HTE</t>
        </is>
      </c>
      <c r="G231" s="69" t="inlineStr">
        <is>
          <t>4*7628</t>
        </is>
      </c>
      <c r="H231" s="73">
        <f>ROUND(J231/13.33,2)</f>
        <v/>
      </c>
      <c r="I231" s="73">
        <f>ROUND(H231*12,0)</f>
        <v/>
      </c>
      <c r="J231" s="99" t="n">
        <v>243</v>
      </c>
      <c r="K231" s="73">
        <f>ROUND(H231*14,0)</f>
        <v/>
      </c>
      <c r="L231" s="42" t="n"/>
      <c r="M231" s="99" t="n">
        <v>212</v>
      </c>
      <c r="N231" s="65" t="n">
        <v>0.15</v>
      </c>
      <c r="O231" s="99" t="n">
        <v>202</v>
      </c>
      <c r="P231" s="66" t="n">
        <v>0.05</v>
      </c>
      <c r="Q231" s="34" t="n">
        <v>183</v>
      </c>
      <c r="R231" s="67">
        <f>ROUND((J231-Q231)/Q231,2)</f>
        <v/>
      </c>
      <c r="S231" s="34" t="n">
        <v>171</v>
      </c>
      <c r="T231" s="67">
        <f>ROUND((J231-S231)/S231,2)</f>
        <v/>
      </c>
    </row>
    <row r="232" customFormat="1" s="34">
      <c r="B232" s="69" t="inlineStr">
        <is>
          <t>NY2170</t>
        </is>
      </c>
      <c r="C232" s="101" t="n">
        <v>0.7</v>
      </c>
      <c r="D232" s="102" t="inlineStr">
        <is>
          <t>芯厚</t>
        </is>
      </c>
      <c r="E232" s="72" t="inlineStr">
        <is>
          <t>2/2</t>
        </is>
      </c>
      <c r="F232" s="73" t="inlineStr">
        <is>
          <t>HTE</t>
        </is>
      </c>
      <c r="G232" s="69" t="inlineStr">
        <is>
          <t>4*7628</t>
        </is>
      </c>
      <c r="H232" s="73">
        <f>ROUND(J232/13.33,2)</f>
        <v/>
      </c>
      <c r="I232" s="73">
        <f>ROUND(H232*12,0)</f>
        <v/>
      </c>
      <c r="J232" s="99">
        <f>J231+140</f>
        <v/>
      </c>
      <c r="K232" s="73">
        <f>ROUND(H232*14,0)</f>
        <v/>
      </c>
      <c r="L232" s="42" t="n"/>
      <c r="M232" s="99" t="n">
        <v>343</v>
      </c>
      <c r="N232" s="65" t="n">
        <v>0.12</v>
      </c>
      <c r="O232" s="99" t="n">
        <v>327</v>
      </c>
      <c r="P232" s="66" t="n">
        <v>0.05</v>
      </c>
      <c r="Q232" s="34" t="n">
        <v>306</v>
      </c>
      <c r="R232" s="67">
        <f>ROUND((J232-Q232)/Q232,2)</f>
        <v/>
      </c>
      <c r="S232" s="34" t="n">
        <v>286</v>
      </c>
      <c r="T232" s="67">
        <f>ROUND((J232-S232)/S232,2)</f>
        <v/>
      </c>
    </row>
    <row r="233" customFormat="1" s="34">
      <c r="B233" s="69" t="inlineStr">
        <is>
          <t>NY2170</t>
        </is>
      </c>
      <c r="C233" s="101" t="n">
        <v>0.8</v>
      </c>
      <c r="D233" s="102" t="inlineStr">
        <is>
          <t>总厚</t>
        </is>
      </c>
      <c r="E233" s="72" t="inlineStr">
        <is>
          <t>H/H</t>
        </is>
      </c>
      <c r="F233" s="73" t="inlineStr">
        <is>
          <t>HTE</t>
        </is>
      </c>
      <c r="G233" s="69" t="inlineStr">
        <is>
          <t>4*7628</t>
        </is>
      </c>
      <c r="H233" s="73">
        <f>ROUND(J233/13.33,2)</f>
        <v/>
      </c>
      <c r="I233" s="73">
        <f>ROUND(H233*12,0)</f>
        <v/>
      </c>
      <c r="J233" s="99">
        <f>J234-60</f>
        <v/>
      </c>
      <c r="K233" s="73">
        <f>ROUND(H233*14,0)</f>
        <v/>
      </c>
      <c r="L233" s="42" t="n"/>
      <c r="M233" s="99" t="n">
        <v>165</v>
      </c>
      <c r="N233" s="65" t="n">
        <v>0.13</v>
      </c>
      <c r="O233" s="99" t="n">
        <v>153</v>
      </c>
      <c r="P233" s="66" t="n">
        <v>0.08</v>
      </c>
      <c r="Q233" s="34" t="n">
        <v>139</v>
      </c>
      <c r="R233" s="67">
        <f>ROUND((J233-Q233)/Q233,2)</f>
        <v/>
      </c>
      <c r="S233" s="34" t="n">
        <v>130</v>
      </c>
      <c r="T233" s="67">
        <f>ROUND((J233-S233)/S233,2)</f>
        <v/>
      </c>
    </row>
    <row r="234" customFormat="1" s="34">
      <c r="B234" s="69" t="inlineStr">
        <is>
          <t>NY2170</t>
        </is>
      </c>
      <c r="C234" s="101" t="n">
        <v>0.8</v>
      </c>
      <c r="D234" s="102" t="inlineStr">
        <is>
          <t>总厚</t>
        </is>
      </c>
      <c r="E234" s="72" t="inlineStr">
        <is>
          <t>1/1</t>
        </is>
      </c>
      <c r="F234" s="73" t="inlineStr">
        <is>
          <t>HTE</t>
        </is>
      </c>
      <c r="G234" s="69" t="inlineStr">
        <is>
          <t>4*7628</t>
        </is>
      </c>
      <c r="H234" s="73">
        <f>ROUND(J234/13.33,2)</f>
        <v/>
      </c>
      <c r="I234" s="73">
        <f>ROUND(H234*12,0)</f>
        <v/>
      </c>
      <c r="J234" s="99" t="n">
        <v>247</v>
      </c>
      <c r="K234" s="73">
        <f>ROUND(H234*14,0)</f>
        <v/>
      </c>
      <c r="L234" s="42" t="n"/>
      <c r="M234" s="99" t="n">
        <v>216</v>
      </c>
      <c r="N234" s="65" t="n">
        <v>0.14</v>
      </c>
      <c r="O234" s="99" t="n">
        <v>206</v>
      </c>
      <c r="P234" s="66" t="n">
        <v>0.05</v>
      </c>
      <c r="Q234" s="34" t="n">
        <v>187</v>
      </c>
      <c r="R234" s="67">
        <f>ROUND((J234-Q234)/Q234,2)</f>
        <v/>
      </c>
      <c r="S234" s="34" t="n">
        <v>175</v>
      </c>
      <c r="T234" s="67">
        <f>ROUND((J234-S234)/S234,2)</f>
        <v/>
      </c>
    </row>
    <row r="235" customFormat="1" s="34">
      <c r="B235" s="69" t="inlineStr">
        <is>
          <t>NY2170</t>
        </is>
      </c>
      <c r="C235" s="101" t="n">
        <v>0.8</v>
      </c>
      <c r="D235" s="102" t="inlineStr">
        <is>
          <t>总厚</t>
        </is>
      </c>
      <c r="E235" s="72" t="inlineStr">
        <is>
          <t>2/2</t>
        </is>
      </c>
      <c r="F235" s="73" t="inlineStr">
        <is>
          <t>HTE</t>
        </is>
      </c>
      <c r="G235" s="69" t="inlineStr">
        <is>
          <t>4*7628</t>
        </is>
      </c>
      <c r="H235" s="73">
        <f>ROUND(J235/13.33,2)</f>
        <v/>
      </c>
      <c r="I235" s="73">
        <f>ROUND(H235*12,0)</f>
        <v/>
      </c>
      <c r="J235" s="99">
        <f>J234+140</f>
        <v/>
      </c>
      <c r="K235" s="73">
        <f>ROUND(H235*14,0)</f>
        <v/>
      </c>
      <c r="L235" s="42" t="n"/>
      <c r="M235" s="99" t="n">
        <v>348</v>
      </c>
      <c r="N235" s="65" t="n">
        <v>0.11</v>
      </c>
      <c r="O235" s="99" t="n">
        <v>331</v>
      </c>
      <c r="P235" s="66" t="n">
        <v>0.05</v>
      </c>
      <c r="Q235" s="34" t="n">
        <v>310</v>
      </c>
      <c r="R235" s="67">
        <f>ROUND((J235-Q235)/Q235,2)</f>
        <v/>
      </c>
      <c r="S235" s="34" t="n">
        <v>290</v>
      </c>
      <c r="T235" s="67">
        <f>ROUND((J235-S235)/S235,2)</f>
        <v/>
      </c>
    </row>
    <row r="236" customFormat="1" s="34">
      <c r="B236" s="69" t="inlineStr">
        <is>
          <t>NY2170</t>
        </is>
      </c>
      <c r="C236" s="101" t="n">
        <v>0.9</v>
      </c>
      <c r="D236" s="102" t="inlineStr">
        <is>
          <t>总厚</t>
        </is>
      </c>
      <c r="E236" s="72" t="inlineStr">
        <is>
          <t>H/H</t>
        </is>
      </c>
      <c r="F236" s="73" t="inlineStr">
        <is>
          <t>HTE</t>
        </is>
      </c>
      <c r="G236" s="69" t="inlineStr">
        <is>
          <t>5*7628</t>
        </is>
      </c>
      <c r="H236" s="73">
        <f>ROUND(J236/13.33,2)</f>
        <v/>
      </c>
      <c r="I236" s="73">
        <f>ROUND(H236*12,0)</f>
        <v/>
      </c>
      <c r="J236" s="99">
        <f>J237-60</f>
        <v/>
      </c>
      <c r="K236" s="73">
        <f>ROUND(H236*14,0)</f>
        <v/>
      </c>
      <c r="L236" s="42" t="n"/>
      <c r="M236" s="99" t="n">
        <v>183</v>
      </c>
      <c r="N236" s="65" t="n">
        <v>0.13</v>
      </c>
      <c r="O236" s="99" t="n">
        <v>168</v>
      </c>
      <c r="P236" s="66" t="n">
        <v>0.09</v>
      </c>
      <c r="Q236" s="34" t="n">
        <v>148</v>
      </c>
      <c r="R236" s="67">
        <f>ROUND((J236-Q236)/Q236,2)</f>
        <v/>
      </c>
      <c r="S236" s="34" t="n">
        <v>138</v>
      </c>
      <c r="T236" s="67">
        <f>ROUND((J236-S236)/S236,2)</f>
        <v/>
      </c>
    </row>
    <row r="237" customFormat="1" s="34">
      <c r="B237" s="69" t="inlineStr">
        <is>
          <t>NY2170</t>
        </is>
      </c>
      <c r="C237" s="101" t="n">
        <v>0.9</v>
      </c>
      <c r="D237" s="102" t="inlineStr">
        <is>
          <t>总厚</t>
        </is>
      </c>
      <c r="E237" s="72" t="inlineStr">
        <is>
          <t>1/1</t>
        </is>
      </c>
      <c r="F237" s="73" t="inlineStr">
        <is>
          <t>HTE</t>
        </is>
      </c>
      <c r="G237" s="69" t="inlineStr">
        <is>
          <t>5*7628</t>
        </is>
      </c>
      <c r="H237" s="73">
        <f>ROUND(J237/13.33,2)</f>
        <v/>
      </c>
      <c r="I237" s="73">
        <f>ROUND(H237*12,0)</f>
        <v/>
      </c>
      <c r="J237" s="99" t="n">
        <v>267</v>
      </c>
      <c r="K237" s="73">
        <f>ROUND(H237*14,0)</f>
        <v/>
      </c>
      <c r="L237" s="42" t="n"/>
      <c r="M237" s="99" t="n">
        <v>234</v>
      </c>
      <c r="N237" s="65" t="n">
        <v>0.14</v>
      </c>
      <c r="O237" s="99" t="n">
        <v>221</v>
      </c>
      <c r="P237" s="66" t="n">
        <v>0.06</v>
      </c>
      <c r="Q237" s="34" t="n">
        <v>196</v>
      </c>
      <c r="R237" s="67">
        <f>ROUND((J237-Q237)/Q237,2)</f>
        <v/>
      </c>
      <c r="S237" s="34" t="n">
        <v>183</v>
      </c>
      <c r="T237" s="67">
        <f>ROUND((J237-S237)/S237,2)</f>
        <v/>
      </c>
    </row>
    <row r="238" customFormat="1" s="34">
      <c r="B238" s="69" t="inlineStr">
        <is>
          <t>NY2170</t>
        </is>
      </c>
      <c r="C238" s="101" t="n">
        <v>0.9</v>
      </c>
      <c r="D238" s="102" t="inlineStr">
        <is>
          <t>总厚</t>
        </is>
      </c>
      <c r="E238" s="72" t="inlineStr">
        <is>
          <t>2/2</t>
        </is>
      </c>
      <c r="F238" s="73" t="inlineStr">
        <is>
          <t>HTE</t>
        </is>
      </c>
      <c r="G238" s="69" t="inlineStr">
        <is>
          <t>4*7628</t>
        </is>
      </c>
      <c r="H238" s="73">
        <f>ROUND(J238/13.33,2)</f>
        <v/>
      </c>
      <c r="I238" s="73">
        <f>ROUND(H238*12,0)</f>
        <v/>
      </c>
      <c r="J238" s="99">
        <f>J237+130</f>
        <v/>
      </c>
      <c r="K238" s="73">
        <f>ROUND(H238*14,0)</f>
        <v/>
      </c>
      <c r="L238" s="42" t="n"/>
      <c r="M238" s="99" t="n">
        <v>367</v>
      </c>
      <c r="N238" s="65" t="n">
        <v>0.08</v>
      </c>
      <c r="O238" s="99" t="n">
        <v>346</v>
      </c>
      <c r="P238" s="66" t="n">
        <v>0.06</v>
      </c>
      <c r="Q238" s="34" t="n">
        <v>319</v>
      </c>
      <c r="R238" s="67">
        <f>ROUND((J238-Q238)/Q238,2)</f>
        <v/>
      </c>
      <c r="S238" s="34" t="n">
        <v>298</v>
      </c>
      <c r="T238" s="67">
        <f>ROUND((J238-S238)/S238,2)</f>
        <v/>
      </c>
    </row>
    <row r="239" customFormat="1" s="34">
      <c r="B239" s="69" t="inlineStr">
        <is>
          <t>NY2170</t>
        </is>
      </c>
      <c r="C239" s="101" t="n">
        <v>0.9</v>
      </c>
      <c r="D239" s="102" t="inlineStr">
        <is>
          <t>总厚</t>
        </is>
      </c>
      <c r="E239" s="72" t="inlineStr">
        <is>
          <t>3/3</t>
        </is>
      </c>
      <c r="F239" s="73" t="inlineStr">
        <is>
          <t>HTE</t>
        </is>
      </c>
      <c r="G239" s="69" t="inlineStr">
        <is>
          <t>4*7628</t>
        </is>
      </c>
      <c r="H239" s="73">
        <f>ROUND(J239/13.33,2)</f>
        <v/>
      </c>
      <c r="I239" s="73">
        <f>ROUND(H239*12,0)</f>
        <v/>
      </c>
      <c r="J239" s="99">
        <f>J238+150</f>
        <v/>
      </c>
      <c r="K239" s="73">
        <f>ROUND(H239*14,0)</f>
        <v/>
      </c>
      <c r="L239" s="42" t="n"/>
      <c r="M239" s="99" t="n">
        <v>500</v>
      </c>
      <c r="N239" s="65" t="n">
        <v>0.09</v>
      </c>
      <c r="O239" s="99" t="n">
        <v>476</v>
      </c>
      <c r="P239" s="66" t="n">
        <v>0.05</v>
      </c>
      <c r="Q239" s="34" t="n">
        <v>442</v>
      </c>
      <c r="R239" s="67">
        <f>ROUND((J239-Q239)/Q239,2)</f>
        <v/>
      </c>
      <c r="S239" s="34" t="n">
        <v>413</v>
      </c>
      <c r="T239" s="67">
        <f>ROUND((J239-S239)/S239,2)</f>
        <v/>
      </c>
    </row>
    <row r="240" customFormat="1" s="34">
      <c r="B240" s="69" t="inlineStr">
        <is>
          <t>NY2170</t>
        </is>
      </c>
      <c r="C240" s="101" t="n">
        <v>1</v>
      </c>
      <c r="D240" s="102" t="inlineStr">
        <is>
          <t>总厚</t>
        </is>
      </c>
      <c r="E240" s="72" t="inlineStr">
        <is>
          <t>H/H</t>
        </is>
      </c>
      <c r="F240" s="73" t="inlineStr">
        <is>
          <t>HTE</t>
        </is>
      </c>
      <c r="G240" s="69" t="inlineStr">
        <is>
          <t>5*7628</t>
        </is>
      </c>
      <c r="H240" s="73">
        <f>ROUND(J240/13.33,2)</f>
        <v/>
      </c>
      <c r="I240" s="73">
        <f>ROUND(H240*12,0)</f>
        <v/>
      </c>
      <c r="J240" s="99">
        <f>J241-60</f>
        <v/>
      </c>
      <c r="K240" s="73">
        <f>ROUND(H240*14,0)</f>
        <v/>
      </c>
      <c r="L240" s="42" t="n"/>
      <c r="M240" s="99" t="n">
        <v>187</v>
      </c>
      <c r="N240" s="65" t="n">
        <v>0.13</v>
      </c>
      <c r="O240" s="99" t="n">
        <v>172</v>
      </c>
      <c r="P240" s="66" t="n">
        <v>0.09</v>
      </c>
      <c r="Q240" s="34" t="n">
        <v>154</v>
      </c>
      <c r="R240" s="67">
        <f>ROUND((J240-Q240)/Q240,2)</f>
        <v/>
      </c>
      <c r="S240" s="34" t="n">
        <v>144</v>
      </c>
      <c r="T240" s="67">
        <f>ROUND((J240-S240)/S240,2)</f>
        <v/>
      </c>
    </row>
    <row r="241" customFormat="1" s="34">
      <c r="B241" s="69" t="inlineStr">
        <is>
          <t>NY2170</t>
        </is>
      </c>
      <c r="C241" s="101" t="n">
        <v>1</v>
      </c>
      <c r="D241" s="102" t="inlineStr">
        <is>
          <t>总厚</t>
        </is>
      </c>
      <c r="E241" s="72" t="inlineStr">
        <is>
          <t>1/1</t>
        </is>
      </c>
      <c r="F241" s="73" t="inlineStr">
        <is>
          <t>HTE</t>
        </is>
      </c>
      <c r="G241" s="69" t="inlineStr">
        <is>
          <t>5*7628</t>
        </is>
      </c>
      <c r="H241" s="73">
        <f>ROUND(J241/13.33,2)</f>
        <v/>
      </c>
      <c r="I241" s="73">
        <f>ROUND(H241*12,0)</f>
        <v/>
      </c>
      <c r="J241" s="99" t="n">
        <v>271</v>
      </c>
      <c r="K241" s="73">
        <f>ROUND(H241*14,0)</f>
        <v/>
      </c>
      <c r="L241" s="42" t="n"/>
      <c r="M241" s="99" t="n">
        <v>239</v>
      </c>
      <c r="N241" s="65" t="n">
        <v>0.13</v>
      </c>
      <c r="O241" s="99" t="n">
        <v>225</v>
      </c>
      <c r="P241" s="66" t="n">
        <v>0.06</v>
      </c>
      <c r="Q241" s="34" t="n">
        <v>202</v>
      </c>
      <c r="R241" s="67">
        <f>ROUND((J241-Q241)/Q241,2)</f>
        <v/>
      </c>
      <c r="S241" s="34" t="n">
        <v>189</v>
      </c>
      <c r="T241" s="67">
        <f>ROUND((J241-S241)/S241,2)</f>
        <v/>
      </c>
    </row>
    <row r="242" customFormat="1" s="34">
      <c r="B242" s="69" t="inlineStr">
        <is>
          <t>NY2170</t>
        </is>
      </c>
      <c r="C242" s="101" t="n">
        <v>1</v>
      </c>
      <c r="D242" s="102" t="inlineStr">
        <is>
          <t>总厚</t>
        </is>
      </c>
      <c r="E242" s="72" t="inlineStr">
        <is>
          <t>2/2</t>
        </is>
      </c>
      <c r="F242" s="73" t="inlineStr">
        <is>
          <t>HTE</t>
        </is>
      </c>
      <c r="G242" s="69" t="inlineStr">
        <is>
          <t>5*7628</t>
        </is>
      </c>
      <c r="H242" s="73">
        <f>ROUND(J242/13.33,2)</f>
        <v/>
      </c>
      <c r="I242" s="73">
        <f>ROUND(H242*12,0)</f>
        <v/>
      </c>
      <c r="J242" s="99">
        <f>J241+140</f>
        <v/>
      </c>
      <c r="K242" s="73">
        <f>ROUND(H242*14,0)</f>
        <v/>
      </c>
      <c r="L242" s="42" t="n"/>
      <c r="M242" s="99" t="n">
        <v>371</v>
      </c>
      <c r="N242" s="65" t="n">
        <v>0.11</v>
      </c>
      <c r="O242" s="99" t="n">
        <v>350</v>
      </c>
      <c r="P242" s="66" t="n">
        <v>0.06</v>
      </c>
      <c r="Q242" s="34" t="n">
        <v>325</v>
      </c>
      <c r="R242" s="67">
        <f>ROUND((J242-Q242)/Q242,2)</f>
        <v/>
      </c>
      <c r="S242" s="34" t="n">
        <v>304</v>
      </c>
      <c r="T242" s="67">
        <f>ROUND((J242-S242)/S242,2)</f>
        <v/>
      </c>
    </row>
    <row r="243" customFormat="1" s="34">
      <c r="B243" s="69" t="inlineStr">
        <is>
          <t>NY2170</t>
        </is>
      </c>
      <c r="C243" s="101" t="n">
        <v>1</v>
      </c>
      <c r="D243" s="102" t="inlineStr">
        <is>
          <t>总厚</t>
        </is>
      </c>
      <c r="E243" s="72" t="inlineStr">
        <is>
          <t>3/3</t>
        </is>
      </c>
      <c r="F243" s="73" t="inlineStr">
        <is>
          <t>HTE</t>
        </is>
      </c>
      <c r="G243" s="69" t="inlineStr">
        <is>
          <t>4*7628</t>
        </is>
      </c>
      <c r="H243" s="73">
        <f>ROUND(J243/13.33,2)</f>
        <v/>
      </c>
      <c r="I243" s="73">
        <f>ROUND(H243*12,0)</f>
        <v/>
      </c>
      <c r="J243" s="99">
        <f>J242+140</f>
        <v/>
      </c>
      <c r="K243" s="73">
        <f>ROUND(H243*14,0)</f>
        <v/>
      </c>
      <c r="L243" s="42" t="n"/>
      <c r="M243" s="99" t="n">
        <v>504</v>
      </c>
      <c r="N243" s="65" t="n">
        <v>0.09</v>
      </c>
      <c r="O243" s="99" t="n">
        <v>480</v>
      </c>
      <c r="P243" s="66" t="n">
        <v>0.05</v>
      </c>
      <c r="Q243" s="34" t="n">
        <v>448</v>
      </c>
      <c r="R243" s="67">
        <f>ROUND((J243-Q243)/Q243,2)</f>
        <v/>
      </c>
      <c r="S243" s="34" t="n">
        <v>419</v>
      </c>
      <c r="T243" s="67">
        <f>ROUND((J243-S243)/S243,2)</f>
        <v/>
      </c>
    </row>
    <row r="244" customFormat="1" s="34">
      <c r="B244" s="69" t="inlineStr">
        <is>
          <t>NY2170</t>
        </is>
      </c>
      <c r="C244" s="101" t="n">
        <v>1.1</v>
      </c>
      <c r="D244" s="102" t="inlineStr">
        <is>
          <t>总厚</t>
        </is>
      </c>
      <c r="E244" s="72" t="inlineStr">
        <is>
          <t>H/H</t>
        </is>
      </c>
      <c r="F244" s="73" t="inlineStr">
        <is>
          <t>HTE</t>
        </is>
      </c>
      <c r="G244" s="69" t="inlineStr">
        <is>
          <t>6*7628</t>
        </is>
      </c>
      <c r="H244" s="73">
        <f>ROUND(J244/13.33,2)</f>
        <v/>
      </c>
      <c r="I244" s="73">
        <f>ROUND(H244*12,0)</f>
        <v/>
      </c>
      <c r="J244" s="99">
        <f>J245-60</f>
        <v/>
      </c>
      <c r="K244" s="73">
        <f>ROUND(H244*14,0)</f>
        <v/>
      </c>
      <c r="L244" s="42" t="n"/>
      <c r="M244" s="99" t="n">
        <v>204</v>
      </c>
      <c r="N244" s="65" t="n">
        <v>0.14</v>
      </c>
      <c r="O244" s="99" t="n">
        <v>187</v>
      </c>
      <c r="P244" s="66" t="n">
        <v>0.09</v>
      </c>
      <c r="Q244" s="34" t="n">
        <v>165</v>
      </c>
      <c r="R244" s="67">
        <f>ROUND((J244-Q244)/Q244,2)</f>
        <v/>
      </c>
      <c r="S244" s="34" t="n">
        <v>154</v>
      </c>
      <c r="T244" s="67">
        <f>ROUND((J244-S244)/S244,2)</f>
        <v/>
      </c>
    </row>
    <row r="245" customFormat="1" s="34">
      <c r="B245" s="69" t="inlineStr">
        <is>
          <t>NY2170</t>
        </is>
      </c>
      <c r="C245" s="101" t="n">
        <v>1.1</v>
      </c>
      <c r="D245" s="102" t="inlineStr">
        <is>
          <t>总厚</t>
        </is>
      </c>
      <c r="E245" s="72" t="inlineStr">
        <is>
          <t>1/1</t>
        </is>
      </c>
      <c r="F245" s="73" t="inlineStr">
        <is>
          <t>HTE</t>
        </is>
      </c>
      <c r="G245" s="69" t="inlineStr">
        <is>
          <t>6*7628</t>
        </is>
      </c>
      <c r="H245" s="73">
        <f>ROUND(J245/13.33,2)</f>
        <v/>
      </c>
      <c r="I245" s="73">
        <f>ROUND(H245*12,0)</f>
        <v/>
      </c>
      <c r="J245" s="99" t="n">
        <v>292</v>
      </c>
      <c r="K245" s="73">
        <f>ROUND(H245*14,0)</f>
        <v/>
      </c>
      <c r="L245" s="42" t="n"/>
      <c r="M245" s="99" t="n">
        <v>256</v>
      </c>
      <c r="N245" s="65" t="n">
        <v>0.14</v>
      </c>
      <c r="O245" s="99" t="n">
        <v>239</v>
      </c>
      <c r="P245" s="66" t="n">
        <v>0.07000000000000001</v>
      </c>
      <c r="Q245" s="34" t="n">
        <v>212</v>
      </c>
      <c r="R245" s="67">
        <f>ROUND((J245-Q245)/Q245,2)</f>
        <v/>
      </c>
      <c r="S245" s="34" t="n">
        <v>198</v>
      </c>
      <c r="T245" s="67">
        <f>ROUND((J245-S245)/S245,2)</f>
        <v/>
      </c>
    </row>
    <row r="246" customFormat="1" s="34">
      <c r="B246" s="69" t="inlineStr">
        <is>
          <t>NY2170</t>
        </is>
      </c>
      <c r="C246" s="101" t="n">
        <v>1.1</v>
      </c>
      <c r="D246" s="102" t="inlineStr">
        <is>
          <t>总厚</t>
        </is>
      </c>
      <c r="E246" s="72" t="inlineStr">
        <is>
          <t>2/2</t>
        </is>
      </c>
      <c r="F246" s="73" t="inlineStr">
        <is>
          <t>HTE</t>
        </is>
      </c>
      <c r="G246" s="69" t="inlineStr">
        <is>
          <t>5*7628</t>
        </is>
      </c>
      <c r="H246" s="73">
        <f>ROUND(J246/13.33,2)</f>
        <v/>
      </c>
      <c r="I246" s="73">
        <f>ROUND(H246*12,0)</f>
        <v/>
      </c>
      <c r="J246" s="99">
        <f>J245+130</f>
        <v/>
      </c>
      <c r="K246" s="73">
        <f>ROUND(H246*14,0)</f>
        <v/>
      </c>
      <c r="L246" s="42" t="n"/>
      <c r="M246" s="99" t="n">
        <v>386</v>
      </c>
      <c r="N246" s="65" t="n">
        <v>0.09</v>
      </c>
      <c r="O246" s="99" t="n">
        <v>364</v>
      </c>
      <c r="P246" s="66" t="n">
        <v>0.06</v>
      </c>
      <c r="Q246" s="34" t="n">
        <v>335</v>
      </c>
      <c r="R246" s="67">
        <f>ROUND((J246-Q246)/Q246,2)</f>
        <v/>
      </c>
      <c r="S246" s="34" t="n">
        <v>313</v>
      </c>
      <c r="T246" s="67">
        <f>ROUND((J246-S246)/S246,2)</f>
        <v/>
      </c>
    </row>
    <row r="247" customFormat="1" s="34">
      <c r="B247" s="69" t="inlineStr">
        <is>
          <t>NY2170</t>
        </is>
      </c>
      <c r="C247" s="101" t="n">
        <v>1.1</v>
      </c>
      <c r="D247" s="102" t="inlineStr">
        <is>
          <t>总厚</t>
        </is>
      </c>
      <c r="E247" s="72" t="inlineStr">
        <is>
          <t>3/3</t>
        </is>
      </c>
      <c r="F247" s="73" t="inlineStr">
        <is>
          <t>HTE</t>
        </is>
      </c>
      <c r="G247" s="69" t="inlineStr">
        <is>
          <t>5*7628</t>
        </is>
      </c>
      <c r="H247" s="73">
        <f>ROUND(J247/13.33,2)</f>
        <v/>
      </c>
      <c r="I247" s="73">
        <f>ROUND(H247*12,0)</f>
        <v/>
      </c>
      <c r="J247" s="99">
        <f>J246+150</f>
        <v/>
      </c>
      <c r="K247" s="73">
        <f>ROUND(H247*14,0)</f>
        <v/>
      </c>
      <c r="L247" s="42" t="n"/>
      <c r="M247" s="99" t="n">
        <v>519</v>
      </c>
      <c r="N247" s="65" t="n">
        <v>0.1</v>
      </c>
      <c r="O247" s="99" t="n">
        <v>494</v>
      </c>
      <c r="P247" s="66" t="n">
        <v>0.05</v>
      </c>
      <c r="Q247" s="34" t="n">
        <v>458</v>
      </c>
      <c r="R247" s="67">
        <f>ROUND((J247-Q247)/Q247,2)</f>
        <v/>
      </c>
      <c r="S247" s="34" t="n">
        <v>428</v>
      </c>
      <c r="T247" s="67">
        <f>ROUND((J247-S247)/S247,2)</f>
        <v/>
      </c>
    </row>
    <row r="248" customFormat="1" s="34">
      <c r="B248" s="69" t="inlineStr">
        <is>
          <t>NY2170</t>
        </is>
      </c>
      <c r="C248" s="101" t="n">
        <v>1.2</v>
      </c>
      <c r="D248" s="102" t="inlineStr">
        <is>
          <t>总厚</t>
        </is>
      </c>
      <c r="E248" s="72" t="inlineStr">
        <is>
          <t>H/H</t>
        </is>
      </c>
      <c r="F248" s="73" t="inlineStr">
        <is>
          <t>HTE</t>
        </is>
      </c>
      <c r="G248" s="69" t="inlineStr">
        <is>
          <t>6*7628</t>
        </is>
      </c>
      <c r="H248" s="73">
        <f>ROUND(J248/13.33,2)</f>
        <v/>
      </c>
      <c r="I248" s="73">
        <f>ROUND(H248*12,0)</f>
        <v/>
      </c>
      <c r="J248" s="99">
        <f>J249-60</f>
        <v/>
      </c>
      <c r="K248" s="73">
        <f>ROUND(H248*14,0)</f>
        <v/>
      </c>
      <c r="L248" s="42" t="n"/>
      <c r="M248" s="99" t="n">
        <v>208</v>
      </c>
      <c r="N248" s="65" t="n">
        <v>0.13</v>
      </c>
      <c r="O248" s="99" t="n">
        <v>191</v>
      </c>
      <c r="P248" s="66" t="n">
        <v>0.09</v>
      </c>
      <c r="Q248" s="34" t="n">
        <v>168</v>
      </c>
      <c r="R248" s="67">
        <f>ROUND((J248-Q248)/Q248,2)</f>
        <v/>
      </c>
      <c r="S248" s="34" t="n">
        <v>157</v>
      </c>
      <c r="T248" s="67">
        <f>ROUND((J248-S248)/S248,2)</f>
        <v/>
      </c>
    </row>
    <row r="249" customFormat="1" s="34">
      <c r="B249" s="69" t="inlineStr">
        <is>
          <t>NY2170</t>
        </is>
      </c>
      <c r="C249" s="101" t="n">
        <v>1.2</v>
      </c>
      <c r="D249" s="102" t="inlineStr">
        <is>
          <t>总厚</t>
        </is>
      </c>
      <c r="E249" s="72" t="inlineStr">
        <is>
          <t>1/1</t>
        </is>
      </c>
      <c r="F249" s="73" t="inlineStr">
        <is>
          <t>HTE</t>
        </is>
      </c>
      <c r="G249" s="69" t="inlineStr">
        <is>
          <t>6*7628</t>
        </is>
      </c>
      <c r="H249" s="73">
        <f>ROUND(J249/13.33,2)</f>
        <v/>
      </c>
      <c r="I249" s="73">
        <f>ROUND(H249*12,0)</f>
        <v/>
      </c>
      <c r="J249" s="99" t="n">
        <v>295</v>
      </c>
      <c r="K249" s="73">
        <f>ROUND(H249*14,0)</f>
        <v/>
      </c>
      <c r="L249" s="42" t="n"/>
      <c r="M249" s="99" t="n">
        <v>259</v>
      </c>
      <c r="N249" s="65" t="n">
        <v>0.14</v>
      </c>
      <c r="O249" s="99" t="n">
        <v>244</v>
      </c>
      <c r="P249" s="66" t="n">
        <v>0.06</v>
      </c>
      <c r="Q249" s="34" t="n">
        <v>216</v>
      </c>
      <c r="R249" s="67">
        <f>ROUND((J249-Q249)/Q249,2)</f>
        <v/>
      </c>
      <c r="S249" s="34" t="n">
        <v>202</v>
      </c>
      <c r="T249" s="67">
        <f>ROUND((J249-S249)/S249,2)</f>
        <v/>
      </c>
    </row>
    <row r="250" customFormat="1" s="34">
      <c r="B250" s="69" t="inlineStr">
        <is>
          <t>NY2170</t>
        </is>
      </c>
      <c r="C250" s="101" t="n">
        <v>1.2</v>
      </c>
      <c r="D250" s="102" t="inlineStr">
        <is>
          <t>总厚</t>
        </is>
      </c>
      <c r="E250" s="72" t="inlineStr">
        <is>
          <t>2/2</t>
        </is>
      </c>
      <c r="F250" s="73" t="inlineStr">
        <is>
          <t>HTE</t>
        </is>
      </c>
      <c r="G250" s="69" t="inlineStr">
        <is>
          <t>6*7628</t>
        </is>
      </c>
      <c r="H250" s="73">
        <f>ROUND(J250/13.33,2)</f>
        <v/>
      </c>
      <c r="I250" s="73">
        <f>ROUND(H250*12,0)</f>
        <v/>
      </c>
      <c r="J250" s="99">
        <f>J249+140</f>
        <v/>
      </c>
      <c r="K250" s="73">
        <f>ROUND(H250*14,0)</f>
        <v/>
      </c>
      <c r="L250" s="42" t="n"/>
      <c r="M250" s="99" t="n">
        <v>391</v>
      </c>
      <c r="N250" s="65" t="n">
        <v>0.11</v>
      </c>
      <c r="O250" s="99" t="n">
        <v>369</v>
      </c>
      <c r="P250" s="66" t="n">
        <v>0.06</v>
      </c>
      <c r="Q250" s="34" t="n">
        <v>339</v>
      </c>
      <c r="R250" s="67">
        <f>ROUND((J250-Q250)/Q250,2)</f>
        <v/>
      </c>
      <c r="S250" s="34" t="n">
        <v>317</v>
      </c>
      <c r="T250" s="67">
        <f>ROUND((J250-S250)/S250,2)</f>
        <v/>
      </c>
    </row>
    <row r="251" customFormat="1" s="34">
      <c r="B251" s="69" t="inlineStr">
        <is>
          <t>NY2170</t>
        </is>
      </c>
      <c r="C251" s="101" t="n">
        <v>1.2</v>
      </c>
      <c r="D251" s="102" t="inlineStr">
        <is>
          <t>总厚</t>
        </is>
      </c>
      <c r="E251" s="72" t="inlineStr">
        <is>
          <t>3/3</t>
        </is>
      </c>
      <c r="F251" s="73" t="inlineStr">
        <is>
          <t>HTE</t>
        </is>
      </c>
      <c r="G251" s="69" t="inlineStr">
        <is>
          <t>5*7628</t>
        </is>
      </c>
      <c r="H251" s="73">
        <f>ROUND(J251/13.33,2)</f>
        <v/>
      </c>
      <c r="I251" s="73">
        <f>ROUND(H251*12,0)</f>
        <v/>
      </c>
      <c r="J251" s="99">
        <f>J250+140</f>
        <v/>
      </c>
      <c r="K251" s="73">
        <f>ROUND(H251*14,0)</f>
        <v/>
      </c>
      <c r="L251" s="42" t="n"/>
      <c r="M251" s="99" t="n">
        <v>524</v>
      </c>
      <c r="N251" s="65" t="n">
        <v>0.1</v>
      </c>
      <c r="O251" s="99" t="n">
        <v>499</v>
      </c>
      <c r="P251" s="66" t="n">
        <v>0.05</v>
      </c>
      <c r="Q251" s="34" t="n">
        <v>462</v>
      </c>
      <c r="R251" s="67">
        <f>ROUND((J251-Q251)/Q251,2)</f>
        <v/>
      </c>
      <c r="S251" s="34" t="n">
        <v>432</v>
      </c>
      <c r="T251" s="67">
        <f>ROUND((J251-S251)/S251,2)</f>
        <v/>
      </c>
    </row>
    <row r="252" customFormat="1" s="34">
      <c r="B252" s="69" t="inlineStr">
        <is>
          <t>NY2170</t>
        </is>
      </c>
      <c r="C252" s="101" t="n">
        <v>1.3</v>
      </c>
      <c r="D252" s="102" t="inlineStr">
        <is>
          <t>总厚</t>
        </is>
      </c>
      <c r="E252" s="72" t="inlineStr">
        <is>
          <t>H/H</t>
        </is>
      </c>
      <c r="F252" s="73" t="inlineStr">
        <is>
          <t>HTE</t>
        </is>
      </c>
      <c r="G252" s="69" t="inlineStr">
        <is>
          <t>7*7628</t>
        </is>
      </c>
      <c r="H252" s="73">
        <f>ROUND(J252/13.33,2)</f>
        <v/>
      </c>
      <c r="I252" s="73">
        <f>ROUND(H252*12,0)</f>
        <v/>
      </c>
      <c r="J252" s="99">
        <f>J253-60</f>
        <v/>
      </c>
      <c r="K252" s="73">
        <f>ROUND(H252*14,0)</f>
        <v/>
      </c>
      <c r="L252" s="42" t="n"/>
      <c r="M252" s="99" t="n">
        <v>225</v>
      </c>
      <c r="N252" s="65" t="n">
        <v>0.14</v>
      </c>
      <c r="O252" s="99" t="n">
        <v>206</v>
      </c>
      <c r="P252" s="66" t="n">
        <v>0.09</v>
      </c>
      <c r="Q252" s="34" t="n">
        <v>177</v>
      </c>
      <c r="R252" s="67">
        <f>ROUND((J252-Q252)/Q252,2)</f>
        <v/>
      </c>
      <c r="S252" s="34" t="n">
        <v>165</v>
      </c>
      <c r="T252" s="67">
        <f>ROUND((J252-S252)/S252,2)</f>
        <v/>
      </c>
    </row>
    <row r="253" customFormat="1" s="34">
      <c r="B253" s="69" t="inlineStr">
        <is>
          <t>NY2170</t>
        </is>
      </c>
      <c r="C253" s="101" t="n">
        <v>1.3</v>
      </c>
      <c r="D253" s="102" t="inlineStr">
        <is>
          <t>总厚</t>
        </is>
      </c>
      <c r="E253" s="72" t="inlineStr">
        <is>
          <t>1/1</t>
        </is>
      </c>
      <c r="F253" s="73" t="inlineStr">
        <is>
          <t>HTE</t>
        </is>
      </c>
      <c r="G253" s="69" t="inlineStr">
        <is>
          <t>7*7628</t>
        </is>
      </c>
      <c r="H253" s="73">
        <f>ROUND(J253/13.33,2)</f>
        <v/>
      </c>
      <c r="I253" s="73">
        <f>ROUND(H253*12,0)</f>
        <v/>
      </c>
      <c r="J253" s="99" t="n">
        <v>316</v>
      </c>
      <c r="K253" s="73">
        <f>ROUND(H253*14,0)</f>
        <v/>
      </c>
      <c r="L253" s="42" t="n"/>
      <c r="M253" s="99" t="n">
        <v>276</v>
      </c>
      <c r="N253" s="65" t="n">
        <v>0.14</v>
      </c>
      <c r="O253" s="99" t="n">
        <v>258</v>
      </c>
      <c r="P253" s="66" t="n">
        <v>0.07000000000000001</v>
      </c>
      <c r="Q253" s="34" t="n">
        <v>225</v>
      </c>
      <c r="R253" s="67">
        <f>ROUND((J253-Q253)/Q253,2)</f>
        <v/>
      </c>
      <c r="S253" s="34" t="n">
        <v>210</v>
      </c>
      <c r="T253" s="67">
        <f>ROUND((J253-S253)/S253,2)</f>
        <v/>
      </c>
    </row>
    <row r="254" customFormat="1" s="34">
      <c r="B254" s="69" t="inlineStr">
        <is>
          <t>NY2170</t>
        </is>
      </c>
      <c r="C254" s="101" t="n">
        <v>1.3</v>
      </c>
      <c r="D254" s="102" t="inlineStr">
        <is>
          <t>总厚</t>
        </is>
      </c>
      <c r="E254" s="72" t="inlineStr">
        <is>
          <t>2/2</t>
        </is>
      </c>
      <c r="F254" s="73" t="inlineStr">
        <is>
          <t>HTE</t>
        </is>
      </c>
      <c r="G254" s="69" t="inlineStr">
        <is>
          <t>6*7628</t>
        </is>
      </c>
      <c r="H254" s="73">
        <f>ROUND(J254/13.33,2)</f>
        <v/>
      </c>
      <c r="I254" s="73">
        <f>ROUND(H254*12,0)</f>
        <v/>
      </c>
      <c r="J254" s="99">
        <f>J253+130</f>
        <v/>
      </c>
      <c r="K254" s="73">
        <f>ROUND(H254*14,0)</f>
        <v/>
      </c>
      <c r="L254" s="42" t="n"/>
      <c r="M254" s="99" t="n">
        <v>406</v>
      </c>
      <c r="N254" s="65" t="n">
        <v>0.1</v>
      </c>
      <c r="O254" s="99" t="n">
        <v>383</v>
      </c>
      <c r="P254" s="66" t="n">
        <v>0.06</v>
      </c>
      <c r="Q254" s="34" t="n">
        <v>348</v>
      </c>
      <c r="R254" s="67">
        <f>ROUND((J254-Q254)/Q254,2)</f>
        <v/>
      </c>
      <c r="S254" s="34" t="n">
        <v>325</v>
      </c>
      <c r="T254" s="67">
        <f>ROUND((J254-S254)/S254,2)</f>
        <v/>
      </c>
    </row>
    <row r="255" customFormat="1" s="34">
      <c r="B255" s="69" t="inlineStr">
        <is>
          <t>NY2170</t>
        </is>
      </c>
      <c r="C255" s="101" t="n">
        <v>1.3</v>
      </c>
      <c r="D255" s="102" t="inlineStr">
        <is>
          <t>总厚</t>
        </is>
      </c>
      <c r="E255" s="72" t="inlineStr">
        <is>
          <t>3/3</t>
        </is>
      </c>
      <c r="F255" s="73" t="inlineStr">
        <is>
          <t>HTE</t>
        </is>
      </c>
      <c r="G255" s="69" t="inlineStr">
        <is>
          <t>6*7628</t>
        </is>
      </c>
      <c r="H255" s="73">
        <f>ROUND(J255/13.33,2)</f>
        <v/>
      </c>
      <c r="I255" s="73">
        <f>ROUND(H255*12,0)</f>
        <v/>
      </c>
      <c r="J255" s="99">
        <f>J254+150</f>
        <v/>
      </c>
      <c r="K255" s="73">
        <f>ROUND(H255*14,0)</f>
        <v/>
      </c>
      <c r="L255" s="42" t="n"/>
      <c r="M255" s="99" t="n">
        <v>539</v>
      </c>
      <c r="N255" s="65" t="n">
        <v>0.11</v>
      </c>
      <c r="O255" s="99" t="n">
        <v>513</v>
      </c>
      <c r="P255" s="66" t="n">
        <v>0.05</v>
      </c>
      <c r="Q255" s="34" t="n">
        <v>471</v>
      </c>
      <c r="R255" s="67">
        <f>ROUND((J255-Q255)/Q255,2)</f>
        <v/>
      </c>
      <c r="S255" s="34" t="n">
        <v>440</v>
      </c>
      <c r="T255" s="67">
        <f>ROUND((J255-S255)/S255,2)</f>
        <v/>
      </c>
    </row>
    <row r="256" customFormat="1" s="34">
      <c r="B256" s="69" t="inlineStr">
        <is>
          <t>NY2170</t>
        </is>
      </c>
      <c r="C256" s="101" t="n">
        <v>1.4</v>
      </c>
      <c r="D256" s="102" t="inlineStr">
        <is>
          <t>总厚</t>
        </is>
      </c>
      <c r="E256" s="72" t="inlineStr">
        <is>
          <t>H/H</t>
        </is>
      </c>
      <c r="F256" s="73" t="inlineStr">
        <is>
          <t>HTE</t>
        </is>
      </c>
      <c r="G256" s="69" t="inlineStr">
        <is>
          <t>7*7628</t>
        </is>
      </c>
      <c r="H256" s="73">
        <f>ROUND(J256/13.33,2)</f>
        <v/>
      </c>
      <c r="I256" s="73">
        <f>ROUND(H256*12,0)</f>
        <v/>
      </c>
      <c r="J256" s="99">
        <f>J257-60</f>
        <v/>
      </c>
      <c r="K256" s="73">
        <f>ROUND(H256*14,0)</f>
        <v/>
      </c>
      <c r="L256" s="42" t="n"/>
      <c r="M256" s="99" t="n">
        <v>229</v>
      </c>
      <c r="N256" s="65" t="n">
        <v>0.14</v>
      </c>
      <c r="O256" s="99" t="n">
        <v>210</v>
      </c>
      <c r="P256" s="66" t="n">
        <v>0.09</v>
      </c>
      <c r="Q256" s="34" t="n">
        <v>183</v>
      </c>
      <c r="R256" s="67">
        <f>ROUND((J256-Q256)/Q256,2)</f>
        <v/>
      </c>
      <c r="S256" s="34" t="n">
        <v>171</v>
      </c>
      <c r="T256" s="67">
        <f>ROUND((J256-S256)/S256,2)</f>
        <v/>
      </c>
    </row>
    <row r="257" customFormat="1" s="34">
      <c r="B257" s="69" t="inlineStr">
        <is>
          <t>NY2170</t>
        </is>
      </c>
      <c r="C257" s="101" t="n">
        <v>1.4</v>
      </c>
      <c r="D257" s="102" t="inlineStr">
        <is>
          <t>总厚</t>
        </is>
      </c>
      <c r="E257" s="72" t="inlineStr">
        <is>
          <t>1/1</t>
        </is>
      </c>
      <c r="F257" s="73" t="inlineStr">
        <is>
          <t>HTE</t>
        </is>
      </c>
      <c r="G257" s="69" t="inlineStr">
        <is>
          <t>7*7628</t>
        </is>
      </c>
      <c r="H257" s="73">
        <f>ROUND(J257/13.33,2)</f>
        <v/>
      </c>
      <c r="I257" s="73">
        <f>ROUND(H257*12,0)</f>
        <v/>
      </c>
      <c r="J257" s="99" t="n">
        <v>320</v>
      </c>
      <c r="K257" s="73">
        <f>ROUND(H257*14,0)</f>
        <v/>
      </c>
      <c r="L257" s="42" t="n"/>
      <c r="M257" s="99" t="n">
        <v>279</v>
      </c>
      <c r="N257" s="65" t="n">
        <v>0.15</v>
      </c>
      <c r="O257" s="99" t="n">
        <v>263</v>
      </c>
      <c r="P257" s="66" t="n">
        <v>0.06</v>
      </c>
      <c r="Q257" s="34" t="n">
        <v>231</v>
      </c>
      <c r="R257" s="67">
        <f>ROUND((J257-Q257)/Q257,2)</f>
        <v/>
      </c>
      <c r="S257" s="34" t="n">
        <v>216</v>
      </c>
      <c r="T257" s="67">
        <f>ROUND((J257-S257)/S257,2)</f>
        <v/>
      </c>
    </row>
    <row r="258" customFormat="1" s="34">
      <c r="B258" s="69" t="inlineStr">
        <is>
          <t>NY2170</t>
        </is>
      </c>
      <c r="C258" s="101" t="n">
        <v>1.4</v>
      </c>
      <c r="D258" s="102" t="inlineStr">
        <is>
          <t>总厚</t>
        </is>
      </c>
      <c r="E258" s="72" t="inlineStr">
        <is>
          <t>2/2</t>
        </is>
      </c>
      <c r="F258" s="73" t="inlineStr">
        <is>
          <t>HTE</t>
        </is>
      </c>
      <c r="G258" s="69" t="inlineStr">
        <is>
          <t>7*7628</t>
        </is>
      </c>
      <c r="H258" s="73">
        <f>ROUND(J258/13.33,2)</f>
        <v/>
      </c>
      <c r="I258" s="73">
        <f>ROUND(H258*12,0)</f>
        <v/>
      </c>
      <c r="J258" s="99">
        <f>J257+140</f>
        <v/>
      </c>
      <c r="K258" s="73">
        <f>ROUND(H258*14,0)</f>
        <v/>
      </c>
      <c r="L258" s="42" t="n"/>
      <c r="M258" s="99" t="n">
        <v>411</v>
      </c>
      <c r="N258" s="65" t="n">
        <v>0.12</v>
      </c>
      <c r="O258" s="99" t="n">
        <v>388</v>
      </c>
      <c r="P258" s="66" t="n">
        <v>0.06</v>
      </c>
      <c r="Q258" s="34" t="n">
        <v>354</v>
      </c>
      <c r="R258" s="67">
        <f>ROUND((J258-Q258)/Q258,2)</f>
        <v/>
      </c>
      <c r="S258" s="34" t="n">
        <v>331</v>
      </c>
      <c r="T258" s="67">
        <f>ROUND((J258-S258)/S258,2)</f>
        <v/>
      </c>
    </row>
    <row r="259" customFormat="1" s="34">
      <c r="B259" s="69" t="inlineStr">
        <is>
          <t>NY2170</t>
        </is>
      </c>
      <c r="C259" s="101" t="n">
        <v>1.4</v>
      </c>
      <c r="D259" s="102" t="inlineStr">
        <is>
          <t>总厚</t>
        </is>
      </c>
      <c r="E259" s="72" t="inlineStr">
        <is>
          <t>3/3</t>
        </is>
      </c>
      <c r="F259" s="73" t="inlineStr">
        <is>
          <t>HTE</t>
        </is>
      </c>
      <c r="G259" s="69" t="inlineStr">
        <is>
          <t>6*7628</t>
        </is>
      </c>
      <c r="H259" s="73">
        <f>ROUND(J259/13.33,2)</f>
        <v/>
      </c>
      <c r="I259" s="73">
        <f>ROUND(H259*12,0)</f>
        <v/>
      </c>
      <c r="J259" s="99">
        <f>J258+140</f>
        <v/>
      </c>
      <c r="K259" s="73">
        <f>ROUND(H259*14,0)</f>
        <v/>
      </c>
      <c r="L259" s="42" t="n"/>
      <c r="M259" s="99" t="n">
        <v>544</v>
      </c>
      <c r="N259" s="65" t="n">
        <v>0.1</v>
      </c>
      <c r="O259" s="99" t="n">
        <v>518</v>
      </c>
      <c r="P259" s="66" t="n">
        <v>0.05</v>
      </c>
      <c r="Q259" s="34" t="n">
        <v>477</v>
      </c>
      <c r="R259" s="67">
        <f>ROUND((J259-Q259)/Q259,2)</f>
        <v/>
      </c>
      <c r="S259" s="34" t="n">
        <v>446</v>
      </c>
      <c r="T259" s="67">
        <f>ROUND((J259-S259)/S259,2)</f>
        <v/>
      </c>
    </row>
    <row r="260" customFormat="1" s="34">
      <c r="B260" s="69" t="inlineStr">
        <is>
          <t>NY2170</t>
        </is>
      </c>
      <c r="C260" s="101" t="n">
        <v>1.5</v>
      </c>
      <c r="D260" s="102" t="inlineStr">
        <is>
          <t>总厚</t>
        </is>
      </c>
      <c r="E260" s="72" t="inlineStr">
        <is>
          <t>H/H</t>
        </is>
      </c>
      <c r="F260" s="73" t="inlineStr">
        <is>
          <t>HTE</t>
        </is>
      </c>
      <c r="G260" s="69" t="inlineStr">
        <is>
          <t>8*7628</t>
        </is>
      </c>
      <c r="H260" s="73">
        <f>ROUND(J260/13.33,2)</f>
        <v/>
      </c>
      <c r="I260" s="73">
        <f>ROUND(H260*12,0)</f>
        <v/>
      </c>
      <c r="J260" s="99">
        <f>J261-60</f>
        <v/>
      </c>
      <c r="K260" s="73">
        <f>ROUND(H260*14,0)</f>
        <v/>
      </c>
      <c r="L260" s="42" t="n"/>
      <c r="M260" s="99" t="n">
        <v>234</v>
      </c>
      <c r="N260" s="65" t="n">
        <v>0.2</v>
      </c>
      <c r="O260" s="99" t="n">
        <v>225</v>
      </c>
      <c r="P260" s="66" t="n">
        <v>0.04</v>
      </c>
      <c r="Q260" s="34" t="n">
        <v>192</v>
      </c>
      <c r="R260" s="67">
        <f>ROUND((J260-Q260)/Q260,2)</f>
        <v/>
      </c>
      <c r="S260" s="34" t="n">
        <v>179</v>
      </c>
      <c r="T260" s="67">
        <f>ROUND((J260-S260)/S260,2)</f>
        <v/>
      </c>
    </row>
    <row r="261" customFormat="1" s="34">
      <c r="B261" s="69" t="inlineStr">
        <is>
          <t>NY2170</t>
        </is>
      </c>
      <c r="C261" s="101" t="n">
        <v>1.5</v>
      </c>
      <c r="D261" s="102" t="inlineStr">
        <is>
          <t>总厚</t>
        </is>
      </c>
      <c r="E261" s="72" t="inlineStr">
        <is>
          <t>1/1</t>
        </is>
      </c>
      <c r="F261" s="73" t="inlineStr">
        <is>
          <t>HTE</t>
        </is>
      </c>
      <c r="G261" s="69" t="inlineStr">
        <is>
          <t>8*7628</t>
        </is>
      </c>
      <c r="H261" s="73">
        <f>ROUND(J261/13.33,2)</f>
        <v/>
      </c>
      <c r="I261" s="73">
        <f>ROUND(H261*12,0)</f>
        <v/>
      </c>
      <c r="J261" s="99" t="n">
        <v>340</v>
      </c>
      <c r="K261" s="73">
        <f>ROUND(H261*14,0)</f>
        <v/>
      </c>
      <c r="L261" s="42" t="n"/>
      <c r="M261" s="99" t="n">
        <v>285</v>
      </c>
      <c r="N261" s="65" t="n">
        <v>0.19</v>
      </c>
      <c r="O261" s="99" t="n">
        <v>277</v>
      </c>
      <c r="P261" s="66" t="n">
        <v>0.03</v>
      </c>
      <c r="Q261" s="34" t="n">
        <v>240</v>
      </c>
      <c r="R261" s="67">
        <f>ROUND((J261-Q261)/Q261,2)</f>
        <v/>
      </c>
      <c r="S261" s="34" t="n">
        <v>224</v>
      </c>
      <c r="T261" s="67">
        <f>ROUND((J261-S261)/S261,2)</f>
        <v/>
      </c>
    </row>
    <row r="262" customFormat="1" s="34">
      <c r="B262" s="69" t="inlineStr">
        <is>
          <t>NY2170</t>
        </is>
      </c>
      <c r="C262" s="101" t="n">
        <v>1.5</v>
      </c>
      <c r="D262" s="102" t="inlineStr">
        <is>
          <t>总厚</t>
        </is>
      </c>
      <c r="E262" s="72" t="inlineStr">
        <is>
          <t>2/2</t>
        </is>
      </c>
      <c r="F262" s="73" t="inlineStr">
        <is>
          <t>HTE</t>
        </is>
      </c>
      <c r="G262" s="69" t="inlineStr">
        <is>
          <t>7*7628</t>
        </is>
      </c>
      <c r="H262" s="73">
        <f>ROUND(J262/13.33,2)</f>
        <v/>
      </c>
      <c r="I262" s="73">
        <f>ROUND(H262*12,0)</f>
        <v/>
      </c>
      <c r="J262" s="99">
        <f>J261+130</f>
        <v/>
      </c>
      <c r="K262" s="73">
        <f>ROUND(H262*14,0)</f>
        <v/>
      </c>
      <c r="L262" s="42" t="n"/>
      <c r="M262" s="99" t="n">
        <v>418</v>
      </c>
      <c r="N262" s="65" t="n">
        <v>0.12</v>
      </c>
      <c r="O262" s="99" t="n">
        <v>402</v>
      </c>
      <c r="P262" s="66" t="n">
        <v>0.04</v>
      </c>
      <c r="Q262" s="34" t="n">
        <v>363</v>
      </c>
      <c r="R262" s="67">
        <f>ROUND((J262-Q262)/Q262,2)</f>
        <v/>
      </c>
      <c r="S262" s="34" t="n">
        <v>339</v>
      </c>
      <c r="T262" s="67">
        <f>ROUND((J262-S262)/S262,2)</f>
        <v/>
      </c>
    </row>
    <row r="263" customFormat="1" s="34">
      <c r="B263" s="69" t="inlineStr">
        <is>
          <t>NY2170</t>
        </is>
      </c>
      <c r="C263" s="101" t="n">
        <v>1.5</v>
      </c>
      <c r="D263" s="102" t="inlineStr">
        <is>
          <t>总厚</t>
        </is>
      </c>
      <c r="E263" s="72" t="inlineStr">
        <is>
          <t>3/3</t>
        </is>
      </c>
      <c r="F263" s="73" t="inlineStr">
        <is>
          <t>HTE</t>
        </is>
      </c>
      <c r="G263" s="69" t="inlineStr">
        <is>
          <t>7*7628</t>
        </is>
      </c>
      <c r="H263" s="73">
        <f>ROUND(J263/13.33,2)</f>
        <v/>
      </c>
      <c r="I263" s="73">
        <f>ROUND(H263*12,0)</f>
        <v/>
      </c>
      <c r="J263" s="99">
        <f>J262+150</f>
        <v/>
      </c>
      <c r="K263" s="73">
        <f>ROUND(H263*14,0)</f>
        <v/>
      </c>
      <c r="L263" s="42" t="n"/>
      <c r="M263" s="99" t="n">
        <v>553</v>
      </c>
      <c r="N263" s="65" t="n">
        <v>0.12</v>
      </c>
      <c r="O263" s="99" t="n">
        <v>532</v>
      </c>
      <c r="P263" s="66" t="n">
        <v>0.04</v>
      </c>
      <c r="Q263" s="34" t="n">
        <v>486</v>
      </c>
      <c r="R263" s="67">
        <f>ROUND((J263-Q263)/Q263,2)</f>
        <v/>
      </c>
      <c r="S263" s="34" t="n">
        <v>454</v>
      </c>
      <c r="T263" s="67">
        <f>ROUND((J263-S263)/S263,2)</f>
        <v/>
      </c>
    </row>
    <row r="264" customFormat="1" s="34">
      <c r="B264" s="69" t="inlineStr">
        <is>
          <t>NY2170</t>
        </is>
      </c>
      <c r="C264" s="101" t="n">
        <v>1.6</v>
      </c>
      <c r="D264" s="102" t="inlineStr">
        <is>
          <t>总厚</t>
        </is>
      </c>
      <c r="E264" s="72" t="inlineStr">
        <is>
          <t>H/H</t>
        </is>
      </c>
      <c r="F264" s="73" t="inlineStr">
        <is>
          <t>HTE</t>
        </is>
      </c>
      <c r="G264" s="69" t="inlineStr">
        <is>
          <t>8*7628</t>
        </is>
      </c>
      <c r="H264" s="73">
        <f>ROUND(J264/13.33,2)</f>
        <v/>
      </c>
      <c r="I264" s="73">
        <f>ROUND(H264*12,0)</f>
        <v/>
      </c>
      <c r="J264" s="99">
        <f>J265-60</f>
        <v/>
      </c>
      <c r="K264" s="73">
        <f>ROUND(H264*14,0)</f>
        <v/>
      </c>
      <c r="L264" s="42" t="n"/>
      <c r="M264" s="99" t="n">
        <v>238</v>
      </c>
      <c r="N264" s="65" t="n">
        <v>0.2</v>
      </c>
      <c r="O264" s="99" t="n">
        <v>229</v>
      </c>
      <c r="P264" s="66" t="n">
        <v>0.04</v>
      </c>
      <c r="Q264" s="34" t="n">
        <v>197</v>
      </c>
      <c r="R264" s="67">
        <f>ROUND((J264-Q264)/Q264,2)</f>
        <v/>
      </c>
      <c r="S264" s="34" t="n">
        <v>184</v>
      </c>
      <c r="T264" s="67">
        <f>ROUND((J264-S264)/S264,2)</f>
        <v/>
      </c>
    </row>
    <row r="265" customFormat="1" s="34">
      <c r="B265" s="69" t="inlineStr">
        <is>
          <t>NY2170</t>
        </is>
      </c>
      <c r="C265" s="101" t="n">
        <v>1.6</v>
      </c>
      <c r="D265" s="102" t="inlineStr">
        <is>
          <t>总厚</t>
        </is>
      </c>
      <c r="E265" s="72" t="inlineStr">
        <is>
          <t>1/1</t>
        </is>
      </c>
      <c r="F265" s="73" t="inlineStr">
        <is>
          <t>HTE</t>
        </is>
      </c>
      <c r="G265" s="69" t="inlineStr">
        <is>
          <t>8*7628</t>
        </is>
      </c>
      <c r="H265" s="73">
        <f>ROUND(J265/13.33,2)</f>
        <v/>
      </c>
      <c r="I265" s="73">
        <f>ROUND(H265*12,0)</f>
        <v/>
      </c>
      <c r="J265" s="99" t="n">
        <v>345</v>
      </c>
      <c r="K265" s="73">
        <f>ROUND(H265*14,0)</f>
        <v/>
      </c>
      <c r="L265" s="42" t="n"/>
      <c r="M265" s="99" t="n">
        <v>289</v>
      </c>
      <c r="N265" s="65" t="n">
        <v>0.19</v>
      </c>
      <c r="O265" s="99" t="n">
        <v>281</v>
      </c>
      <c r="P265" s="66" t="n">
        <v>0.03</v>
      </c>
      <c r="Q265" s="34" t="n">
        <v>245</v>
      </c>
      <c r="R265" s="67">
        <f>ROUND((J265-Q265)/Q265,2)</f>
        <v/>
      </c>
      <c r="S265" s="34" t="n">
        <v>229</v>
      </c>
      <c r="T265" s="67">
        <f>ROUND((J265-S265)/S265,2)</f>
        <v/>
      </c>
    </row>
    <row r="266" customFormat="1" s="34">
      <c r="B266" s="69" t="inlineStr">
        <is>
          <t>NY2170</t>
        </is>
      </c>
      <c r="C266" s="101" t="n">
        <v>1.6</v>
      </c>
      <c r="D266" s="102" t="inlineStr">
        <is>
          <t>总厚</t>
        </is>
      </c>
      <c r="E266" s="72" t="inlineStr">
        <is>
          <t>2/2</t>
        </is>
      </c>
      <c r="F266" s="73" t="inlineStr">
        <is>
          <t>HTE</t>
        </is>
      </c>
      <c r="G266" s="69" t="inlineStr">
        <is>
          <t>8*7628</t>
        </is>
      </c>
      <c r="H266" s="73">
        <f>ROUND(J266/13.33,2)</f>
        <v/>
      </c>
      <c r="I266" s="73">
        <f>ROUND(H266*12,0)</f>
        <v/>
      </c>
      <c r="J266" s="99">
        <f>J265+140</f>
        <v/>
      </c>
      <c r="K266" s="73">
        <f>ROUND(H266*14,0)</f>
        <v/>
      </c>
      <c r="L266" s="42" t="n"/>
      <c r="M266" s="99" t="n">
        <v>422</v>
      </c>
      <c r="N266" s="65" t="n">
        <v>0.15</v>
      </c>
      <c r="O266" s="99" t="n">
        <v>406</v>
      </c>
      <c r="P266" s="66" t="n">
        <v>0.04</v>
      </c>
      <c r="Q266" s="34" t="n">
        <v>368</v>
      </c>
      <c r="R266" s="67">
        <f>ROUND((J266-Q266)/Q266,2)</f>
        <v/>
      </c>
      <c r="S266" s="34" t="n">
        <v>344</v>
      </c>
      <c r="T266" s="67">
        <f>ROUND((J266-S266)/S266,2)</f>
        <v/>
      </c>
    </row>
    <row r="267" customFormat="1" s="34">
      <c r="B267" s="69" t="inlineStr">
        <is>
          <t>NY2170</t>
        </is>
      </c>
      <c r="C267" s="101" t="n">
        <v>1.6</v>
      </c>
      <c r="D267" s="102" t="inlineStr">
        <is>
          <t>总厚</t>
        </is>
      </c>
      <c r="E267" s="72" t="inlineStr">
        <is>
          <t>3/3</t>
        </is>
      </c>
      <c r="F267" s="73" t="inlineStr">
        <is>
          <t>HTE</t>
        </is>
      </c>
      <c r="G267" s="69" t="inlineStr">
        <is>
          <t>7*7628</t>
        </is>
      </c>
      <c r="H267" s="73">
        <f>ROUND(J267/13.33,2)</f>
        <v/>
      </c>
      <c r="I267" s="73">
        <f>ROUND(H267*12,0)</f>
        <v/>
      </c>
      <c r="J267" s="99">
        <f>J266+140</f>
        <v/>
      </c>
      <c r="K267" s="73">
        <f>ROUND(H267*14,0)</f>
        <v/>
      </c>
      <c r="L267" s="42" t="n"/>
      <c r="M267" s="99" t="n">
        <v>552</v>
      </c>
      <c r="N267" s="65" t="n">
        <v>0.13</v>
      </c>
      <c r="O267" s="99" t="n">
        <v>536</v>
      </c>
      <c r="P267" s="66" t="n">
        <v>0.03</v>
      </c>
      <c r="Q267" s="34" t="n">
        <v>491</v>
      </c>
      <c r="R267" s="67">
        <f>ROUND((J267-Q267)/Q267,2)</f>
        <v/>
      </c>
      <c r="S267" s="34" t="n">
        <v>459</v>
      </c>
      <c r="T267" s="67">
        <f>ROUND((J267-S267)/S267,2)</f>
        <v/>
      </c>
    </row>
    <row r="268" customFormat="1" s="34">
      <c r="B268" s="69" t="inlineStr">
        <is>
          <t>NY2600</t>
        </is>
      </c>
      <c r="C268" s="101" t="n">
        <v>0.15</v>
      </c>
      <c r="D268" s="102" t="inlineStr">
        <is>
          <t>芯厚</t>
        </is>
      </c>
      <c r="E268" s="72" t="inlineStr">
        <is>
          <t>2/2</t>
        </is>
      </c>
      <c r="F268" s="73" t="inlineStr">
        <is>
          <t>HTE</t>
        </is>
      </c>
      <c r="G268" s="69" t="inlineStr">
        <is>
          <t>1*1506</t>
        </is>
      </c>
      <c r="H268" s="73">
        <f>ROUND(J268/13.33,2)</f>
        <v/>
      </c>
      <c r="I268" s="73">
        <f>ROUND(H268*12,0)</f>
        <v/>
      </c>
      <c r="J268" s="99" t="n">
        <v>320</v>
      </c>
      <c r="K268" s="73">
        <f>ROUND(H268*14,0)</f>
        <v/>
      </c>
      <c r="L268" s="42" t="n"/>
      <c r="M268" s="99" t="n">
        <v>305</v>
      </c>
      <c r="N268" s="65" t="n">
        <v>0.05</v>
      </c>
      <c r="O268" s="99" t="n">
        <v>282</v>
      </c>
      <c r="P268" s="66" t="n">
        <v>0.08</v>
      </c>
      <c r="R268" s="67" t="n"/>
      <c r="T268" s="67" t="n"/>
    </row>
    <row r="269" customFormat="1" s="34">
      <c r="B269" s="69" t="inlineStr">
        <is>
          <t>NY2600</t>
        </is>
      </c>
      <c r="C269" s="101" t="n">
        <v>0.4</v>
      </c>
      <c r="D269" s="102" t="inlineStr">
        <is>
          <t>芯厚</t>
        </is>
      </c>
      <c r="E269" s="72" t="inlineStr">
        <is>
          <t>2/2</t>
        </is>
      </c>
      <c r="F269" s="73" t="inlineStr">
        <is>
          <t>HTE</t>
        </is>
      </c>
      <c r="G269" s="69" t="inlineStr">
        <is>
          <t>2*7628</t>
        </is>
      </c>
      <c r="H269" s="73">
        <f>ROUND(J269/13.33,2)</f>
        <v/>
      </c>
      <c r="I269" s="73">
        <f>ROUND(H269*12,0)</f>
        <v/>
      </c>
      <c r="J269" s="99" t="n">
        <v>352</v>
      </c>
      <c r="K269" s="73">
        <f>ROUND(H269*14,0)</f>
        <v/>
      </c>
      <c r="L269" s="42" t="n"/>
      <c r="M269" s="99" t="n">
        <v>326</v>
      </c>
      <c r="N269" s="65" t="n">
        <v>0.08</v>
      </c>
      <c r="O269" s="99" t="n">
        <v>302</v>
      </c>
      <c r="P269" s="66" t="n">
        <v>0.08</v>
      </c>
      <c r="Q269" s="34" t="n">
        <v>288</v>
      </c>
      <c r="R269" s="67">
        <f>ROUND((J269-Q269)/Q269,2)</f>
        <v/>
      </c>
      <c r="T269" s="67">
        <f>ROUND((J269-S269)/S269,2)</f>
        <v/>
      </c>
    </row>
    <row r="270" customFormat="1" s="34">
      <c r="B270" s="69" t="inlineStr">
        <is>
          <t>NY2600</t>
        </is>
      </c>
      <c r="C270" s="101" t="n">
        <v>0.7</v>
      </c>
      <c r="D270" s="102" t="inlineStr">
        <is>
          <t>总厚</t>
        </is>
      </c>
      <c r="E270" s="72" t="inlineStr">
        <is>
          <t>H/H</t>
        </is>
      </c>
      <c r="F270" s="73" t="inlineStr">
        <is>
          <t>HTE</t>
        </is>
      </c>
      <c r="G270" s="69" t="inlineStr">
        <is>
          <t>2*1506+2*7628</t>
        </is>
      </c>
      <c r="H270" s="73">
        <f>ROUND(J270/13.33,2)</f>
        <v/>
      </c>
      <c r="I270" s="73">
        <f>ROUND(H270*12,0)</f>
        <v/>
      </c>
      <c r="J270" s="99" t="n">
        <v>176</v>
      </c>
      <c r="K270" s="73">
        <f>ROUND(H270*14,0)</f>
        <v/>
      </c>
      <c r="L270" s="42" t="n"/>
      <c r="M270" s="99" t="n">
        <v>171</v>
      </c>
      <c r="N270" s="65" t="n">
        <v>0.03</v>
      </c>
      <c r="O270" s="99" t="n">
        <v>155</v>
      </c>
      <c r="P270" s="66" t="n">
        <v>0.1</v>
      </c>
      <c r="R270" s="67" t="n"/>
      <c r="T270" s="67" t="n"/>
    </row>
    <row r="271" customFormat="1" s="34">
      <c r="B271" s="69" t="inlineStr">
        <is>
          <t>NY2600</t>
        </is>
      </c>
      <c r="C271" s="101" t="n">
        <v>0.7</v>
      </c>
      <c r="D271" s="102" t="inlineStr">
        <is>
          <t>总厚</t>
        </is>
      </c>
      <c r="E271" s="72" t="inlineStr">
        <is>
          <t>2/2</t>
        </is>
      </c>
      <c r="F271" s="73" t="inlineStr">
        <is>
          <t>HTE</t>
        </is>
      </c>
      <c r="G271" s="69" t="inlineStr">
        <is>
          <t>3*7628</t>
        </is>
      </c>
      <c r="H271" s="73">
        <f>ROUND(J271/13.33,2)</f>
        <v/>
      </c>
      <c r="I271" s="73">
        <f>ROUND(H271*12,0)</f>
        <v/>
      </c>
      <c r="J271" s="99" t="n">
        <v>376</v>
      </c>
      <c r="K271" s="73">
        <f>ROUND(H271*14,0)</f>
        <v/>
      </c>
      <c r="L271" s="42" t="n"/>
      <c r="M271" s="99" t="n">
        <v>360</v>
      </c>
      <c r="N271" s="65" t="n">
        <v>0.04</v>
      </c>
      <c r="O271" s="99" t="n">
        <v>327.5</v>
      </c>
      <c r="P271" s="66" t="n">
        <v>0.1</v>
      </c>
      <c r="R271" s="67" t="n"/>
      <c r="T271" s="67" t="n"/>
    </row>
    <row r="272" customFormat="1" s="34">
      <c r="B272" s="69" t="inlineStr">
        <is>
          <t>NY3150HF</t>
        </is>
      </c>
      <c r="C272" s="101" t="n">
        <v>0.05</v>
      </c>
      <c r="D272" s="102" t="inlineStr">
        <is>
          <t>芯厚</t>
        </is>
      </c>
      <c r="E272" s="72" t="inlineStr">
        <is>
          <t>1/1</t>
        </is>
      </c>
      <c r="F272" s="73" t="inlineStr">
        <is>
          <t>RTF</t>
        </is>
      </c>
      <c r="G272" s="69" t="inlineStr">
        <is>
          <t>1*106</t>
        </is>
      </c>
      <c r="H272" s="73">
        <f>ROUND(J272/13.33,2)</f>
        <v/>
      </c>
      <c r="I272" s="73">
        <f>ROUND(H272*12,0)</f>
        <v/>
      </c>
      <c r="J272" s="99" t="n">
        <v>179</v>
      </c>
      <c r="K272" s="73">
        <f>ROUND(H272*14,0)</f>
        <v/>
      </c>
      <c r="L272" s="42" t="n"/>
      <c r="M272" s="99" t="n">
        <v>176</v>
      </c>
      <c r="N272" s="65" t="n">
        <v>0.02</v>
      </c>
      <c r="O272" s="99" t="n">
        <v>160</v>
      </c>
      <c r="P272" s="66" t="n">
        <v>0.1</v>
      </c>
      <c r="R272" s="67" t="n"/>
      <c r="T272" s="67" t="n"/>
    </row>
    <row r="273" customFormat="1" s="34">
      <c r="B273" s="69" t="inlineStr">
        <is>
          <t>NY3150HF</t>
        </is>
      </c>
      <c r="C273" s="103" t="n">
        <v>0.064</v>
      </c>
      <c r="D273" s="102" t="inlineStr">
        <is>
          <t>芯厚</t>
        </is>
      </c>
      <c r="E273" s="72" t="inlineStr">
        <is>
          <t>H/H</t>
        </is>
      </c>
      <c r="F273" s="73" t="inlineStr">
        <is>
          <t>HTE</t>
        </is>
      </c>
      <c r="G273" s="69" t="inlineStr">
        <is>
          <t>1*1080</t>
        </is>
      </c>
      <c r="H273" s="73">
        <f>ROUND(J273/13.33,2)</f>
        <v/>
      </c>
      <c r="I273" s="73">
        <f>ROUND(H273*12,0)</f>
        <v/>
      </c>
      <c r="J273" s="99">
        <f>J274-60</f>
        <v/>
      </c>
      <c r="K273" s="73">
        <f>ROUND(H273*14,0)</f>
        <v/>
      </c>
      <c r="L273" s="42" t="n"/>
      <c r="M273" s="99" t="n">
        <v>114</v>
      </c>
      <c r="N273" s="65" t="n">
        <v>0.01</v>
      </c>
      <c r="O273" s="99" t="n">
        <v>107</v>
      </c>
      <c r="P273" s="66" t="n">
        <v>0.07000000000000001</v>
      </c>
      <c r="Q273" s="34" t="n">
        <v>102</v>
      </c>
      <c r="R273" s="67">
        <f>ROUND((J273-Q273)/Q273,2)</f>
        <v/>
      </c>
      <c r="S273" s="34" t="n">
        <v>95</v>
      </c>
      <c r="T273" s="67">
        <f>ROUND((J273-S273)/S273,2)</f>
        <v/>
      </c>
    </row>
    <row r="274" customFormat="1" s="34">
      <c r="B274" s="69" t="inlineStr">
        <is>
          <t>NY3150HF</t>
        </is>
      </c>
      <c r="C274" s="103" t="n">
        <v>0.064</v>
      </c>
      <c r="D274" s="102" t="inlineStr">
        <is>
          <t>芯厚</t>
        </is>
      </c>
      <c r="E274" s="72" t="inlineStr">
        <is>
          <t>1/1</t>
        </is>
      </c>
      <c r="F274" s="73" t="inlineStr">
        <is>
          <t>RTF</t>
        </is>
      </c>
      <c r="G274" s="69" t="inlineStr">
        <is>
          <t>1*1080</t>
        </is>
      </c>
      <c r="H274" s="73">
        <f>ROUND(J274/13.33,2)</f>
        <v/>
      </c>
      <c r="I274" s="73">
        <f>ROUND(H274*12,0)</f>
        <v/>
      </c>
      <c r="J274" s="99" t="n">
        <v>175</v>
      </c>
      <c r="K274" s="73">
        <f>ROUND(H274*14,0)</f>
        <v/>
      </c>
      <c r="L274" s="42" t="n"/>
      <c r="M274" s="99" t="n">
        <v>173</v>
      </c>
      <c r="N274" s="65" t="n">
        <v>0.01</v>
      </c>
      <c r="O274" s="99" t="n">
        <v>160</v>
      </c>
      <c r="P274" s="66" t="n">
        <v>0.08</v>
      </c>
      <c r="Q274" s="34" t="n">
        <v>152</v>
      </c>
      <c r="R274" s="67">
        <f>ROUND((J274-Q274)/Q274,2)</f>
        <v/>
      </c>
      <c r="T274" s="67">
        <f>ROUND((J274-S274)/S274,2)</f>
        <v/>
      </c>
    </row>
    <row r="275" customFormat="1" s="34">
      <c r="B275" s="69" t="inlineStr">
        <is>
          <t>NY3150HF</t>
        </is>
      </c>
      <c r="C275" s="103" t="n">
        <v>0.076</v>
      </c>
      <c r="D275" s="102" t="inlineStr">
        <is>
          <t>芯厚</t>
        </is>
      </c>
      <c r="E275" s="72" t="inlineStr">
        <is>
          <t>1/1</t>
        </is>
      </c>
      <c r="F275" s="73" t="inlineStr">
        <is>
          <t>HTE</t>
        </is>
      </c>
      <c r="G275" s="69" t="inlineStr">
        <is>
          <t>1*1080</t>
        </is>
      </c>
      <c r="H275" s="73">
        <f>ROUND(J275/13.33,2)</f>
        <v/>
      </c>
      <c r="I275" s="73">
        <f>ROUND(H275*12,0)</f>
        <v/>
      </c>
      <c r="J275" s="99" t="n">
        <v>177</v>
      </c>
      <c r="K275" s="73">
        <f>ROUND(H275*14,0)</f>
        <v/>
      </c>
      <c r="L275" s="42" t="n"/>
      <c r="M275" s="99" t="n">
        <v>166</v>
      </c>
      <c r="N275" s="65" t="n">
        <v>0.07000000000000001</v>
      </c>
      <c r="O275" s="99" t="n">
        <v>155</v>
      </c>
      <c r="P275" s="66" t="n">
        <v>0.07000000000000001</v>
      </c>
      <c r="Q275" s="34" t="n">
        <v>148</v>
      </c>
      <c r="R275" s="67">
        <f>ROUND((J275-Q275)/Q275,2)</f>
        <v/>
      </c>
      <c r="S275" s="34" t="n">
        <v>138</v>
      </c>
      <c r="T275" s="67">
        <f>ROUND((J275-S275)/S275,2)</f>
        <v/>
      </c>
    </row>
    <row r="276" customFormat="1" s="34">
      <c r="B276" s="69" t="inlineStr">
        <is>
          <t>NY3150HF</t>
        </is>
      </c>
      <c r="C276" s="103" t="n">
        <v>0.08</v>
      </c>
      <c r="D276" s="102" t="inlineStr">
        <is>
          <t>芯厚</t>
        </is>
      </c>
      <c r="E276" s="72" t="inlineStr">
        <is>
          <t>1/1</t>
        </is>
      </c>
      <c r="F276" s="73" t="inlineStr">
        <is>
          <t>HTE</t>
        </is>
      </c>
      <c r="G276" s="69" t="inlineStr">
        <is>
          <t>1*1080</t>
        </is>
      </c>
      <c r="H276" s="73">
        <f>ROUND(J276/13.33,2)</f>
        <v/>
      </c>
      <c r="I276" s="73">
        <f>ROUND(H276*12,0)</f>
        <v/>
      </c>
      <c r="J276" s="99" t="n">
        <v>178</v>
      </c>
      <c r="K276" s="73">
        <f>ROUND(H276*14,0)</f>
        <v/>
      </c>
      <c r="L276" s="42" t="n"/>
      <c r="M276" s="99" t="n">
        <v>166</v>
      </c>
      <c r="N276" s="65" t="n">
        <v>0.07000000000000001</v>
      </c>
      <c r="O276" s="99" t="n">
        <v>155</v>
      </c>
      <c r="P276" s="66" t="n">
        <v>0.07000000000000001</v>
      </c>
      <c r="R276" s="67" t="n"/>
      <c r="T276" s="67" t="n"/>
    </row>
    <row r="277" customFormat="1" s="34">
      <c r="B277" s="69" t="inlineStr">
        <is>
          <t>NY3150HF</t>
        </is>
      </c>
      <c r="C277" s="101" t="n">
        <v>0.1</v>
      </c>
      <c r="D277" s="102" t="inlineStr">
        <is>
          <t>芯厚</t>
        </is>
      </c>
      <c r="E277" s="72" t="inlineStr">
        <is>
          <t>H/H</t>
        </is>
      </c>
      <c r="F277" s="73" t="inlineStr">
        <is>
          <t>HTE</t>
        </is>
      </c>
      <c r="G277" s="73" t="inlineStr">
        <is>
          <t>1*2116</t>
        </is>
      </c>
      <c r="H277" s="73">
        <f>ROUND(J277/13.33,2)</f>
        <v/>
      </c>
      <c r="I277" s="73">
        <f>ROUND(H277*12,0)</f>
        <v/>
      </c>
      <c r="J277" s="99" t="n">
        <v>114</v>
      </c>
      <c r="K277" s="73">
        <f>ROUND(H277*14,0)</f>
        <v/>
      </c>
      <c r="L277" s="42" t="n"/>
      <c r="M277" s="99" t="n">
        <v>114</v>
      </c>
      <c r="N277" s="65" t="n">
        <v>0</v>
      </c>
      <c r="O277" s="99" t="n">
        <v>105</v>
      </c>
      <c r="P277" s="66" t="n">
        <v>0.09</v>
      </c>
      <c r="Q277" s="34" t="n">
        <v>100</v>
      </c>
      <c r="R277" s="67">
        <f>ROUND((J277-Q277)/Q277,2)</f>
        <v/>
      </c>
      <c r="S277" s="34" t="n">
        <v>93</v>
      </c>
      <c r="T277" s="67">
        <f>ROUND((J277-S277)/S277,2)</f>
        <v/>
      </c>
    </row>
    <row r="278" customFormat="1" s="34">
      <c r="B278" s="69" t="inlineStr">
        <is>
          <t>NY3150HF</t>
        </is>
      </c>
      <c r="C278" s="101" t="n">
        <v>0.1</v>
      </c>
      <c r="D278" s="102" t="inlineStr">
        <is>
          <t>芯厚</t>
        </is>
      </c>
      <c r="E278" s="72" t="inlineStr">
        <is>
          <t>1/1</t>
        </is>
      </c>
      <c r="F278" s="73" t="inlineStr">
        <is>
          <t>HTE</t>
        </is>
      </c>
      <c r="G278" s="73" t="inlineStr">
        <is>
          <t>1*2116</t>
        </is>
      </c>
      <c r="H278" s="73">
        <f>ROUND(J278/13.33,2)</f>
        <v/>
      </c>
      <c r="I278" s="73">
        <f>ROUND(H278*12,0)</f>
        <v/>
      </c>
      <c r="J278" s="99" t="n">
        <v>173</v>
      </c>
      <c r="K278" s="73">
        <f>ROUND(H278*14,0)</f>
        <v/>
      </c>
      <c r="L278" s="42" t="n"/>
      <c r="M278" s="99" t="n">
        <v>166</v>
      </c>
      <c r="N278" s="65" t="n">
        <v>0.04</v>
      </c>
      <c r="O278" s="99" t="n">
        <v>155</v>
      </c>
      <c r="P278" s="66" t="n">
        <v>0.07000000000000001</v>
      </c>
      <c r="Q278" s="34" t="n">
        <v>148</v>
      </c>
      <c r="R278" s="67">
        <f>ROUND((J278-Q278)/Q278,2)</f>
        <v/>
      </c>
      <c r="S278" s="34" t="n">
        <v>138</v>
      </c>
      <c r="T278" s="67">
        <f>ROUND((J278-S278)/S278,2)</f>
        <v/>
      </c>
    </row>
    <row r="279" customFormat="1" s="34">
      <c r="B279" s="69" t="inlineStr">
        <is>
          <t>NY3150HF</t>
        </is>
      </c>
      <c r="C279" s="101" t="n">
        <v>0.1</v>
      </c>
      <c r="D279" s="102" t="inlineStr">
        <is>
          <t>芯厚</t>
        </is>
      </c>
      <c r="E279" s="72" t="inlineStr">
        <is>
          <t>2/2</t>
        </is>
      </c>
      <c r="F279" s="73" t="inlineStr">
        <is>
          <t>HTE</t>
        </is>
      </c>
      <c r="G279" s="73" t="inlineStr">
        <is>
          <t>1*2116</t>
        </is>
      </c>
      <c r="H279" s="73">
        <f>ROUND(J279/13.33,2)</f>
        <v/>
      </c>
      <c r="I279" s="73">
        <f>ROUND(H279*12,0)</f>
        <v/>
      </c>
      <c r="J279" s="99">
        <f>J278+140</f>
        <v/>
      </c>
      <c r="K279" s="73">
        <f>ROUND(H279*14,0)</f>
        <v/>
      </c>
      <c r="L279" s="42" t="n"/>
      <c r="M279" s="99" t="n">
        <v>297</v>
      </c>
      <c r="N279" s="65" t="n">
        <v>0.05</v>
      </c>
      <c r="O279" s="99" t="n">
        <v>280</v>
      </c>
      <c r="P279" s="66" t="n">
        <v>0.06</v>
      </c>
      <c r="Q279" s="34" t="n">
        <v>271</v>
      </c>
      <c r="R279" s="67">
        <f>ROUND((J279-Q279)/Q279,2)</f>
        <v/>
      </c>
      <c r="S279" s="34" t="n">
        <v>253</v>
      </c>
      <c r="T279" s="67">
        <f>ROUND((J279-S279)/S279,2)</f>
        <v/>
      </c>
    </row>
    <row r="280" customFormat="1" s="34">
      <c r="B280" s="69" t="inlineStr">
        <is>
          <t>NY3150HF</t>
        </is>
      </c>
      <c r="C280" s="101" t="n">
        <v>0.1</v>
      </c>
      <c r="D280" s="102" t="inlineStr">
        <is>
          <t>芯厚</t>
        </is>
      </c>
      <c r="E280" s="72" t="inlineStr">
        <is>
          <t>3/3</t>
        </is>
      </c>
      <c r="F280" s="73" t="inlineStr">
        <is>
          <t>HTE</t>
        </is>
      </c>
      <c r="G280" s="73" t="inlineStr">
        <is>
          <t>1*2116</t>
        </is>
      </c>
      <c r="H280" s="73">
        <f>ROUND(J280/13.33,2)</f>
        <v/>
      </c>
      <c r="I280" s="73">
        <f>ROUND(H280*12,0)</f>
        <v/>
      </c>
      <c r="J280" s="99">
        <f>J279+150</f>
        <v/>
      </c>
      <c r="K280" s="73">
        <f>ROUND(H280*14,0)</f>
        <v/>
      </c>
      <c r="L280" s="42" t="n"/>
      <c r="M280" s="99" t="n">
        <v>431</v>
      </c>
      <c r="N280" s="65" t="n">
        <v>0.07000000000000001</v>
      </c>
      <c r="O280" s="99" t="n">
        <v>410</v>
      </c>
      <c r="P280" s="66" t="n">
        <v>0.05</v>
      </c>
      <c r="Q280" s="34" t="n">
        <v>394</v>
      </c>
      <c r="R280" s="67">
        <f>ROUND((J280-Q280)/Q280,2)</f>
        <v/>
      </c>
      <c r="S280" s="34" t="n">
        <v>368</v>
      </c>
      <c r="T280" s="67">
        <f>ROUND((J280-S280)/S280,2)</f>
        <v/>
      </c>
    </row>
    <row r="281" customFormat="1" s="34">
      <c r="B281" s="69" t="inlineStr">
        <is>
          <t>NY3150HF</t>
        </is>
      </c>
      <c r="C281" s="101" t="n">
        <v>0.13</v>
      </c>
      <c r="D281" s="102" t="inlineStr">
        <is>
          <t>芯厚</t>
        </is>
      </c>
      <c r="E281" s="72" t="inlineStr">
        <is>
          <t>H/H</t>
        </is>
      </c>
      <c r="F281" s="73" t="inlineStr">
        <is>
          <t>HTE</t>
        </is>
      </c>
      <c r="G281" s="73" t="inlineStr">
        <is>
          <t>1*2116</t>
        </is>
      </c>
      <c r="H281" s="73">
        <f>ROUND(J281/13.33,2)</f>
        <v/>
      </c>
      <c r="I281" s="73">
        <f>ROUND(H281*12,0)</f>
        <v/>
      </c>
      <c r="J281" s="99">
        <f>ROUND(O281*(1+P281),0)</f>
        <v/>
      </c>
      <c r="K281" s="73">
        <f>ROUND(H281*14,0)</f>
        <v/>
      </c>
      <c r="L281" s="42" t="n"/>
      <c r="M281" s="99" t="n">
        <v>116</v>
      </c>
      <c r="N281" s="65" t="n">
        <v>0</v>
      </c>
      <c r="O281" s="99" t="n">
        <v>105</v>
      </c>
      <c r="P281" s="66" t="n">
        <v>0.1</v>
      </c>
      <c r="Q281" s="34" t="n">
        <v>100</v>
      </c>
      <c r="R281" s="67">
        <f>ROUND((J281-Q281)/Q281,2)</f>
        <v/>
      </c>
      <c r="S281" s="34" t="n">
        <v>93</v>
      </c>
      <c r="T281" s="67">
        <f>ROUND((J281-S281)/S281,2)</f>
        <v/>
      </c>
    </row>
    <row r="282" customFormat="1" s="34">
      <c r="B282" s="69" t="inlineStr">
        <is>
          <t>NY3150HF</t>
        </is>
      </c>
      <c r="C282" s="101" t="n">
        <v>0.13</v>
      </c>
      <c r="D282" s="102" t="inlineStr">
        <is>
          <t>芯厚</t>
        </is>
      </c>
      <c r="E282" s="72" t="inlineStr">
        <is>
          <t>1/1</t>
        </is>
      </c>
      <c r="F282" s="73" t="inlineStr">
        <is>
          <t>HTE</t>
        </is>
      </c>
      <c r="G282" s="73" t="inlineStr">
        <is>
          <t>1*2116</t>
        </is>
      </c>
      <c r="H282" s="73">
        <f>ROUND(J282/13.33,2)</f>
        <v/>
      </c>
      <c r="I282" s="73">
        <f>ROUND(H282*12,0)</f>
        <v/>
      </c>
      <c r="J282" s="99" t="n">
        <v>174</v>
      </c>
      <c r="K282" s="73">
        <f>ROUND(H282*14,0)</f>
        <v/>
      </c>
      <c r="L282" s="42" t="n"/>
      <c r="M282" s="99" t="n">
        <v>166</v>
      </c>
      <c r="N282" s="65" t="n">
        <v>0.05</v>
      </c>
      <c r="O282" s="99" t="n">
        <v>155</v>
      </c>
      <c r="P282" s="66" t="n">
        <v>0.07000000000000001</v>
      </c>
      <c r="Q282" s="34" t="n">
        <v>148</v>
      </c>
      <c r="R282" s="67">
        <f>ROUND((J282-Q282)/Q282,2)</f>
        <v/>
      </c>
      <c r="S282" s="34" t="n">
        <v>138</v>
      </c>
      <c r="T282" s="67">
        <f>ROUND((J282-S282)/S282,2)</f>
        <v/>
      </c>
    </row>
    <row r="283" customFormat="1" s="34">
      <c r="B283" s="69" t="inlineStr">
        <is>
          <t>NY3150HF</t>
        </is>
      </c>
      <c r="C283" s="101" t="n">
        <v>0.13</v>
      </c>
      <c r="D283" s="102" t="inlineStr">
        <is>
          <t>芯厚</t>
        </is>
      </c>
      <c r="E283" s="72" t="inlineStr">
        <is>
          <t>2/2</t>
        </is>
      </c>
      <c r="F283" s="73" t="inlineStr">
        <is>
          <t>HTE</t>
        </is>
      </c>
      <c r="G283" s="73" t="inlineStr">
        <is>
          <t>1*2116</t>
        </is>
      </c>
      <c r="H283" s="73">
        <f>ROUND(J283/13.33,2)</f>
        <v/>
      </c>
      <c r="I283" s="73">
        <f>ROUND(H283*12,0)</f>
        <v/>
      </c>
      <c r="J283" s="99">
        <f>J282+140</f>
        <v/>
      </c>
      <c r="K283" s="73">
        <f>ROUND(H283*14,0)</f>
        <v/>
      </c>
      <c r="L283" s="42" t="n"/>
      <c r="M283" s="99" t="n">
        <v>300</v>
      </c>
      <c r="N283" s="65" t="n">
        <v>0.05</v>
      </c>
      <c r="O283" s="99" t="n">
        <v>280</v>
      </c>
      <c r="P283" s="66" t="n">
        <v>0.07000000000000001</v>
      </c>
      <c r="Q283" s="34" t="n">
        <v>271</v>
      </c>
      <c r="R283" s="67">
        <f>ROUND((J283-Q283)/Q283,2)</f>
        <v/>
      </c>
      <c r="S283" s="34" t="n">
        <v>253</v>
      </c>
      <c r="T283" s="67">
        <f>ROUND((J283-S283)/S283,2)</f>
        <v/>
      </c>
    </row>
    <row r="284" customFormat="1" s="34">
      <c r="B284" s="69" t="inlineStr">
        <is>
          <t>NY3150HF</t>
        </is>
      </c>
      <c r="C284" s="101" t="n">
        <v>0.13</v>
      </c>
      <c r="D284" s="102" t="inlineStr">
        <is>
          <t>芯厚</t>
        </is>
      </c>
      <c r="E284" s="72" t="inlineStr">
        <is>
          <t>3/3</t>
        </is>
      </c>
      <c r="F284" s="73" t="inlineStr">
        <is>
          <t>HTE</t>
        </is>
      </c>
      <c r="G284" s="73" t="inlineStr">
        <is>
          <t>1*2116</t>
        </is>
      </c>
      <c r="H284" s="73">
        <f>ROUND(J284/13.33,2)</f>
        <v/>
      </c>
      <c r="I284" s="73">
        <f>ROUND(H284*12,0)</f>
        <v/>
      </c>
      <c r="J284" s="99">
        <f>J283+150</f>
        <v/>
      </c>
      <c r="K284" s="73">
        <f>ROUND(H284*14,0)</f>
        <v/>
      </c>
      <c r="L284" s="42" t="n"/>
      <c r="M284" s="99" t="n">
        <v>431</v>
      </c>
      <c r="N284" s="65" t="n">
        <v>0.08</v>
      </c>
      <c r="O284" s="99" t="n">
        <v>410</v>
      </c>
      <c r="P284" s="66" t="n">
        <v>0.05</v>
      </c>
      <c r="Q284" s="34" t="n">
        <v>394</v>
      </c>
      <c r="R284" s="67">
        <f>ROUND((J284-Q284)/Q284,2)</f>
        <v/>
      </c>
      <c r="S284" s="34" t="n">
        <v>368</v>
      </c>
      <c r="T284" s="67">
        <f>ROUND((J284-S284)/S284,2)</f>
        <v/>
      </c>
    </row>
    <row r="285" customFormat="1" s="34">
      <c r="B285" s="69" t="inlineStr">
        <is>
          <t>NY3150HF</t>
        </is>
      </c>
      <c r="C285" s="101" t="n">
        <v>0.15</v>
      </c>
      <c r="D285" s="102" t="inlineStr">
        <is>
          <t>芯厚</t>
        </is>
      </c>
      <c r="E285" s="72" t="inlineStr">
        <is>
          <t>H/H</t>
        </is>
      </c>
      <c r="F285" s="73" t="inlineStr">
        <is>
          <t>HTE</t>
        </is>
      </c>
      <c r="G285" s="73" t="inlineStr">
        <is>
          <t>1*1506</t>
        </is>
      </c>
      <c r="H285" s="73">
        <f>ROUND(J285/13.33,2)</f>
        <v/>
      </c>
      <c r="I285" s="73">
        <f>ROUND(H285*12,0)</f>
        <v/>
      </c>
      <c r="J285" s="99">
        <f>ROUND(O285*(1+P285),0)</f>
        <v/>
      </c>
      <c r="K285" s="73">
        <f>ROUND(H285*14,0)</f>
        <v/>
      </c>
      <c r="L285" s="42" t="n"/>
      <c r="M285" s="99" t="n">
        <v>117</v>
      </c>
      <c r="N285" s="65" t="n">
        <v>0</v>
      </c>
      <c r="O285" s="99" t="n">
        <v>107</v>
      </c>
      <c r="P285" s="66" t="n">
        <v>0.09</v>
      </c>
      <c r="Q285" s="34" t="n">
        <v>102</v>
      </c>
      <c r="R285" s="67">
        <f>ROUND((J285-Q285)/Q285,2)</f>
        <v/>
      </c>
      <c r="S285" s="34" t="n">
        <v>95</v>
      </c>
      <c r="T285" s="67">
        <f>ROUND((J285-S285)/S285,2)</f>
        <v/>
      </c>
    </row>
    <row r="286" customFormat="1" s="34">
      <c r="B286" s="69" t="inlineStr">
        <is>
          <t>NY3150HF</t>
        </is>
      </c>
      <c r="C286" s="101" t="n">
        <v>0.15</v>
      </c>
      <c r="D286" s="102" t="inlineStr">
        <is>
          <t>芯厚</t>
        </is>
      </c>
      <c r="E286" s="72" t="inlineStr">
        <is>
          <t>1/1</t>
        </is>
      </c>
      <c r="F286" s="73" t="inlineStr">
        <is>
          <t>HTE</t>
        </is>
      </c>
      <c r="G286" s="73" t="inlineStr">
        <is>
          <t>1*1506</t>
        </is>
      </c>
      <c r="H286" s="73">
        <f>ROUND(J286/13.33,2)</f>
        <v/>
      </c>
      <c r="I286" s="73">
        <f>ROUND(H286*12,0)</f>
        <v/>
      </c>
      <c r="J286" s="99" t="n">
        <v>175</v>
      </c>
      <c r="K286" s="73">
        <f>ROUND(H286*14,0)</f>
        <v/>
      </c>
      <c r="L286" s="42" t="n"/>
      <c r="M286" s="99" t="n">
        <v>167</v>
      </c>
      <c r="N286" s="65" t="n">
        <v>0.05</v>
      </c>
      <c r="O286" s="99" t="n">
        <v>158</v>
      </c>
      <c r="P286" s="66" t="n">
        <v>0.06</v>
      </c>
      <c r="Q286" s="34" t="n">
        <v>150</v>
      </c>
      <c r="R286" s="67">
        <f>ROUND((J286-Q286)/Q286,2)</f>
        <v/>
      </c>
      <c r="S286" s="34" t="n">
        <v>140</v>
      </c>
      <c r="T286" s="67">
        <f>ROUND((J286-S286)/S286,2)</f>
        <v/>
      </c>
    </row>
    <row r="287" customFormat="1" s="34">
      <c r="B287" s="69" t="inlineStr">
        <is>
          <t>NY3150HF</t>
        </is>
      </c>
      <c r="C287" s="101" t="n">
        <v>0.15</v>
      </c>
      <c r="D287" s="102" t="inlineStr">
        <is>
          <t>芯厚</t>
        </is>
      </c>
      <c r="E287" s="72" t="inlineStr">
        <is>
          <t>2/2</t>
        </is>
      </c>
      <c r="F287" s="73" t="inlineStr">
        <is>
          <t>HTE</t>
        </is>
      </c>
      <c r="G287" s="73" t="inlineStr">
        <is>
          <t>1*1506</t>
        </is>
      </c>
      <c r="H287" s="73">
        <f>ROUND(J287/13.33,2)</f>
        <v/>
      </c>
      <c r="I287" s="73">
        <f>ROUND(H287*12,0)</f>
        <v/>
      </c>
      <c r="J287" s="99">
        <f>J286+140</f>
        <v/>
      </c>
      <c r="K287" s="73">
        <f>ROUND(H287*14,0)</f>
        <v/>
      </c>
      <c r="L287" s="42" t="n"/>
      <c r="M287" s="99" t="n">
        <v>300</v>
      </c>
      <c r="N287" s="65" t="n">
        <v>0.05</v>
      </c>
      <c r="O287" s="99" t="n">
        <v>283</v>
      </c>
      <c r="P287" s="66" t="n">
        <v>0.06</v>
      </c>
      <c r="Q287" s="34" t="n">
        <v>273</v>
      </c>
      <c r="R287" s="67">
        <f>ROUND((J287-Q287)/Q287,2)</f>
        <v/>
      </c>
      <c r="S287" s="34" t="n">
        <v>255</v>
      </c>
      <c r="T287" s="67">
        <f>ROUND((J287-S287)/S287,2)</f>
        <v/>
      </c>
    </row>
    <row r="288" customFormat="1" s="34">
      <c r="B288" s="69" t="inlineStr">
        <is>
          <t>NY3150HF</t>
        </is>
      </c>
      <c r="C288" s="101" t="n">
        <v>0.15</v>
      </c>
      <c r="D288" s="102" t="inlineStr">
        <is>
          <t>芯厚</t>
        </is>
      </c>
      <c r="E288" s="72" t="inlineStr">
        <is>
          <t>3/3</t>
        </is>
      </c>
      <c r="F288" s="73" t="inlineStr">
        <is>
          <t>HTE</t>
        </is>
      </c>
      <c r="G288" s="73" t="inlineStr">
        <is>
          <t>1*1506</t>
        </is>
      </c>
      <c r="H288" s="73">
        <f>ROUND(J288/13.33,2)</f>
        <v/>
      </c>
      <c r="I288" s="73">
        <f>ROUND(H288*12,0)</f>
        <v/>
      </c>
      <c r="J288" s="99">
        <f>J287+150</f>
        <v/>
      </c>
      <c r="K288" s="73">
        <f>ROUND(H288*14,0)</f>
        <v/>
      </c>
      <c r="L288" s="42" t="n"/>
      <c r="M288" s="99" t="n">
        <v>434</v>
      </c>
      <c r="N288" s="65" t="n">
        <v>0.07000000000000001</v>
      </c>
      <c r="O288" s="99" t="n">
        <v>413</v>
      </c>
      <c r="P288" s="66" t="n">
        <v>0.05</v>
      </c>
      <c r="Q288" s="34" t="n">
        <v>396</v>
      </c>
      <c r="R288" s="67">
        <f>ROUND((J288-Q288)/Q288,2)</f>
        <v/>
      </c>
      <c r="S288" s="34" t="n">
        <v>370</v>
      </c>
      <c r="T288" s="67">
        <f>ROUND((J288-S288)/S288,2)</f>
        <v/>
      </c>
    </row>
    <row r="289" customFormat="1" s="34">
      <c r="B289" s="69" t="inlineStr">
        <is>
          <t>NY3150HF</t>
        </is>
      </c>
      <c r="C289" s="101" t="n">
        <v>0.2</v>
      </c>
      <c r="D289" s="102" t="inlineStr">
        <is>
          <t>芯厚</t>
        </is>
      </c>
      <c r="E289" s="72" t="inlineStr">
        <is>
          <t>H/H</t>
        </is>
      </c>
      <c r="F289" s="73" t="inlineStr">
        <is>
          <t>HTE</t>
        </is>
      </c>
      <c r="G289" s="69" t="inlineStr">
        <is>
          <t>1*7628</t>
        </is>
      </c>
      <c r="H289" s="73">
        <f>ROUND(J289/13.33,2)</f>
        <v/>
      </c>
      <c r="I289" s="73">
        <f>ROUND(H289*12,0)</f>
        <v/>
      </c>
      <c r="J289" s="99">
        <f>ROUND(O289*(1+P289),0)</f>
        <v/>
      </c>
      <c r="K289" s="73">
        <f>ROUND(H289*14,0)</f>
        <v/>
      </c>
      <c r="L289" s="42" t="n"/>
      <c r="M289" s="99" t="n">
        <v>116</v>
      </c>
      <c r="N289" s="65" t="n">
        <v>0</v>
      </c>
      <c r="O289" s="99" t="n">
        <v>107</v>
      </c>
      <c r="P289" s="66" t="n">
        <v>0.08</v>
      </c>
      <c r="Q289" s="34" t="n">
        <v>102</v>
      </c>
      <c r="R289" s="67">
        <f>ROUND((J289-Q289)/Q289,2)</f>
        <v/>
      </c>
      <c r="S289" s="34" t="n">
        <v>95</v>
      </c>
      <c r="T289" s="67">
        <f>ROUND((J289-S289)/S289,2)</f>
        <v/>
      </c>
    </row>
    <row r="290" customFormat="1" s="34">
      <c r="B290" s="69" t="inlineStr">
        <is>
          <t>NY3150HF</t>
        </is>
      </c>
      <c r="C290" s="101" t="n">
        <v>0.2</v>
      </c>
      <c r="D290" s="102" t="inlineStr">
        <is>
          <t>芯厚</t>
        </is>
      </c>
      <c r="E290" s="72" t="inlineStr">
        <is>
          <t>1/1</t>
        </is>
      </c>
      <c r="F290" s="73" t="inlineStr">
        <is>
          <t>HTE</t>
        </is>
      </c>
      <c r="G290" s="69" t="inlineStr">
        <is>
          <t>1*7628</t>
        </is>
      </c>
      <c r="H290" s="73">
        <f>ROUND(J290/13.33,2)</f>
        <v/>
      </c>
      <c r="I290" s="73">
        <f>ROUND(H290*12,0)</f>
        <v/>
      </c>
      <c r="J290" s="99" t="n">
        <v>175</v>
      </c>
      <c r="K290" s="73">
        <f>ROUND(H290*14,0)</f>
        <v/>
      </c>
      <c r="L290" s="42" t="n"/>
      <c r="M290" s="99" t="n">
        <v>166</v>
      </c>
      <c r="N290" s="65" t="n">
        <v>0.05</v>
      </c>
      <c r="O290" s="99" t="n">
        <v>158</v>
      </c>
      <c r="P290" s="66" t="n">
        <v>0.05</v>
      </c>
      <c r="Q290" s="34" t="n">
        <v>150</v>
      </c>
      <c r="R290" s="67">
        <f>ROUND((J290-Q290)/Q290,2)</f>
        <v/>
      </c>
      <c r="S290" s="34" t="n">
        <v>140</v>
      </c>
      <c r="T290" s="67">
        <f>ROUND((J290-S290)/S290,2)</f>
        <v/>
      </c>
    </row>
    <row r="291" customFormat="1" s="34">
      <c r="B291" s="69" t="inlineStr">
        <is>
          <t>NY3150HF</t>
        </is>
      </c>
      <c r="C291" s="101" t="n">
        <v>0.2</v>
      </c>
      <c r="D291" s="102" t="inlineStr">
        <is>
          <t>芯厚</t>
        </is>
      </c>
      <c r="E291" s="72" t="inlineStr">
        <is>
          <t>2/2</t>
        </is>
      </c>
      <c r="F291" s="73" t="inlineStr">
        <is>
          <t>HTE</t>
        </is>
      </c>
      <c r="G291" s="69" t="inlineStr">
        <is>
          <t>1*7628</t>
        </is>
      </c>
      <c r="H291" s="73">
        <f>ROUND(J291/13.33,2)</f>
        <v/>
      </c>
      <c r="I291" s="73">
        <f>ROUND(H291*12,0)</f>
        <v/>
      </c>
      <c r="J291" s="99">
        <f>J290+140</f>
        <v/>
      </c>
      <c r="K291" s="73">
        <f>ROUND(H291*14,0)</f>
        <v/>
      </c>
      <c r="L291" s="42" t="n"/>
      <c r="M291" s="99" t="n">
        <v>300</v>
      </c>
      <c r="N291" s="65" t="n">
        <v>0.05</v>
      </c>
      <c r="O291" s="99" t="n">
        <v>283</v>
      </c>
      <c r="P291" s="66" t="n">
        <v>0.06</v>
      </c>
      <c r="Q291" s="34" t="n">
        <v>273</v>
      </c>
      <c r="R291" s="67">
        <f>ROUND((J291-Q291)/Q291,2)</f>
        <v/>
      </c>
      <c r="S291" s="34" t="n">
        <v>255</v>
      </c>
      <c r="T291" s="67">
        <f>ROUND((J291-S291)/S291,2)</f>
        <v/>
      </c>
    </row>
    <row r="292" customFormat="1" s="34">
      <c r="B292" s="69" t="inlineStr">
        <is>
          <t>NY3150HF</t>
        </is>
      </c>
      <c r="C292" s="101" t="n">
        <v>0.2</v>
      </c>
      <c r="D292" s="102" t="inlineStr">
        <is>
          <t>芯厚</t>
        </is>
      </c>
      <c r="E292" s="72" t="inlineStr">
        <is>
          <t>3/3</t>
        </is>
      </c>
      <c r="F292" s="73" t="inlineStr">
        <is>
          <t>HTE</t>
        </is>
      </c>
      <c r="G292" s="69" t="inlineStr">
        <is>
          <t>1*7628</t>
        </is>
      </c>
      <c r="H292" s="73">
        <f>ROUND(J292/13.33,2)</f>
        <v/>
      </c>
      <c r="I292" s="73">
        <f>ROUND(H292*12,0)</f>
        <v/>
      </c>
      <c r="J292" s="99">
        <f>J291+150</f>
        <v/>
      </c>
      <c r="K292" s="73">
        <f>ROUND(H292*14,0)</f>
        <v/>
      </c>
      <c r="L292" s="42" t="n"/>
      <c r="M292" s="99" t="n">
        <v>430</v>
      </c>
      <c r="N292" s="65" t="n">
        <v>0.08</v>
      </c>
      <c r="O292" s="99" t="n">
        <v>413</v>
      </c>
      <c r="P292" s="66" t="n">
        <v>0.04</v>
      </c>
      <c r="Q292" s="34" t="n">
        <v>289</v>
      </c>
      <c r="R292" s="67">
        <f>ROUND((J292-Q292)/Q292,2)</f>
        <v/>
      </c>
      <c r="S292" s="34" t="n">
        <v>270</v>
      </c>
      <c r="T292" s="67">
        <f>ROUND((J292-S292)/S292,2)</f>
        <v/>
      </c>
    </row>
    <row r="293" customFormat="1" s="34">
      <c r="B293" s="69" t="inlineStr">
        <is>
          <t>NY3150HF</t>
        </is>
      </c>
      <c r="C293" s="101" t="n">
        <v>0.25</v>
      </c>
      <c r="D293" s="102" t="inlineStr">
        <is>
          <t>芯厚</t>
        </is>
      </c>
      <c r="E293" s="72" t="inlineStr">
        <is>
          <t>H/H</t>
        </is>
      </c>
      <c r="F293" s="73" t="inlineStr">
        <is>
          <t>HTE</t>
        </is>
      </c>
      <c r="G293" s="69" t="inlineStr">
        <is>
          <t>2*2116</t>
        </is>
      </c>
      <c r="H293" s="73">
        <f>ROUND(J293/13.33,2)</f>
        <v/>
      </c>
      <c r="I293" s="73">
        <f>ROUND(H293*12,0)</f>
        <v/>
      </c>
      <c r="J293" s="99">
        <f>J294-60</f>
        <v/>
      </c>
      <c r="K293" s="73">
        <f>ROUND(H293*14,0)</f>
        <v/>
      </c>
      <c r="L293" s="42" t="n"/>
      <c r="M293" s="99" t="n">
        <v>137</v>
      </c>
      <c r="N293" s="65" t="n">
        <v>0.02</v>
      </c>
      <c r="O293" s="99" t="n">
        <v>127</v>
      </c>
      <c r="P293" s="66" t="n">
        <v>0.08</v>
      </c>
      <c r="Q293" s="34" t="n">
        <v>121</v>
      </c>
      <c r="R293" s="67">
        <f>ROUND((J293-Q293)/Q293,2)</f>
        <v/>
      </c>
      <c r="S293" s="34" t="n">
        <v>113</v>
      </c>
      <c r="T293" s="67">
        <f>ROUND((J293-S293)/S293,2)</f>
        <v/>
      </c>
    </row>
    <row r="294" customFormat="1" s="34">
      <c r="B294" s="69" t="inlineStr">
        <is>
          <t>NY3150HF</t>
        </is>
      </c>
      <c r="C294" s="101" t="n">
        <v>0.25</v>
      </c>
      <c r="D294" s="102" t="inlineStr">
        <is>
          <t>芯厚</t>
        </is>
      </c>
      <c r="E294" s="72" t="inlineStr">
        <is>
          <t>1/1</t>
        </is>
      </c>
      <c r="F294" s="73" t="inlineStr">
        <is>
          <t>HTE</t>
        </is>
      </c>
      <c r="G294" s="69" t="inlineStr">
        <is>
          <t>2*2116</t>
        </is>
      </c>
      <c r="H294" s="73">
        <f>ROUND(J294/13.33,2)</f>
        <v/>
      </c>
      <c r="I294" s="73">
        <f>ROUND(H294*12,0)</f>
        <v/>
      </c>
      <c r="J294" s="99" t="n">
        <v>200</v>
      </c>
      <c r="K294" s="73">
        <f>ROUND(H294*14,0)</f>
        <v/>
      </c>
      <c r="L294" s="42" t="n"/>
      <c r="M294" s="99" t="n">
        <v>189</v>
      </c>
      <c r="N294" s="65" t="n">
        <v>0.06</v>
      </c>
      <c r="O294" s="99" t="n">
        <v>177</v>
      </c>
      <c r="P294" s="66" t="n">
        <v>0.07000000000000001</v>
      </c>
      <c r="Q294" s="34" t="n">
        <v>169</v>
      </c>
      <c r="R294" s="67">
        <f>ROUND((J294-Q294)/Q294,2)</f>
        <v/>
      </c>
      <c r="S294" s="34" t="n">
        <v>158</v>
      </c>
      <c r="T294" s="67">
        <f>ROUND((J294-S294)/S294,2)</f>
        <v/>
      </c>
    </row>
    <row r="295" customFormat="1" s="34">
      <c r="B295" s="69" t="inlineStr">
        <is>
          <t>NY3150HF</t>
        </is>
      </c>
      <c r="C295" s="101" t="n">
        <v>0.25</v>
      </c>
      <c r="D295" s="102" t="inlineStr">
        <is>
          <t>芯厚</t>
        </is>
      </c>
      <c r="E295" s="72" t="inlineStr">
        <is>
          <t>2/2</t>
        </is>
      </c>
      <c r="F295" s="73" t="inlineStr">
        <is>
          <t>HTE</t>
        </is>
      </c>
      <c r="G295" s="69" t="inlineStr">
        <is>
          <t>2*2116</t>
        </is>
      </c>
      <c r="H295" s="73">
        <f>ROUND(J295/13.33,2)</f>
        <v/>
      </c>
      <c r="I295" s="73">
        <f>ROUND(H295*12,0)</f>
        <v/>
      </c>
      <c r="J295" s="99">
        <f>J294+140</f>
        <v/>
      </c>
      <c r="K295" s="73">
        <f>ROUND(H295*14,0)</f>
        <v/>
      </c>
      <c r="L295" s="42" t="n"/>
      <c r="M295" s="99" t="n">
        <v>320</v>
      </c>
      <c r="N295" s="65" t="n">
        <v>0.06</v>
      </c>
      <c r="O295" s="99" t="n">
        <v>302</v>
      </c>
      <c r="P295" s="66" t="n">
        <v>0.06</v>
      </c>
      <c r="Q295" s="34" t="n">
        <v>292</v>
      </c>
      <c r="R295" s="67">
        <f>ROUND((J295-Q295)/Q295,2)</f>
        <v/>
      </c>
      <c r="S295" s="34" t="n">
        <v>273</v>
      </c>
      <c r="T295" s="67">
        <f>ROUND((J295-S295)/S295,2)</f>
        <v/>
      </c>
    </row>
    <row r="296" customFormat="1" s="34">
      <c r="B296" s="69" t="inlineStr">
        <is>
          <t>NY3150HF</t>
        </is>
      </c>
      <c r="C296" s="101" t="n">
        <v>0.25</v>
      </c>
      <c r="D296" s="102" t="inlineStr">
        <is>
          <t>芯厚</t>
        </is>
      </c>
      <c r="E296" s="72" t="inlineStr">
        <is>
          <t>3/3</t>
        </is>
      </c>
      <c r="F296" s="73" t="inlineStr">
        <is>
          <t>HTE</t>
        </is>
      </c>
      <c r="G296" s="69" t="inlineStr">
        <is>
          <t>2*2116</t>
        </is>
      </c>
      <c r="H296" s="73">
        <f>ROUND(J296/13.33,2)</f>
        <v/>
      </c>
      <c r="I296" s="73">
        <f>ROUND(H296*12,0)</f>
        <v/>
      </c>
      <c r="J296" s="99">
        <f>J295+150</f>
        <v/>
      </c>
      <c r="K296" s="73">
        <f>ROUND(H296*14,0)</f>
        <v/>
      </c>
      <c r="L296" s="42" t="n"/>
      <c r="M296" s="99" t="n">
        <v>454</v>
      </c>
      <c r="N296" s="65" t="n">
        <v>0.08</v>
      </c>
      <c r="O296" s="99" t="n">
        <v>432</v>
      </c>
      <c r="P296" s="66" t="n">
        <v>0.05</v>
      </c>
      <c r="Q296" s="34" t="n">
        <v>426</v>
      </c>
      <c r="R296" s="67">
        <f>ROUND((J296-Q296)/Q296,2)</f>
        <v/>
      </c>
      <c r="S296" s="34" t="n">
        <v>398</v>
      </c>
      <c r="T296" s="67">
        <f>ROUND((J296-S296)/S296,2)</f>
        <v/>
      </c>
    </row>
    <row r="297" customFormat="1" s="34">
      <c r="B297" s="69" t="inlineStr">
        <is>
          <t>NY3150HF</t>
        </is>
      </c>
      <c r="C297" s="101" t="n">
        <v>0.3</v>
      </c>
      <c r="D297" s="102" t="inlineStr">
        <is>
          <t>芯厚</t>
        </is>
      </c>
      <c r="E297" s="72" t="inlineStr">
        <is>
          <t>H/H</t>
        </is>
      </c>
      <c r="F297" s="73" t="inlineStr">
        <is>
          <t>HTE</t>
        </is>
      </c>
      <c r="G297" s="69" t="inlineStr">
        <is>
          <t>2*1506</t>
        </is>
      </c>
      <c r="H297" s="73">
        <f>ROUND(J297/13.33,2)</f>
        <v/>
      </c>
      <c r="I297" s="73">
        <f>ROUND(H297*12,0)</f>
        <v/>
      </c>
      <c r="J297" s="99">
        <f>J298-60</f>
        <v/>
      </c>
      <c r="K297" s="73">
        <f>ROUND(H297*14,0)</f>
        <v/>
      </c>
      <c r="L297" s="42" t="n"/>
      <c r="M297" s="99" t="n">
        <v>138</v>
      </c>
      <c r="N297" s="65" t="n">
        <v>0.02</v>
      </c>
      <c r="O297" s="99" t="n">
        <v>128</v>
      </c>
      <c r="P297" s="66" t="n">
        <v>0.08</v>
      </c>
      <c r="Q297" s="34" t="n">
        <v>122</v>
      </c>
      <c r="R297" s="67">
        <f>ROUND((J297-Q297)/Q297,2)</f>
        <v/>
      </c>
      <c r="S297" s="34" t="n">
        <v>114</v>
      </c>
      <c r="T297" s="67">
        <f>ROUND((J297-S297)/S297,2)</f>
        <v/>
      </c>
    </row>
    <row r="298" customFormat="1" s="34">
      <c r="B298" s="69" t="inlineStr">
        <is>
          <t>NY3150HF</t>
        </is>
      </c>
      <c r="C298" s="101" t="n">
        <v>0.3</v>
      </c>
      <c r="D298" s="102" t="inlineStr">
        <is>
          <t>芯厚</t>
        </is>
      </c>
      <c r="E298" s="72" t="inlineStr">
        <is>
          <t>1/1</t>
        </is>
      </c>
      <c r="F298" s="73" t="inlineStr">
        <is>
          <t>HTE</t>
        </is>
      </c>
      <c r="G298" s="69" t="inlineStr">
        <is>
          <t>2*1506</t>
        </is>
      </c>
      <c r="H298" s="73">
        <f>ROUND(J298/13.33,2)</f>
        <v/>
      </c>
      <c r="I298" s="73">
        <f>ROUND(H298*12,0)</f>
        <v/>
      </c>
      <c r="J298" s="99" t="n">
        <v>201</v>
      </c>
      <c r="K298" s="73">
        <f>ROUND(H298*14,0)</f>
        <v/>
      </c>
      <c r="L298" s="42" t="n"/>
      <c r="M298" s="99" t="n">
        <v>190</v>
      </c>
      <c r="N298" s="65" t="n">
        <v>0.06</v>
      </c>
      <c r="O298" s="99" t="n">
        <v>179</v>
      </c>
      <c r="P298" s="66" t="n">
        <v>0.06</v>
      </c>
      <c r="Q298" s="34" t="n">
        <v>170</v>
      </c>
      <c r="R298" s="67">
        <f>ROUND((J298-Q298)/Q298,2)</f>
        <v/>
      </c>
      <c r="S298" s="34" t="n">
        <v>159</v>
      </c>
      <c r="T298" s="67">
        <f>ROUND((J298-S298)/S298,2)</f>
        <v/>
      </c>
    </row>
    <row r="299" customFormat="1" s="34">
      <c r="B299" s="69" t="inlineStr">
        <is>
          <t>NY3150HF</t>
        </is>
      </c>
      <c r="C299" s="101" t="n">
        <v>0.3</v>
      </c>
      <c r="D299" s="102" t="inlineStr">
        <is>
          <t>芯厚</t>
        </is>
      </c>
      <c r="E299" s="72" t="inlineStr">
        <is>
          <t>2/2</t>
        </is>
      </c>
      <c r="F299" s="73" t="inlineStr">
        <is>
          <t>HTE</t>
        </is>
      </c>
      <c r="G299" s="69" t="inlineStr">
        <is>
          <t>2*1506</t>
        </is>
      </c>
      <c r="H299" s="73">
        <f>ROUND(J299/13.33,2)</f>
        <v/>
      </c>
      <c r="I299" s="73">
        <f>ROUND(H299*12,0)</f>
        <v/>
      </c>
      <c r="J299" s="99">
        <f>J298+140</f>
        <v/>
      </c>
      <c r="K299" s="73">
        <f>ROUND(H299*14,0)</f>
        <v/>
      </c>
      <c r="L299" s="42" t="n"/>
      <c r="M299" s="99" t="n">
        <v>322</v>
      </c>
      <c r="N299" s="65" t="n">
        <v>0.06</v>
      </c>
      <c r="O299" s="99" t="n">
        <v>304</v>
      </c>
      <c r="P299" s="66" t="n">
        <v>0.06</v>
      </c>
      <c r="Q299" s="34" t="n">
        <v>293</v>
      </c>
      <c r="R299" s="67">
        <f>ROUND((J299-Q299)/Q299,2)</f>
        <v/>
      </c>
      <c r="S299" s="34" t="n">
        <v>274</v>
      </c>
      <c r="T299" s="67">
        <f>ROUND((J299-S299)/S299,2)</f>
        <v/>
      </c>
    </row>
    <row r="300" customFormat="1" s="34">
      <c r="B300" s="69" t="inlineStr">
        <is>
          <t>NY3150HF</t>
        </is>
      </c>
      <c r="C300" s="101" t="n">
        <v>0.3</v>
      </c>
      <c r="D300" s="102" t="inlineStr">
        <is>
          <t>芯厚</t>
        </is>
      </c>
      <c r="E300" s="72" t="inlineStr">
        <is>
          <t>3/3</t>
        </is>
      </c>
      <c r="F300" s="73" t="inlineStr">
        <is>
          <t>HTE</t>
        </is>
      </c>
      <c r="G300" s="69" t="inlineStr">
        <is>
          <t>2*1506</t>
        </is>
      </c>
      <c r="H300" s="73">
        <f>ROUND(J300/13.33,2)</f>
        <v/>
      </c>
      <c r="I300" s="73">
        <f>ROUND(H300*12,0)</f>
        <v/>
      </c>
      <c r="J300" s="99">
        <f>J299+150</f>
        <v/>
      </c>
      <c r="K300" s="73">
        <f>ROUND(H300*14,0)</f>
        <v/>
      </c>
      <c r="L300" s="42" t="n"/>
      <c r="M300" s="99" t="n">
        <v>456</v>
      </c>
      <c r="N300" s="65" t="n">
        <v>0.08</v>
      </c>
      <c r="O300" s="99" t="n">
        <v>434</v>
      </c>
      <c r="P300" s="66" t="n">
        <v>0.05</v>
      </c>
      <c r="Q300" s="34" t="n">
        <v>427</v>
      </c>
      <c r="R300" s="67">
        <f>ROUND((J300-Q300)/Q300,2)</f>
        <v/>
      </c>
      <c r="S300" s="34" t="n">
        <v>399</v>
      </c>
      <c r="T300" s="67">
        <f>ROUND((J300-S300)/S300,2)</f>
        <v/>
      </c>
    </row>
    <row r="301" customFormat="1" s="34">
      <c r="B301" s="69" t="inlineStr">
        <is>
          <t>NY3150HF</t>
        </is>
      </c>
      <c r="C301" s="101" t="n">
        <v>0.35</v>
      </c>
      <c r="D301" s="102" t="inlineStr">
        <is>
          <t>芯厚</t>
        </is>
      </c>
      <c r="E301" s="72" t="inlineStr">
        <is>
          <t>H/H</t>
        </is>
      </c>
      <c r="F301" s="73" t="inlineStr">
        <is>
          <t>HTE</t>
        </is>
      </c>
      <c r="G301" s="69" t="inlineStr">
        <is>
          <t>2*7628</t>
        </is>
      </c>
      <c r="H301" s="73">
        <f>ROUND(J301/13.33,2)</f>
        <v/>
      </c>
      <c r="I301" s="73">
        <f>ROUND(H301*12,0)</f>
        <v/>
      </c>
      <c r="J301" s="99">
        <f>J302-60</f>
        <v/>
      </c>
      <c r="K301" s="73">
        <f>ROUND(H301*14,0)</f>
        <v/>
      </c>
      <c r="L301" s="42" t="n"/>
      <c r="M301" s="99" t="n">
        <v>137</v>
      </c>
      <c r="N301" s="65" t="n">
        <v>0.03</v>
      </c>
      <c r="O301" s="99" t="n">
        <v>127</v>
      </c>
      <c r="P301" s="66" t="n">
        <v>0.08</v>
      </c>
      <c r="Q301" s="34" t="n">
        <v>121</v>
      </c>
      <c r="R301" s="67">
        <f>ROUND((J301-Q301)/Q301,2)</f>
        <v/>
      </c>
      <c r="S301" s="34" t="n">
        <v>113</v>
      </c>
      <c r="T301" s="67">
        <f>ROUND((J301-S301)/S301,2)</f>
        <v/>
      </c>
    </row>
    <row r="302" customFormat="1" s="34">
      <c r="B302" s="69" t="inlineStr">
        <is>
          <t>NY3150HF</t>
        </is>
      </c>
      <c r="C302" s="101" t="n">
        <v>0.35</v>
      </c>
      <c r="D302" s="102" t="inlineStr">
        <is>
          <t>芯厚</t>
        </is>
      </c>
      <c r="E302" s="72" t="inlineStr">
        <is>
          <t>1/1</t>
        </is>
      </c>
      <c r="F302" s="73" t="inlineStr">
        <is>
          <t>HTE</t>
        </is>
      </c>
      <c r="G302" s="69" t="inlineStr">
        <is>
          <t>2*7628</t>
        </is>
      </c>
      <c r="H302" s="73">
        <f>ROUND(J302/13.33,2)</f>
        <v/>
      </c>
      <c r="I302" s="73">
        <f>ROUND(H302*12,0)</f>
        <v/>
      </c>
      <c r="J302" s="99" t="n">
        <v>201</v>
      </c>
      <c r="K302" s="73">
        <f>ROUND(H302*14,0)</f>
        <v/>
      </c>
      <c r="L302" s="42" t="n"/>
      <c r="M302" s="99" t="n">
        <v>189</v>
      </c>
      <c r="N302" s="65" t="n">
        <v>0.06</v>
      </c>
      <c r="O302" s="99" t="n">
        <v>177</v>
      </c>
      <c r="P302" s="66" t="n">
        <v>0.07000000000000001</v>
      </c>
      <c r="Q302" s="34" t="n">
        <v>169</v>
      </c>
      <c r="R302" s="67">
        <f>ROUND((J302-Q302)/Q302,2)</f>
        <v/>
      </c>
      <c r="S302" s="34" t="n">
        <v>158</v>
      </c>
      <c r="T302" s="67">
        <f>ROUND((J302-S302)/S302,2)</f>
        <v/>
      </c>
    </row>
    <row r="303" customFormat="1" s="34">
      <c r="B303" s="69" t="inlineStr">
        <is>
          <t>NY3150HF</t>
        </is>
      </c>
      <c r="C303" s="101" t="n">
        <v>0.35</v>
      </c>
      <c r="D303" s="102" t="inlineStr">
        <is>
          <t>芯厚</t>
        </is>
      </c>
      <c r="E303" s="72" t="inlineStr">
        <is>
          <t>2/2</t>
        </is>
      </c>
      <c r="F303" s="73" t="inlineStr">
        <is>
          <t>HTE</t>
        </is>
      </c>
      <c r="G303" s="69" t="inlineStr">
        <is>
          <t>2*7628</t>
        </is>
      </c>
      <c r="H303" s="73">
        <f>ROUND(J303/13.33,2)</f>
        <v/>
      </c>
      <c r="I303" s="73">
        <f>ROUND(H303*12,0)</f>
        <v/>
      </c>
      <c r="J303" s="99">
        <f>J302+140</f>
        <v/>
      </c>
      <c r="K303" s="73">
        <f>ROUND(H303*14,0)</f>
        <v/>
      </c>
      <c r="L303" s="42" t="n"/>
      <c r="M303" s="99" t="n">
        <v>320</v>
      </c>
      <c r="N303" s="65" t="n">
        <v>0.07000000000000001</v>
      </c>
      <c r="O303" s="99" t="n">
        <v>302</v>
      </c>
      <c r="P303" s="66" t="n">
        <v>0.06</v>
      </c>
      <c r="Q303" s="34" t="n">
        <v>292</v>
      </c>
      <c r="R303" s="67">
        <f>ROUND((J303-Q303)/Q303,2)</f>
        <v/>
      </c>
      <c r="S303" s="34" t="n">
        <v>273</v>
      </c>
      <c r="T303" s="67">
        <f>ROUND((J303-S303)/S303,2)</f>
        <v/>
      </c>
    </row>
    <row r="304" customFormat="1" s="34">
      <c r="B304" s="69" t="inlineStr">
        <is>
          <t>NY3150HF</t>
        </is>
      </c>
      <c r="C304" s="101" t="n">
        <v>0.35</v>
      </c>
      <c r="D304" s="102" t="inlineStr">
        <is>
          <t>芯厚</t>
        </is>
      </c>
      <c r="E304" s="72" t="inlineStr">
        <is>
          <t>3/3</t>
        </is>
      </c>
      <c r="F304" s="73" t="inlineStr">
        <is>
          <t>HTE</t>
        </is>
      </c>
      <c r="G304" s="69" t="inlineStr">
        <is>
          <t>2*7628</t>
        </is>
      </c>
      <c r="H304" s="73">
        <f>ROUND(J304/13.33,2)</f>
        <v/>
      </c>
      <c r="I304" s="73">
        <f>ROUND(H304*12,0)</f>
        <v/>
      </c>
      <c r="J304" s="99">
        <f>J303+150</f>
        <v/>
      </c>
      <c r="K304" s="73">
        <f>ROUND(H304*14,0)</f>
        <v/>
      </c>
      <c r="L304" s="42" t="n"/>
      <c r="M304" s="99" t="n">
        <v>454</v>
      </c>
      <c r="N304" s="65" t="n">
        <v>0.08</v>
      </c>
      <c r="O304" s="99" t="n">
        <v>432</v>
      </c>
      <c r="P304" s="66" t="n">
        <v>0.05</v>
      </c>
      <c r="Q304" s="34" t="n">
        <v>426</v>
      </c>
      <c r="R304" s="67">
        <f>ROUND((J304-Q304)/Q304,2)</f>
        <v/>
      </c>
      <c r="S304" s="34" t="n">
        <v>398</v>
      </c>
      <c r="T304" s="67">
        <f>ROUND((J304-S304)/S304,2)</f>
        <v/>
      </c>
    </row>
    <row r="305" customFormat="1" s="34">
      <c r="B305" s="69" t="inlineStr">
        <is>
          <t>NY3150HF</t>
        </is>
      </c>
      <c r="C305" s="102" t="n">
        <v>0.4</v>
      </c>
      <c r="D305" s="102" t="inlineStr">
        <is>
          <t>芯厚</t>
        </is>
      </c>
      <c r="E305" s="72" t="inlineStr">
        <is>
          <t>H/H</t>
        </is>
      </c>
      <c r="F305" s="73" t="inlineStr">
        <is>
          <t>HTE</t>
        </is>
      </c>
      <c r="G305" s="69" t="inlineStr">
        <is>
          <t>2*7628</t>
        </is>
      </c>
      <c r="H305" s="73">
        <f>ROUND(J305/13.33,2)</f>
        <v/>
      </c>
      <c r="I305" s="73">
        <f>ROUND(H305*12,0)</f>
        <v/>
      </c>
      <c r="J305" s="99">
        <f>J306-60</f>
        <v/>
      </c>
      <c r="K305" s="73">
        <f>ROUND(H305*14,0)</f>
        <v/>
      </c>
      <c r="L305" s="42" t="n"/>
      <c r="M305" s="99" t="n">
        <v>137</v>
      </c>
      <c r="N305" s="65" t="n">
        <v>0.04</v>
      </c>
      <c r="O305" s="99" t="n">
        <v>127</v>
      </c>
      <c r="P305" s="66" t="n">
        <v>0.08</v>
      </c>
      <c r="Q305" s="34" t="n">
        <v>121</v>
      </c>
      <c r="R305" s="67">
        <f>ROUND((J305-Q305)/Q305,2)</f>
        <v/>
      </c>
      <c r="S305" s="34" t="n">
        <v>113</v>
      </c>
      <c r="T305" s="67">
        <f>ROUND((J305-S305)/S305,2)</f>
        <v/>
      </c>
    </row>
    <row r="306" customFormat="1" s="34">
      <c r="B306" s="69" t="inlineStr">
        <is>
          <t>NY3150HF</t>
        </is>
      </c>
      <c r="C306" s="102" t="n">
        <v>0.4</v>
      </c>
      <c r="D306" s="102" t="inlineStr">
        <is>
          <t>芯厚</t>
        </is>
      </c>
      <c r="E306" s="72" t="inlineStr">
        <is>
          <t>1/1</t>
        </is>
      </c>
      <c r="F306" s="73" t="inlineStr">
        <is>
          <t>HTE</t>
        </is>
      </c>
      <c r="G306" s="69" t="inlineStr">
        <is>
          <t>2*7628</t>
        </is>
      </c>
      <c r="H306" s="73">
        <f>ROUND(J306/13.33,2)</f>
        <v/>
      </c>
      <c r="I306" s="73">
        <f>ROUND(H306*12,0)</f>
        <v/>
      </c>
      <c r="J306" s="99" t="n">
        <v>202</v>
      </c>
      <c r="K306" s="73">
        <f>ROUND(H306*14,0)</f>
        <v/>
      </c>
      <c r="L306" s="42" t="n"/>
      <c r="M306" s="99" t="n">
        <v>189</v>
      </c>
      <c r="N306" s="65" t="n">
        <v>0.07000000000000001</v>
      </c>
      <c r="O306" s="99" t="n">
        <v>177</v>
      </c>
      <c r="P306" s="66" t="n">
        <v>0.07000000000000001</v>
      </c>
      <c r="Q306" s="34" t="n">
        <v>169</v>
      </c>
      <c r="R306" s="67">
        <f>ROUND((J306-Q306)/Q306,2)</f>
        <v/>
      </c>
      <c r="S306" s="34" t="n">
        <v>158</v>
      </c>
      <c r="T306" s="67">
        <f>ROUND((J306-S306)/S306,2)</f>
        <v/>
      </c>
    </row>
    <row r="307" ht="15.6" customFormat="1" customHeight="1" s="33">
      <c r="B307" s="69" t="inlineStr">
        <is>
          <t>NY3150HF</t>
        </is>
      </c>
      <c r="C307" s="102" t="n">
        <v>0.4</v>
      </c>
      <c r="D307" s="102" t="inlineStr">
        <is>
          <t>芯厚</t>
        </is>
      </c>
      <c r="E307" s="72" t="inlineStr">
        <is>
          <t>2/2</t>
        </is>
      </c>
      <c r="F307" s="73" t="inlineStr">
        <is>
          <t>HTE</t>
        </is>
      </c>
      <c r="G307" s="69" t="inlineStr">
        <is>
          <t>2*7628</t>
        </is>
      </c>
      <c r="H307" s="73">
        <f>ROUND(J307/13.33,2)</f>
        <v/>
      </c>
      <c r="I307" s="73">
        <f>ROUND(H307*12,0)</f>
        <v/>
      </c>
      <c r="J307" s="99">
        <f>J306+140</f>
        <v/>
      </c>
      <c r="K307" s="73">
        <f>ROUND(H307*14,0)</f>
        <v/>
      </c>
      <c r="L307" s="42" t="n"/>
      <c r="M307" s="99" t="n">
        <v>320</v>
      </c>
      <c r="N307" s="65" t="n">
        <v>0.07000000000000001</v>
      </c>
      <c r="O307" s="99" t="n">
        <v>302</v>
      </c>
      <c r="P307" s="66" t="n">
        <v>0.06</v>
      </c>
      <c r="Q307" s="33" t="n">
        <v>292</v>
      </c>
      <c r="R307" s="67">
        <f>ROUND((J307-Q307)/Q307,2)</f>
        <v/>
      </c>
      <c r="S307" s="33" t="n">
        <v>273</v>
      </c>
      <c r="T307" s="67">
        <f>ROUND((J307-S307)/S307,2)</f>
        <v/>
      </c>
    </row>
    <row r="308" ht="18" customFormat="1" customHeight="1" s="33">
      <c r="B308" s="69" t="inlineStr">
        <is>
          <t>NY3150HF</t>
        </is>
      </c>
      <c r="C308" s="102" t="n">
        <v>0.4</v>
      </c>
      <c r="D308" s="102" t="inlineStr">
        <is>
          <t>芯厚</t>
        </is>
      </c>
      <c r="E308" s="72" t="inlineStr">
        <is>
          <t>3/3</t>
        </is>
      </c>
      <c r="F308" s="73" t="inlineStr">
        <is>
          <t>HTE</t>
        </is>
      </c>
      <c r="G308" s="69" t="inlineStr">
        <is>
          <t>2*7628</t>
        </is>
      </c>
      <c r="H308" s="73">
        <f>ROUND(J308/13.33,2)</f>
        <v/>
      </c>
      <c r="I308" s="73">
        <f>ROUND(H308*12,0)</f>
        <v/>
      </c>
      <c r="J308" s="99">
        <f>J307+150</f>
        <v/>
      </c>
      <c r="K308" s="73">
        <f>ROUND(H308*14,0)</f>
        <v/>
      </c>
      <c r="L308" s="42" t="n"/>
      <c r="M308" s="99" t="n">
        <v>454</v>
      </c>
      <c r="N308" s="65" t="n">
        <v>0.08</v>
      </c>
      <c r="O308" s="99" t="n">
        <v>432</v>
      </c>
      <c r="P308" s="66" t="n">
        <v>0.05</v>
      </c>
      <c r="Q308" s="33" t="n">
        <v>426</v>
      </c>
      <c r="R308" s="67">
        <f>ROUND((J308-Q308)/Q308,2)</f>
        <v/>
      </c>
      <c r="S308" s="33" t="n">
        <v>398</v>
      </c>
      <c r="T308" s="67">
        <f>ROUND((J308-S308)/S308,2)</f>
        <v/>
      </c>
    </row>
    <row r="309" ht="15.6" customFormat="1" customHeight="1" s="33">
      <c r="B309" s="69" t="inlineStr">
        <is>
          <t>NY3150HF</t>
        </is>
      </c>
      <c r="C309" s="101" t="n">
        <v>0.45</v>
      </c>
      <c r="D309" s="102" t="inlineStr">
        <is>
          <t>芯厚</t>
        </is>
      </c>
      <c r="E309" s="72" t="inlineStr">
        <is>
          <t>H/H</t>
        </is>
      </c>
      <c r="F309" s="73" t="inlineStr">
        <is>
          <t>HTE</t>
        </is>
      </c>
      <c r="G309" s="69" t="inlineStr">
        <is>
          <t>2*7628+1*1080</t>
        </is>
      </c>
      <c r="H309" s="73">
        <f>ROUND(J309/13.33,2)</f>
        <v/>
      </c>
      <c r="I309" s="73">
        <f>ROUND(H309*12,0)</f>
        <v/>
      </c>
      <c r="J309" s="99">
        <f>J310-60</f>
        <v/>
      </c>
      <c r="K309" s="73">
        <f>ROUND(H309*14,0)</f>
        <v/>
      </c>
      <c r="L309" s="42" t="n"/>
      <c r="M309" s="99" t="n">
        <v>154</v>
      </c>
      <c r="N309" s="65" t="n">
        <v>0.06</v>
      </c>
      <c r="O309" s="99" t="n">
        <v>143</v>
      </c>
      <c r="P309" s="66" t="n">
        <v>0.08</v>
      </c>
      <c r="Q309" s="33" t="n">
        <v>136</v>
      </c>
      <c r="R309" s="67">
        <f>ROUND((J309-Q309)/Q309,2)</f>
        <v/>
      </c>
      <c r="S309" s="33" t="n">
        <v>127</v>
      </c>
      <c r="T309" s="67">
        <f>ROUND((J309-S309)/S309,2)</f>
        <v/>
      </c>
    </row>
    <row r="310" ht="15.6" customFormat="1" customHeight="1" s="33">
      <c r="B310" s="69" t="inlineStr">
        <is>
          <t>NY3150HF</t>
        </is>
      </c>
      <c r="C310" s="101" t="n">
        <v>0.45</v>
      </c>
      <c r="D310" s="102" t="inlineStr">
        <is>
          <t>芯厚</t>
        </is>
      </c>
      <c r="E310" s="72" t="inlineStr">
        <is>
          <t>1/1</t>
        </is>
      </c>
      <c r="F310" s="73" t="inlineStr">
        <is>
          <t>HTE</t>
        </is>
      </c>
      <c r="G310" s="69" t="inlineStr">
        <is>
          <t>2*7628+1*1080</t>
        </is>
      </c>
      <c r="H310" s="73">
        <f>ROUND(J310/13.33,2)</f>
        <v/>
      </c>
      <c r="I310" s="73">
        <f>ROUND(H310*12,0)</f>
        <v/>
      </c>
      <c r="J310" s="99" t="n">
        <v>224</v>
      </c>
      <c r="K310" s="73">
        <f>ROUND(H310*14,0)</f>
        <v/>
      </c>
      <c r="L310" s="42" t="n"/>
      <c r="M310" s="99" t="n">
        <v>206</v>
      </c>
      <c r="N310" s="65" t="n">
        <v>0.09</v>
      </c>
      <c r="O310" s="99" t="n">
        <v>194</v>
      </c>
      <c r="P310" s="66" t="n">
        <v>0.06</v>
      </c>
      <c r="Q310" s="33" t="n">
        <v>185</v>
      </c>
      <c r="R310" s="67">
        <f>ROUND((J310-Q310)/Q310,2)</f>
        <v/>
      </c>
      <c r="S310" s="33" t="n">
        <v>173</v>
      </c>
      <c r="T310" s="67">
        <f>ROUND((J310-S310)/S310,2)</f>
        <v/>
      </c>
    </row>
    <row r="311" ht="15.6" customFormat="1" customHeight="1" s="33">
      <c r="B311" s="69" t="inlineStr">
        <is>
          <t>NY3150HF</t>
        </is>
      </c>
      <c r="C311" s="101" t="n">
        <v>0.45</v>
      </c>
      <c r="D311" s="102" t="inlineStr">
        <is>
          <t>芯厚</t>
        </is>
      </c>
      <c r="E311" s="72" t="inlineStr">
        <is>
          <t>2/2</t>
        </is>
      </c>
      <c r="F311" s="73" t="inlineStr">
        <is>
          <t>HTE</t>
        </is>
      </c>
      <c r="G311" s="69" t="inlineStr">
        <is>
          <t>2*7628+1*1080</t>
        </is>
      </c>
      <c r="H311" s="73">
        <f>ROUND(J311/13.33,2)</f>
        <v/>
      </c>
      <c r="I311" s="73">
        <f>ROUND(H311*12,0)</f>
        <v/>
      </c>
      <c r="J311" s="99">
        <f>J310+140</f>
        <v/>
      </c>
      <c r="K311" s="73">
        <f>ROUND(H311*14,0)</f>
        <v/>
      </c>
      <c r="L311" s="42" t="n"/>
      <c r="M311" s="99" t="n">
        <v>338</v>
      </c>
      <c r="N311" s="65" t="n">
        <v>0.08</v>
      </c>
      <c r="O311" s="99" t="n">
        <v>319</v>
      </c>
      <c r="P311" s="66" t="n">
        <v>0.06</v>
      </c>
      <c r="Q311" s="33" t="n">
        <v>308</v>
      </c>
      <c r="R311" s="67">
        <f>ROUND((J311-Q311)/Q311,2)</f>
        <v/>
      </c>
      <c r="S311" s="33" t="n">
        <v>288</v>
      </c>
      <c r="T311" s="67">
        <f>ROUND((J311-S311)/S311,2)</f>
        <v/>
      </c>
    </row>
    <row r="312" ht="15.6" customFormat="1" customHeight="1" s="33">
      <c r="B312" s="69" t="inlineStr">
        <is>
          <t>NY3150HF</t>
        </is>
      </c>
      <c r="C312" s="101" t="n">
        <v>0.45</v>
      </c>
      <c r="D312" s="102" t="inlineStr">
        <is>
          <t>芯厚</t>
        </is>
      </c>
      <c r="E312" s="72" t="inlineStr">
        <is>
          <t>3/3</t>
        </is>
      </c>
      <c r="F312" s="73" t="inlineStr">
        <is>
          <t>HTE</t>
        </is>
      </c>
      <c r="G312" s="69" t="inlineStr">
        <is>
          <t>2*7628+1*1080</t>
        </is>
      </c>
      <c r="H312" s="73">
        <f>ROUND(J312/13.33,2)</f>
        <v/>
      </c>
      <c r="I312" s="73">
        <f>ROUND(H312*12,0)</f>
        <v/>
      </c>
      <c r="J312" s="99">
        <f>J311+150</f>
        <v/>
      </c>
      <c r="K312" s="73">
        <f>ROUND(H312*14,0)</f>
        <v/>
      </c>
      <c r="L312" s="42" t="n"/>
      <c r="M312" s="99" t="n">
        <v>471</v>
      </c>
      <c r="N312" s="65" t="n">
        <v>0.09</v>
      </c>
      <c r="O312" s="99" t="n">
        <v>449</v>
      </c>
      <c r="P312" s="66" t="n">
        <v>0.05</v>
      </c>
      <c r="Q312" s="33" t="n">
        <v>442</v>
      </c>
      <c r="R312" s="67">
        <f>ROUND((J312-Q312)/Q312,2)</f>
        <v/>
      </c>
      <c r="S312" s="33" t="n">
        <v>413</v>
      </c>
      <c r="T312" s="67">
        <f>ROUND((J312-S312)/S312,2)</f>
        <v/>
      </c>
    </row>
    <row r="313" customFormat="1" s="34">
      <c r="B313" s="69" t="inlineStr">
        <is>
          <t>NY3150HF</t>
        </is>
      </c>
      <c r="C313" s="101" t="n">
        <v>0.5</v>
      </c>
      <c r="D313" s="102" t="inlineStr">
        <is>
          <t>芯厚</t>
        </is>
      </c>
      <c r="E313" s="72" t="inlineStr">
        <is>
          <t>H/H</t>
        </is>
      </c>
      <c r="F313" s="73" t="inlineStr">
        <is>
          <t>HTE</t>
        </is>
      </c>
      <c r="G313" s="69" t="inlineStr">
        <is>
          <t>2*7628+1*2116</t>
        </is>
      </c>
      <c r="H313" s="73">
        <f>ROUND(J313/13.33,2)</f>
        <v/>
      </c>
      <c r="I313" s="73">
        <f>ROUND(H313*12,0)</f>
        <v/>
      </c>
      <c r="J313" s="99">
        <f>J314-60</f>
        <v/>
      </c>
      <c r="K313" s="73">
        <f>ROUND(H313*14,0)</f>
        <v/>
      </c>
      <c r="L313" s="42" t="n"/>
      <c r="M313" s="99" t="n">
        <v>154</v>
      </c>
      <c r="N313" s="65" t="n">
        <v>0.07000000000000001</v>
      </c>
      <c r="O313" s="99" t="n">
        <v>144</v>
      </c>
      <c r="P313" s="66" t="n">
        <v>0.07000000000000001</v>
      </c>
      <c r="Q313" s="34" t="n">
        <v>137</v>
      </c>
      <c r="R313" s="67">
        <f>ROUND((J313-Q313)/Q313,2)</f>
        <v/>
      </c>
      <c r="S313" s="34" t="n">
        <v>128</v>
      </c>
      <c r="T313" s="67">
        <f>ROUND((J313-S313)/S313,2)</f>
        <v/>
      </c>
    </row>
    <row r="314" customFormat="1" s="34">
      <c r="B314" s="69" t="inlineStr">
        <is>
          <t>NY3150HF</t>
        </is>
      </c>
      <c r="C314" s="101" t="n">
        <v>0.5</v>
      </c>
      <c r="D314" s="102" t="inlineStr">
        <is>
          <t>芯厚</t>
        </is>
      </c>
      <c r="E314" s="72" t="inlineStr">
        <is>
          <t>1/1</t>
        </is>
      </c>
      <c r="F314" s="73" t="inlineStr">
        <is>
          <t>HTE</t>
        </is>
      </c>
      <c r="G314" s="69" t="inlineStr">
        <is>
          <t>2*7628+1*2116</t>
        </is>
      </c>
      <c r="H314" s="73">
        <f>ROUND(J314/13.33,2)</f>
        <v/>
      </c>
      <c r="I314" s="73">
        <f>ROUND(H314*12,0)</f>
        <v/>
      </c>
      <c r="J314" s="99" t="n">
        <v>225</v>
      </c>
      <c r="K314" s="73">
        <f>ROUND(H314*14,0)</f>
        <v/>
      </c>
      <c r="L314" s="42" t="n"/>
      <c r="M314" s="99" t="n">
        <v>207</v>
      </c>
      <c r="N314" s="65" t="n">
        <v>0.09</v>
      </c>
      <c r="O314" s="99" t="n">
        <v>195</v>
      </c>
      <c r="P314" s="66" t="n">
        <v>0.06</v>
      </c>
      <c r="Q314" s="34" t="n">
        <v>186</v>
      </c>
      <c r="R314" s="67">
        <f>ROUND((J314-Q314)/Q314,2)</f>
        <v/>
      </c>
      <c r="S314" s="34" t="n">
        <v>174</v>
      </c>
      <c r="T314" s="67">
        <f>ROUND((J314-S314)/S314,2)</f>
        <v/>
      </c>
    </row>
    <row r="315" customFormat="1" s="34">
      <c r="B315" s="69" t="inlineStr">
        <is>
          <t>NY3150HF</t>
        </is>
      </c>
      <c r="C315" s="101" t="n">
        <v>0.5</v>
      </c>
      <c r="D315" s="102" t="inlineStr">
        <is>
          <t>芯厚</t>
        </is>
      </c>
      <c r="E315" s="72" t="inlineStr">
        <is>
          <t>2/2</t>
        </is>
      </c>
      <c r="F315" s="73" t="inlineStr">
        <is>
          <t>HTE</t>
        </is>
      </c>
      <c r="G315" s="69" t="inlineStr">
        <is>
          <t>2*7628+1*2116</t>
        </is>
      </c>
      <c r="H315" s="73">
        <f>ROUND(J315/13.33,2)</f>
        <v/>
      </c>
      <c r="I315" s="73">
        <f>ROUND(H315*12,0)</f>
        <v/>
      </c>
      <c r="J315" s="99">
        <f>J314+140</f>
        <v/>
      </c>
      <c r="K315" s="73">
        <f>ROUND(H315*14,0)</f>
        <v/>
      </c>
      <c r="L315" s="42" t="n"/>
      <c r="M315" s="99" t="n">
        <v>339</v>
      </c>
      <c r="N315" s="65" t="n">
        <v>0.08</v>
      </c>
      <c r="O315" s="99" t="n">
        <v>320</v>
      </c>
      <c r="P315" s="66" t="n">
        <v>0.06</v>
      </c>
      <c r="Q315" s="34" t="n">
        <v>309</v>
      </c>
      <c r="R315" s="67">
        <f>ROUND((J315-Q315)/Q315,2)</f>
        <v/>
      </c>
      <c r="S315" s="34" t="n">
        <v>289</v>
      </c>
      <c r="T315" s="67">
        <f>ROUND((J315-S315)/S315,2)</f>
        <v/>
      </c>
    </row>
    <row r="316" customFormat="1" s="34">
      <c r="B316" s="69" t="inlineStr">
        <is>
          <t>NY3150HF</t>
        </is>
      </c>
      <c r="C316" s="101" t="n">
        <v>0.5</v>
      </c>
      <c r="D316" s="102" t="inlineStr">
        <is>
          <t>芯厚</t>
        </is>
      </c>
      <c r="E316" s="72" t="inlineStr">
        <is>
          <t>3/3</t>
        </is>
      </c>
      <c r="F316" s="73" t="inlineStr">
        <is>
          <t>HTE</t>
        </is>
      </c>
      <c r="G316" s="69" t="inlineStr">
        <is>
          <t>2*7628+1*2116</t>
        </is>
      </c>
      <c r="H316" s="73">
        <f>ROUND(J316/13.33,2)</f>
        <v/>
      </c>
      <c r="I316" s="73">
        <f>ROUND(H316*12,0)</f>
        <v/>
      </c>
      <c r="J316" s="99">
        <f>J315+150</f>
        <v/>
      </c>
      <c r="K316" s="73">
        <f>ROUND(H316*14,0)</f>
        <v/>
      </c>
      <c r="L316" s="42" t="n"/>
      <c r="M316" s="99" t="n">
        <v>473</v>
      </c>
      <c r="N316" s="65" t="n">
        <v>0.09</v>
      </c>
      <c r="O316" s="99" t="n">
        <v>450</v>
      </c>
      <c r="P316" s="66" t="n">
        <v>0.05</v>
      </c>
      <c r="Q316" s="34" t="n">
        <v>443</v>
      </c>
      <c r="R316" s="67">
        <f>ROUND((J316-Q316)/Q316,2)</f>
        <v/>
      </c>
      <c r="S316" s="34" t="n">
        <v>414</v>
      </c>
      <c r="T316" s="67">
        <f>ROUND((J316-S316)/S316,2)</f>
        <v/>
      </c>
    </row>
    <row r="317" customFormat="1" s="34">
      <c r="B317" s="69" t="inlineStr">
        <is>
          <t>NY3150HF</t>
        </is>
      </c>
      <c r="C317" s="101" t="n">
        <v>0.6</v>
      </c>
      <c r="D317" s="102" t="inlineStr">
        <is>
          <t>芯厚</t>
        </is>
      </c>
      <c r="E317" s="72" t="inlineStr">
        <is>
          <t>H/H</t>
        </is>
      </c>
      <c r="F317" s="73" t="inlineStr">
        <is>
          <t>HTE</t>
        </is>
      </c>
      <c r="G317" s="69" t="inlineStr">
        <is>
          <t>3*7628</t>
        </is>
      </c>
      <c r="H317" s="73">
        <f>ROUND(J317/13.33,2)</f>
        <v/>
      </c>
      <c r="I317" s="73">
        <f>ROUND(H317*12,0)</f>
        <v/>
      </c>
      <c r="J317" s="99">
        <f>J318-60</f>
        <v/>
      </c>
      <c r="K317" s="73">
        <f>ROUND(H317*14,0)</f>
        <v/>
      </c>
      <c r="L317" s="42" t="n"/>
      <c r="M317" s="99" t="n">
        <v>157</v>
      </c>
      <c r="N317" s="65" t="n">
        <v>0.06</v>
      </c>
      <c r="O317" s="99" t="n">
        <v>145</v>
      </c>
      <c r="P317" s="66" t="n">
        <v>0.08</v>
      </c>
      <c r="Q317" s="34" t="n">
        <v>138</v>
      </c>
      <c r="R317" s="67">
        <f>ROUND((J317-Q317)/Q317,2)</f>
        <v/>
      </c>
      <c r="S317" s="34" t="n">
        <v>129</v>
      </c>
      <c r="T317" s="67">
        <f>ROUND((J317-S317)/S317,2)</f>
        <v/>
      </c>
    </row>
    <row r="318" customFormat="1" s="34">
      <c r="B318" s="69" t="inlineStr">
        <is>
          <t>NY3150HF</t>
        </is>
      </c>
      <c r="C318" s="101" t="n">
        <v>0.6</v>
      </c>
      <c r="D318" s="102" t="inlineStr">
        <is>
          <t>芯厚</t>
        </is>
      </c>
      <c r="E318" s="72" t="inlineStr">
        <is>
          <t>1/1</t>
        </is>
      </c>
      <c r="F318" s="73" t="inlineStr">
        <is>
          <t>HTE</t>
        </is>
      </c>
      <c r="G318" s="69" t="inlineStr">
        <is>
          <t>3*7628</t>
        </is>
      </c>
      <c r="H318" s="73">
        <f>ROUND(J318/13.33,2)</f>
        <v/>
      </c>
      <c r="I318" s="73">
        <f>ROUND(H318*12,0)</f>
        <v/>
      </c>
      <c r="J318" s="99" t="n">
        <v>227</v>
      </c>
      <c r="K318" s="73">
        <f>ROUND(H318*14,0)</f>
        <v/>
      </c>
      <c r="L318" s="42" t="n"/>
      <c r="M318" s="99" t="n">
        <v>208</v>
      </c>
      <c r="N318" s="65" t="n">
        <v>0.09</v>
      </c>
      <c r="O318" s="99" t="n">
        <v>196</v>
      </c>
      <c r="P318" s="66" t="n">
        <v>0.06</v>
      </c>
      <c r="Q318" s="34" t="n">
        <v>187</v>
      </c>
      <c r="R318" s="67">
        <f>ROUND((J318-Q318)/Q318,2)</f>
        <v/>
      </c>
      <c r="S318" s="34" t="n">
        <v>175</v>
      </c>
      <c r="T318" s="67">
        <f>ROUND((J318-S318)/S318,2)</f>
        <v/>
      </c>
    </row>
    <row r="319" customFormat="1" s="34">
      <c r="B319" s="69" t="inlineStr">
        <is>
          <t>NY3150HF</t>
        </is>
      </c>
      <c r="C319" s="101" t="n">
        <v>0.6</v>
      </c>
      <c r="D319" s="102" t="inlineStr">
        <is>
          <t>芯厚</t>
        </is>
      </c>
      <c r="E319" s="72" t="inlineStr">
        <is>
          <t>2/2</t>
        </is>
      </c>
      <c r="F319" s="73" t="inlineStr">
        <is>
          <t>HTE</t>
        </is>
      </c>
      <c r="G319" s="69" t="inlineStr">
        <is>
          <t>2*7628+1*2116</t>
        </is>
      </c>
      <c r="H319" s="73">
        <f>ROUND(J319/13.33,2)</f>
        <v/>
      </c>
      <c r="I319" s="73">
        <f>ROUND(H319*12,0)</f>
        <v/>
      </c>
      <c r="J319" s="99">
        <f>J318+140</f>
        <v/>
      </c>
      <c r="K319" s="73">
        <f>ROUND(H319*14,0)</f>
        <v/>
      </c>
      <c r="L319" s="42" t="n"/>
      <c r="M319" s="99" t="n">
        <v>340</v>
      </c>
      <c r="N319" s="65" t="n">
        <v>0.08</v>
      </c>
      <c r="O319" s="99" t="n">
        <v>321</v>
      </c>
      <c r="P319" s="66" t="n">
        <v>0.06</v>
      </c>
      <c r="Q319" s="34" t="n">
        <v>310</v>
      </c>
      <c r="R319" s="67">
        <f>ROUND((J319-Q319)/Q319,2)</f>
        <v/>
      </c>
      <c r="S319" s="34" t="n">
        <v>290</v>
      </c>
      <c r="T319" s="67">
        <f>ROUND((J319-S319)/S319,2)</f>
        <v/>
      </c>
    </row>
    <row r="320" customFormat="1" s="34">
      <c r="B320" s="69" t="inlineStr">
        <is>
          <t>NY3150HF</t>
        </is>
      </c>
      <c r="C320" s="101" t="n">
        <v>0.63</v>
      </c>
      <c r="D320" s="102" t="inlineStr">
        <is>
          <t>芯厚</t>
        </is>
      </c>
      <c r="E320" s="72" t="inlineStr">
        <is>
          <t>1/1</t>
        </is>
      </c>
      <c r="F320" s="73" t="inlineStr">
        <is>
          <t>HTE</t>
        </is>
      </c>
      <c r="G320" s="69" t="inlineStr">
        <is>
          <t>2*2116+2*7628</t>
        </is>
      </c>
      <c r="H320" s="73">
        <f>ROUND(J320/13.33,2)</f>
        <v/>
      </c>
      <c r="I320" s="73">
        <f>ROUND(H320*12,0)</f>
        <v/>
      </c>
      <c r="J320" s="99" t="n">
        <v>249</v>
      </c>
      <c r="K320" s="73">
        <f>ROUND(H320*14,0)</f>
        <v/>
      </c>
      <c r="L320" s="42" t="n"/>
      <c r="M320" s="99" t="n"/>
      <c r="N320" s="65" t="n"/>
      <c r="O320" s="99" t="n"/>
      <c r="P320" s="66" t="n"/>
      <c r="R320" s="67" t="n"/>
      <c r="T320" s="67" t="n"/>
    </row>
    <row r="321" customFormat="1" s="34">
      <c r="B321" s="69" t="inlineStr">
        <is>
          <t>NY3150HF</t>
        </is>
      </c>
      <c r="C321" s="101" t="n">
        <v>0.73</v>
      </c>
      <c r="D321" s="102" t="inlineStr">
        <is>
          <t>芯厚</t>
        </is>
      </c>
      <c r="E321" s="72" t="inlineStr">
        <is>
          <t>J/J</t>
        </is>
      </c>
      <c r="F321" s="73" t="inlineStr">
        <is>
          <t>HTE</t>
        </is>
      </c>
      <c r="G321" s="69" t="inlineStr">
        <is>
          <t>4*7628</t>
        </is>
      </c>
      <c r="H321" s="73">
        <f>ROUND(J321/13.33,2)</f>
        <v/>
      </c>
      <c r="I321" s="73">
        <f>ROUND(H321*12,0)</f>
        <v/>
      </c>
      <c r="J321" s="99" t="n">
        <v>186</v>
      </c>
      <c r="K321" s="73">
        <f>ROUND(H321*14,0)</f>
        <v/>
      </c>
      <c r="L321" s="42" t="n"/>
      <c r="M321" s="99" t="n">
        <v>174</v>
      </c>
      <c r="N321" s="65" t="n">
        <v>0.07000000000000001</v>
      </c>
      <c r="O321" s="99" t="n">
        <v>161</v>
      </c>
      <c r="P321" s="66" t="n">
        <v>0.08</v>
      </c>
      <c r="Q321" s="34" t="n">
        <v>153</v>
      </c>
      <c r="R321" s="67">
        <f>ROUND((J321-Q321)/Q321,2)</f>
        <v/>
      </c>
      <c r="S321" s="34" t="n">
        <v>143</v>
      </c>
      <c r="T321" s="67">
        <f>ROUND((J321-S321)/S321,2)</f>
        <v/>
      </c>
    </row>
    <row r="322" customFormat="1" s="34">
      <c r="B322" s="69" t="inlineStr">
        <is>
          <t>NY3150HF</t>
        </is>
      </c>
      <c r="C322" s="101" t="n">
        <v>0.7</v>
      </c>
      <c r="D322" s="102" t="inlineStr">
        <is>
          <t>芯厚</t>
        </is>
      </c>
      <c r="E322" s="72" t="inlineStr">
        <is>
          <t>H/H</t>
        </is>
      </c>
      <c r="F322" s="73" t="inlineStr">
        <is>
          <t>HTE</t>
        </is>
      </c>
      <c r="G322" s="69" t="inlineStr">
        <is>
          <t>4*7628</t>
        </is>
      </c>
      <c r="H322" s="73">
        <f>ROUND(J322/13.33,2)</f>
        <v/>
      </c>
      <c r="I322" s="73">
        <f>ROUND(H322*12,0)</f>
        <v/>
      </c>
      <c r="J322" s="99">
        <f>J323-60</f>
        <v/>
      </c>
      <c r="K322" s="73">
        <f>ROUND(H322*14,0)</f>
        <v/>
      </c>
      <c r="L322" s="42" t="n"/>
      <c r="M322" s="99" t="n">
        <v>174</v>
      </c>
      <c r="N322" s="65" t="n">
        <v>0.09</v>
      </c>
      <c r="O322" s="99" t="n">
        <v>163</v>
      </c>
      <c r="P322" s="66" t="n">
        <v>0.07000000000000001</v>
      </c>
      <c r="Q322" s="34" t="n">
        <v>155</v>
      </c>
      <c r="R322" s="67">
        <f>ROUND((J322-Q322)/Q322,2)</f>
        <v/>
      </c>
      <c r="S322" s="34" t="n">
        <v>145</v>
      </c>
      <c r="T322" s="67">
        <f>ROUND((J322-S322)/S322,2)</f>
        <v/>
      </c>
    </row>
    <row r="323" customFormat="1" s="34">
      <c r="B323" s="69" t="inlineStr">
        <is>
          <t>NY3150HF</t>
        </is>
      </c>
      <c r="C323" s="101" t="n">
        <v>0.7</v>
      </c>
      <c r="D323" s="102" t="inlineStr">
        <is>
          <t>芯厚</t>
        </is>
      </c>
      <c r="E323" s="72" t="inlineStr">
        <is>
          <t>1/1</t>
        </is>
      </c>
      <c r="F323" s="73" t="inlineStr">
        <is>
          <t>HTE</t>
        </is>
      </c>
      <c r="G323" s="69" t="inlineStr">
        <is>
          <t>4*7628</t>
        </is>
      </c>
      <c r="H323" s="73">
        <f>ROUND(J323/13.33,2)</f>
        <v/>
      </c>
      <c r="I323" s="73">
        <f>ROUND(H323*12,0)</f>
        <v/>
      </c>
      <c r="J323" s="99" t="n">
        <v>249</v>
      </c>
      <c r="K323" s="73">
        <f>ROUND(H323*14,0)</f>
        <v/>
      </c>
      <c r="L323" s="42" t="n"/>
      <c r="M323" s="99" t="n">
        <v>225</v>
      </c>
      <c r="N323" s="65" t="n">
        <v>0.11</v>
      </c>
      <c r="O323" s="99" t="n">
        <v>212</v>
      </c>
      <c r="P323" s="66" t="n">
        <v>0.06</v>
      </c>
      <c r="Q323" s="34" t="n">
        <v>202</v>
      </c>
      <c r="R323" s="67">
        <f>ROUND((J323-Q323)/Q323,2)</f>
        <v/>
      </c>
      <c r="S323" s="34" t="n">
        <v>189</v>
      </c>
      <c r="T323" s="67">
        <f>ROUND((J323-S323)/S323,2)</f>
        <v/>
      </c>
    </row>
    <row r="324" customFormat="1" s="34">
      <c r="B324" s="69" t="inlineStr">
        <is>
          <t>NY3150HF</t>
        </is>
      </c>
      <c r="C324" s="101" t="n">
        <v>0.7</v>
      </c>
      <c r="D324" s="102" t="inlineStr">
        <is>
          <t>芯厚</t>
        </is>
      </c>
      <c r="E324" s="72" t="inlineStr">
        <is>
          <t>3/3</t>
        </is>
      </c>
      <c r="F324" s="73" t="inlineStr">
        <is>
          <t>HTE</t>
        </is>
      </c>
      <c r="G324" s="69" t="inlineStr">
        <is>
          <t>3*7628</t>
        </is>
      </c>
      <c r="H324" s="73">
        <f>ROUND(J324/13.33,2)</f>
        <v/>
      </c>
      <c r="I324" s="73">
        <f>ROUND(H324*12,0)</f>
        <v/>
      </c>
      <c r="J324" s="99">
        <f>J319+150</f>
        <v/>
      </c>
      <c r="K324" s="73">
        <f>ROUND(H324*14,0)</f>
        <v/>
      </c>
      <c r="L324" s="42" t="n"/>
      <c r="M324" s="99" t="n">
        <v>490</v>
      </c>
      <c r="N324" s="65" t="n">
        <v>0.06</v>
      </c>
      <c r="O324" s="99" t="n">
        <v>467</v>
      </c>
      <c r="P324" s="66" t="n">
        <v>0.05</v>
      </c>
      <c r="Q324" s="34" t="n">
        <v>448</v>
      </c>
      <c r="R324" s="67">
        <f>ROUND((J324-Q324)/Q324,2)</f>
        <v/>
      </c>
      <c r="S324" s="34" t="n">
        <v>419</v>
      </c>
      <c r="T324" s="67">
        <f>ROUND((J324-S324)/S324,2)</f>
        <v/>
      </c>
    </row>
    <row r="325" customFormat="1" s="34">
      <c r="B325" s="69" t="inlineStr">
        <is>
          <t>NY3150HF</t>
        </is>
      </c>
      <c r="C325" s="101" t="n">
        <v>0.8</v>
      </c>
      <c r="D325" s="102" t="inlineStr">
        <is>
          <t>总厚</t>
        </is>
      </c>
      <c r="E325" s="72" t="inlineStr">
        <is>
          <t>H/H</t>
        </is>
      </c>
      <c r="F325" s="73" t="inlineStr">
        <is>
          <t>HTE</t>
        </is>
      </c>
      <c r="G325" s="69" t="inlineStr">
        <is>
          <t>4*7628</t>
        </is>
      </c>
      <c r="H325" s="73">
        <f>ROUND(J325/13.33,2)</f>
        <v/>
      </c>
      <c r="I325" s="73">
        <f>ROUND(H325*12,0)</f>
        <v/>
      </c>
      <c r="J325" s="99">
        <f>J327-60</f>
        <v/>
      </c>
      <c r="K325" s="73">
        <f>ROUND(H325*14,0)</f>
        <v/>
      </c>
      <c r="L325" s="42" t="n"/>
      <c r="M325" s="99" t="n">
        <v>178</v>
      </c>
      <c r="N325" s="65" t="n">
        <v>0.08</v>
      </c>
      <c r="O325" s="99" t="n">
        <v>166</v>
      </c>
      <c r="P325" s="66" t="n">
        <v>0.07000000000000001</v>
      </c>
      <c r="Q325" s="34" t="n">
        <v>158</v>
      </c>
      <c r="R325" s="67">
        <f>ROUND((J325-Q325)/Q325,2)</f>
        <v/>
      </c>
      <c r="S325" s="34" t="n">
        <v>148</v>
      </c>
      <c r="T325" s="67">
        <f>ROUND((J325-S325)/S325,2)</f>
        <v/>
      </c>
    </row>
    <row r="326" customFormat="1" s="34">
      <c r="B326" s="69" t="inlineStr">
        <is>
          <t>NY3150HF</t>
        </is>
      </c>
      <c r="C326" s="101" t="n">
        <v>0.7</v>
      </c>
      <c r="D326" s="102" t="inlineStr">
        <is>
          <t>总厚</t>
        </is>
      </c>
      <c r="E326" s="72" t="inlineStr">
        <is>
          <t>2/2</t>
        </is>
      </c>
      <c r="F326" s="73" t="inlineStr">
        <is>
          <t>HTE</t>
        </is>
      </c>
      <c r="G326" s="69" t="inlineStr">
        <is>
          <t>4*7628</t>
        </is>
      </c>
      <c r="H326" s="73">
        <f>ROUND(J326/13.33,2)</f>
        <v/>
      </c>
      <c r="I326" s="73">
        <f>ROUND(H326*12,0)</f>
        <v/>
      </c>
      <c r="J326" s="99">
        <f>J323+140</f>
        <v/>
      </c>
      <c r="K326" s="73">
        <f>ROUND(H326*14,0)</f>
        <v/>
      </c>
      <c r="L326" s="42" t="n"/>
      <c r="M326" s="99" t="n">
        <v>389</v>
      </c>
      <c r="N326" s="65" t="n">
        <v>0</v>
      </c>
      <c r="O326" s="99" t="n"/>
      <c r="P326" s="66" t="n"/>
      <c r="R326" s="67" t="n"/>
      <c r="T326" s="67" t="n"/>
    </row>
    <row r="327" customFormat="1" s="34">
      <c r="B327" s="69" t="inlineStr">
        <is>
          <t>NY3150HF</t>
        </is>
      </c>
      <c r="C327" s="101" t="n">
        <v>0.8</v>
      </c>
      <c r="D327" s="102" t="inlineStr">
        <is>
          <t>总厚</t>
        </is>
      </c>
      <c r="E327" s="72" t="inlineStr">
        <is>
          <t>1/1</t>
        </is>
      </c>
      <c r="F327" s="73" t="inlineStr">
        <is>
          <t>HTE</t>
        </is>
      </c>
      <c r="G327" s="69" t="inlineStr">
        <is>
          <t>4*7628</t>
        </is>
      </c>
      <c r="H327" s="73">
        <f>ROUND(J327/13.33,2)</f>
        <v/>
      </c>
      <c r="I327" s="73">
        <f>ROUND(H327*12,0)</f>
        <v/>
      </c>
      <c r="J327" s="99" t="n">
        <v>253</v>
      </c>
      <c r="K327" s="73">
        <f>ROUND(H327*14,0)</f>
        <v/>
      </c>
      <c r="L327" s="42" t="n"/>
      <c r="M327" s="99" t="n">
        <v>230</v>
      </c>
      <c r="N327" s="65" t="n">
        <v>0.1</v>
      </c>
      <c r="O327" s="99" t="n">
        <v>217</v>
      </c>
      <c r="P327" s="66" t="n">
        <v>0.06</v>
      </c>
      <c r="Q327" s="34" t="n">
        <v>207</v>
      </c>
      <c r="R327" s="67">
        <f>ROUND((J327-Q327)/Q327,2)</f>
        <v/>
      </c>
      <c r="S327" s="34" t="n">
        <v>193</v>
      </c>
      <c r="T327" s="67">
        <f>ROUND((J327-S327)/S327,2)</f>
        <v/>
      </c>
    </row>
    <row r="328" customFormat="1" s="34">
      <c r="B328" s="69" t="inlineStr">
        <is>
          <t>NY3150HF</t>
        </is>
      </c>
      <c r="C328" s="101" t="n">
        <v>0.8</v>
      </c>
      <c r="D328" s="102" t="inlineStr">
        <is>
          <t>总厚</t>
        </is>
      </c>
      <c r="E328" s="72" t="inlineStr">
        <is>
          <t>2/2</t>
        </is>
      </c>
      <c r="F328" s="73" t="inlineStr">
        <is>
          <t>HTE</t>
        </is>
      </c>
      <c r="G328" s="69" t="inlineStr">
        <is>
          <t>4*7628</t>
        </is>
      </c>
      <c r="H328" s="73">
        <f>ROUND(J328/13.33,2)</f>
        <v/>
      </c>
      <c r="I328" s="73">
        <f>ROUND(H328*12,0)</f>
        <v/>
      </c>
      <c r="J328" s="99">
        <f>J327+140</f>
        <v/>
      </c>
      <c r="K328" s="73">
        <f>ROUND(H328*14,0)</f>
        <v/>
      </c>
      <c r="L328" s="42" t="n"/>
      <c r="M328" s="99" t="n">
        <v>363</v>
      </c>
      <c r="N328" s="65" t="n">
        <v>0.08</v>
      </c>
      <c r="O328" s="99" t="n">
        <v>342</v>
      </c>
      <c r="P328" s="66" t="n">
        <v>0.06</v>
      </c>
      <c r="Q328" s="34" t="n">
        <v>330</v>
      </c>
      <c r="R328" s="67">
        <f>ROUND((J328-Q328)/Q328,2)</f>
        <v/>
      </c>
      <c r="S328" s="34" t="n">
        <v>308</v>
      </c>
      <c r="T328" s="67">
        <f>ROUND((J328-S328)/S328,2)</f>
        <v/>
      </c>
    </row>
    <row r="329" customFormat="1" s="34">
      <c r="B329" s="69" t="inlineStr">
        <is>
          <t>NY3150HF</t>
        </is>
      </c>
      <c r="C329" s="101" t="n">
        <v>0.9</v>
      </c>
      <c r="D329" s="102" t="inlineStr">
        <is>
          <t>总厚</t>
        </is>
      </c>
      <c r="E329" s="72" t="inlineStr">
        <is>
          <t>H/H</t>
        </is>
      </c>
      <c r="F329" s="73" t="inlineStr">
        <is>
          <t>HTE</t>
        </is>
      </c>
      <c r="G329" s="69" t="inlineStr">
        <is>
          <t>5*7628</t>
        </is>
      </c>
      <c r="H329" s="73">
        <f>ROUND(J329/13.33,2)</f>
        <v/>
      </c>
      <c r="I329" s="73">
        <f>ROUND(H329*12,0)</f>
        <v/>
      </c>
      <c r="J329" s="99">
        <f>J330-60</f>
        <v/>
      </c>
      <c r="K329" s="73">
        <f>ROUND(H329*14,0)</f>
        <v/>
      </c>
      <c r="L329" s="42" t="n"/>
      <c r="M329" s="99" t="n">
        <v>191</v>
      </c>
      <c r="N329" s="65" t="n">
        <v>0.13</v>
      </c>
      <c r="O329" s="99" t="n">
        <v>180</v>
      </c>
      <c r="P329" s="66" t="n">
        <v>0.06</v>
      </c>
      <c r="Q329" s="34" t="n">
        <v>171</v>
      </c>
      <c r="R329" s="67">
        <f>ROUND((J329-Q329)/Q329,2)</f>
        <v/>
      </c>
      <c r="S329" s="34" t="n">
        <v>160</v>
      </c>
      <c r="T329" s="67">
        <f>ROUND((J329-S329)/S329,2)</f>
        <v/>
      </c>
    </row>
    <row r="330" customFormat="1" s="34">
      <c r="B330" s="69" t="inlineStr">
        <is>
          <t>NY3150HF</t>
        </is>
      </c>
      <c r="C330" s="101" t="n">
        <v>0.9</v>
      </c>
      <c r="D330" s="102" t="inlineStr">
        <is>
          <t>总厚</t>
        </is>
      </c>
      <c r="E330" s="72" t="inlineStr">
        <is>
          <t>1/1</t>
        </is>
      </c>
      <c r="F330" s="73" t="inlineStr">
        <is>
          <t>HTE</t>
        </is>
      </c>
      <c r="G330" s="69" t="inlineStr">
        <is>
          <t>5*7628</t>
        </is>
      </c>
      <c r="H330" s="73">
        <f>ROUND(J330/13.33,2)</f>
        <v/>
      </c>
      <c r="I330" s="73">
        <f>ROUND(H330*12,0)</f>
        <v/>
      </c>
      <c r="J330" s="99" t="n">
        <v>275</v>
      </c>
      <c r="K330" s="73">
        <f>ROUND(H330*14,0)</f>
        <v/>
      </c>
      <c r="L330" s="42" t="n"/>
      <c r="M330" s="99" t="n">
        <v>242</v>
      </c>
      <c r="N330" s="65" t="n">
        <v>0.14</v>
      </c>
      <c r="O330" s="99" t="n">
        <v>230</v>
      </c>
      <c r="P330" s="66" t="n">
        <v>0.05</v>
      </c>
      <c r="Q330" s="34" t="n">
        <v>219</v>
      </c>
      <c r="R330" s="67">
        <f>ROUND((J330-Q330)/Q330,2)</f>
        <v/>
      </c>
      <c r="S330" s="34" t="n">
        <v>205</v>
      </c>
      <c r="T330" s="67">
        <f>ROUND((J330-S330)/S330,2)</f>
        <v/>
      </c>
    </row>
    <row r="331" customFormat="1" s="34">
      <c r="B331" s="69" t="inlineStr">
        <is>
          <t>NY3150HF</t>
        </is>
      </c>
      <c r="C331" s="101" t="n">
        <v>0.9</v>
      </c>
      <c r="D331" s="102" t="inlineStr">
        <is>
          <t>总厚</t>
        </is>
      </c>
      <c r="E331" s="72" t="inlineStr">
        <is>
          <t>2/2</t>
        </is>
      </c>
      <c r="F331" s="73" t="inlineStr">
        <is>
          <t>HTE</t>
        </is>
      </c>
      <c r="G331" s="69" t="inlineStr">
        <is>
          <t>4*7628</t>
        </is>
      </c>
      <c r="H331" s="73">
        <f>ROUND(J331/13.33,2)</f>
        <v/>
      </c>
      <c r="I331" s="73">
        <f>ROUND(H331*12,0)</f>
        <v/>
      </c>
      <c r="J331" s="99">
        <f>J330+130</f>
        <v/>
      </c>
      <c r="K331" s="73">
        <f>ROUND(H331*14,0)</f>
        <v/>
      </c>
      <c r="L331" s="42" t="n"/>
      <c r="M331" s="99" t="n">
        <v>376</v>
      </c>
      <c r="N331" s="65" t="n">
        <v>0.08</v>
      </c>
      <c r="O331" s="99" t="n">
        <v>355</v>
      </c>
      <c r="P331" s="66" t="n">
        <v>0.06</v>
      </c>
      <c r="Q331" s="34" t="n">
        <v>342</v>
      </c>
      <c r="R331" s="67">
        <f>ROUND((J331-Q331)/Q331,2)</f>
        <v/>
      </c>
      <c r="S331" s="34" t="n">
        <v>320</v>
      </c>
      <c r="T331" s="67">
        <f>ROUND((J331-S331)/S331,2)</f>
        <v/>
      </c>
    </row>
    <row r="332" customFormat="1" s="34">
      <c r="B332" s="69" t="inlineStr">
        <is>
          <t>NY3150HF</t>
        </is>
      </c>
      <c r="C332" s="101" t="n">
        <v>0.9</v>
      </c>
      <c r="D332" s="102" t="inlineStr">
        <is>
          <t>总厚</t>
        </is>
      </c>
      <c r="E332" s="72" t="inlineStr">
        <is>
          <t>3/3</t>
        </is>
      </c>
      <c r="F332" s="73" t="inlineStr">
        <is>
          <t>HTE</t>
        </is>
      </c>
      <c r="G332" s="69" t="inlineStr">
        <is>
          <t>4*7628</t>
        </is>
      </c>
      <c r="H332" s="73">
        <f>ROUND(J332/13.33,2)</f>
        <v/>
      </c>
      <c r="I332" s="73">
        <f>ROUND(H332*12,0)</f>
        <v/>
      </c>
      <c r="J332" s="99">
        <f>J331+150</f>
        <v/>
      </c>
      <c r="K332" s="73">
        <f>ROUND(H332*14,0)</f>
        <v/>
      </c>
      <c r="L332" s="42" t="n"/>
      <c r="M332" s="99" t="n">
        <v>509</v>
      </c>
      <c r="N332" s="65" t="n">
        <v>0.09</v>
      </c>
      <c r="O332" s="99" t="n">
        <v>485</v>
      </c>
      <c r="P332" s="66" t="n">
        <v>0.05</v>
      </c>
      <c r="Q332" s="34" t="n">
        <v>465</v>
      </c>
      <c r="R332" s="67">
        <f>ROUND((J332-Q332)/Q332,2)</f>
        <v/>
      </c>
      <c r="S332" s="34" t="n">
        <v>435</v>
      </c>
      <c r="T332" s="67">
        <f>ROUND((J332-S332)/S332,2)</f>
        <v/>
      </c>
    </row>
    <row r="333" customFormat="1" s="34">
      <c r="B333" s="69" t="inlineStr">
        <is>
          <t>NY3150HF</t>
        </is>
      </c>
      <c r="C333" s="101" t="n">
        <v>1</v>
      </c>
      <c r="D333" s="102" t="inlineStr">
        <is>
          <t>总厚</t>
        </is>
      </c>
      <c r="E333" s="72" t="inlineStr">
        <is>
          <t>H/H</t>
        </is>
      </c>
      <c r="F333" s="73" t="inlineStr">
        <is>
          <t>HTE</t>
        </is>
      </c>
      <c r="G333" s="69" t="inlineStr">
        <is>
          <t>5*7628</t>
        </is>
      </c>
      <c r="H333" s="73">
        <f>ROUND(J333/13.33,2)</f>
        <v/>
      </c>
      <c r="I333" s="73">
        <f>ROUND(H333*12,0)</f>
        <v/>
      </c>
      <c r="J333" s="99">
        <f>J334-60</f>
        <v/>
      </c>
      <c r="K333" s="73">
        <f>ROUND(H333*14,0)</f>
        <v/>
      </c>
      <c r="L333" s="42" t="n"/>
      <c r="M333" s="99" t="n">
        <v>196</v>
      </c>
      <c r="N333" s="65" t="n">
        <v>0.12</v>
      </c>
      <c r="O333" s="99" t="n">
        <v>187</v>
      </c>
      <c r="P333" s="66" t="n">
        <v>0.05</v>
      </c>
      <c r="Q333" s="34" t="n">
        <v>178</v>
      </c>
      <c r="R333" s="67">
        <f>ROUND((J333-Q333)/Q333,2)</f>
        <v/>
      </c>
      <c r="S333" s="34" t="n">
        <v>166</v>
      </c>
      <c r="T333" s="67">
        <f>ROUND((J333-S333)/S333,2)</f>
        <v/>
      </c>
    </row>
    <row r="334" customFormat="1" s="34">
      <c r="B334" s="69" t="inlineStr">
        <is>
          <t>NY3150HF</t>
        </is>
      </c>
      <c r="C334" s="101" t="n">
        <v>1</v>
      </c>
      <c r="D334" s="102" t="inlineStr">
        <is>
          <t>总厚</t>
        </is>
      </c>
      <c r="E334" s="72" t="inlineStr">
        <is>
          <t>1/1</t>
        </is>
      </c>
      <c r="F334" s="73" t="inlineStr">
        <is>
          <t>HTE</t>
        </is>
      </c>
      <c r="G334" s="69" t="inlineStr">
        <is>
          <t>5*7628</t>
        </is>
      </c>
      <c r="H334" s="73">
        <f>ROUND(J334/13.33,2)</f>
        <v/>
      </c>
      <c r="I334" s="73">
        <f>ROUND(H334*12,0)</f>
        <v/>
      </c>
      <c r="J334" s="99" t="n">
        <v>279</v>
      </c>
      <c r="K334" s="73">
        <f>ROUND(H334*14,0)</f>
        <v/>
      </c>
      <c r="L334" s="42" t="n"/>
      <c r="M334" s="99" t="n">
        <v>246</v>
      </c>
      <c r="N334" s="65" t="n">
        <v>0.13</v>
      </c>
      <c r="O334" s="99" t="n">
        <v>237</v>
      </c>
      <c r="P334" s="66" t="n">
        <v>0.04</v>
      </c>
      <c r="Q334" s="34" t="n">
        <v>226</v>
      </c>
      <c r="R334" s="67">
        <f>ROUND((J334-Q334)/Q334,2)</f>
        <v/>
      </c>
      <c r="S334" s="34" t="n">
        <v>211</v>
      </c>
      <c r="T334" s="67">
        <f>ROUND((J334-S334)/S334,2)</f>
        <v/>
      </c>
    </row>
    <row r="335" customFormat="1" s="34">
      <c r="B335" s="69" t="inlineStr">
        <is>
          <t>NY3150HF</t>
        </is>
      </c>
      <c r="C335" s="101" t="n">
        <v>1</v>
      </c>
      <c r="D335" s="102" t="inlineStr">
        <is>
          <t>总厚</t>
        </is>
      </c>
      <c r="E335" s="72" t="inlineStr">
        <is>
          <t>2/2</t>
        </is>
      </c>
      <c r="F335" s="73" t="inlineStr">
        <is>
          <t>HTE</t>
        </is>
      </c>
      <c r="G335" s="69" t="inlineStr">
        <is>
          <t>5*7628</t>
        </is>
      </c>
      <c r="H335" s="73">
        <f>ROUND(J335/13.33,2)</f>
        <v/>
      </c>
      <c r="I335" s="73">
        <f>ROUND(H335*12,0)</f>
        <v/>
      </c>
      <c r="J335" s="99">
        <f>J334+140</f>
        <v/>
      </c>
      <c r="K335" s="73">
        <f>ROUND(H335*14,0)</f>
        <v/>
      </c>
      <c r="L335" s="42" t="n"/>
      <c r="M335" s="99" t="n">
        <v>380</v>
      </c>
      <c r="N335" s="65" t="n">
        <v>0.1</v>
      </c>
      <c r="O335" s="99" t="n">
        <v>362</v>
      </c>
      <c r="P335" s="66" t="n">
        <v>0.05</v>
      </c>
      <c r="Q335" s="34" t="n">
        <v>349</v>
      </c>
      <c r="R335" s="67">
        <f>ROUND((J335-Q335)/Q335,2)</f>
        <v/>
      </c>
      <c r="S335" s="34" t="n">
        <v>326</v>
      </c>
      <c r="T335" s="67">
        <f>ROUND((J335-S335)/S335,2)</f>
        <v/>
      </c>
    </row>
    <row r="336" customFormat="1" s="34">
      <c r="B336" s="69" t="inlineStr">
        <is>
          <t>NY3150HF</t>
        </is>
      </c>
      <c r="C336" s="101" t="n">
        <v>1</v>
      </c>
      <c r="D336" s="102" t="inlineStr">
        <is>
          <t>总厚</t>
        </is>
      </c>
      <c r="E336" s="72" t="inlineStr">
        <is>
          <t>3/3</t>
        </is>
      </c>
      <c r="F336" s="73" t="inlineStr">
        <is>
          <t>HTE</t>
        </is>
      </c>
      <c r="G336" s="69" t="inlineStr">
        <is>
          <t>4*7628</t>
        </is>
      </c>
      <c r="H336" s="73">
        <f>ROUND(J336/13.33,2)</f>
        <v/>
      </c>
      <c r="I336" s="73">
        <f>ROUND(H336*12,0)</f>
        <v/>
      </c>
      <c r="J336" s="99">
        <f>J335+140</f>
        <v/>
      </c>
      <c r="K336" s="73">
        <f>ROUND(H336*14,0)</f>
        <v/>
      </c>
      <c r="L336" s="42" t="n"/>
      <c r="M336" s="99" t="n">
        <v>512</v>
      </c>
      <c r="N336" s="65" t="n">
        <v>0.09</v>
      </c>
      <c r="O336" s="99" t="n">
        <v>492</v>
      </c>
      <c r="P336" s="66" t="n">
        <v>0.04</v>
      </c>
      <c r="Q336" s="34" t="n">
        <v>472</v>
      </c>
      <c r="R336" s="67">
        <f>ROUND((J336-Q336)/Q336,2)</f>
        <v/>
      </c>
      <c r="S336" s="34" t="n">
        <v>441</v>
      </c>
      <c r="T336" s="67">
        <f>ROUND((J336-S336)/S336,2)</f>
        <v/>
      </c>
    </row>
    <row r="337" customFormat="1" s="34">
      <c r="B337" s="69" t="inlineStr">
        <is>
          <t>NY3150HF</t>
        </is>
      </c>
      <c r="C337" s="101" t="n">
        <v>1.1</v>
      </c>
      <c r="D337" s="102" t="inlineStr">
        <is>
          <t>总厚</t>
        </is>
      </c>
      <c r="E337" s="72" t="inlineStr">
        <is>
          <t>H/H</t>
        </is>
      </c>
      <c r="F337" s="73" t="inlineStr">
        <is>
          <t>HTE</t>
        </is>
      </c>
      <c r="G337" s="69" t="inlineStr">
        <is>
          <t>6*7628</t>
        </is>
      </c>
      <c r="H337" s="73">
        <f>ROUND(J337/13.33,2)</f>
        <v/>
      </c>
      <c r="I337" s="73">
        <f>ROUND(H337*12,0)</f>
        <v/>
      </c>
      <c r="J337" s="99">
        <f>J338-60</f>
        <v/>
      </c>
      <c r="K337" s="73">
        <f>ROUND(H337*14,0)</f>
        <v/>
      </c>
      <c r="L337" s="42" t="n"/>
      <c r="M337" s="99" t="n">
        <v>215</v>
      </c>
      <c r="N337" s="65" t="n">
        <v>0.12</v>
      </c>
      <c r="O337" s="99" t="n">
        <v>203</v>
      </c>
      <c r="P337" s="66" t="n">
        <v>0.06</v>
      </c>
      <c r="Q337" s="34" t="n">
        <v>193</v>
      </c>
      <c r="R337" s="67">
        <f>ROUND((J337-Q337)/Q337,2)</f>
        <v/>
      </c>
      <c r="S337" s="34" t="n">
        <v>180</v>
      </c>
      <c r="T337" s="67">
        <f>ROUND((J337-S337)/S337,2)</f>
        <v/>
      </c>
    </row>
    <row r="338" customFormat="1" s="34">
      <c r="B338" s="69" t="inlineStr">
        <is>
          <t>NY3150HF</t>
        </is>
      </c>
      <c r="C338" s="101" t="n">
        <v>1.1</v>
      </c>
      <c r="D338" s="102" t="inlineStr">
        <is>
          <t>总厚</t>
        </is>
      </c>
      <c r="E338" s="72" t="inlineStr">
        <is>
          <t>1/1</t>
        </is>
      </c>
      <c r="F338" s="73" t="inlineStr">
        <is>
          <t>HTE</t>
        </is>
      </c>
      <c r="G338" s="69" t="inlineStr">
        <is>
          <t>6*7628</t>
        </is>
      </c>
      <c r="H338" s="73">
        <f>ROUND(J338/13.33,2)</f>
        <v/>
      </c>
      <c r="I338" s="73">
        <f>ROUND(H338*12,0)</f>
        <v/>
      </c>
      <c r="J338" s="99" t="n">
        <v>300</v>
      </c>
      <c r="K338" s="73">
        <f>ROUND(H338*14,0)</f>
        <v/>
      </c>
      <c r="L338" s="42" t="n"/>
      <c r="M338" s="99" t="n">
        <v>267</v>
      </c>
      <c r="N338" s="65" t="n">
        <v>0.12</v>
      </c>
      <c r="O338" s="99" t="n">
        <v>252</v>
      </c>
      <c r="P338" s="66" t="n">
        <v>0.06</v>
      </c>
      <c r="Q338" s="34" t="n">
        <v>240</v>
      </c>
      <c r="R338" s="67">
        <f>ROUND((J338-Q338)/Q338,2)</f>
        <v/>
      </c>
      <c r="S338" s="34" t="n">
        <v>224</v>
      </c>
      <c r="T338" s="67">
        <f>ROUND((J338-S338)/S338,2)</f>
        <v/>
      </c>
    </row>
    <row r="339" customFormat="1" s="34">
      <c r="B339" s="69" t="inlineStr">
        <is>
          <t>NY3150HF</t>
        </is>
      </c>
      <c r="C339" s="101" t="n">
        <v>1.1</v>
      </c>
      <c r="D339" s="102" t="inlineStr">
        <is>
          <t>总厚</t>
        </is>
      </c>
      <c r="E339" s="72" t="inlineStr">
        <is>
          <t>2/2</t>
        </is>
      </c>
      <c r="F339" s="73" t="inlineStr">
        <is>
          <t>HTE</t>
        </is>
      </c>
      <c r="G339" s="69" t="inlineStr">
        <is>
          <t>5*7628</t>
        </is>
      </c>
      <c r="H339" s="73">
        <f>ROUND(J339/13.33,2)</f>
        <v/>
      </c>
      <c r="I339" s="73">
        <f>ROUND(H339*12,0)</f>
        <v/>
      </c>
      <c r="J339" s="99">
        <f>J338+130</f>
        <v/>
      </c>
      <c r="K339" s="73">
        <f>ROUND(H339*14,0)</f>
        <v/>
      </c>
      <c r="L339" s="42" t="n"/>
      <c r="M339" s="99" t="n">
        <v>400</v>
      </c>
      <c r="N339" s="65" t="n">
        <v>0.08</v>
      </c>
      <c r="O339" s="99" t="n">
        <v>377</v>
      </c>
      <c r="P339" s="66" t="n">
        <v>0.06</v>
      </c>
      <c r="Q339" s="34" t="n">
        <v>363</v>
      </c>
      <c r="R339" s="67">
        <f>ROUND((J339-Q339)/Q339,2)</f>
        <v/>
      </c>
      <c r="S339" s="34" t="n">
        <v>339</v>
      </c>
      <c r="T339" s="67">
        <f>ROUND((J339-S339)/S339,2)</f>
        <v/>
      </c>
    </row>
    <row r="340" customFormat="1" s="34">
      <c r="B340" s="69" t="inlineStr">
        <is>
          <t>NY3150HF</t>
        </is>
      </c>
      <c r="C340" s="101" t="n">
        <v>1.1</v>
      </c>
      <c r="D340" s="102" t="inlineStr">
        <is>
          <t>总厚</t>
        </is>
      </c>
      <c r="E340" s="72" t="inlineStr">
        <is>
          <t>3/3</t>
        </is>
      </c>
      <c r="F340" s="73" t="inlineStr">
        <is>
          <t>HTE</t>
        </is>
      </c>
      <c r="G340" s="69" t="inlineStr">
        <is>
          <t>5*7628</t>
        </is>
      </c>
      <c r="H340" s="73">
        <f>ROUND(J340/13.33,2)</f>
        <v/>
      </c>
      <c r="I340" s="73">
        <f>ROUND(H340*12,0)</f>
        <v/>
      </c>
      <c r="J340" s="99">
        <f>J339+150</f>
        <v/>
      </c>
      <c r="K340" s="73">
        <f>ROUND(H340*14,0)</f>
        <v/>
      </c>
      <c r="L340" s="42" t="n"/>
      <c r="M340" s="99" t="n">
        <v>532</v>
      </c>
      <c r="N340" s="65" t="n">
        <v>0.09</v>
      </c>
      <c r="O340" s="99" t="n">
        <v>507</v>
      </c>
      <c r="P340" s="66" t="n">
        <v>0.05</v>
      </c>
      <c r="Q340" s="34" t="n">
        <v>486</v>
      </c>
      <c r="R340" s="67">
        <f>ROUND((J340-Q340)/Q340,2)</f>
        <v/>
      </c>
      <c r="S340" s="34" t="n">
        <v>454</v>
      </c>
      <c r="T340" s="67">
        <f>ROUND((J340-S340)/S340,2)</f>
        <v/>
      </c>
    </row>
    <row r="341" customFormat="1" s="34">
      <c r="B341" s="69" t="inlineStr">
        <is>
          <t>NY3150HF</t>
        </is>
      </c>
      <c r="C341" s="101" t="n">
        <v>1.2</v>
      </c>
      <c r="D341" s="102" t="inlineStr">
        <is>
          <t>总厚</t>
        </is>
      </c>
      <c r="E341" s="72" t="inlineStr">
        <is>
          <t>H/H</t>
        </is>
      </c>
      <c r="F341" s="73" t="inlineStr">
        <is>
          <t>HTE</t>
        </is>
      </c>
      <c r="G341" s="69" t="inlineStr">
        <is>
          <t>6*7628</t>
        </is>
      </c>
      <c r="H341" s="73">
        <f>ROUND(J341/13.33,2)</f>
        <v/>
      </c>
      <c r="I341" s="73">
        <f>ROUND(H341*12,0)</f>
        <v/>
      </c>
      <c r="J341" s="99">
        <f>J342-60</f>
        <v/>
      </c>
      <c r="K341" s="73">
        <f>ROUND(H341*14,0)</f>
        <v/>
      </c>
      <c r="L341" s="42" t="n"/>
      <c r="M341" s="99" t="n">
        <v>220</v>
      </c>
      <c r="N341" s="65" t="n">
        <v>0.11</v>
      </c>
      <c r="O341" s="99" t="n">
        <v>206</v>
      </c>
      <c r="P341" s="66" t="n">
        <v>0.07000000000000001</v>
      </c>
      <c r="Q341" s="34" t="n">
        <v>196</v>
      </c>
      <c r="R341" s="67">
        <f>ROUND((J341-Q341)/Q341,2)</f>
        <v/>
      </c>
      <c r="S341" s="34" t="n">
        <v>183</v>
      </c>
      <c r="T341" s="67">
        <f>ROUND((J341-S341)/S341,2)</f>
        <v/>
      </c>
    </row>
    <row r="342" customFormat="1" s="34">
      <c r="B342" s="69" t="inlineStr">
        <is>
          <t>NY3150HF</t>
        </is>
      </c>
      <c r="C342" s="101" t="n">
        <v>1.2</v>
      </c>
      <c r="D342" s="102" t="inlineStr">
        <is>
          <t>总厚</t>
        </is>
      </c>
      <c r="E342" s="72" t="inlineStr">
        <is>
          <t>1/1</t>
        </is>
      </c>
      <c r="F342" s="73" t="inlineStr">
        <is>
          <t>HTE</t>
        </is>
      </c>
      <c r="G342" s="69" t="inlineStr">
        <is>
          <t>6*7628</t>
        </is>
      </c>
      <c r="H342" s="73">
        <f>ROUND(J342/13.33,2)</f>
        <v/>
      </c>
      <c r="I342" s="73">
        <f>ROUND(H342*12,0)</f>
        <v/>
      </c>
      <c r="J342" s="99" t="n">
        <v>304</v>
      </c>
      <c r="K342" s="73">
        <f>ROUND(H342*14,0)</f>
        <v/>
      </c>
      <c r="L342" s="42" t="n"/>
      <c r="M342" s="99" t="n">
        <v>272</v>
      </c>
      <c r="N342" s="65" t="n">
        <v>0.12</v>
      </c>
      <c r="O342" s="99" t="n">
        <v>252</v>
      </c>
      <c r="P342" s="66" t="n">
        <v>0.08</v>
      </c>
      <c r="Q342" s="34" t="n">
        <v>240</v>
      </c>
      <c r="R342" s="67">
        <f>ROUND((J342-Q342)/Q342,2)</f>
        <v/>
      </c>
      <c r="S342" s="34" t="n">
        <v>224</v>
      </c>
      <c r="T342" s="67">
        <f>ROUND((J342-S342)/S342,2)</f>
        <v/>
      </c>
    </row>
    <row r="343" customFormat="1" s="34">
      <c r="B343" s="69" t="inlineStr">
        <is>
          <t>NY3150HF</t>
        </is>
      </c>
      <c r="C343" s="101" t="n">
        <v>1.2</v>
      </c>
      <c r="D343" s="102" t="inlineStr">
        <is>
          <t>总厚</t>
        </is>
      </c>
      <c r="E343" s="72" t="inlineStr">
        <is>
          <t>2/2</t>
        </is>
      </c>
      <c r="F343" s="73" t="inlineStr">
        <is>
          <t>HTE</t>
        </is>
      </c>
      <c r="G343" s="69" t="inlineStr">
        <is>
          <t>6*7628</t>
        </is>
      </c>
      <c r="H343" s="73">
        <f>ROUND(J343/13.33,2)</f>
        <v/>
      </c>
      <c r="I343" s="73">
        <f>ROUND(H343*12,0)</f>
        <v/>
      </c>
      <c r="J343" s="99">
        <f>J342+140</f>
        <v/>
      </c>
      <c r="K343" s="73">
        <f>ROUND(H343*14,0)</f>
        <v/>
      </c>
      <c r="L343" s="42" t="n"/>
      <c r="M343" s="99" t="n">
        <v>403</v>
      </c>
      <c r="N343" s="65" t="n">
        <v>0.1</v>
      </c>
      <c r="O343" s="99" t="n">
        <v>377</v>
      </c>
      <c r="P343" s="66" t="n">
        <v>0.07000000000000001</v>
      </c>
      <c r="Q343" s="34" t="n">
        <v>367</v>
      </c>
      <c r="R343" s="67">
        <f>ROUND((J343-Q343)/Q343,2)</f>
        <v/>
      </c>
      <c r="S343" s="34" t="n">
        <v>343</v>
      </c>
      <c r="T343" s="67">
        <f>ROUND((J343-S343)/S343,2)</f>
        <v/>
      </c>
    </row>
    <row r="344" customFormat="1" s="34">
      <c r="B344" s="69" t="inlineStr">
        <is>
          <t>NY3150HF</t>
        </is>
      </c>
      <c r="C344" s="101" t="n">
        <v>1.2</v>
      </c>
      <c r="D344" s="102" t="inlineStr">
        <is>
          <t>总厚</t>
        </is>
      </c>
      <c r="E344" s="72" t="inlineStr">
        <is>
          <t>3/3</t>
        </is>
      </c>
      <c r="F344" s="73" t="inlineStr">
        <is>
          <t>HTE</t>
        </is>
      </c>
      <c r="G344" s="69" t="inlineStr">
        <is>
          <t>5*7628</t>
        </is>
      </c>
      <c r="H344" s="73">
        <f>ROUND(J344/13.33,2)</f>
        <v/>
      </c>
      <c r="I344" s="73">
        <f>ROUND(H344*12,0)</f>
        <v/>
      </c>
      <c r="J344" s="99">
        <f>J343+140</f>
        <v/>
      </c>
      <c r="K344" s="73">
        <f>ROUND(H344*14,0)</f>
        <v/>
      </c>
      <c r="L344" s="42" t="n"/>
      <c r="M344" s="99" t="n">
        <v>537</v>
      </c>
      <c r="N344" s="65" t="n">
        <v>0.09</v>
      </c>
      <c r="O344" s="99" t="n">
        <v>507</v>
      </c>
      <c r="P344" s="66" t="n">
        <v>0.06</v>
      </c>
      <c r="Q344" s="34" t="n">
        <v>490</v>
      </c>
      <c r="R344" s="67">
        <f>ROUND((J344-Q344)/Q344,2)</f>
        <v/>
      </c>
      <c r="S344" s="34" t="n">
        <v>458</v>
      </c>
      <c r="T344" s="67">
        <f>ROUND((J344-S344)/S344,2)</f>
        <v/>
      </c>
    </row>
    <row r="345" customFormat="1" s="34">
      <c r="B345" s="69" t="inlineStr">
        <is>
          <t>NY3150HF</t>
        </is>
      </c>
      <c r="C345" s="101" t="n">
        <v>1.3</v>
      </c>
      <c r="D345" s="102" t="inlineStr">
        <is>
          <t>总厚</t>
        </is>
      </c>
      <c r="E345" s="72" t="inlineStr">
        <is>
          <t>H/H</t>
        </is>
      </c>
      <c r="F345" s="73" t="inlineStr">
        <is>
          <t>HTE</t>
        </is>
      </c>
      <c r="G345" s="69" t="inlineStr">
        <is>
          <t>7*7628</t>
        </is>
      </c>
      <c r="H345" s="73">
        <f>ROUND(J345/13.33,2)</f>
        <v/>
      </c>
      <c r="I345" s="73">
        <f>ROUND(H345*12,0)</f>
        <v/>
      </c>
      <c r="J345" s="99">
        <f>J346-60</f>
        <v/>
      </c>
      <c r="K345" s="73">
        <f>ROUND(H345*14,0)</f>
        <v/>
      </c>
      <c r="L345" s="42" t="n"/>
      <c r="M345" s="99" t="n">
        <v>237</v>
      </c>
      <c r="N345" s="65" t="n">
        <v>0.12</v>
      </c>
      <c r="O345" s="99" t="n">
        <v>219</v>
      </c>
      <c r="P345" s="66" t="n">
        <v>0.08</v>
      </c>
      <c r="Q345" s="34" t="n">
        <v>209</v>
      </c>
      <c r="R345" s="67">
        <f>ROUND((J345-Q345)/Q345,2)</f>
        <v/>
      </c>
      <c r="S345" s="34" t="n">
        <v>195</v>
      </c>
      <c r="T345" s="67">
        <f>ROUND((J345-S345)/S345,2)</f>
        <v/>
      </c>
    </row>
    <row r="346" customFormat="1" s="34">
      <c r="B346" s="69" t="inlineStr">
        <is>
          <t>NY3150HF</t>
        </is>
      </c>
      <c r="C346" s="101" t="n">
        <v>1.3</v>
      </c>
      <c r="D346" s="102" t="inlineStr">
        <is>
          <t>总厚</t>
        </is>
      </c>
      <c r="E346" s="72" t="inlineStr">
        <is>
          <t>1/1</t>
        </is>
      </c>
      <c r="F346" s="73" t="inlineStr">
        <is>
          <t>HTE</t>
        </is>
      </c>
      <c r="G346" s="69" t="inlineStr">
        <is>
          <t>7*7628</t>
        </is>
      </c>
      <c r="H346" s="73">
        <f>ROUND(J346/13.33,2)</f>
        <v/>
      </c>
      <c r="I346" s="73">
        <f>ROUND(H346*12,0)</f>
        <v/>
      </c>
      <c r="J346" s="99" t="n">
        <v>325</v>
      </c>
      <c r="K346" s="73">
        <f>ROUND(H346*14,0)</f>
        <v/>
      </c>
      <c r="L346" s="42" t="n"/>
      <c r="M346" s="99" t="n">
        <v>286</v>
      </c>
      <c r="N346" s="65" t="n">
        <v>0.14</v>
      </c>
      <c r="O346" s="99" t="n">
        <v>270</v>
      </c>
      <c r="P346" s="66" t="n">
        <v>0.06</v>
      </c>
      <c r="Q346" s="34" t="n">
        <v>257</v>
      </c>
      <c r="R346" s="67">
        <f>ROUND((J346-Q346)/Q346,2)</f>
        <v/>
      </c>
      <c r="S346" s="34" t="n">
        <v>240</v>
      </c>
      <c r="T346" s="67">
        <f>ROUND((J346-S346)/S346,2)</f>
        <v/>
      </c>
    </row>
    <row r="347" customFormat="1" s="34">
      <c r="B347" s="69" t="inlineStr">
        <is>
          <t>NY3150HF</t>
        </is>
      </c>
      <c r="C347" s="101" t="n">
        <v>1.3</v>
      </c>
      <c r="D347" s="102" t="inlineStr">
        <is>
          <t>总厚</t>
        </is>
      </c>
      <c r="E347" s="72" t="inlineStr">
        <is>
          <t>2/2</t>
        </is>
      </c>
      <c r="F347" s="73" t="inlineStr">
        <is>
          <t>HTE</t>
        </is>
      </c>
      <c r="G347" s="69" t="inlineStr">
        <is>
          <t>6*7628</t>
        </is>
      </c>
      <c r="H347" s="73">
        <f>ROUND(J347/13.33,2)</f>
        <v/>
      </c>
      <c r="I347" s="73">
        <f>ROUND(H347*12,0)</f>
        <v/>
      </c>
      <c r="J347" s="99">
        <f>J346+130</f>
        <v/>
      </c>
      <c r="K347" s="73">
        <f>ROUND(H347*14,0)</f>
        <v/>
      </c>
      <c r="L347" s="42" t="n"/>
      <c r="M347" s="99" t="n">
        <v>419</v>
      </c>
      <c r="N347" s="65" t="n">
        <v>0.09</v>
      </c>
      <c r="O347" s="99" t="n">
        <v>395</v>
      </c>
      <c r="P347" s="66" t="n">
        <v>0.06</v>
      </c>
      <c r="Q347" s="34" t="n">
        <v>380</v>
      </c>
      <c r="R347" s="67">
        <f>ROUND((J347-Q347)/Q347,2)</f>
        <v/>
      </c>
      <c r="S347" s="34" t="n">
        <v>355</v>
      </c>
      <c r="T347" s="67">
        <f>ROUND((J347-S347)/S347,2)</f>
        <v/>
      </c>
    </row>
    <row r="348" customFormat="1" s="34">
      <c r="B348" s="69" t="inlineStr">
        <is>
          <t>NY3150HF</t>
        </is>
      </c>
      <c r="C348" s="101" t="n">
        <v>1.3</v>
      </c>
      <c r="D348" s="102" t="inlineStr">
        <is>
          <t>总厚</t>
        </is>
      </c>
      <c r="E348" s="72" t="inlineStr">
        <is>
          <t>3/3</t>
        </is>
      </c>
      <c r="F348" s="73" t="inlineStr">
        <is>
          <t>HTE</t>
        </is>
      </c>
      <c r="G348" s="69" t="inlineStr">
        <is>
          <t>6*7628</t>
        </is>
      </c>
      <c r="H348" s="73">
        <f>ROUND(J348/13.33,2)</f>
        <v/>
      </c>
      <c r="I348" s="73">
        <f>ROUND(H348*12,0)</f>
        <v/>
      </c>
      <c r="J348" s="99">
        <f>J347+150</f>
        <v/>
      </c>
      <c r="K348" s="73">
        <f>ROUND(H348*14,0)</f>
        <v/>
      </c>
      <c r="L348" s="42" t="n"/>
      <c r="M348" s="99" t="n">
        <v>551</v>
      </c>
      <c r="N348" s="65" t="n">
        <v>0.1</v>
      </c>
      <c r="O348" s="99" t="n">
        <v>525</v>
      </c>
      <c r="P348" s="66" t="n">
        <v>0.05</v>
      </c>
      <c r="Q348" s="34" t="n">
        <v>503</v>
      </c>
      <c r="R348" s="67">
        <f>ROUND((J348-Q348)/Q348,2)</f>
        <v/>
      </c>
      <c r="S348" s="34" t="n">
        <v>470</v>
      </c>
      <c r="T348" s="67">
        <f>ROUND((J348-S348)/S348,2)</f>
        <v/>
      </c>
    </row>
    <row r="349" customFormat="1" s="34">
      <c r="B349" s="69" t="inlineStr">
        <is>
          <t>NY3150HF</t>
        </is>
      </c>
      <c r="C349" s="101" t="n">
        <v>1.4</v>
      </c>
      <c r="D349" s="102" t="inlineStr">
        <is>
          <t>总厚</t>
        </is>
      </c>
      <c r="E349" s="72" t="inlineStr">
        <is>
          <t>H/H</t>
        </is>
      </c>
      <c r="F349" s="73" t="inlineStr">
        <is>
          <t>HTE</t>
        </is>
      </c>
      <c r="G349" s="69" t="inlineStr">
        <is>
          <t>7*7628</t>
        </is>
      </c>
      <c r="H349" s="73">
        <f>ROUND(J349/13.33,2)</f>
        <v/>
      </c>
      <c r="I349" s="73">
        <f>ROUND(H349*12,0)</f>
        <v/>
      </c>
      <c r="J349" s="99">
        <f>J350-60</f>
        <v/>
      </c>
      <c r="K349" s="73">
        <f>ROUND(H349*14,0)</f>
        <v/>
      </c>
      <c r="L349" s="42" t="n"/>
      <c r="M349" s="99" t="n">
        <v>240</v>
      </c>
      <c r="N349" s="65" t="n">
        <v>0.12</v>
      </c>
      <c r="O349" s="99" t="n">
        <v>226</v>
      </c>
      <c r="P349" s="66" t="n">
        <v>0.06</v>
      </c>
      <c r="Q349" s="34" t="n">
        <v>215</v>
      </c>
      <c r="R349" s="67">
        <f>ROUND((J349-Q349)/Q349,2)</f>
        <v/>
      </c>
      <c r="S349" s="34" t="n">
        <v>201</v>
      </c>
      <c r="T349" s="67">
        <f>ROUND((J349-S349)/S349,2)</f>
        <v/>
      </c>
    </row>
    <row r="350" customFormat="1" s="34">
      <c r="B350" s="69" t="inlineStr">
        <is>
          <t>NY3150HF</t>
        </is>
      </c>
      <c r="C350" s="101" t="n">
        <v>1.4</v>
      </c>
      <c r="D350" s="102" t="inlineStr">
        <is>
          <t>总厚</t>
        </is>
      </c>
      <c r="E350" s="72" t="inlineStr">
        <is>
          <t>1/1</t>
        </is>
      </c>
      <c r="F350" s="73" t="inlineStr">
        <is>
          <t>HTE</t>
        </is>
      </c>
      <c r="G350" s="69" t="inlineStr">
        <is>
          <t>7*7628</t>
        </is>
      </c>
      <c r="H350" s="73">
        <f>ROUND(J350/13.33,2)</f>
        <v/>
      </c>
      <c r="I350" s="73">
        <f>ROUND(H350*12,0)</f>
        <v/>
      </c>
      <c r="J350" s="99" t="n">
        <v>328</v>
      </c>
      <c r="K350" s="73">
        <f>ROUND(H350*14,0)</f>
        <v/>
      </c>
      <c r="L350" s="42" t="n"/>
      <c r="M350" s="99" t="n">
        <v>293</v>
      </c>
      <c r="N350" s="65" t="n">
        <v>0.12</v>
      </c>
      <c r="O350" s="99" t="n">
        <v>276</v>
      </c>
      <c r="P350" s="66" t="n">
        <v>0.06</v>
      </c>
      <c r="Q350" s="34" t="n">
        <v>263</v>
      </c>
      <c r="R350" s="67">
        <f>ROUND((J350-Q350)/Q350,2)</f>
        <v/>
      </c>
      <c r="S350" s="34" t="n">
        <v>246</v>
      </c>
      <c r="T350" s="67">
        <f>ROUND((J350-S350)/S350,2)</f>
        <v/>
      </c>
    </row>
    <row r="351" customFormat="1" s="34">
      <c r="B351" s="69" t="inlineStr">
        <is>
          <t>NY3150HF</t>
        </is>
      </c>
      <c r="C351" s="101" t="n">
        <v>1.4</v>
      </c>
      <c r="D351" s="102" t="inlineStr">
        <is>
          <t>总厚</t>
        </is>
      </c>
      <c r="E351" s="72" t="inlineStr">
        <is>
          <t>2/2</t>
        </is>
      </c>
      <c r="F351" s="73" t="inlineStr">
        <is>
          <t>HTE</t>
        </is>
      </c>
      <c r="G351" s="69" t="inlineStr">
        <is>
          <t>7*7628</t>
        </is>
      </c>
      <c r="H351" s="73">
        <f>ROUND(J351/13.33,2)</f>
        <v/>
      </c>
      <c r="I351" s="73">
        <f>ROUND(H351*12,0)</f>
        <v/>
      </c>
      <c r="J351" s="99">
        <f>J350+140</f>
        <v/>
      </c>
      <c r="K351" s="73">
        <f>ROUND(H351*14,0)</f>
        <v/>
      </c>
      <c r="L351" s="42" t="n"/>
      <c r="M351" s="99" t="n">
        <v>425</v>
      </c>
      <c r="N351" s="65" t="n">
        <v>0.1</v>
      </c>
      <c r="O351" s="99" t="n">
        <v>401</v>
      </c>
      <c r="P351" s="66" t="n">
        <v>0.06</v>
      </c>
      <c r="Q351" s="34" t="n">
        <v>386</v>
      </c>
      <c r="R351" s="67">
        <f>ROUND((J351-Q351)/Q351,2)</f>
        <v/>
      </c>
      <c r="S351" s="34" t="n">
        <v>361</v>
      </c>
      <c r="T351" s="67">
        <f>ROUND((J351-S351)/S351,2)</f>
        <v/>
      </c>
    </row>
    <row r="352" customFormat="1" s="34">
      <c r="B352" s="69" t="inlineStr">
        <is>
          <t>NY3150HF</t>
        </is>
      </c>
      <c r="C352" s="101" t="n">
        <v>1.4</v>
      </c>
      <c r="D352" s="102" t="inlineStr">
        <is>
          <t>总厚</t>
        </is>
      </c>
      <c r="E352" s="72" t="inlineStr">
        <is>
          <t>3/3</t>
        </is>
      </c>
      <c r="F352" s="73" t="inlineStr">
        <is>
          <t>HTE</t>
        </is>
      </c>
      <c r="G352" s="69" t="inlineStr">
        <is>
          <t>6*7628</t>
        </is>
      </c>
      <c r="H352" s="73">
        <f>ROUND(J352/13.33,2)</f>
        <v/>
      </c>
      <c r="I352" s="73">
        <f>ROUND(H352*12,0)</f>
        <v/>
      </c>
      <c r="J352" s="99">
        <f>J351+140</f>
        <v/>
      </c>
      <c r="K352" s="73">
        <f>ROUND(H352*14,0)</f>
        <v/>
      </c>
      <c r="L352" s="42" t="n"/>
      <c r="M352" s="99" t="n">
        <v>558</v>
      </c>
      <c r="N352" s="65" t="n">
        <v>0.09</v>
      </c>
      <c r="O352" s="99" t="n">
        <v>531</v>
      </c>
      <c r="P352" s="66" t="n">
        <v>0.05</v>
      </c>
      <c r="Q352" s="34" t="n">
        <v>509</v>
      </c>
      <c r="R352" s="67">
        <f>ROUND((J352-Q352)/Q352,2)</f>
        <v/>
      </c>
      <c r="S352" s="34" t="n">
        <v>476</v>
      </c>
      <c r="T352" s="67">
        <f>ROUND((J352-S352)/S352,2)</f>
        <v/>
      </c>
    </row>
    <row r="353" customFormat="1" s="34">
      <c r="B353" s="69" t="inlineStr">
        <is>
          <t>NY3150HF</t>
        </is>
      </c>
      <c r="C353" s="101" t="n">
        <v>1.5</v>
      </c>
      <c r="D353" s="102" t="inlineStr">
        <is>
          <t>总厚</t>
        </is>
      </c>
      <c r="E353" s="72" t="inlineStr">
        <is>
          <t>H/H</t>
        </is>
      </c>
      <c r="F353" s="73" t="inlineStr">
        <is>
          <t>HTE</t>
        </is>
      </c>
      <c r="G353" s="69" t="inlineStr">
        <is>
          <t>8*7628</t>
        </is>
      </c>
      <c r="H353" s="73">
        <f>ROUND(J353/13.33,2)</f>
        <v/>
      </c>
      <c r="I353" s="73">
        <f>ROUND(H353*12,0)</f>
        <v/>
      </c>
      <c r="J353" s="99">
        <f>J354-60</f>
        <v/>
      </c>
      <c r="K353" s="73">
        <f>ROUND(H353*14,0)</f>
        <v/>
      </c>
      <c r="L353" s="42" t="n"/>
      <c r="M353" s="99" t="n">
        <v>250</v>
      </c>
      <c r="N353" s="65" t="n">
        <v>0.16</v>
      </c>
      <c r="O353" s="99" t="n">
        <v>240</v>
      </c>
      <c r="P353" s="66" t="n">
        <v>0.04</v>
      </c>
      <c r="Q353" s="34" t="n">
        <v>229</v>
      </c>
      <c r="R353" s="67">
        <f>ROUND((J353-Q353)/Q353,2)</f>
        <v/>
      </c>
      <c r="S353" s="34" t="n">
        <v>214</v>
      </c>
      <c r="T353" s="67">
        <f>ROUND((J353-S353)/S353,2)</f>
        <v/>
      </c>
    </row>
    <row r="354" customFormat="1" s="34">
      <c r="B354" s="69" t="inlineStr">
        <is>
          <t>NY3150HF</t>
        </is>
      </c>
      <c r="C354" s="101" t="n">
        <v>1.5</v>
      </c>
      <c r="D354" s="102" t="inlineStr">
        <is>
          <t>总厚</t>
        </is>
      </c>
      <c r="E354" s="72" t="inlineStr">
        <is>
          <t>1/1</t>
        </is>
      </c>
      <c r="F354" s="73" t="inlineStr">
        <is>
          <t>HTE</t>
        </is>
      </c>
      <c r="G354" s="69" t="inlineStr">
        <is>
          <t>8*7628</t>
        </is>
      </c>
      <c r="H354" s="73">
        <f>ROUND(J354/13.33,2)</f>
        <v/>
      </c>
      <c r="I354" s="73">
        <f>ROUND(H354*12,0)</f>
        <v/>
      </c>
      <c r="J354" s="99" t="n">
        <v>350</v>
      </c>
      <c r="K354" s="73">
        <f>ROUND(H354*14,0)</f>
        <v/>
      </c>
      <c r="L354" s="42" t="n"/>
      <c r="M354" s="99" t="n">
        <v>300</v>
      </c>
      <c r="N354" s="65" t="n">
        <v>0.17</v>
      </c>
      <c r="O354" s="99" t="n">
        <v>291</v>
      </c>
      <c r="P354" s="66" t="n">
        <v>0.03</v>
      </c>
      <c r="Q354" s="34" t="n">
        <v>277</v>
      </c>
      <c r="R354" s="67">
        <f>ROUND((J354-Q354)/Q354,2)</f>
        <v/>
      </c>
      <c r="S354" s="34" t="n">
        <v>259</v>
      </c>
      <c r="T354" s="67">
        <f>ROUND((J354-S354)/S354,2)</f>
        <v/>
      </c>
    </row>
    <row r="355" customFormat="1" s="34">
      <c r="B355" s="69" t="inlineStr">
        <is>
          <t>NY3150HF</t>
        </is>
      </c>
      <c r="C355" s="101" t="n">
        <v>1.5</v>
      </c>
      <c r="D355" s="102" t="inlineStr">
        <is>
          <t>总厚</t>
        </is>
      </c>
      <c r="E355" s="72" t="inlineStr">
        <is>
          <t>2/2</t>
        </is>
      </c>
      <c r="F355" s="73" t="inlineStr">
        <is>
          <t>HTE</t>
        </is>
      </c>
      <c r="G355" s="69" t="inlineStr">
        <is>
          <t>7*7628</t>
        </is>
      </c>
      <c r="H355" s="73">
        <f>ROUND(J355/13.33,2)</f>
        <v/>
      </c>
      <c r="I355" s="73">
        <f>ROUND(H355*12,0)</f>
        <v/>
      </c>
      <c r="J355" s="99">
        <f>J354+130</f>
        <v/>
      </c>
      <c r="K355" s="73">
        <f>ROUND(H355*14,0)</f>
        <v/>
      </c>
      <c r="L355" s="42" t="n"/>
      <c r="M355" s="99" t="n">
        <v>432</v>
      </c>
      <c r="N355" s="65" t="n">
        <v>0.11</v>
      </c>
      <c r="O355" s="99" t="n">
        <v>408</v>
      </c>
      <c r="P355" s="66" t="n">
        <v>0.06</v>
      </c>
      <c r="Q355" s="34" t="n">
        <v>400</v>
      </c>
      <c r="R355" s="67">
        <f>ROUND((J355-Q355)/Q355,2)</f>
        <v/>
      </c>
      <c r="S355" s="34" t="n">
        <v>374</v>
      </c>
      <c r="T355" s="67">
        <f>ROUND((J355-S355)/S355,2)</f>
        <v/>
      </c>
    </row>
    <row r="356" customFormat="1" s="34">
      <c r="B356" s="69" t="inlineStr">
        <is>
          <t>NY3150HF</t>
        </is>
      </c>
      <c r="C356" s="101" t="n">
        <v>1.5</v>
      </c>
      <c r="D356" s="102" t="inlineStr">
        <is>
          <t>总厚</t>
        </is>
      </c>
      <c r="E356" s="72" t="inlineStr">
        <is>
          <t>3/3</t>
        </is>
      </c>
      <c r="F356" s="73" t="inlineStr">
        <is>
          <t>HTE</t>
        </is>
      </c>
      <c r="G356" s="69" t="inlineStr">
        <is>
          <t>7*7628</t>
        </is>
      </c>
      <c r="H356" s="73">
        <f>ROUND(J356/13.33,2)</f>
        <v/>
      </c>
      <c r="I356" s="73">
        <f>ROUND(H356*12,0)</f>
        <v/>
      </c>
      <c r="J356" s="99">
        <f>J355+150</f>
        <v/>
      </c>
      <c r="K356" s="73">
        <f>ROUND(H356*14,0)</f>
        <v/>
      </c>
      <c r="L356" s="42" t="n"/>
      <c r="M356" s="99" t="n">
        <v>565</v>
      </c>
      <c r="N356" s="65" t="n">
        <v>0.12</v>
      </c>
      <c r="O356" s="99" t="n">
        <v>538</v>
      </c>
      <c r="P356" s="66" t="n">
        <v>0.05</v>
      </c>
      <c r="Q356" s="34" t="n">
        <v>523</v>
      </c>
      <c r="R356" s="67">
        <f>ROUND((J356-Q356)/Q356,2)</f>
        <v/>
      </c>
      <c r="S356" s="34" t="n">
        <v>489</v>
      </c>
      <c r="T356" s="67">
        <f>ROUND((J356-S356)/S356,2)</f>
        <v/>
      </c>
    </row>
    <row r="357" customFormat="1" s="34">
      <c r="B357" s="69" t="inlineStr">
        <is>
          <t>NY3150HF</t>
        </is>
      </c>
      <c r="C357" s="101" t="n">
        <v>1.6</v>
      </c>
      <c r="D357" s="102" t="inlineStr">
        <is>
          <t>总厚</t>
        </is>
      </c>
      <c r="E357" s="72" t="inlineStr">
        <is>
          <t>H/H</t>
        </is>
      </c>
      <c r="F357" s="73" t="inlineStr">
        <is>
          <t>HTE</t>
        </is>
      </c>
      <c r="G357" s="69" t="inlineStr">
        <is>
          <t>8*7628</t>
        </is>
      </c>
      <c r="H357" s="73">
        <f>ROUND(J357/13.33,2)</f>
        <v/>
      </c>
      <c r="I357" s="73">
        <f>ROUND(H357*12,0)</f>
        <v/>
      </c>
      <c r="J357" s="99">
        <f>J358-60</f>
        <v/>
      </c>
      <c r="K357" s="73">
        <f>ROUND(H357*14,0)</f>
        <v/>
      </c>
      <c r="L357" s="42" t="n"/>
      <c r="M357" s="99" t="n">
        <v>256</v>
      </c>
      <c r="N357" s="65" t="n">
        <v>0.15</v>
      </c>
      <c r="O357" s="99" t="n">
        <v>246</v>
      </c>
      <c r="P357" s="66" t="n">
        <v>0.04</v>
      </c>
      <c r="Q357" s="34" t="n">
        <v>234</v>
      </c>
      <c r="R357" s="67">
        <f>ROUND((J357-Q357)/Q357,2)</f>
        <v/>
      </c>
      <c r="S357" s="34" t="n">
        <v>219</v>
      </c>
      <c r="T357" s="67">
        <f>ROUND((J357-S357)/S357,2)</f>
        <v/>
      </c>
    </row>
    <row r="358" customFormat="1" s="34">
      <c r="B358" s="69" t="inlineStr">
        <is>
          <t>NY3150HF</t>
        </is>
      </c>
      <c r="C358" s="101" t="n">
        <v>1.6</v>
      </c>
      <c r="D358" s="102" t="inlineStr">
        <is>
          <t>总厚</t>
        </is>
      </c>
      <c r="E358" s="72" t="inlineStr">
        <is>
          <t>1/1</t>
        </is>
      </c>
      <c r="F358" s="73" t="inlineStr">
        <is>
          <t>HTE</t>
        </is>
      </c>
      <c r="G358" s="69" t="inlineStr">
        <is>
          <t>8*7628</t>
        </is>
      </c>
      <c r="H358" s="73">
        <f>ROUND(J358/13.33,2)</f>
        <v/>
      </c>
      <c r="I358" s="73">
        <f>ROUND(H358*12,0)</f>
        <v/>
      </c>
      <c r="J358" s="99" t="n">
        <v>355</v>
      </c>
      <c r="K358" s="73">
        <f>ROUND(H358*14,0)</f>
        <v/>
      </c>
      <c r="L358" s="42" t="n"/>
      <c r="M358" s="99" t="n">
        <v>305</v>
      </c>
      <c r="N358" s="65" t="n">
        <v>0.16</v>
      </c>
      <c r="O358" s="99" t="n">
        <v>296</v>
      </c>
      <c r="P358" s="66" t="n">
        <v>0.03</v>
      </c>
      <c r="Q358" s="34" t="n">
        <v>282</v>
      </c>
      <c r="R358" s="67">
        <f>ROUND((J358-Q358)/Q358,2)</f>
        <v/>
      </c>
      <c r="S358" s="34" t="n">
        <v>264</v>
      </c>
      <c r="T358" s="67">
        <f>ROUND((J358-S358)/S358,2)</f>
        <v/>
      </c>
    </row>
    <row r="359" customFormat="1" s="34">
      <c r="B359" s="69" t="inlineStr">
        <is>
          <t>NY3150HF</t>
        </is>
      </c>
      <c r="C359" s="101" t="n">
        <v>1.6</v>
      </c>
      <c r="D359" s="102" t="inlineStr">
        <is>
          <t>总厚</t>
        </is>
      </c>
      <c r="E359" s="72" t="inlineStr">
        <is>
          <t>2/2</t>
        </is>
      </c>
      <c r="F359" s="73" t="inlineStr">
        <is>
          <t>HTE</t>
        </is>
      </c>
      <c r="G359" s="69" t="inlineStr">
        <is>
          <t>8*7628</t>
        </is>
      </c>
      <c r="H359" s="73">
        <f>ROUND(J359/13.33,2)</f>
        <v/>
      </c>
      <c r="I359" s="73">
        <f>ROUND(H359*12,0)</f>
        <v/>
      </c>
      <c r="J359" s="99">
        <f>J358+140</f>
        <v/>
      </c>
      <c r="K359" s="73">
        <f>ROUND(H359*14,0)</f>
        <v/>
      </c>
      <c r="L359" s="42" t="n"/>
      <c r="M359" s="99" t="n">
        <v>438</v>
      </c>
      <c r="N359" s="65" t="n">
        <v>0.13</v>
      </c>
      <c r="O359" s="99" t="n">
        <v>421</v>
      </c>
      <c r="P359" s="66" t="n">
        <v>0.04</v>
      </c>
      <c r="Q359" s="34" t="n">
        <v>406</v>
      </c>
      <c r="R359" s="67">
        <f>ROUND((J359-Q359)/Q359,2)</f>
        <v/>
      </c>
      <c r="S359" s="34" t="n">
        <v>379</v>
      </c>
      <c r="T359" s="67">
        <f>ROUND((J359-S359)/S359,2)</f>
        <v/>
      </c>
    </row>
    <row r="360" customFormat="1" s="34">
      <c r="B360" s="69" t="inlineStr">
        <is>
          <t>NY3150HF</t>
        </is>
      </c>
      <c r="C360" s="101" t="n">
        <v>1.6</v>
      </c>
      <c r="D360" s="102" t="inlineStr">
        <is>
          <t>总厚</t>
        </is>
      </c>
      <c r="E360" s="72" t="inlineStr">
        <is>
          <t>3/3</t>
        </is>
      </c>
      <c r="F360" s="73" t="inlineStr">
        <is>
          <t>HTE</t>
        </is>
      </c>
      <c r="G360" s="69" t="inlineStr">
        <is>
          <t>7*7628</t>
        </is>
      </c>
      <c r="H360" s="73">
        <f>ROUND(J360/13.33,2)</f>
        <v/>
      </c>
      <c r="I360" s="73">
        <f>ROUND(H360*12,0)</f>
        <v/>
      </c>
      <c r="J360" s="99">
        <f>J359+140</f>
        <v/>
      </c>
      <c r="K360" s="73">
        <f>ROUND(H360*14,0)</f>
        <v/>
      </c>
      <c r="L360" s="42" t="n"/>
      <c r="M360" s="99" t="n">
        <v>573</v>
      </c>
      <c r="N360" s="65" t="n">
        <v>0.11</v>
      </c>
      <c r="O360" s="99" t="n">
        <v>551</v>
      </c>
      <c r="P360" s="66" t="n">
        <v>0.04</v>
      </c>
      <c r="Q360" s="34" t="n">
        <v>529</v>
      </c>
      <c r="R360" s="67">
        <f>ROUND((J360-Q360)/Q360,2)</f>
        <v/>
      </c>
      <c r="S360" s="34" t="n">
        <v>494</v>
      </c>
      <c r="T360" s="67">
        <f>ROUND((J360-S360)/S360,2)</f>
        <v/>
      </c>
    </row>
    <row r="361" customFormat="1" s="34">
      <c r="B361" s="69" t="inlineStr">
        <is>
          <t>NY3150HC</t>
        </is>
      </c>
      <c r="C361" s="101" t="n">
        <v>1.5</v>
      </c>
      <c r="D361" s="102" t="inlineStr">
        <is>
          <t>总厚</t>
        </is>
      </c>
      <c r="E361" s="72" t="inlineStr">
        <is>
          <t>2/2</t>
        </is>
      </c>
      <c r="F361" s="73" t="inlineStr">
        <is>
          <t>HTE</t>
        </is>
      </c>
      <c r="G361" s="69" t="inlineStr">
        <is>
          <t>7*7628</t>
        </is>
      </c>
      <c r="H361" s="73">
        <f>ROUND(J361/13.33,2)</f>
        <v/>
      </c>
      <c r="I361" s="73">
        <f>ROUND(H361*12,0)</f>
        <v/>
      </c>
      <c r="J361" s="99" t="n">
        <v>490</v>
      </c>
      <c r="K361" s="73">
        <f>ROUND(H361*14,0)</f>
        <v/>
      </c>
      <c r="L361" s="42" t="n"/>
      <c r="M361" s="99" t="n">
        <v>451</v>
      </c>
      <c r="N361" s="65" t="n">
        <v>0.09</v>
      </c>
      <c r="O361" s="99" t="n">
        <v>417.15</v>
      </c>
      <c r="P361" s="66" t="n">
        <v>0.08</v>
      </c>
      <c r="Q361" s="34" t="n">
        <v>405</v>
      </c>
      <c r="R361" s="67">
        <f>ROUND((J361-Q361)/Q361,2)</f>
        <v/>
      </c>
      <c r="S361" s="34" t="n">
        <v>358</v>
      </c>
      <c r="T361" s="67">
        <f>ROUND((J361-S361)/S361,2)</f>
        <v/>
      </c>
    </row>
    <row r="362" customFormat="1" s="34">
      <c r="B362" s="69" t="inlineStr">
        <is>
          <t>NY3150HC</t>
        </is>
      </c>
      <c r="C362" s="101" t="n">
        <v>1.9</v>
      </c>
      <c r="D362" s="102" t="inlineStr">
        <is>
          <t>总厚</t>
        </is>
      </c>
      <c r="E362" s="72" t="inlineStr">
        <is>
          <t>2/2</t>
        </is>
      </c>
      <c r="F362" s="73" t="inlineStr">
        <is>
          <t>HTE</t>
        </is>
      </c>
      <c r="G362" s="69" t="inlineStr">
        <is>
          <t>10*7628</t>
        </is>
      </c>
      <c r="H362" s="73">
        <f>ROUND(J362/13.33,2)</f>
        <v/>
      </c>
      <c r="I362" s="73">
        <f>ROUND(H362*12,0)</f>
        <v/>
      </c>
      <c r="J362" s="99" t="n">
        <v>540</v>
      </c>
      <c r="K362" s="73">
        <f>ROUND(H362*14,0)</f>
        <v/>
      </c>
      <c r="L362" s="42" t="n"/>
      <c r="M362" s="99" t="n">
        <v>506</v>
      </c>
      <c r="N362" s="65" t="n">
        <v>0.07000000000000001</v>
      </c>
      <c r="O362" s="99" t="n">
        <v>473</v>
      </c>
      <c r="P362" s="66" t="n">
        <v>0.07000000000000001</v>
      </c>
      <c r="R362" s="67" t="n"/>
      <c r="T362" s="67" t="n"/>
    </row>
    <row r="363" customFormat="1" s="34">
      <c r="B363" s="69" t="inlineStr">
        <is>
          <t>NY3170HF</t>
        </is>
      </c>
      <c r="C363" s="103" t="n">
        <v>0.064</v>
      </c>
      <c r="D363" s="102" t="inlineStr">
        <is>
          <t>芯厚</t>
        </is>
      </c>
      <c r="E363" s="72" t="inlineStr">
        <is>
          <t>H/H</t>
        </is>
      </c>
      <c r="F363" s="73" t="inlineStr">
        <is>
          <t>HTE</t>
        </is>
      </c>
      <c r="G363" s="69" t="inlineStr">
        <is>
          <t>1*1080</t>
        </is>
      </c>
      <c r="H363" s="73">
        <f>ROUND(J363/13.33,2)</f>
        <v/>
      </c>
      <c r="I363" s="73">
        <f>ROUND(H363*12,0)</f>
        <v/>
      </c>
      <c r="J363" s="99">
        <f>J364-60</f>
        <v/>
      </c>
      <c r="K363" s="73">
        <f>ROUND(H363*14,0)</f>
        <v/>
      </c>
      <c r="L363" s="42" t="n"/>
      <c r="M363" s="99" t="n">
        <v>127</v>
      </c>
      <c r="N363" s="65" t="n">
        <v>0.04</v>
      </c>
      <c r="O363" s="99" t="n">
        <v>118</v>
      </c>
      <c r="P363" s="66" t="n">
        <v>0.08</v>
      </c>
      <c r="Q363" s="34" t="n">
        <v>109</v>
      </c>
      <c r="R363" s="67">
        <f>ROUND((J363-Q363)/Q363,2)</f>
        <v/>
      </c>
      <c r="S363" s="34" t="n">
        <v>102</v>
      </c>
      <c r="T363" s="67">
        <f>ROUND((J363-S363)/S363,2)</f>
        <v/>
      </c>
    </row>
    <row r="364" customFormat="1" s="34">
      <c r="B364" s="75" t="inlineStr">
        <is>
          <t>NY3170HF</t>
        </is>
      </c>
      <c r="C364" s="104" t="n">
        <v>0.2</v>
      </c>
      <c r="D364" s="104" t="inlineStr">
        <is>
          <t>芯厚</t>
        </is>
      </c>
      <c r="E364" s="77" t="inlineStr">
        <is>
          <t>1/1</t>
        </is>
      </c>
      <c r="F364" s="75" t="inlineStr">
        <is>
          <t>HTE</t>
        </is>
      </c>
      <c r="G364" s="75" t="inlineStr">
        <is>
          <t>1*7628</t>
        </is>
      </c>
      <c r="H364" s="73">
        <f>ROUND(J364/13.33,2)</f>
        <v/>
      </c>
      <c r="I364" s="73">
        <f>ROUND(H364*12,0)</f>
        <v/>
      </c>
      <c r="J364" s="99">
        <f>ROUND(O364*(1+P364),0)</f>
        <v/>
      </c>
      <c r="K364" s="73">
        <f>ROUND(H364*14,0)</f>
        <v/>
      </c>
      <c r="L364" s="42" t="n"/>
      <c r="M364" s="99" t="n">
        <v>192</v>
      </c>
      <c r="N364" s="65" t="n">
        <v>0</v>
      </c>
      <c r="O364" s="99" t="n">
        <v>178</v>
      </c>
      <c r="P364" s="66" t="n">
        <v>0.08</v>
      </c>
      <c r="Q364" s="34" t="n">
        <v>166</v>
      </c>
      <c r="R364" s="67">
        <f>ROUND((J364-Q364)/Q364,2)</f>
        <v/>
      </c>
      <c r="T364" s="67" t="n"/>
      <c r="U364" s="80" t="n"/>
    </row>
    <row r="365" customFormat="1" s="34">
      <c r="B365" s="75" t="inlineStr">
        <is>
          <t>NY3170HF</t>
        </is>
      </c>
      <c r="C365" s="104" t="n">
        <v>0.2</v>
      </c>
      <c r="D365" s="104" t="inlineStr">
        <is>
          <t>芯厚</t>
        </is>
      </c>
      <c r="E365" s="77" t="inlineStr">
        <is>
          <t>2/2</t>
        </is>
      </c>
      <c r="F365" s="75" t="inlineStr">
        <is>
          <t>HTE</t>
        </is>
      </c>
      <c r="G365" s="75" t="inlineStr">
        <is>
          <t>1*7628</t>
        </is>
      </c>
      <c r="H365" s="73">
        <f>ROUND(J365/13.33,2)</f>
        <v/>
      </c>
      <c r="I365" s="73">
        <f>ROUND(H365*12,0)</f>
        <v/>
      </c>
      <c r="J365" s="99">
        <f>J364+140</f>
        <v/>
      </c>
      <c r="K365" s="73">
        <f>ROUND(H365*14,0)</f>
        <v/>
      </c>
      <c r="L365" s="42" t="n"/>
      <c r="M365" s="99" t="n">
        <v>324</v>
      </c>
      <c r="N365" s="65" t="n">
        <v>0.02</v>
      </c>
      <c r="O365" s="99" t="n">
        <v>300</v>
      </c>
      <c r="P365" s="66" t="n">
        <v>0.08</v>
      </c>
      <c r="Q365" s="34" t="n">
        <v>288</v>
      </c>
      <c r="R365" s="67">
        <f>ROUND((J365-Q365)/Q365,2)</f>
        <v/>
      </c>
      <c r="T365" s="67" t="n"/>
      <c r="U365" s="80" t="n"/>
    </row>
    <row r="366" customFormat="1" s="34">
      <c r="B366" s="75" t="inlineStr">
        <is>
          <t>NY3170HF</t>
        </is>
      </c>
      <c r="C366" s="105" t="n">
        <v>0.5</v>
      </c>
      <c r="D366" s="104" t="inlineStr">
        <is>
          <t>芯厚</t>
        </is>
      </c>
      <c r="E366" s="77" t="inlineStr">
        <is>
          <t>1/1</t>
        </is>
      </c>
      <c r="F366" s="75" t="inlineStr">
        <is>
          <t>HTE</t>
        </is>
      </c>
      <c r="G366" s="80" t="inlineStr">
        <is>
          <t>2*7628+1*2116</t>
        </is>
      </c>
      <c r="H366" s="73">
        <f>ROUND(J366/13.33,2)</f>
        <v/>
      </c>
      <c r="I366" s="73">
        <f>ROUND(H366*12,0)</f>
        <v/>
      </c>
      <c r="J366" s="99" t="n">
        <v>268</v>
      </c>
      <c r="K366" s="73">
        <f>ROUND(H366*14,0)</f>
        <v/>
      </c>
      <c r="L366" s="42" t="n"/>
      <c r="M366" s="99" t="n"/>
      <c r="N366" s="65" t="n"/>
      <c r="O366" s="99" t="n"/>
      <c r="P366" s="66" t="n"/>
      <c r="R366" s="67" t="n"/>
      <c r="T366" s="67" t="n"/>
      <c r="U366" s="88" t="n"/>
    </row>
    <row r="367" customFormat="1" s="34">
      <c r="B367" s="75" t="inlineStr">
        <is>
          <t>NY3170HF</t>
        </is>
      </c>
      <c r="C367" s="105" t="n">
        <v>0.6</v>
      </c>
      <c r="D367" s="104" t="inlineStr">
        <is>
          <t>芯厚</t>
        </is>
      </c>
      <c r="E367" s="77" t="inlineStr">
        <is>
          <t>1/1</t>
        </is>
      </c>
      <c r="F367" s="75" t="inlineStr">
        <is>
          <t>HTE</t>
        </is>
      </c>
      <c r="G367" s="75" t="inlineStr">
        <is>
          <t>3*7628</t>
        </is>
      </c>
      <c r="H367" s="73">
        <f>ROUND(J367/13.33,2)</f>
        <v/>
      </c>
      <c r="I367" s="73">
        <f>ROUND(H367*12,0)</f>
        <v/>
      </c>
      <c r="J367" s="99" t="n">
        <v>268</v>
      </c>
      <c r="K367" s="73">
        <f>ROUND(H367*14,0)</f>
        <v/>
      </c>
      <c r="L367" s="42" t="n"/>
      <c r="M367" s="99" t="n">
        <v>242</v>
      </c>
      <c r="N367" s="65" t="n">
        <v>0.11</v>
      </c>
      <c r="O367" s="99" t="n">
        <v>226</v>
      </c>
      <c r="P367" s="66" t="n">
        <v>0.07000000000000001</v>
      </c>
      <c r="Q367" s="34" t="n">
        <v>200</v>
      </c>
      <c r="R367" s="67">
        <f>ROUND((J367-Q367)/Q367,2)</f>
        <v/>
      </c>
      <c r="T367" s="67" t="n"/>
      <c r="U367" s="88" t="n"/>
    </row>
    <row r="368">
      <c r="B368" s="82" t="inlineStr">
        <is>
          <t>NY3170HF</t>
        </is>
      </c>
      <c r="C368" s="106" t="n">
        <v>1.5</v>
      </c>
      <c r="D368" s="107" t="inlineStr">
        <is>
          <t>总厚</t>
        </is>
      </c>
      <c r="E368" s="85" t="inlineStr">
        <is>
          <t>2/2</t>
        </is>
      </c>
      <c r="F368" s="86" t="inlineStr">
        <is>
          <t>HTE</t>
        </is>
      </c>
      <c r="G368" s="82" t="inlineStr">
        <is>
          <t>7*7628</t>
        </is>
      </c>
      <c r="H368" s="73">
        <f>ROUND(J368/13.33,2)</f>
        <v/>
      </c>
      <c r="I368" s="73">
        <f>ROUND(H368*12,0)</f>
        <v/>
      </c>
      <c r="J368" s="99" t="n">
        <v>528</v>
      </c>
      <c r="K368" s="73">
        <f>ROUND(H368*14,0)</f>
        <v/>
      </c>
      <c r="L368" s="42" t="n"/>
      <c r="M368" s="99" t="n">
        <v>486</v>
      </c>
      <c r="N368" s="65" t="n">
        <v>0.09</v>
      </c>
      <c r="O368" s="99" t="n">
        <v>450</v>
      </c>
      <c r="P368" s="66" t="n">
        <v>0.08</v>
      </c>
      <c r="Q368" s="34" t="n">
        <v>441</v>
      </c>
      <c r="R368" s="67">
        <f>ROUND((J368-Q368)/Q368,2)</f>
        <v/>
      </c>
      <c r="S368" s="34" t="n">
        <v>420</v>
      </c>
      <c r="T368" s="67">
        <f>ROUND((J368-S368)/S368,2)</f>
        <v/>
      </c>
    </row>
    <row r="369">
      <c r="B369" s="69" t="inlineStr">
        <is>
          <t>NY3170HC</t>
        </is>
      </c>
      <c r="C369" s="101" t="n">
        <v>0.2</v>
      </c>
      <c r="D369" s="102" t="inlineStr">
        <is>
          <t>芯厚</t>
        </is>
      </c>
      <c r="E369" s="72" t="inlineStr">
        <is>
          <t>1/1</t>
        </is>
      </c>
      <c r="F369" s="73" t="inlineStr">
        <is>
          <t>HTE</t>
        </is>
      </c>
      <c r="G369" s="69" t="inlineStr">
        <is>
          <t>1*7628</t>
        </is>
      </c>
      <c r="H369" s="73">
        <f>ROUND(J369/13.33,2)</f>
        <v/>
      </c>
      <c r="I369" s="73">
        <f>ROUND(H369*12,0)</f>
        <v/>
      </c>
      <c r="J369" s="99">
        <f>ROUND(O369*(1+P369),0)</f>
        <v/>
      </c>
      <c r="K369" s="73">
        <f>ROUND(H369*14,0)</f>
        <v/>
      </c>
      <c r="L369" s="73" t="n"/>
      <c r="M369" s="99" t="n">
        <v>194</v>
      </c>
      <c r="N369" s="65" t="n">
        <v>0</v>
      </c>
      <c r="O369" s="99" t="n">
        <v>190</v>
      </c>
      <c r="P369" s="66" t="n">
        <v>0.02</v>
      </c>
      <c r="Q369" s="34" t="n">
        <v>311</v>
      </c>
      <c r="R369" s="67">
        <f>ROUND((J369-Q369)/Q369,2)</f>
        <v/>
      </c>
      <c r="S369" s="34" t="n">
        <v>296</v>
      </c>
      <c r="T369" s="67">
        <f>ROUND((J369-S369)/S369,2)</f>
        <v/>
      </c>
    </row>
    <row r="370">
      <c r="B370" s="69" t="inlineStr">
        <is>
          <t>NY3170HC</t>
        </is>
      </c>
      <c r="C370" s="101" t="n">
        <v>1.2</v>
      </c>
      <c r="D370" s="102" t="inlineStr">
        <is>
          <t>总厚</t>
        </is>
      </c>
      <c r="E370" s="72" t="inlineStr">
        <is>
          <t>2/2</t>
        </is>
      </c>
      <c r="F370" s="73" t="inlineStr">
        <is>
          <t>HTE</t>
        </is>
      </c>
      <c r="G370" s="69" t="inlineStr">
        <is>
          <t>6*7628</t>
        </is>
      </c>
      <c r="H370" s="73">
        <f>ROUND(J370/13.33,2)</f>
        <v/>
      </c>
      <c r="I370" s="73">
        <f>ROUND(H370*12,0)</f>
        <v/>
      </c>
      <c r="J370" s="99" t="n">
        <v>512</v>
      </c>
      <c r="K370" s="73">
        <f>ROUND(H370*14,0)</f>
        <v/>
      </c>
      <c r="L370" s="73" t="n"/>
      <c r="M370" s="99" t="n">
        <v>438</v>
      </c>
      <c r="N370" s="65" t="n">
        <v>0.17</v>
      </c>
      <c r="O370" s="99" t="n"/>
      <c r="P370" s="66" t="n"/>
      <c r="Q370" s="34" t="n">
        <v>420</v>
      </c>
      <c r="R370" s="67">
        <f>ROUND((J370-Q370)/Q370,2)</f>
        <v/>
      </c>
      <c r="S370" s="34" t="n">
        <v>400</v>
      </c>
      <c r="T370" s="67">
        <f>ROUND((J370-S370)/S370,2)</f>
        <v/>
      </c>
    </row>
    <row r="371">
      <c r="B371" s="69" t="inlineStr">
        <is>
          <t>NY3170HC</t>
        </is>
      </c>
      <c r="C371" s="101" t="n">
        <v>1.5</v>
      </c>
      <c r="D371" s="102" t="inlineStr">
        <is>
          <t>总厚</t>
        </is>
      </c>
      <c r="E371" s="72" t="inlineStr">
        <is>
          <t>2/2</t>
        </is>
      </c>
      <c r="F371" s="73" t="inlineStr">
        <is>
          <t>HTE</t>
        </is>
      </c>
      <c r="G371" s="69" t="inlineStr">
        <is>
          <t>7*7628</t>
        </is>
      </c>
      <c r="H371" s="73">
        <f>ROUND(J371/13.33,2)</f>
        <v/>
      </c>
      <c r="I371" s="73">
        <f>ROUND(H371*12,0)</f>
        <v/>
      </c>
      <c r="J371" s="99" t="n">
        <v>542</v>
      </c>
      <c r="K371" s="73">
        <f>ROUND(H371*14,0)</f>
        <v/>
      </c>
      <c r="L371" s="73" t="n"/>
      <c r="M371" s="99" t="n">
        <v>473</v>
      </c>
      <c r="N371" s="65" t="n">
        <v>0.15</v>
      </c>
      <c r="O371" s="99" t="n"/>
      <c r="P371" s="66" t="n"/>
      <c r="R371" s="67" t="n"/>
      <c r="T371" s="67" t="n"/>
    </row>
    <row r="372">
      <c r="B372" s="80" t="inlineStr">
        <is>
          <t>NY3170M2</t>
        </is>
      </c>
      <c r="C372" s="103" t="n">
        <v>0.076</v>
      </c>
      <c r="D372" s="102" t="inlineStr">
        <is>
          <t>芯厚</t>
        </is>
      </c>
      <c r="E372" s="72" t="inlineStr">
        <is>
          <t>1/1</t>
        </is>
      </c>
      <c r="F372" s="80" t="inlineStr">
        <is>
          <t>RTF2</t>
        </is>
      </c>
      <c r="G372" s="69" t="inlineStr">
        <is>
          <t>1*1078</t>
        </is>
      </c>
      <c r="H372" s="73">
        <f>ROUND(J372/13.33,2)</f>
        <v/>
      </c>
      <c r="I372" s="73">
        <f>ROUND(H372*12,0)</f>
        <v/>
      </c>
      <c r="J372" s="99" t="n">
        <v>220</v>
      </c>
      <c r="K372" s="73">
        <f>ROUND(H372*14,0)</f>
        <v/>
      </c>
      <c r="L372" s="73" t="n"/>
      <c r="M372" s="99" t="n">
        <v>210</v>
      </c>
      <c r="N372" s="65" t="n">
        <v>0.05</v>
      </c>
      <c r="O372" s="99" t="n"/>
      <c r="P372" s="66" t="n"/>
      <c r="R372" s="67" t="n"/>
      <c r="T372" s="67" t="n"/>
    </row>
    <row r="373">
      <c r="B373" s="80" t="inlineStr">
        <is>
          <t>NY3170M2</t>
        </is>
      </c>
      <c r="C373" s="103" t="n">
        <v>0.102</v>
      </c>
      <c r="D373" s="102" t="inlineStr">
        <is>
          <t>芯厚</t>
        </is>
      </c>
      <c r="E373" s="72" t="inlineStr">
        <is>
          <t>1/1</t>
        </is>
      </c>
      <c r="F373" s="80" t="inlineStr">
        <is>
          <t>RTF2</t>
        </is>
      </c>
      <c r="G373" s="69" t="inlineStr">
        <is>
          <t>1*2116</t>
        </is>
      </c>
      <c r="H373" s="73">
        <f>ROUND(J373/13.33,2)</f>
        <v/>
      </c>
      <c r="I373" s="73">
        <f>ROUND(H373*12,0)</f>
        <v/>
      </c>
      <c r="J373" s="99" t="n">
        <v>226</v>
      </c>
      <c r="K373" s="73">
        <f>ROUND(H373*14,0)</f>
        <v/>
      </c>
      <c r="L373" s="73" t="n"/>
      <c r="M373" s="99" t="n"/>
      <c r="N373" s="65" t="n"/>
      <c r="O373" s="99" t="n"/>
      <c r="P373" s="66" t="n"/>
      <c r="R373" s="67" t="n"/>
      <c r="T373" s="67" t="n"/>
    </row>
    <row r="374">
      <c r="B374" s="80" t="inlineStr">
        <is>
          <t>NY3170M2</t>
        </is>
      </c>
      <c r="C374" s="103" t="n">
        <v>0.127</v>
      </c>
      <c r="D374" s="102" t="inlineStr">
        <is>
          <t>芯厚</t>
        </is>
      </c>
      <c r="E374" s="80" t="inlineStr">
        <is>
          <t>H/H</t>
        </is>
      </c>
      <c r="F374" s="80" t="inlineStr">
        <is>
          <t>RTF2</t>
        </is>
      </c>
      <c r="G374" s="69" t="inlineStr">
        <is>
          <t>1*2116</t>
        </is>
      </c>
      <c r="H374" s="73">
        <f>ROUND(J374/13.33,2)</f>
        <v/>
      </c>
      <c r="I374" s="73">
        <f>ROUND(H374*12,0)</f>
        <v/>
      </c>
      <c r="J374" s="99">
        <f>J375-60</f>
        <v/>
      </c>
      <c r="K374" s="73">
        <f>ROUND(H374*14,0)</f>
        <v/>
      </c>
      <c r="L374" s="73" t="n"/>
      <c r="M374" s="99" t="n">
        <v>150</v>
      </c>
      <c r="N374" s="65" t="n">
        <v>0.11</v>
      </c>
      <c r="O374" s="99" t="n"/>
      <c r="P374" s="66" t="n"/>
      <c r="R374" s="67" t="n"/>
      <c r="T374" s="67" t="n"/>
    </row>
    <row r="375">
      <c r="B375" s="80" t="inlineStr">
        <is>
          <t>NY3170M2</t>
        </is>
      </c>
      <c r="C375" s="80" t="n">
        <v>0.152</v>
      </c>
      <c r="D375" s="102" t="inlineStr">
        <is>
          <t>芯厚</t>
        </is>
      </c>
      <c r="E375" s="72" t="inlineStr">
        <is>
          <t>1/1</t>
        </is>
      </c>
      <c r="F375" s="80" t="inlineStr">
        <is>
          <t>RTF2</t>
        </is>
      </c>
      <c r="G375" s="80" t="inlineStr">
        <is>
          <t>1*1506</t>
        </is>
      </c>
      <c r="H375" s="73">
        <f>ROUND(J375/13.33,2)</f>
        <v/>
      </c>
      <c r="I375" s="73">
        <f>ROUND(H375*12,0)</f>
        <v/>
      </c>
      <c r="J375" s="99" t="n">
        <v>226</v>
      </c>
      <c r="K375" s="73">
        <f>ROUND(H375*14,0)</f>
        <v/>
      </c>
      <c r="L375" s="73" t="n"/>
      <c r="M375" s="99" t="n">
        <v>216</v>
      </c>
      <c r="N375" s="65" t="n">
        <v>0.05</v>
      </c>
      <c r="O375" s="99" t="n"/>
      <c r="P375" s="66" t="n"/>
      <c r="R375" s="67" t="n"/>
      <c r="T375" s="67" t="n"/>
    </row>
    <row r="376">
      <c r="B376" s="80" t="inlineStr">
        <is>
          <t>NY3170M2</t>
        </is>
      </c>
      <c r="C376" s="80" t="n">
        <v>0.203</v>
      </c>
      <c r="D376" s="102" t="inlineStr">
        <is>
          <t>芯厚</t>
        </is>
      </c>
      <c r="E376" s="72" t="inlineStr">
        <is>
          <t>1/1</t>
        </is>
      </c>
      <c r="F376" s="80" t="inlineStr">
        <is>
          <t>RTF2</t>
        </is>
      </c>
      <c r="G376" s="80" t="inlineStr">
        <is>
          <t>1*7628</t>
        </is>
      </c>
      <c r="H376" s="73">
        <f>ROUND(J376/13.33,2)</f>
        <v/>
      </c>
      <c r="I376" s="73">
        <f>ROUND(H376*12,0)</f>
        <v/>
      </c>
      <c r="J376" s="99" t="n">
        <v>256</v>
      </c>
      <c r="K376" s="73">
        <f>ROUND(H376*14,0)</f>
        <v/>
      </c>
      <c r="L376" s="73" t="n"/>
      <c r="M376" s="99" t="n"/>
      <c r="N376" s="65" t="n"/>
      <c r="O376" s="99" t="n"/>
      <c r="P376" s="66" t="n"/>
      <c r="R376" s="67" t="n"/>
      <c r="T376" s="67" t="n"/>
    </row>
    <row r="377">
      <c r="B377" s="80" t="inlineStr">
        <is>
          <t>NY3170M2</t>
        </is>
      </c>
      <c r="C377" s="80" t="n">
        <v>0.254</v>
      </c>
      <c r="D377" s="102" t="inlineStr">
        <is>
          <t>芯厚</t>
        </is>
      </c>
      <c r="E377" s="80" t="inlineStr">
        <is>
          <t>H/H</t>
        </is>
      </c>
      <c r="F377" s="80" t="inlineStr">
        <is>
          <t>RTF2</t>
        </is>
      </c>
      <c r="G377" s="80" t="inlineStr">
        <is>
          <t>2*2116</t>
        </is>
      </c>
      <c r="H377" s="73">
        <f>ROUND(J377/13.33,2)</f>
        <v/>
      </c>
      <c r="I377" s="73">
        <f>ROUND(H377*12,0)</f>
        <v/>
      </c>
      <c r="J377" s="99" t="n">
        <v>204</v>
      </c>
      <c r="K377" s="73">
        <f>ROUND(H377*14,0)</f>
        <v/>
      </c>
      <c r="L377" s="73" t="n"/>
      <c r="M377" s="99" t="n">
        <v>185</v>
      </c>
      <c r="N377" s="65" t="n">
        <v>0.1</v>
      </c>
      <c r="O377" s="99" t="n"/>
      <c r="P377" s="66" t="n"/>
      <c r="R377" s="67" t="n"/>
      <c r="T377" s="67" t="n"/>
    </row>
    <row r="378">
      <c r="B378" s="80" t="inlineStr">
        <is>
          <t>NY3170M2</t>
        </is>
      </c>
      <c r="C378" s="80" t="n">
        <v>0.457</v>
      </c>
      <c r="D378" s="102" t="inlineStr">
        <is>
          <t>芯厚</t>
        </is>
      </c>
      <c r="E378" s="72" t="inlineStr">
        <is>
          <t>2/2</t>
        </is>
      </c>
      <c r="F378" s="80" t="inlineStr">
        <is>
          <t>RTF</t>
        </is>
      </c>
      <c r="G378" s="80" t="inlineStr">
        <is>
          <t>2*7628+1*2116</t>
        </is>
      </c>
      <c r="H378" s="73">
        <f>ROUND(J378/13.33,2)</f>
        <v/>
      </c>
      <c r="I378" s="73">
        <f>ROUND(H378*12,0)</f>
        <v/>
      </c>
      <c r="J378" s="99" t="n">
        <v>445</v>
      </c>
      <c r="K378" s="73">
        <f>ROUND(H378*14,0)</f>
        <v/>
      </c>
      <c r="L378" s="73" t="n"/>
      <c r="M378" s="99" t="n">
        <v>445</v>
      </c>
      <c r="N378" s="65" t="n">
        <v>0</v>
      </c>
      <c r="O378" s="99" t="n"/>
      <c r="P378" s="66" t="n"/>
      <c r="R378" s="67" t="n"/>
      <c r="T378" s="67" t="n"/>
    </row>
    <row r="379">
      <c r="B379" s="80" t="inlineStr">
        <is>
          <t>NY3170M2</t>
        </is>
      </c>
      <c r="C379" s="80" t="n">
        <v>0.6</v>
      </c>
      <c r="D379" s="102" t="inlineStr">
        <is>
          <t>芯厚</t>
        </is>
      </c>
      <c r="E379" s="72" t="inlineStr">
        <is>
          <t>1/1</t>
        </is>
      </c>
      <c r="F379" s="80" t="inlineStr">
        <is>
          <t>RTF2</t>
        </is>
      </c>
      <c r="G379" s="80" t="inlineStr">
        <is>
          <t>3*7628</t>
        </is>
      </c>
      <c r="H379" s="73">
        <f>ROUND(J379/13.33,2)</f>
        <v/>
      </c>
      <c r="I379" s="73">
        <f>ROUND(H379*12,0)</f>
        <v/>
      </c>
      <c r="J379" s="99" t="n">
        <v>375</v>
      </c>
      <c r="K379" s="73">
        <f>ROUND(H379*14,0)</f>
        <v/>
      </c>
      <c r="L379" s="73" t="n"/>
      <c r="M379" s="99" t="n"/>
      <c r="N379" s="65" t="n"/>
      <c r="O379" s="99" t="n"/>
      <c r="P379" s="66" t="n"/>
      <c r="R379" s="67" t="n"/>
      <c r="T379" s="67" t="n"/>
    </row>
    <row r="380">
      <c r="B380" s="80" t="inlineStr">
        <is>
          <t>NY6300S</t>
        </is>
      </c>
      <c r="C380" s="80" t="n">
        <v>0.076</v>
      </c>
      <c r="D380" s="102" t="inlineStr">
        <is>
          <t>芯厚</t>
        </is>
      </c>
      <c r="E380" s="72" t="inlineStr">
        <is>
          <t>1/1</t>
        </is>
      </c>
      <c r="F380" s="80" t="inlineStr">
        <is>
          <t>RTF2</t>
        </is>
      </c>
      <c r="G380" s="69" t="inlineStr">
        <is>
          <t>1*1078</t>
        </is>
      </c>
      <c r="H380" s="73">
        <f>ROUND(J380/13.33,2)</f>
        <v/>
      </c>
      <c r="I380" s="73">
        <f>ROUND(H380*12,0)</f>
        <v/>
      </c>
      <c r="J380" s="99" t="n">
        <v>232</v>
      </c>
      <c r="K380" s="73">
        <f>ROUND(H380*14,0)</f>
        <v/>
      </c>
      <c r="L380" s="73" t="n"/>
      <c r="M380" s="99" t="n">
        <v>203.52</v>
      </c>
      <c r="N380" s="65" t="n">
        <v>0.14</v>
      </c>
      <c r="O380" s="99" t="n"/>
      <c r="P380" s="66" t="n"/>
      <c r="R380" s="67" t="n"/>
      <c r="T380" s="67" t="n"/>
    </row>
    <row r="381">
      <c r="B381" s="80" t="inlineStr">
        <is>
          <t>NY6300S</t>
        </is>
      </c>
      <c r="C381" s="80" t="n">
        <v>0.127</v>
      </c>
      <c r="D381" s="102" t="inlineStr">
        <is>
          <t>芯厚</t>
        </is>
      </c>
      <c r="E381" s="80" t="inlineStr">
        <is>
          <t>H/H</t>
        </is>
      </c>
      <c r="F381" s="80" t="inlineStr">
        <is>
          <t>RTF2</t>
        </is>
      </c>
      <c r="G381" s="69" t="inlineStr">
        <is>
          <t>2*1078</t>
        </is>
      </c>
      <c r="H381" s="73">
        <f>ROUND(J381/13.33,2)</f>
        <v/>
      </c>
      <c r="I381" s="73">
        <f>ROUND(H381*12,0)</f>
        <v/>
      </c>
      <c r="J381" s="99">
        <f>J382-70</f>
        <v/>
      </c>
      <c r="K381" s="73">
        <f>ROUND(H381*14,0)</f>
        <v/>
      </c>
      <c r="L381" s="73" t="n"/>
      <c r="M381" s="99" t="n">
        <v>175.96</v>
      </c>
      <c r="N381" s="65" t="n">
        <v>0.3</v>
      </c>
      <c r="O381" s="99" t="n"/>
      <c r="P381" s="66" t="n"/>
      <c r="R381" s="67" t="n"/>
      <c r="T381" s="67" t="n"/>
    </row>
    <row r="382">
      <c r="B382" s="80" t="inlineStr">
        <is>
          <t>NY6300S</t>
        </is>
      </c>
      <c r="C382" s="80" t="n">
        <v>0.127</v>
      </c>
      <c r="D382" s="102" t="inlineStr">
        <is>
          <t>芯厚</t>
        </is>
      </c>
      <c r="E382" s="72" t="inlineStr">
        <is>
          <t>1/1</t>
        </is>
      </c>
      <c r="F382" s="80" t="inlineStr">
        <is>
          <t>RTF2</t>
        </is>
      </c>
      <c r="G382" s="69" t="inlineStr">
        <is>
          <t>2*1078</t>
        </is>
      </c>
      <c r="H382" s="73">
        <f>ROUND(J382/13.33,2)</f>
        <v/>
      </c>
      <c r="I382" s="73">
        <f>ROUND(H382*12,0)</f>
        <v/>
      </c>
      <c r="J382" s="99" t="n">
        <v>298</v>
      </c>
      <c r="K382" s="73">
        <f>ROUND(H382*14,0)</f>
        <v/>
      </c>
      <c r="L382" s="73" t="n"/>
      <c r="M382" s="99" t="n">
        <v>240</v>
      </c>
      <c r="N382" s="65" t="n">
        <v>0.24</v>
      </c>
      <c r="O382" s="99" t="n"/>
      <c r="P382" s="66" t="n"/>
      <c r="R382" s="67" t="n"/>
      <c r="T382" s="67" t="n"/>
    </row>
    <row r="383">
      <c r="B383" s="80" t="inlineStr">
        <is>
          <t>NY6300S</t>
        </is>
      </c>
      <c r="C383" s="80" t="n">
        <v>0.254</v>
      </c>
      <c r="D383" s="102" t="inlineStr">
        <is>
          <t>芯厚</t>
        </is>
      </c>
      <c r="E383" s="72" t="inlineStr">
        <is>
          <t>1/1</t>
        </is>
      </c>
      <c r="F383" s="80" t="inlineStr">
        <is>
          <t>RTF2</t>
        </is>
      </c>
      <c r="G383" s="69" t="inlineStr">
        <is>
          <t>2*2116</t>
        </is>
      </c>
      <c r="H383" s="73">
        <f>ROUND(J383/13.33,2)</f>
        <v/>
      </c>
      <c r="I383" s="73">
        <f>ROUND(H383*12,0)</f>
        <v/>
      </c>
      <c r="J383" s="99" t="n">
        <v>322</v>
      </c>
      <c r="K383" s="73">
        <f>ROUND(H383*14,0)</f>
        <v/>
      </c>
      <c r="L383" s="73" t="n"/>
      <c r="M383" s="99" t="n">
        <v>322</v>
      </c>
      <c r="N383" s="65" t="n">
        <v>0</v>
      </c>
      <c r="O383" s="99" t="n"/>
      <c r="P383" s="66" t="n"/>
      <c r="R383" s="67" t="n"/>
      <c r="T383" s="67" t="n"/>
    </row>
    <row r="384">
      <c r="B384" s="80" t="inlineStr">
        <is>
          <t>NY6300S</t>
        </is>
      </c>
      <c r="C384" s="80" t="n">
        <v>0.076</v>
      </c>
      <c r="D384" s="102" t="inlineStr">
        <is>
          <t>芯厚</t>
        </is>
      </c>
      <c r="E384" s="72" t="inlineStr">
        <is>
          <t>1/1</t>
        </is>
      </c>
      <c r="F384" s="80" t="inlineStr">
        <is>
          <t>HVLP1</t>
        </is>
      </c>
      <c r="G384" s="69" t="inlineStr">
        <is>
          <t>1*1078</t>
        </is>
      </c>
      <c r="H384" s="73">
        <f>ROUND(J384/13.33,2)</f>
        <v/>
      </c>
      <c r="I384" s="73">
        <f>ROUND(H384*12,0)</f>
        <v/>
      </c>
      <c r="J384" s="99" t="n">
        <v>255</v>
      </c>
      <c r="K384" s="73">
        <f>ROUND(H384*14,0)</f>
        <v/>
      </c>
      <c r="L384" s="73" t="n"/>
      <c r="M384" s="99" t="n">
        <v>231.08</v>
      </c>
      <c r="N384" s="65" t="n">
        <v>0.1</v>
      </c>
      <c r="O384" s="99" t="n"/>
      <c r="P384" s="66" t="n"/>
      <c r="R384" s="67" t="n"/>
      <c r="T384" s="67" t="n"/>
    </row>
    <row r="385">
      <c r="B385" s="80" t="inlineStr">
        <is>
          <t>NY6300S</t>
        </is>
      </c>
      <c r="C385" s="80" t="n">
        <v>0.127</v>
      </c>
      <c r="D385" s="102" t="inlineStr">
        <is>
          <t>芯厚</t>
        </is>
      </c>
      <c r="E385" s="80" t="inlineStr">
        <is>
          <t>H/H</t>
        </is>
      </c>
      <c r="F385" s="80" t="inlineStr">
        <is>
          <t>HVLP1</t>
        </is>
      </c>
      <c r="G385" s="69" t="inlineStr">
        <is>
          <t>2*1078</t>
        </is>
      </c>
      <c r="H385" s="73">
        <f>ROUND(J385/13.33,2)</f>
        <v/>
      </c>
      <c r="I385" s="73">
        <f>ROUND(H385*12,0)</f>
        <v/>
      </c>
      <c r="J385" s="99" t="n">
        <v>360</v>
      </c>
      <c r="K385" s="73">
        <f>ROUND(H385*14,0)</f>
        <v/>
      </c>
      <c r="L385" s="73" t="n"/>
      <c r="M385" s="99" t="n">
        <v>309.52</v>
      </c>
      <c r="N385" s="65" t="n">
        <v>0.16</v>
      </c>
      <c r="O385" s="99" t="n"/>
      <c r="P385" s="66" t="n"/>
      <c r="R385" s="67" t="n"/>
      <c r="T385" s="67" t="n"/>
    </row>
    <row r="386">
      <c r="B386" s="80" t="inlineStr">
        <is>
          <t>NY6300S</t>
        </is>
      </c>
      <c r="C386" s="80" t="n">
        <v>0.127</v>
      </c>
      <c r="D386" s="102" t="inlineStr">
        <is>
          <t>芯厚</t>
        </is>
      </c>
      <c r="E386" s="87" t="inlineStr">
        <is>
          <t>1/1</t>
        </is>
      </c>
      <c r="F386" s="80" t="inlineStr">
        <is>
          <t>HVLP1</t>
        </is>
      </c>
      <c r="G386" s="69" t="inlineStr">
        <is>
          <t>2*1078</t>
        </is>
      </c>
      <c r="H386" s="73">
        <f>ROUND(J386/13.33,2)</f>
        <v/>
      </c>
      <c r="I386" s="73">
        <f>ROUND(H386*12,0)</f>
        <v/>
      </c>
      <c r="J386" s="99" t="n">
        <v>440</v>
      </c>
      <c r="K386" s="73">
        <f>ROUND(H386*14,0)</f>
        <v/>
      </c>
      <c r="L386" s="73" t="n"/>
      <c r="M386" s="99" t="n"/>
      <c r="N386" s="65" t="n"/>
      <c r="O386" s="99" t="n"/>
      <c r="P386" s="66" t="n"/>
      <c r="R386" s="67" t="n"/>
      <c r="T386" s="67" t="n"/>
    </row>
    <row r="387">
      <c r="B387" s="80" t="inlineStr">
        <is>
          <t>NY6300S</t>
        </is>
      </c>
      <c r="C387" s="80" t="n">
        <v>0.762</v>
      </c>
      <c r="D387" s="102" t="inlineStr">
        <is>
          <t>芯厚</t>
        </is>
      </c>
      <c r="E387" s="87" t="inlineStr">
        <is>
          <t>H/H</t>
        </is>
      </c>
      <c r="F387" s="80" t="inlineStr">
        <is>
          <t>HVLP1</t>
        </is>
      </c>
      <c r="G387" s="69" t="inlineStr">
        <is>
          <t>7*2116</t>
        </is>
      </c>
      <c r="H387" s="73">
        <f>ROUND(J387/13.33,2)</f>
        <v/>
      </c>
      <c r="I387" s="73">
        <f>ROUND(H387*12,0)</f>
        <v/>
      </c>
      <c r="J387" s="99" t="n">
        <v>620</v>
      </c>
      <c r="K387" s="73">
        <f>ROUND(H387*14,0)</f>
        <v/>
      </c>
      <c r="L387" s="73" t="n"/>
      <c r="M387" s="99" t="n"/>
      <c r="N387" s="65" t="n"/>
      <c r="O387" s="99" t="n"/>
      <c r="P387" s="66" t="n"/>
      <c r="R387" s="67" t="n"/>
      <c r="T387" s="67" t="n"/>
    </row>
    <row r="388">
      <c r="B388" s="80" t="inlineStr">
        <is>
          <t>NY6300(C)</t>
        </is>
      </c>
      <c r="C388" s="80" t="n">
        <v>0.08</v>
      </c>
      <c r="D388" s="102" t="inlineStr">
        <is>
          <t>芯厚</t>
        </is>
      </c>
      <c r="E388" s="80" t="inlineStr">
        <is>
          <t>H/H</t>
        </is>
      </c>
      <c r="F388" s="80" t="inlineStr">
        <is>
          <t>HVLP1</t>
        </is>
      </c>
      <c r="G388" s="80" t="inlineStr">
        <is>
          <t>1*1078</t>
        </is>
      </c>
      <c r="H388" s="73">
        <f>ROUND(J388/13.33,2)</f>
        <v/>
      </c>
      <c r="I388" s="73">
        <f>ROUND(H388*12,0)</f>
        <v/>
      </c>
      <c r="J388" s="99" t="n">
        <v>370</v>
      </c>
      <c r="K388" s="73">
        <f>ROUND(H388*14,0)</f>
        <v/>
      </c>
      <c r="L388" s="73" t="n"/>
      <c r="M388" s="99" t="n">
        <v>349.8</v>
      </c>
      <c r="N388" s="65" t="n">
        <v>0.06</v>
      </c>
      <c r="O388" s="99" t="n"/>
      <c r="P388" s="66" t="n"/>
      <c r="R388" s="67" t="n"/>
      <c r="T388" s="67" t="n"/>
    </row>
    <row r="389">
      <c r="B389" s="80" t="inlineStr">
        <is>
          <t>NY6300(C)</t>
        </is>
      </c>
      <c r="C389" s="80" t="n">
        <v>0.102</v>
      </c>
      <c r="D389" s="102" t="inlineStr">
        <is>
          <t>芯厚</t>
        </is>
      </c>
      <c r="E389" s="80" t="inlineStr">
        <is>
          <t>H/1</t>
        </is>
      </c>
      <c r="F389" s="80" t="inlineStr">
        <is>
          <t>HVLP1</t>
        </is>
      </c>
      <c r="G389" s="80" t="inlineStr">
        <is>
          <t>1*3313</t>
        </is>
      </c>
      <c r="H389" s="73">
        <f>ROUND(J389/13.33,2)</f>
        <v/>
      </c>
      <c r="I389" s="73">
        <f>ROUND(H389*12,0)</f>
        <v/>
      </c>
      <c r="J389" s="99" t="n">
        <v>286.2</v>
      </c>
      <c r="K389" s="73">
        <f>ROUND(H389*14,0)</f>
        <v/>
      </c>
      <c r="L389" s="73" t="n"/>
      <c r="M389" s="99" t="n">
        <v>286.2</v>
      </c>
      <c r="N389" s="65" t="n">
        <v>0</v>
      </c>
      <c r="O389" s="99" t="n"/>
      <c r="P389" s="66" t="n"/>
      <c r="R389" s="67" t="n"/>
      <c r="T389" s="67" t="n"/>
    </row>
    <row r="390">
      <c r="B390" s="80" t="inlineStr">
        <is>
          <t>NY6300(C)</t>
        </is>
      </c>
      <c r="C390" s="80" t="n">
        <v>0.102</v>
      </c>
      <c r="D390" s="102" t="inlineStr">
        <is>
          <t>芯厚</t>
        </is>
      </c>
      <c r="E390" s="72" t="inlineStr">
        <is>
          <t>1/1</t>
        </is>
      </c>
      <c r="F390" s="80" t="inlineStr">
        <is>
          <t>HVLP1</t>
        </is>
      </c>
      <c r="G390" s="80" t="inlineStr">
        <is>
          <t>1*3313</t>
        </is>
      </c>
      <c r="H390" s="73">
        <f>ROUND(J390/13.33,2)</f>
        <v/>
      </c>
      <c r="I390" s="73">
        <f>ROUND(H390*12,0)</f>
        <v/>
      </c>
      <c r="J390" s="99" t="n">
        <v>286</v>
      </c>
      <c r="K390" s="73">
        <f>ROUND(H390*14,0)</f>
        <v/>
      </c>
      <c r="L390" s="73" t="n"/>
      <c r="M390" s="99" t="n">
        <v>252.28</v>
      </c>
      <c r="N390" s="65" t="n">
        <v>0.13</v>
      </c>
      <c r="O390" s="99" t="n"/>
      <c r="P390" s="66" t="n"/>
      <c r="R390" s="67" t="n"/>
      <c r="T390" s="67" t="n"/>
    </row>
    <row r="391"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108" t="n"/>
      <c r="K391" s="88" t="n"/>
      <c r="L391" s="88" t="n"/>
      <c r="M391" s="88" t="n"/>
      <c r="N391" s="88" t="n"/>
      <c r="O391" s="88" t="n"/>
      <c r="P391" s="88" t="n"/>
    </row>
    <row r="392"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108" t="n"/>
      <c r="K392" s="88" t="n"/>
      <c r="L392" s="88" t="n"/>
      <c r="M392" s="88" t="n"/>
      <c r="N392" s="88" t="n"/>
      <c r="O392" s="88" t="n"/>
      <c r="P392" s="88" t="n"/>
    </row>
    <row r="393"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108" t="n"/>
      <c r="K393" s="88" t="n"/>
      <c r="L393" s="88" t="n"/>
      <c r="M393" s="88" t="n"/>
      <c r="N393" s="88" t="n"/>
      <c r="O393" s="88" t="n"/>
      <c r="P393" s="88" t="n"/>
    </row>
    <row r="394"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108" t="n"/>
      <c r="K394" s="88" t="n"/>
      <c r="L394" s="88" t="n"/>
      <c r="M394" s="88" t="n"/>
      <c r="N394" s="88" t="n"/>
      <c r="O394" s="88" t="n"/>
      <c r="P394" s="88" t="n"/>
    </row>
    <row r="395"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108" t="n"/>
      <c r="K395" s="88" t="n"/>
      <c r="L395" s="88" t="n"/>
      <c r="M395" s="88" t="n"/>
      <c r="N395" s="88" t="n"/>
      <c r="O395" s="88" t="n"/>
      <c r="P395" s="88" t="n"/>
    </row>
    <row r="396">
      <c r="B396" s="90" t="n"/>
      <c r="C396" s="90" t="n"/>
      <c r="D396" s="90" t="n"/>
      <c r="E396" s="90" t="n"/>
      <c r="F396" s="90" t="n"/>
      <c r="G396" s="90" t="n"/>
      <c r="H396" s="90" t="n"/>
      <c r="I396" s="90" t="n"/>
      <c r="J396" s="109" t="n"/>
      <c r="K396" s="90" t="n"/>
      <c r="L396" s="90" t="n"/>
      <c r="M396" s="90" t="n"/>
      <c r="N396" s="90" t="n"/>
      <c r="O396" s="90" t="n"/>
      <c r="P396" s="90" t="n"/>
    </row>
    <row r="397">
      <c r="B397" s="90" t="n"/>
      <c r="C397" s="90" t="n"/>
      <c r="D397" s="90" t="n"/>
      <c r="E397" s="90" t="n"/>
      <c r="F397" s="90" t="n"/>
      <c r="G397" s="90" t="n"/>
      <c r="H397" s="90" t="n"/>
      <c r="I397" s="90" t="n"/>
      <c r="J397" s="109" t="n"/>
      <c r="K397" s="90" t="n"/>
      <c r="L397" s="90" t="n"/>
      <c r="M397" s="90" t="n"/>
      <c r="N397" s="90" t="n"/>
      <c r="O397" s="90" t="n"/>
      <c r="P397" s="90" t="n"/>
    </row>
    <row r="398">
      <c r="B398" s="90" t="n"/>
      <c r="C398" s="90" t="n"/>
      <c r="D398" s="90" t="n"/>
      <c r="E398" s="90" t="n"/>
      <c r="F398" s="90" t="n"/>
      <c r="G398" s="90" t="n"/>
      <c r="H398" s="90" t="n"/>
      <c r="I398" s="90" t="n"/>
      <c r="J398" s="109" t="n"/>
      <c r="K398" s="90" t="n"/>
      <c r="L398" s="90" t="n"/>
      <c r="M398" s="90" t="n"/>
      <c r="N398" s="90" t="n"/>
      <c r="O398" s="90" t="n"/>
      <c r="P398" s="90" t="n"/>
    </row>
    <row r="399">
      <c r="B399" s="90" t="n"/>
      <c r="C399" s="90" t="n"/>
      <c r="D399" s="90" t="n"/>
      <c r="E399" s="90" t="n"/>
      <c r="F399" s="90" t="n"/>
      <c r="G399" s="90" t="n"/>
      <c r="H399" s="90" t="n"/>
      <c r="I399" s="90" t="n"/>
      <c r="J399" s="109" t="n"/>
      <c r="K399" s="90" t="n"/>
      <c r="L399" s="90" t="n"/>
      <c r="M399" s="90" t="n"/>
      <c r="N399" s="90" t="n"/>
      <c r="O399" s="90" t="n"/>
      <c r="P399" s="90" t="n"/>
    </row>
    <row r="400">
      <c r="B400" s="90" t="n"/>
      <c r="C400" s="90" t="n"/>
      <c r="D400" s="90" t="n"/>
      <c r="E400" s="90" t="n"/>
      <c r="F400" s="90" t="n"/>
      <c r="G400" s="90" t="n"/>
      <c r="H400" s="90" t="n"/>
      <c r="I400" s="90" t="n"/>
      <c r="J400" s="109" t="n"/>
      <c r="K400" s="90" t="n"/>
      <c r="L400" s="90" t="n"/>
      <c r="M400" s="90" t="n"/>
      <c r="N400" s="90" t="n"/>
      <c r="O400" s="90" t="n"/>
      <c r="P400" s="90" t="n"/>
    </row>
    <row r="401">
      <c r="B401" s="90" t="n"/>
      <c r="C401" s="90" t="n"/>
      <c r="D401" s="90" t="n"/>
      <c r="E401" s="90" t="n"/>
      <c r="F401" s="90" t="n"/>
      <c r="G401" s="90" t="n"/>
      <c r="H401" s="90" t="n"/>
      <c r="I401" s="90" t="n"/>
      <c r="J401" s="109" t="n"/>
      <c r="K401" s="90" t="n"/>
      <c r="L401" s="90" t="n"/>
      <c r="M401" s="90" t="n"/>
      <c r="N401" s="90" t="n"/>
      <c r="O401" s="90" t="n"/>
      <c r="P401" s="90" t="n"/>
    </row>
    <row r="402">
      <c r="B402" s="90" t="n"/>
      <c r="C402" s="90" t="n"/>
      <c r="D402" s="90" t="n"/>
      <c r="E402" s="90" t="n"/>
      <c r="F402" s="90" t="n"/>
      <c r="G402" s="90" t="n"/>
      <c r="H402" s="90" t="n"/>
      <c r="I402" s="90" t="n"/>
      <c r="J402" s="109" t="n"/>
      <c r="K402" s="90" t="n"/>
      <c r="L402" s="90" t="n"/>
      <c r="M402" s="90" t="n"/>
      <c r="N402" s="90" t="n"/>
      <c r="O402" s="90" t="n"/>
      <c r="P402" s="90" t="n"/>
    </row>
    <row r="403">
      <c r="B403" s="90" t="n"/>
      <c r="C403" s="90" t="n"/>
      <c r="D403" s="90" t="n"/>
      <c r="E403" s="90" t="n"/>
      <c r="F403" s="90" t="n"/>
      <c r="G403" s="90" t="n"/>
      <c r="H403" s="90" t="n"/>
      <c r="I403" s="90" t="n"/>
      <c r="J403" s="109" t="n"/>
      <c r="K403" s="90" t="n"/>
      <c r="L403" s="90" t="n"/>
      <c r="M403" s="90" t="n"/>
      <c r="N403" s="90" t="n"/>
      <c r="O403" s="90" t="n"/>
      <c r="P403" s="90" t="n"/>
    </row>
    <row r="404">
      <c r="B404" s="90" t="n"/>
      <c r="C404" s="90" t="n"/>
      <c r="D404" s="90" t="n"/>
      <c r="E404" s="90" t="n"/>
      <c r="F404" s="90" t="n"/>
      <c r="G404" s="90" t="n"/>
      <c r="H404" s="90" t="n"/>
      <c r="I404" s="90" t="n"/>
      <c r="J404" s="109" t="n"/>
      <c r="K404" s="90" t="n"/>
      <c r="L404" s="90" t="n"/>
      <c r="M404" s="90" t="n"/>
      <c r="N404" s="90" t="n"/>
      <c r="O404" s="90" t="n"/>
      <c r="P404" s="90" t="n"/>
    </row>
    <row r="405">
      <c r="B405" s="90" t="n"/>
      <c r="C405" s="90" t="n"/>
      <c r="D405" s="90" t="n"/>
      <c r="E405" s="90" t="n"/>
      <c r="F405" s="90" t="n"/>
      <c r="G405" s="90" t="n"/>
      <c r="H405" s="90" t="n"/>
      <c r="I405" s="90" t="n"/>
      <c r="J405" s="109" t="n"/>
      <c r="K405" s="90" t="n"/>
      <c r="L405" s="90" t="n"/>
      <c r="M405" s="90" t="n"/>
      <c r="N405" s="90" t="n"/>
      <c r="O405" s="90" t="n"/>
      <c r="P405" s="90" t="n"/>
    </row>
    <row r="406">
      <c r="B406" s="90" t="n"/>
      <c r="C406" s="90" t="n"/>
      <c r="D406" s="90" t="n"/>
      <c r="E406" s="90" t="n"/>
      <c r="F406" s="90" t="n"/>
      <c r="G406" s="90" t="n"/>
      <c r="H406" s="90" t="n"/>
      <c r="I406" s="90" t="n"/>
      <c r="J406" s="109" t="n"/>
      <c r="K406" s="90" t="n"/>
      <c r="L406" s="90" t="n"/>
      <c r="M406" s="90" t="n"/>
      <c r="N406" s="90" t="n"/>
      <c r="O406" s="90" t="n"/>
      <c r="P406" s="90" t="n"/>
    </row>
    <row r="407">
      <c r="B407" s="90" t="n"/>
      <c r="C407" s="90" t="n"/>
      <c r="D407" s="90" t="n"/>
      <c r="E407" s="90" t="n"/>
      <c r="F407" s="90" t="n"/>
      <c r="G407" s="90" t="n"/>
      <c r="H407" s="90" t="n"/>
      <c r="I407" s="90" t="n"/>
      <c r="J407" s="109" t="n"/>
      <c r="K407" s="90" t="n"/>
      <c r="L407" s="90" t="n"/>
      <c r="M407" s="90" t="n"/>
      <c r="N407" s="90" t="n"/>
      <c r="O407" s="90" t="n"/>
      <c r="P407" s="90" t="n"/>
    </row>
    <row r="408">
      <c r="B408" s="90" t="n"/>
      <c r="C408" s="90" t="n"/>
      <c r="D408" s="90" t="n"/>
      <c r="E408" s="90" t="n"/>
      <c r="F408" s="90" t="n"/>
      <c r="G408" s="90" t="n"/>
      <c r="H408" s="90" t="n"/>
      <c r="I408" s="90" t="n"/>
      <c r="J408" s="109" t="n"/>
      <c r="K408" s="90" t="n"/>
      <c r="L408" s="90" t="n"/>
      <c r="M408" s="90" t="n"/>
      <c r="N408" s="90" t="n"/>
      <c r="O408" s="90" t="n"/>
      <c r="P408" s="90" t="n"/>
    </row>
    <row r="409">
      <c r="B409" s="90" t="n"/>
      <c r="C409" s="90" t="n"/>
      <c r="D409" s="90" t="n"/>
      <c r="E409" s="90" t="n"/>
      <c r="F409" s="90" t="n"/>
      <c r="G409" s="90" t="n"/>
      <c r="H409" s="90" t="n"/>
      <c r="I409" s="90" t="n"/>
      <c r="J409" s="109" t="n"/>
      <c r="K409" s="90" t="n"/>
      <c r="L409" s="90" t="n"/>
      <c r="M409" s="90" t="n"/>
      <c r="N409" s="90" t="n"/>
      <c r="O409" s="90" t="n"/>
      <c r="P409" s="90" t="n"/>
    </row>
    <row r="410">
      <c r="B410" s="90" t="n"/>
      <c r="C410" s="90" t="n"/>
      <c r="D410" s="90" t="n"/>
      <c r="E410" s="90" t="n"/>
      <c r="F410" s="90" t="n"/>
      <c r="G410" s="90" t="n"/>
      <c r="H410" s="90" t="n"/>
      <c r="I410" s="90" t="n"/>
      <c r="J410" s="109" t="n"/>
      <c r="K410" s="90" t="n"/>
      <c r="L410" s="90" t="n"/>
      <c r="M410" s="90" t="n"/>
      <c r="N410" s="90" t="n"/>
      <c r="O410" s="90" t="n"/>
      <c r="P410" s="90" t="n"/>
    </row>
    <row r="411">
      <c r="B411" s="90" t="n"/>
      <c r="C411" s="90" t="n"/>
      <c r="D411" s="90" t="n"/>
      <c r="E411" s="90" t="n"/>
      <c r="F411" s="90" t="n"/>
      <c r="G411" s="90" t="n"/>
      <c r="H411" s="90" t="n"/>
      <c r="I411" s="90" t="n"/>
      <c r="J411" s="109" t="n"/>
      <c r="K411" s="90" t="n"/>
      <c r="L411" s="90" t="n"/>
      <c r="M411" s="90" t="n"/>
      <c r="N411" s="90" t="n"/>
      <c r="O411" s="90" t="n"/>
      <c r="P411" s="90" t="n"/>
    </row>
    <row r="412">
      <c r="B412" s="90" t="n"/>
      <c r="C412" s="90" t="n"/>
      <c r="D412" s="90" t="n"/>
      <c r="E412" s="90" t="n"/>
      <c r="F412" s="90" t="n"/>
      <c r="G412" s="90" t="n"/>
      <c r="H412" s="90" t="n"/>
      <c r="I412" s="90" t="n"/>
      <c r="J412" s="109" t="n"/>
      <c r="K412" s="90" t="n"/>
      <c r="L412" s="90" t="n"/>
      <c r="M412" s="90" t="n"/>
      <c r="N412" s="90" t="n"/>
      <c r="O412" s="90" t="n"/>
      <c r="P412" s="90" t="n"/>
    </row>
    <row r="413">
      <c r="B413" s="90" t="n"/>
      <c r="C413" s="90" t="n"/>
      <c r="D413" s="90" t="n"/>
      <c r="E413" s="90" t="n"/>
      <c r="F413" s="90" t="n"/>
      <c r="G413" s="90" t="n"/>
      <c r="H413" s="90" t="n"/>
      <c r="I413" s="90" t="n"/>
      <c r="J413" s="109" t="n"/>
      <c r="K413" s="90" t="n"/>
      <c r="L413" s="90" t="n"/>
      <c r="M413" s="90" t="n"/>
      <c r="N413" s="90" t="n"/>
      <c r="O413" s="90" t="n"/>
      <c r="P413" s="90" t="n"/>
    </row>
    <row r="414">
      <c r="B414" s="90" t="n"/>
      <c r="C414" s="90" t="n"/>
      <c r="D414" s="90" t="n"/>
      <c r="E414" s="90" t="n"/>
      <c r="F414" s="90" t="n"/>
      <c r="G414" s="90" t="n"/>
      <c r="H414" s="90" t="n"/>
      <c r="I414" s="90" t="n"/>
      <c r="J414" s="109" t="n"/>
      <c r="K414" s="90" t="n"/>
      <c r="L414" s="90" t="n"/>
      <c r="M414" s="90" t="n"/>
      <c r="N414" s="90" t="n"/>
      <c r="O414" s="90" t="n"/>
      <c r="P414" s="90" t="n"/>
    </row>
    <row r="415">
      <c r="B415" s="90" t="n"/>
      <c r="C415" s="90" t="n"/>
      <c r="D415" s="90" t="n"/>
      <c r="E415" s="90" t="n"/>
      <c r="F415" s="90" t="n"/>
      <c r="G415" s="90" t="n"/>
      <c r="H415" s="90" t="n"/>
      <c r="I415" s="90" t="n"/>
      <c r="J415" s="109" t="n"/>
      <c r="K415" s="90" t="n"/>
      <c r="L415" s="90" t="n"/>
      <c r="M415" s="90" t="n"/>
      <c r="N415" s="90" t="n"/>
      <c r="O415" s="90" t="n"/>
      <c r="P415" s="90" t="n"/>
    </row>
    <row r="416">
      <c r="B416" s="90" t="n"/>
      <c r="C416" s="90" t="n"/>
      <c r="D416" s="90" t="n"/>
      <c r="E416" s="90" t="n"/>
      <c r="F416" s="90" t="n"/>
      <c r="G416" s="90" t="n"/>
      <c r="H416" s="90" t="n"/>
      <c r="I416" s="90" t="n"/>
      <c r="J416" s="109" t="n"/>
      <c r="K416" s="90" t="n"/>
      <c r="L416" s="90" t="n"/>
      <c r="M416" s="90" t="n"/>
      <c r="N416" s="90" t="n"/>
      <c r="O416" s="90" t="n"/>
      <c r="P416" s="90" t="n"/>
    </row>
    <row r="417">
      <c r="B417" s="90" t="n"/>
      <c r="C417" s="90" t="n"/>
      <c r="D417" s="90" t="n"/>
      <c r="E417" s="90" t="n"/>
      <c r="F417" s="90" t="n"/>
      <c r="G417" s="90" t="n"/>
      <c r="H417" s="90" t="n"/>
      <c r="I417" s="90" t="n"/>
      <c r="J417" s="109" t="n"/>
      <c r="K417" s="90" t="n"/>
      <c r="L417" s="90" t="n"/>
      <c r="M417" s="90" t="n"/>
      <c r="N417" s="90" t="n"/>
      <c r="O417" s="90" t="n"/>
      <c r="P417" s="90" t="n"/>
    </row>
    <row r="418">
      <c r="B418" s="90" t="n"/>
      <c r="C418" s="90" t="n"/>
      <c r="D418" s="90" t="n"/>
      <c r="E418" s="90" t="n"/>
      <c r="F418" s="90" t="n"/>
      <c r="G418" s="90" t="n"/>
      <c r="H418" s="90" t="n"/>
      <c r="I418" s="90" t="n"/>
      <c r="J418" s="109" t="n"/>
      <c r="K418" s="90" t="n"/>
      <c r="L418" s="90" t="n"/>
      <c r="M418" s="90" t="n"/>
      <c r="N418" s="90" t="n"/>
      <c r="O418" s="90" t="n"/>
      <c r="P418" s="90" t="n"/>
    </row>
    <row r="419">
      <c r="B419" s="90" t="n"/>
      <c r="C419" s="90" t="n"/>
      <c r="D419" s="90" t="n"/>
      <c r="E419" s="90" t="n"/>
      <c r="F419" s="90" t="n"/>
      <c r="G419" s="90" t="n"/>
      <c r="H419" s="90" t="n"/>
      <c r="I419" s="90" t="n"/>
      <c r="J419" s="109" t="n"/>
      <c r="K419" s="90" t="n"/>
      <c r="L419" s="90" t="n"/>
      <c r="M419" s="90" t="n"/>
      <c r="N419" s="90" t="n"/>
      <c r="O419" s="90" t="n"/>
      <c r="P419" s="90" t="n"/>
    </row>
    <row r="420">
      <c r="B420" s="90" t="n"/>
      <c r="C420" s="90" t="n"/>
      <c r="D420" s="90" t="n"/>
      <c r="E420" s="90" t="n"/>
      <c r="F420" s="90" t="n"/>
      <c r="G420" s="90" t="n"/>
      <c r="H420" s="90" t="n"/>
      <c r="I420" s="90" t="n"/>
      <c r="J420" s="109" t="n"/>
      <c r="K420" s="90" t="n"/>
      <c r="L420" s="90" t="n"/>
      <c r="M420" s="90" t="n"/>
      <c r="N420" s="90" t="n"/>
      <c r="O420" s="90" t="n"/>
      <c r="P420" s="90" t="n"/>
    </row>
  </sheetData>
  <mergeCells count="5">
    <mergeCell ref="B4:K4"/>
    <mergeCell ref="J7:K7"/>
    <mergeCell ref="E2:K2"/>
    <mergeCell ref="E1:K1"/>
    <mergeCell ref="B3:K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workbookViewId="0">
      <selection activeCell="G6" sqref="G6:G20"/>
    </sheetView>
  </sheetViews>
  <sheetFormatPr baseColWidth="8" defaultColWidth="8.888888888888889" defaultRowHeight="13.2"/>
  <cols>
    <col width="12.1111111111111" customWidth="1" style="1" min="1" max="1"/>
    <col width="8.888888888888889" customWidth="1" style="1" min="2" max="9"/>
    <col width="11.8888888888889" customWidth="1" style="1" min="10" max="10"/>
    <col width="8.888888888888889" customWidth="1" style="1" min="11" max="11"/>
    <col width="21.1111111111111" customWidth="1" style="1" min="12" max="12"/>
    <col width="8.888888888888889" customWidth="1" style="1" min="13" max="13"/>
    <col width="11.8888888888889" customWidth="1" style="1" min="14" max="14"/>
    <col width="8.888888888888889" customWidth="1" style="1" min="15" max="16384"/>
  </cols>
  <sheetData>
    <row r="1" ht="28.2" customHeight="1" s="1">
      <c r="A1" s="2" t="inlineStr">
        <is>
          <t>产品类别</t>
        </is>
      </c>
      <c r="B1" s="2" t="inlineStr">
        <is>
          <t>产品型号</t>
        </is>
      </c>
      <c r="C1" s="2" t="inlineStr">
        <is>
          <t>树脂含量(%)</t>
        </is>
      </c>
      <c r="D1" s="2" t="inlineStr">
        <is>
          <t>卷装长度</t>
        </is>
      </c>
      <c r="E1" s="2" t="inlineStr">
        <is>
          <t>卷装宽度</t>
        </is>
      </c>
      <c r="F1" s="3" t="inlineStr">
        <is>
          <t>半固化片单价 （RMB）</t>
        </is>
      </c>
      <c r="G1" s="110" t="n"/>
      <c r="H1" s="111" t="n"/>
      <c r="I1" s="5" t="n"/>
      <c r="J1" s="5" t="n"/>
      <c r="K1" s="5" t="n"/>
      <c r="L1" s="5" t="n"/>
      <c r="M1" s="5" t="n"/>
      <c r="N1" s="5" t="n"/>
      <c r="O1" s="5" t="n"/>
    </row>
    <row r="2" ht="27.6" customHeight="1" s="1">
      <c r="A2" s="6" t="inlineStr">
        <is>
          <t>Products</t>
        </is>
      </c>
      <c r="B2" s="6" t="inlineStr">
        <is>
          <t>Glass type</t>
        </is>
      </c>
      <c r="C2" s="7" t="inlineStr">
        <is>
          <t>Resin Content</t>
        </is>
      </c>
      <c r="D2" s="6" t="inlineStr">
        <is>
          <t>Length (m)</t>
        </is>
      </c>
      <c r="E2" s="8" t="inlineStr">
        <is>
          <t>Width (inch)</t>
        </is>
      </c>
      <c r="F2" s="112" t="inlineStr">
        <is>
          <t>Per SF</t>
        </is>
      </c>
      <c r="G2" s="112" t="inlineStr">
        <is>
          <t>Per M</t>
        </is>
      </c>
      <c r="H2" s="112" t="inlineStr">
        <is>
          <t>Per Roll</t>
        </is>
      </c>
      <c r="I2" s="113" t="n"/>
      <c r="J2" s="11" t="inlineStr">
        <is>
          <t>6月1日</t>
        </is>
      </c>
      <c r="K2" s="113" t="inlineStr">
        <is>
          <t>涨幅</t>
        </is>
      </c>
      <c r="L2" s="11" t="inlineStr">
        <is>
          <t>2026年4月20日</t>
        </is>
      </c>
      <c r="M2" s="113" t="inlineStr">
        <is>
          <t>涨幅</t>
        </is>
      </c>
      <c r="N2" s="11" t="inlineStr">
        <is>
          <t>4月1日</t>
        </is>
      </c>
      <c r="O2" s="11" t="inlineStr">
        <is>
          <t>涨幅</t>
        </is>
      </c>
      <c r="P2" s="12" t="n">
        <v>46082</v>
      </c>
      <c r="Q2" s="13" t="inlineStr">
        <is>
          <t>涨幅</t>
        </is>
      </c>
    </row>
    <row r="3" ht="14.4" customHeight="1" s="1">
      <c r="A3" s="14" t="inlineStr">
        <is>
          <t>NY2150</t>
        </is>
      </c>
      <c r="B3" s="14" t="n">
        <v>7628</v>
      </c>
      <c r="C3" s="14" t="n">
        <v>45</v>
      </c>
      <c r="D3" s="14" t="n">
        <v>150</v>
      </c>
      <c r="E3" s="14" t="n">
        <v>49.5</v>
      </c>
      <c r="F3" s="114" t="inlineStr">
        <is>
          <t>/</t>
        </is>
      </c>
      <c r="G3" s="16" t="n">
        <v>27.5</v>
      </c>
      <c r="H3" s="17">
        <f>D3*G3</f>
        <v/>
      </c>
      <c r="I3" s="18" t="n"/>
      <c r="J3" s="18" t="n">
        <v>23.7</v>
      </c>
      <c r="K3" s="19" t="n">
        <v>0.15</v>
      </c>
      <c r="L3" s="16" t="n">
        <v>21.2</v>
      </c>
      <c r="M3" s="20">
        <f>ROUND((G3-J3)/J3,2)</f>
        <v/>
      </c>
      <c r="N3" s="21" t="n">
        <v>19.3</v>
      </c>
      <c r="O3" s="20" t="n">
        <v>0.1</v>
      </c>
      <c r="P3" t="n">
        <v>17.5</v>
      </c>
      <c r="Q3" s="22" t="n">
        <v>0.1</v>
      </c>
    </row>
    <row r="4" ht="14.4" customHeight="1" s="1">
      <c r="A4" s="14" t="inlineStr">
        <is>
          <t>NY2150</t>
        </is>
      </c>
      <c r="B4" s="14" t="n">
        <v>7628</v>
      </c>
      <c r="C4" s="14" t="n">
        <v>48</v>
      </c>
      <c r="D4" s="14" t="n">
        <v>150</v>
      </c>
      <c r="E4" s="14" t="n">
        <v>49.5</v>
      </c>
      <c r="F4" s="114" t="inlineStr">
        <is>
          <t>/</t>
        </is>
      </c>
      <c r="G4" s="16" t="n">
        <v>28</v>
      </c>
      <c r="H4" s="17">
        <f>D4*G4</f>
        <v/>
      </c>
      <c r="I4" s="18" t="n"/>
      <c r="J4" s="18" t="n">
        <v>24.4</v>
      </c>
      <c r="K4" s="19" t="n">
        <v>0.15</v>
      </c>
      <c r="L4" s="16" t="n">
        <v>21.8</v>
      </c>
      <c r="M4" s="20">
        <f>ROUND((G4-J4)/J4,2)</f>
        <v/>
      </c>
      <c r="N4" s="21" t="n">
        <v>19.8</v>
      </c>
      <c r="O4" s="20" t="n">
        <v>0.1</v>
      </c>
      <c r="P4" t="n">
        <v>18</v>
      </c>
      <c r="Q4" s="22" t="n">
        <v>0.1</v>
      </c>
    </row>
    <row r="5" ht="14.4" customHeight="1" s="1">
      <c r="A5" s="14" t="inlineStr">
        <is>
          <t>NY2150</t>
        </is>
      </c>
      <c r="B5" s="14" t="n">
        <v>7628</v>
      </c>
      <c r="C5" s="14" t="n">
        <v>52</v>
      </c>
      <c r="D5" s="14" t="n">
        <v>150</v>
      </c>
      <c r="E5" s="14" t="n">
        <v>49.5</v>
      </c>
      <c r="F5" s="114" t="inlineStr">
        <is>
          <t>/</t>
        </is>
      </c>
      <c r="G5" s="16" t="n">
        <v>30</v>
      </c>
      <c r="H5" s="17">
        <f>D5*G5</f>
        <v/>
      </c>
      <c r="I5" s="18" t="n"/>
      <c r="J5" s="18" t="n">
        <v>26.5</v>
      </c>
      <c r="K5" s="19" t="n">
        <v>0.15</v>
      </c>
      <c r="L5" s="16" t="n">
        <v>23.7</v>
      </c>
      <c r="M5" s="20">
        <f>ROUND((G5-J5)/J5,2)</f>
        <v/>
      </c>
      <c r="N5" s="21" t="n">
        <v>21.5</v>
      </c>
      <c r="O5" s="20" t="n">
        <v>0.1</v>
      </c>
      <c r="P5" t="n">
        <v>19.5</v>
      </c>
      <c r="Q5" s="22" t="n">
        <v>0.1</v>
      </c>
    </row>
    <row r="6" ht="14.4" customHeight="1" s="1">
      <c r="A6" s="14" t="inlineStr">
        <is>
          <t>NY2150</t>
        </is>
      </c>
      <c r="B6" s="14" t="n">
        <v>2116</v>
      </c>
      <c r="C6" s="14" t="n">
        <v>54</v>
      </c>
      <c r="D6" s="14" t="n">
        <v>300</v>
      </c>
      <c r="E6" s="14" t="n">
        <v>49.5</v>
      </c>
      <c r="F6" s="114" t="inlineStr">
        <is>
          <t>/</t>
        </is>
      </c>
      <c r="G6" s="16" t="n">
        <v>27</v>
      </c>
      <c r="H6" s="17">
        <f>D6*G6</f>
        <v/>
      </c>
      <c r="I6" s="18" t="n"/>
      <c r="J6" s="18" t="n">
        <v>23.1</v>
      </c>
      <c r="K6" s="19" t="n">
        <v>0.15</v>
      </c>
      <c r="L6" s="16" t="n">
        <v>20.6</v>
      </c>
      <c r="M6" s="20">
        <f>ROUND((G6-J6)/J6,2)</f>
        <v/>
      </c>
      <c r="N6" s="21" t="n">
        <v>18.7</v>
      </c>
      <c r="O6" s="20" t="n">
        <v>0.1</v>
      </c>
      <c r="P6" t="n">
        <v>17</v>
      </c>
      <c r="Q6" s="22" t="n">
        <v>0.1</v>
      </c>
    </row>
    <row r="7" ht="14.4" customHeight="1" s="1">
      <c r="A7" s="14" t="inlineStr">
        <is>
          <t>NY2150</t>
        </is>
      </c>
      <c r="B7" s="14" t="n">
        <v>2116</v>
      </c>
      <c r="C7" s="14" t="n">
        <v>58</v>
      </c>
      <c r="D7" s="14" t="n">
        <v>300</v>
      </c>
      <c r="E7" s="14" t="n">
        <v>49.5</v>
      </c>
      <c r="F7" s="114" t="inlineStr">
        <is>
          <t>/</t>
        </is>
      </c>
      <c r="G7" s="16" t="n">
        <v>28</v>
      </c>
      <c r="H7" s="17">
        <f>D7*G7</f>
        <v/>
      </c>
      <c r="I7" s="18" t="n"/>
      <c r="J7" s="18" t="n">
        <v>23.7</v>
      </c>
      <c r="K7" s="19" t="n">
        <v>0.15</v>
      </c>
      <c r="L7" s="16" t="n">
        <v>21.2</v>
      </c>
      <c r="M7" s="20">
        <f>ROUND((G7-J7)/J7,2)</f>
        <v/>
      </c>
      <c r="N7" s="21" t="n">
        <v>19.3</v>
      </c>
      <c r="O7" s="20" t="n">
        <v>0.1</v>
      </c>
      <c r="P7" t="n">
        <v>17.5</v>
      </c>
      <c r="Q7" s="22" t="n">
        <v>0.1</v>
      </c>
    </row>
    <row r="8" ht="14.4" customHeight="1" s="1">
      <c r="A8" s="14" t="inlineStr">
        <is>
          <t>NY2150</t>
        </is>
      </c>
      <c r="B8" s="14" t="n">
        <v>1080</v>
      </c>
      <c r="C8" s="14" t="n">
        <v>65</v>
      </c>
      <c r="D8" s="14" t="n">
        <v>300</v>
      </c>
      <c r="E8" s="14" t="n">
        <v>49.5</v>
      </c>
      <c r="F8" s="114" t="inlineStr">
        <is>
          <t>/</t>
        </is>
      </c>
      <c r="G8" s="16" t="n">
        <v>27.5</v>
      </c>
      <c r="H8" s="17">
        <f>D8*G8</f>
        <v/>
      </c>
      <c r="I8" s="18" t="n"/>
      <c r="J8" s="18" t="n">
        <v>24</v>
      </c>
      <c r="K8" s="19" t="n">
        <v>0.15</v>
      </c>
      <c r="L8" s="16" t="n">
        <v>20.9</v>
      </c>
      <c r="M8" s="20">
        <f>ROUND((G8-J8)/J8,2)</f>
        <v/>
      </c>
      <c r="N8" s="21" t="n">
        <v>19</v>
      </c>
      <c r="O8" s="20" t="n">
        <v>0.1</v>
      </c>
      <c r="P8" t="n">
        <v>16.5</v>
      </c>
      <c r="Q8" s="22" t="n">
        <v>0.15</v>
      </c>
    </row>
    <row r="9" ht="14.4" customHeight="1" s="1">
      <c r="A9" s="14" t="inlineStr">
        <is>
          <t>NY2150</t>
        </is>
      </c>
      <c r="B9" s="14" t="n">
        <v>1080</v>
      </c>
      <c r="C9" s="14" t="n">
        <v>68</v>
      </c>
      <c r="D9" s="14" t="n">
        <v>300</v>
      </c>
      <c r="E9" s="14" t="n">
        <v>49.5</v>
      </c>
      <c r="F9" s="114" t="inlineStr">
        <is>
          <t>/</t>
        </is>
      </c>
      <c r="G9" s="16">
        <f>ROUND(J9*(1+K9),1)</f>
        <v/>
      </c>
      <c r="H9" s="17">
        <f>D9*G9</f>
        <v/>
      </c>
      <c r="I9" s="18" t="n"/>
      <c r="J9" s="18" t="n">
        <v>24.8</v>
      </c>
      <c r="K9" s="19" t="n">
        <v>0.15</v>
      </c>
      <c r="L9" s="16" t="n">
        <v>21.6</v>
      </c>
      <c r="M9" s="20">
        <f>ROUND((G9-J9)/J9,2)</f>
        <v/>
      </c>
      <c r="N9" s="21" t="n">
        <v>19.6</v>
      </c>
      <c r="O9" s="20" t="n">
        <v>0.1</v>
      </c>
      <c r="P9" t="n">
        <v>17</v>
      </c>
      <c r="Q9" s="22" t="n">
        <v>0.15</v>
      </c>
    </row>
    <row r="10" ht="14.4" customHeight="1" s="1">
      <c r="A10" s="14" t="inlineStr">
        <is>
          <t>NY2150</t>
        </is>
      </c>
      <c r="B10" s="14" t="n">
        <v>1506</v>
      </c>
      <c r="C10" s="14" t="n">
        <v>50</v>
      </c>
      <c r="D10" s="14" t="n">
        <v>150</v>
      </c>
      <c r="E10" s="14" t="n">
        <v>49.5</v>
      </c>
      <c r="F10" s="114" t="inlineStr">
        <is>
          <t>/</t>
        </is>
      </c>
      <c r="G10" s="16">
        <f>ROUND(J10*(1+K10),1)</f>
        <v/>
      </c>
      <c r="H10" s="17">
        <f>D10*G10</f>
        <v/>
      </c>
      <c r="I10" s="18" t="n"/>
      <c r="J10" s="18" t="n">
        <v>28.4</v>
      </c>
      <c r="K10" s="19" t="n">
        <v>0.15</v>
      </c>
      <c r="L10" s="16" t="n">
        <v>25.4</v>
      </c>
      <c r="M10" s="20">
        <f>ROUND((G10-J10)/J10,2)</f>
        <v/>
      </c>
      <c r="N10" s="21" t="n">
        <v>23.1</v>
      </c>
      <c r="O10" s="20" t="n">
        <v>0.1</v>
      </c>
      <c r="P10" t="n">
        <v>21</v>
      </c>
      <c r="Q10" s="22" t="n">
        <v>0.1</v>
      </c>
    </row>
    <row r="11" ht="14.4" customHeight="1" s="1">
      <c r="A11" s="14" t="inlineStr">
        <is>
          <t>NY2150</t>
        </is>
      </c>
      <c r="B11" s="14" t="n">
        <v>106</v>
      </c>
      <c r="C11" s="14" t="n">
        <v>78</v>
      </c>
      <c r="D11" s="14" t="n">
        <v>300</v>
      </c>
      <c r="E11" s="14" t="n">
        <v>49.5</v>
      </c>
      <c r="F11" s="114" t="inlineStr">
        <is>
          <t>/</t>
        </is>
      </c>
      <c r="G11" s="16" t="n">
        <v>30.5</v>
      </c>
      <c r="H11" s="17">
        <f>D11*G11</f>
        <v/>
      </c>
      <c r="I11" s="18" t="n"/>
      <c r="J11" s="18" t="n">
        <v>27.1</v>
      </c>
      <c r="K11" s="19" t="n">
        <v>0.15</v>
      </c>
      <c r="L11" s="16" t="n">
        <v>24.2</v>
      </c>
      <c r="M11" s="20">
        <f>ROUND((G11-J11)/J11,2)</f>
        <v/>
      </c>
      <c r="N11" s="21" t="n">
        <v>22</v>
      </c>
      <c r="O11" s="20" t="n">
        <v>0.1</v>
      </c>
      <c r="P11" t="n">
        <v>20</v>
      </c>
      <c r="Q11" s="22" t="n">
        <v>0.1</v>
      </c>
    </row>
    <row r="12" ht="14.4" customHeight="1" s="1">
      <c r="A12" s="14" t="inlineStr">
        <is>
          <t>NY2150</t>
        </is>
      </c>
      <c r="B12" s="14" t="n">
        <v>3313</v>
      </c>
      <c r="C12" s="14" t="n">
        <v>58</v>
      </c>
      <c r="D12" s="14" t="n">
        <v>300</v>
      </c>
      <c r="E12" s="14" t="n">
        <v>49.5</v>
      </c>
      <c r="F12" s="114" t="inlineStr">
        <is>
          <t>/</t>
        </is>
      </c>
      <c r="G12" s="16" t="n">
        <v>31</v>
      </c>
      <c r="H12" s="17">
        <f>D12*G12</f>
        <v/>
      </c>
      <c r="I12" s="18" t="n"/>
      <c r="J12" s="18" t="n">
        <v>27.1</v>
      </c>
      <c r="K12" s="19" t="n">
        <v>0.15</v>
      </c>
      <c r="L12" s="16" t="n">
        <v>24.2</v>
      </c>
      <c r="M12" s="20">
        <f>ROUND((G12-J12)/J12,2)</f>
        <v/>
      </c>
      <c r="N12" s="21" t="n">
        <v>22</v>
      </c>
      <c r="O12" s="20" t="n">
        <v>0.1</v>
      </c>
      <c r="P12" t="n">
        <v>20</v>
      </c>
      <c r="Q12" s="22" t="n">
        <v>0.1</v>
      </c>
    </row>
    <row r="13" ht="14.4" customHeight="1" s="1">
      <c r="A13" s="17" t="inlineStr">
        <is>
          <t>NY2170</t>
        </is>
      </c>
      <c r="B13" s="14" t="n">
        <v>7628</v>
      </c>
      <c r="C13" s="14" t="n">
        <v>45</v>
      </c>
      <c r="D13" s="14" t="n">
        <v>150</v>
      </c>
      <c r="E13" s="14" t="n">
        <v>49.5</v>
      </c>
      <c r="F13" s="114" t="inlineStr">
        <is>
          <t>/</t>
        </is>
      </c>
      <c r="G13" s="16" t="n">
        <v>28.5</v>
      </c>
      <c r="H13" s="17">
        <f>D13*G13</f>
        <v/>
      </c>
      <c r="I13" s="18" t="n"/>
      <c r="J13" s="18" t="n">
        <v>25.1</v>
      </c>
      <c r="K13" s="19" t="n">
        <v>0.15</v>
      </c>
      <c r="L13" s="16" t="n">
        <v>22.4</v>
      </c>
      <c r="M13" s="20">
        <f>ROUND((G13-J13)/J13,2)</f>
        <v/>
      </c>
      <c r="N13" s="21" t="n">
        <v>20.4</v>
      </c>
      <c r="O13" s="20" t="n">
        <v>0.1</v>
      </c>
      <c r="P13" t="n">
        <v>18.5</v>
      </c>
      <c r="Q13" s="22" t="n">
        <v>0.1</v>
      </c>
    </row>
    <row r="14" ht="14.4" customHeight="1" s="1">
      <c r="A14" s="17" t="inlineStr">
        <is>
          <t>NY2170</t>
        </is>
      </c>
      <c r="B14" s="14" t="n">
        <v>7628</v>
      </c>
      <c r="C14" s="14" t="n">
        <v>48</v>
      </c>
      <c r="D14" s="14" t="n">
        <v>150</v>
      </c>
      <c r="E14" s="14" t="n">
        <v>49.5</v>
      </c>
      <c r="F14" s="114" t="inlineStr">
        <is>
          <t>/</t>
        </is>
      </c>
      <c r="G14" s="16" t="n">
        <v>29.5</v>
      </c>
      <c r="H14" s="17">
        <f>D14*G14</f>
        <v/>
      </c>
      <c r="I14" s="18" t="n"/>
      <c r="J14" s="18" t="n">
        <v>25.8</v>
      </c>
      <c r="K14" s="19" t="n">
        <v>0.15</v>
      </c>
      <c r="L14" s="16" t="n">
        <v>23</v>
      </c>
      <c r="M14" s="20">
        <f>ROUND((G14-J14)/J14,2)</f>
        <v/>
      </c>
      <c r="N14" s="21" t="n">
        <v>20.9</v>
      </c>
      <c r="O14" s="20" t="n">
        <v>0.1</v>
      </c>
      <c r="P14" t="n">
        <v>19</v>
      </c>
      <c r="Q14" s="22" t="n">
        <v>0.1</v>
      </c>
    </row>
    <row r="15" ht="14.4" customHeight="1" s="1">
      <c r="A15" s="17" t="inlineStr">
        <is>
          <t>NY2170</t>
        </is>
      </c>
      <c r="B15" s="14" t="n">
        <v>7628</v>
      </c>
      <c r="C15" s="14" t="n">
        <v>52</v>
      </c>
      <c r="D15" s="14" t="n">
        <v>150</v>
      </c>
      <c r="E15" s="14" t="n">
        <v>49.5</v>
      </c>
      <c r="F15" s="114" t="inlineStr">
        <is>
          <t>/</t>
        </is>
      </c>
      <c r="G15" s="16" t="n">
        <v>32</v>
      </c>
      <c r="H15" s="17">
        <f>D15*G15</f>
        <v/>
      </c>
      <c r="I15" s="18" t="n"/>
      <c r="J15" s="18" t="n">
        <v>27.9</v>
      </c>
      <c r="K15" s="19" t="n">
        <v>0.15</v>
      </c>
      <c r="L15" s="16" t="n">
        <v>24.9</v>
      </c>
      <c r="M15" s="20">
        <f>ROUND((G15-J15)/J15,2)</f>
        <v/>
      </c>
      <c r="N15" s="21" t="n">
        <v>22.6</v>
      </c>
      <c r="O15" s="20" t="n">
        <v>0.1</v>
      </c>
      <c r="P15" t="n">
        <v>20.5</v>
      </c>
      <c r="Q15" s="22" t="n">
        <v>0.1</v>
      </c>
    </row>
    <row r="16" ht="14.4" customHeight="1" s="1">
      <c r="A16" s="17" t="inlineStr">
        <is>
          <t>NY2170</t>
        </is>
      </c>
      <c r="B16" s="14" t="n">
        <v>2116</v>
      </c>
      <c r="C16" s="14" t="n">
        <v>54</v>
      </c>
      <c r="D16" s="14" t="n">
        <v>300</v>
      </c>
      <c r="E16" s="14" t="n">
        <v>49.5</v>
      </c>
      <c r="F16" s="114" t="inlineStr">
        <is>
          <t>/</t>
        </is>
      </c>
      <c r="G16" s="16" t="n">
        <v>28</v>
      </c>
      <c r="H16" s="17">
        <f>D16*G16</f>
        <v/>
      </c>
      <c r="I16" s="18" t="n"/>
      <c r="J16" s="18" t="n">
        <v>24.4</v>
      </c>
      <c r="K16" s="19" t="n">
        <v>0.15</v>
      </c>
      <c r="L16" s="16" t="n">
        <v>21.8</v>
      </c>
      <c r="M16" s="20">
        <f>ROUND((G16-J16)/J16,2)</f>
        <v/>
      </c>
      <c r="N16" s="21" t="n">
        <v>19.8</v>
      </c>
      <c r="O16" s="20" t="n">
        <v>0.1</v>
      </c>
      <c r="P16" t="n">
        <v>18</v>
      </c>
      <c r="Q16" s="22" t="n">
        <v>0.1</v>
      </c>
    </row>
    <row r="17" ht="14.4" customHeight="1" s="1">
      <c r="A17" s="17" t="inlineStr">
        <is>
          <t>NY2170</t>
        </is>
      </c>
      <c r="B17" s="14" t="n">
        <v>2116</v>
      </c>
      <c r="C17" s="14" t="n">
        <v>58</v>
      </c>
      <c r="D17" s="14" t="n">
        <v>300</v>
      </c>
      <c r="E17" s="14" t="n">
        <v>49.5</v>
      </c>
      <c r="F17" s="114" t="inlineStr">
        <is>
          <t>/</t>
        </is>
      </c>
      <c r="G17" s="16" t="n">
        <v>29</v>
      </c>
      <c r="H17" s="17">
        <f>D17*G17</f>
        <v/>
      </c>
      <c r="I17" s="18" t="n"/>
      <c r="J17" s="18" t="n">
        <v>25.1</v>
      </c>
      <c r="K17" s="19" t="n">
        <v>0.15</v>
      </c>
      <c r="L17" s="16" t="n">
        <v>22.4</v>
      </c>
      <c r="M17" s="20">
        <f>ROUND((G17-J17)/J17,2)</f>
        <v/>
      </c>
      <c r="N17" s="21" t="n">
        <v>20.4</v>
      </c>
      <c r="O17" s="20" t="n">
        <v>0.1</v>
      </c>
      <c r="P17" t="n">
        <v>18.5</v>
      </c>
      <c r="Q17" s="22" t="n">
        <v>0.1</v>
      </c>
    </row>
    <row r="18" ht="14.4" customHeight="1" s="1">
      <c r="A18" s="17" t="inlineStr">
        <is>
          <t>NY2170</t>
        </is>
      </c>
      <c r="B18" s="14" t="n">
        <v>1080</v>
      </c>
      <c r="C18" s="14" t="n">
        <v>65</v>
      </c>
      <c r="D18" s="14" t="n">
        <v>300</v>
      </c>
      <c r="E18" s="14" t="n">
        <v>49.5</v>
      </c>
      <c r="F18" s="114" t="inlineStr">
        <is>
          <t>/</t>
        </is>
      </c>
      <c r="G18" s="16" t="n">
        <v>29</v>
      </c>
      <c r="H18" s="17">
        <f>D18*G18</f>
        <v/>
      </c>
      <c r="I18" s="18" t="n"/>
      <c r="J18" s="18" t="n">
        <v>25.4</v>
      </c>
      <c r="K18" s="19" t="n">
        <v>0.15</v>
      </c>
      <c r="L18" s="16" t="n">
        <v>22.1</v>
      </c>
      <c r="M18" s="20">
        <f>ROUND((G18-J18)/J18,2)</f>
        <v/>
      </c>
      <c r="N18" s="21" t="n">
        <v>20.1</v>
      </c>
      <c r="O18" s="20" t="n">
        <v>0.1</v>
      </c>
      <c r="P18" t="n">
        <v>17.5</v>
      </c>
      <c r="Q18" s="22" t="n">
        <v>0.15</v>
      </c>
    </row>
    <row r="19" ht="14.4" customHeight="1" s="1">
      <c r="A19" s="17" t="inlineStr">
        <is>
          <t>NY2170</t>
        </is>
      </c>
      <c r="B19" s="14" t="n">
        <v>1080</v>
      </c>
      <c r="C19" s="14" t="n">
        <v>68</v>
      </c>
      <c r="D19" s="14" t="n">
        <v>300</v>
      </c>
      <c r="E19" s="23" t="n">
        <v>49.5</v>
      </c>
      <c r="F19" s="115" t="inlineStr">
        <is>
          <t>/</t>
        </is>
      </c>
      <c r="G19" s="16" t="n">
        <v>30</v>
      </c>
      <c r="H19" s="17">
        <f>D19*G19</f>
        <v/>
      </c>
      <c r="I19" s="18" t="n"/>
      <c r="J19" s="18" t="n">
        <v>26.2</v>
      </c>
      <c r="K19" s="19" t="n">
        <v>0.15</v>
      </c>
      <c r="L19" s="16" t="n">
        <v>22.8</v>
      </c>
      <c r="M19" s="20">
        <f>ROUND((G19-J19)/J19,2)</f>
        <v/>
      </c>
      <c r="N19" s="21" t="n">
        <v>20.7</v>
      </c>
      <c r="O19" s="20" t="n">
        <v>0.1</v>
      </c>
      <c r="P19" t="n">
        <v>18</v>
      </c>
      <c r="Q19" s="22" t="n">
        <v>0.15</v>
      </c>
    </row>
    <row r="20" ht="14.4" customHeight="1" s="1">
      <c r="A20" s="17" t="inlineStr">
        <is>
          <t>NY2170</t>
        </is>
      </c>
      <c r="B20" s="14" t="n">
        <v>106</v>
      </c>
      <c r="C20" s="14" t="n">
        <v>75</v>
      </c>
      <c r="D20" s="14" t="n">
        <v>300</v>
      </c>
      <c r="E20" s="23" t="n">
        <v>49.5</v>
      </c>
      <c r="F20" s="115" t="inlineStr">
        <is>
          <t>/</t>
        </is>
      </c>
      <c r="G20" s="16" t="n">
        <v>31.5</v>
      </c>
      <c r="H20" s="17">
        <f>D20*G20</f>
        <v/>
      </c>
      <c r="I20" s="18" t="n"/>
      <c r="J20" s="18" t="n"/>
      <c r="K20" s="19" t="n"/>
      <c r="L20" s="16" t="n"/>
      <c r="M20" s="20" t="n"/>
      <c r="N20" s="21" t="n"/>
      <c r="O20" s="20" t="n"/>
      <c r="Q20" s="22" t="n"/>
    </row>
    <row r="21" ht="14.4" customHeight="1" s="1">
      <c r="A21" s="25" t="inlineStr">
        <is>
          <t>NY3150HF</t>
        </is>
      </c>
      <c r="B21" s="25" t="n">
        <v>7628</v>
      </c>
      <c r="C21" s="25" t="n">
        <v>45</v>
      </c>
      <c r="D21" s="25" t="n">
        <v>150</v>
      </c>
      <c r="E21" s="25" t="n">
        <v>49.5</v>
      </c>
      <c r="F21" s="112" t="n"/>
      <c r="G21" s="29">
        <f>ROUND(J21*(1+K21),1)</f>
        <v/>
      </c>
      <c r="H21" s="27">
        <f>D21*G21</f>
        <v/>
      </c>
      <c r="I21" s="21" t="n"/>
      <c r="J21" s="21" t="n">
        <v>28.2</v>
      </c>
      <c r="K21" s="28" t="n">
        <v>0.1</v>
      </c>
      <c r="L21" s="29" t="n">
        <v>25.2</v>
      </c>
      <c r="M21" s="20" t="n">
        <v>0.12</v>
      </c>
      <c r="N21" s="21" t="n"/>
      <c r="O21" s="20" t="n"/>
      <c r="Q21" s="22" t="n"/>
    </row>
    <row r="22" ht="14.4" customHeight="1" s="1">
      <c r="A22" s="25" t="inlineStr">
        <is>
          <t>NY3150HF</t>
        </is>
      </c>
      <c r="B22" s="25" t="n">
        <v>7628</v>
      </c>
      <c r="C22" s="25" t="inlineStr">
        <is>
          <t>47/48</t>
        </is>
      </c>
      <c r="D22" s="25" t="n">
        <v>150</v>
      </c>
      <c r="E22" s="25" t="n">
        <v>49.5</v>
      </c>
      <c r="F22" s="112" t="inlineStr">
        <is>
          <t>/</t>
        </is>
      </c>
      <c r="G22" s="29">
        <f>ROUND(J22*(1+K22),1)</f>
        <v/>
      </c>
      <c r="H22" s="27">
        <f>D22*G22</f>
        <v/>
      </c>
      <c r="I22" s="21" t="n"/>
      <c r="J22" s="21" t="n">
        <v>29.2</v>
      </c>
      <c r="K22" s="28" t="n">
        <v>0.1</v>
      </c>
      <c r="L22" s="29" t="n">
        <v>26.1</v>
      </c>
      <c r="M22" s="20" t="n">
        <v>0.12</v>
      </c>
      <c r="N22" s="21" t="n">
        <v>23.7</v>
      </c>
      <c r="O22" s="20" t="n">
        <v>0.1</v>
      </c>
      <c r="P22" t="n">
        <v>21.5</v>
      </c>
      <c r="Q22" s="22" t="n">
        <v>0.1</v>
      </c>
    </row>
    <row r="23" ht="14.4" customHeight="1" s="1">
      <c r="A23" s="25" t="inlineStr">
        <is>
          <t>NY3150HF</t>
        </is>
      </c>
      <c r="B23" s="25" t="n">
        <v>7628</v>
      </c>
      <c r="C23" s="25" t="n">
        <v>49</v>
      </c>
      <c r="D23" s="25" t="n">
        <v>150</v>
      </c>
      <c r="E23" s="25" t="n">
        <v>49.5</v>
      </c>
      <c r="F23" s="112" t="inlineStr">
        <is>
          <t>/</t>
        </is>
      </c>
      <c r="G23" s="29">
        <f>ROUND(J23*(1+K23),1)</f>
        <v/>
      </c>
      <c r="H23" s="27">
        <f>D23*G23</f>
        <v/>
      </c>
      <c r="I23" s="21" t="n"/>
      <c r="J23" s="21" t="n">
        <v>29.2</v>
      </c>
      <c r="K23" s="28" t="n">
        <v>0.1</v>
      </c>
      <c r="L23" s="29" t="n">
        <v>26.1</v>
      </c>
      <c r="M23" s="20" t="n">
        <v>0.12</v>
      </c>
      <c r="N23" s="21" t="n">
        <v>23.7</v>
      </c>
      <c r="O23" s="20" t="n">
        <v>0.1</v>
      </c>
      <c r="P23" t="n">
        <v>21.5</v>
      </c>
      <c r="Q23" s="22" t="n">
        <v>0.1</v>
      </c>
    </row>
    <row r="24" ht="14.4" customHeight="1" s="1">
      <c r="A24" s="25" t="inlineStr">
        <is>
          <t>NY3150HF</t>
        </is>
      </c>
      <c r="B24" s="29" t="n">
        <v>3313</v>
      </c>
      <c r="C24" s="29" t="n">
        <v>58</v>
      </c>
      <c r="D24" s="29" t="n">
        <v>300</v>
      </c>
      <c r="E24" s="25" t="n">
        <v>49.5</v>
      </c>
      <c r="F24" s="112" t="inlineStr">
        <is>
          <t>/</t>
        </is>
      </c>
      <c r="G24" s="29">
        <f>ROUND(J24*(1+K24),1)</f>
        <v/>
      </c>
      <c r="H24" s="27">
        <f>D24*G24</f>
        <v/>
      </c>
      <c r="I24" s="21" t="n"/>
      <c r="J24" s="21" t="n">
        <v>30.6</v>
      </c>
      <c r="K24" s="28" t="n">
        <v>0.1</v>
      </c>
      <c r="L24" s="29" t="n">
        <v>26.6</v>
      </c>
      <c r="M24" s="20" t="n">
        <v>0.15</v>
      </c>
      <c r="N24" s="21" t="n">
        <v>24.2</v>
      </c>
      <c r="O24" s="20" t="n">
        <v>0.1</v>
      </c>
      <c r="P24" t="n">
        <v>22</v>
      </c>
      <c r="Q24" s="22" t="n">
        <v>0.1</v>
      </c>
    </row>
    <row r="25" ht="14.4" customHeight="1" s="1">
      <c r="A25" s="25" t="inlineStr">
        <is>
          <t>NY3150HF</t>
        </is>
      </c>
      <c r="B25" s="30" t="n">
        <v>2116</v>
      </c>
      <c r="C25" s="30" t="n">
        <v>54</v>
      </c>
      <c r="D25" s="29" t="n">
        <v>300</v>
      </c>
      <c r="E25" s="25" t="n">
        <v>49.5</v>
      </c>
      <c r="F25" s="112" t="inlineStr">
        <is>
          <t>/</t>
        </is>
      </c>
      <c r="G25" s="29">
        <f>ROUND(J25*(1+K25),1)</f>
        <v/>
      </c>
      <c r="H25" s="27">
        <f>D25*G25</f>
        <v/>
      </c>
      <c r="I25" s="21" t="n"/>
      <c r="J25" s="21" t="n">
        <v>27.9</v>
      </c>
      <c r="K25" s="28" t="n">
        <v>0.12</v>
      </c>
      <c r="L25" s="29" t="n">
        <v>24.9</v>
      </c>
      <c r="M25" s="20" t="n">
        <v>0.12</v>
      </c>
      <c r="N25" s="21" t="n">
        <v>22.6</v>
      </c>
      <c r="O25" s="20" t="n">
        <v>0.1</v>
      </c>
      <c r="P25" t="n">
        <v>20.5</v>
      </c>
      <c r="Q25" s="22" t="n">
        <v>0.1</v>
      </c>
    </row>
    <row r="26" ht="14.4" customHeight="1" s="1">
      <c r="A26" s="25" t="inlineStr">
        <is>
          <t>NY3150HF</t>
        </is>
      </c>
      <c r="B26" s="30" t="n">
        <v>1080</v>
      </c>
      <c r="C26" s="30" t="n">
        <v>65</v>
      </c>
      <c r="D26" s="29" t="n">
        <v>300</v>
      </c>
      <c r="E26" s="25" t="n">
        <v>49.5</v>
      </c>
      <c r="F26" s="112" t="inlineStr">
        <is>
          <t>/</t>
        </is>
      </c>
      <c r="G26" s="29">
        <f>ROUND(J26*(1+K26),1)</f>
        <v/>
      </c>
      <c r="H26" s="27">
        <f>D26*G26</f>
        <v/>
      </c>
      <c r="I26" s="21" t="n"/>
      <c r="J26" s="21" t="n">
        <v>29.1</v>
      </c>
      <c r="K26" s="28" t="n">
        <v>0.12</v>
      </c>
      <c r="L26" s="29" t="n">
        <v>25.3</v>
      </c>
      <c r="M26" s="20" t="n">
        <v>0.15</v>
      </c>
      <c r="N26" s="21" t="n">
        <v>23</v>
      </c>
      <c r="O26" s="20" t="n">
        <v>0.1</v>
      </c>
      <c r="P26" t="n">
        <v>20</v>
      </c>
      <c r="Q26" s="22" t="n">
        <v>0.15</v>
      </c>
    </row>
    <row r="27" ht="14.4" customHeight="1" s="1">
      <c r="A27" s="25" t="inlineStr">
        <is>
          <t>NY3150HF</t>
        </is>
      </c>
      <c r="B27" s="30" t="n">
        <v>1080</v>
      </c>
      <c r="C27" s="30" t="n">
        <v>68</v>
      </c>
      <c r="D27" s="29" t="n">
        <v>300</v>
      </c>
      <c r="E27" s="25" t="n">
        <v>49.5</v>
      </c>
      <c r="F27" s="112" t="n"/>
      <c r="G27" s="29">
        <f>ROUND(J27*(1+K27),1)</f>
        <v/>
      </c>
      <c r="H27" s="27">
        <f>D27*G27</f>
        <v/>
      </c>
      <c r="I27" s="21" t="n"/>
      <c r="J27" s="21" t="n">
        <v>32.5</v>
      </c>
      <c r="K27" s="28" t="n">
        <v>0.12</v>
      </c>
      <c r="L27" s="29" t="n"/>
      <c r="M27" s="20" t="n"/>
      <c r="N27" s="21" t="n"/>
      <c r="O27" s="20" t="n"/>
      <c r="Q27" s="22" t="n"/>
    </row>
    <row r="28" ht="14.4" customHeight="1" s="1">
      <c r="A28" s="25" t="inlineStr">
        <is>
          <t>NY3150HF</t>
        </is>
      </c>
      <c r="B28" s="30" t="n">
        <v>106</v>
      </c>
      <c r="C28" s="30" t="n">
        <v>74</v>
      </c>
      <c r="D28" s="29" t="n">
        <v>300</v>
      </c>
      <c r="E28" s="25" t="n">
        <v>49.5</v>
      </c>
      <c r="F28" s="112" t="inlineStr">
        <is>
          <t>/</t>
        </is>
      </c>
      <c r="G28" s="29">
        <f>ROUND(J28*(1+K28),1)</f>
        <v/>
      </c>
      <c r="H28" s="27">
        <f>D28*G28</f>
        <v/>
      </c>
      <c r="I28" s="21" t="n"/>
      <c r="J28" s="21" t="n">
        <v>27.8</v>
      </c>
      <c r="K28" s="28" t="n">
        <v>0.12</v>
      </c>
      <c r="L28" s="29" t="n">
        <v>24.2</v>
      </c>
      <c r="M28" s="20" t="n">
        <v>0.15</v>
      </c>
      <c r="N28" s="21" t="n">
        <v>22</v>
      </c>
      <c r="O28" s="20" t="n">
        <v>0.1</v>
      </c>
      <c r="P28" t="n">
        <v>20</v>
      </c>
      <c r="Q28" s="22" t="n">
        <v>0.1</v>
      </c>
    </row>
    <row r="29" ht="14.4" customHeight="1" s="1">
      <c r="A29" s="25" t="inlineStr">
        <is>
          <t>NY3150HF</t>
        </is>
      </c>
      <c r="B29" s="30" t="n">
        <v>106</v>
      </c>
      <c r="C29" s="30" t="n">
        <v>77</v>
      </c>
      <c r="D29" s="29" t="n">
        <v>300</v>
      </c>
      <c r="E29" s="25" t="n">
        <v>49.5</v>
      </c>
      <c r="F29" s="112" t="n"/>
      <c r="G29" s="29">
        <f>ROUND(J29*(1+K29),1)</f>
        <v/>
      </c>
      <c r="H29" s="27">
        <f>D29*G29</f>
        <v/>
      </c>
      <c r="I29" s="21" t="n"/>
      <c r="J29" s="21" t="n">
        <v>29.7</v>
      </c>
      <c r="K29" s="28" t="n">
        <v>0.12</v>
      </c>
      <c r="L29" s="29" t="n">
        <v>25.8</v>
      </c>
      <c r="M29" s="20" t="n">
        <v>0.15</v>
      </c>
      <c r="N29" s="21" t="n"/>
      <c r="O29" s="20" t="n"/>
      <c r="Q29" s="22" t="n"/>
    </row>
    <row r="30" ht="14.4" customHeight="1" s="1">
      <c r="A30" s="25" t="inlineStr">
        <is>
          <t>NY3150HF</t>
        </is>
      </c>
      <c r="B30" s="30" t="n">
        <v>1067</v>
      </c>
      <c r="C30" s="30" t="n">
        <v>71</v>
      </c>
      <c r="D30" s="29" t="n">
        <v>300</v>
      </c>
      <c r="E30" s="25" t="n">
        <v>49.5</v>
      </c>
      <c r="F30" s="112" t="n"/>
      <c r="G30" s="29">
        <f>ROUND(J30*(1+K30),1)</f>
        <v/>
      </c>
      <c r="H30" s="27">
        <f>D30*G30</f>
        <v/>
      </c>
      <c r="I30" s="21" t="n"/>
      <c r="J30" s="21" t="n">
        <v>33.1</v>
      </c>
      <c r="K30" s="28" t="n">
        <v>0.12</v>
      </c>
      <c r="L30" s="29" t="n">
        <v>28.8</v>
      </c>
      <c r="M30" s="20" t="n">
        <v>0.15</v>
      </c>
      <c r="N30" s="21" t="n">
        <v>26.2</v>
      </c>
      <c r="O30" s="20" t="n">
        <v>0.1</v>
      </c>
      <c r="P30" t="n">
        <v>23.8</v>
      </c>
      <c r="Q30" s="22" t="n">
        <v>0.1</v>
      </c>
    </row>
    <row r="31" ht="14.4" customHeight="1" s="1">
      <c r="A31" s="25" t="inlineStr">
        <is>
          <t>NY3150HF</t>
        </is>
      </c>
      <c r="B31" s="30" t="n">
        <v>1506</v>
      </c>
      <c r="C31" s="30" t="n">
        <v>52</v>
      </c>
      <c r="D31" s="29" t="n">
        <v>300</v>
      </c>
      <c r="E31" s="25" t="n">
        <v>49.5</v>
      </c>
      <c r="F31" s="112" t="inlineStr">
        <is>
          <t>/</t>
        </is>
      </c>
      <c r="G31" s="29">
        <f>ROUND(J31*(1+K31),1)</f>
        <v/>
      </c>
      <c r="H31" s="27">
        <f>D31*G31</f>
        <v/>
      </c>
      <c r="I31" s="21" t="n"/>
      <c r="J31" s="21" t="n">
        <v>33.4</v>
      </c>
      <c r="K31" s="28" t="n">
        <v>0.1</v>
      </c>
      <c r="L31" s="29" t="n">
        <v>29</v>
      </c>
      <c r="M31" s="20" t="n">
        <v>0.15</v>
      </c>
      <c r="N31" s="21" t="n">
        <v>26.4</v>
      </c>
      <c r="O31" s="20" t="n">
        <v>0.1</v>
      </c>
      <c r="P31" t="n">
        <v>24</v>
      </c>
      <c r="Q31" s="22" t="n">
        <v>0.1</v>
      </c>
    </row>
    <row r="32" ht="14.4" customHeight="1" s="1">
      <c r="A32" s="25" t="inlineStr">
        <is>
          <t>NY3170HF</t>
        </is>
      </c>
      <c r="B32" s="30" t="n">
        <v>7628</v>
      </c>
      <c r="C32" s="30" t="n">
        <v>45</v>
      </c>
      <c r="D32" s="29" t="n">
        <v>150</v>
      </c>
      <c r="E32" s="25" t="n">
        <v>49.5</v>
      </c>
      <c r="F32" s="112" t="n"/>
      <c r="G32" s="29">
        <f>ROUND(J32*(1+K32),1)</f>
        <v/>
      </c>
      <c r="H32" s="27">
        <f>D32*G32</f>
        <v/>
      </c>
      <c r="I32" s="21" t="n"/>
      <c r="J32" s="21" t="n">
        <v>38.2</v>
      </c>
      <c r="K32" s="28" t="n">
        <v>0.1</v>
      </c>
      <c r="L32" s="29" t="n">
        <v>34.1</v>
      </c>
      <c r="M32" s="20" t="n">
        <v>0.12</v>
      </c>
      <c r="N32" s="21" t="n">
        <v>31</v>
      </c>
      <c r="O32" s="20" t="n">
        <v>0.1</v>
      </c>
      <c r="Q32" s="22" t="n"/>
    </row>
    <row r="33" ht="14.4" customHeight="1" s="1">
      <c r="A33" s="30" t="inlineStr">
        <is>
          <t>NY2600</t>
        </is>
      </c>
      <c r="B33" s="30" t="n">
        <v>1080</v>
      </c>
      <c r="C33" s="30" t="n">
        <v>68</v>
      </c>
      <c r="D33" s="29" t="n">
        <v>300</v>
      </c>
      <c r="E33" s="25" t="n">
        <v>49.5</v>
      </c>
      <c r="F33" s="112" t="n"/>
      <c r="G33" s="29">
        <f>ROUND(J33*(1+K33),1)</f>
        <v/>
      </c>
      <c r="H33" s="27">
        <f>D33*G33</f>
        <v/>
      </c>
      <c r="I33" s="21" t="n"/>
      <c r="J33" s="21" t="n">
        <v>28.2</v>
      </c>
      <c r="K33" s="28" t="n">
        <v>0.12</v>
      </c>
      <c r="L33" s="29" t="n">
        <v>24.5</v>
      </c>
      <c r="M33" s="20" t="n">
        <v>0.15</v>
      </c>
      <c r="N33" s="21" t="n"/>
      <c r="O33" s="20" t="n"/>
      <c r="Q33" s="22" t="n"/>
    </row>
    <row r="34" ht="14.4" customHeight="1" s="1">
      <c r="A34" s="30" t="inlineStr">
        <is>
          <t>NY2600</t>
        </is>
      </c>
      <c r="B34" s="30" t="n">
        <v>2116</v>
      </c>
      <c r="C34" s="30" t="n">
        <v>58</v>
      </c>
      <c r="D34" s="29" t="n">
        <v>300</v>
      </c>
      <c r="E34" s="25" t="n">
        <v>49.5</v>
      </c>
      <c r="F34" s="112" t="inlineStr">
        <is>
          <t>/</t>
        </is>
      </c>
      <c r="G34" s="29">
        <f>ROUND(J34*(1+K34),1)</f>
        <v/>
      </c>
      <c r="H34" s="27">
        <f>D34*G34</f>
        <v/>
      </c>
      <c r="I34" s="21" t="n"/>
      <c r="J34" s="21" t="n">
        <v>27.1</v>
      </c>
      <c r="K34" s="28" t="n">
        <v>0.12</v>
      </c>
      <c r="L34" s="29" t="n">
        <v>24.2</v>
      </c>
      <c r="M34" s="20" t="n">
        <v>0.12</v>
      </c>
      <c r="N34" s="21" t="n">
        <v>22</v>
      </c>
      <c r="O34" s="20" t="n">
        <v>0.1</v>
      </c>
      <c r="P34" t="n">
        <v>20</v>
      </c>
      <c r="Q34" s="22" t="n">
        <v>0.1</v>
      </c>
    </row>
    <row r="35" ht="14.4" customHeight="1" s="1">
      <c r="A35" s="30" t="inlineStr">
        <is>
          <t>NY2600</t>
        </is>
      </c>
      <c r="B35" s="30" t="n">
        <v>7628</v>
      </c>
      <c r="C35" s="30" t="n">
        <v>45</v>
      </c>
      <c r="D35" s="29" t="n">
        <v>150</v>
      </c>
      <c r="E35" s="25" t="n">
        <v>49.5</v>
      </c>
      <c r="F35" s="112" t="n"/>
      <c r="G35" s="29">
        <f>ROUND(J35*(1+K35),1)</f>
        <v/>
      </c>
      <c r="H35" s="27">
        <f>D35*G35</f>
        <v/>
      </c>
      <c r="I35" s="21" t="n"/>
      <c r="J35" s="21" t="n">
        <v>28</v>
      </c>
      <c r="K35" s="28" t="n">
        <v>0.1</v>
      </c>
      <c r="L35" s="29" t="n">
        <v>25</v>
      </c>
      <c r="M35" s="20" t="n">
        <v>0.12</v>
      </c>
      <c r="N35" s="21" t="n"/>
      <c r="O35" s="20" t="n"/>
      <c r="Q35" s="22" t="n"/>
    </row>
    <row r="36" ht="14.4" customHeight="1" s="1">
      <c r="A36" s="30" t="inlineStr">
        <is>
          <t>NY2600</t>
        </is>
      </c>
      <c r="B36" s="30" t="n">
        <v>7628</v>
      </c>
      <c r="C36" s="30" t="n">
        <v>50</v>
      </c>
      <c r="D36" s="29" t="n">
        <v>150</v>
      </c>
      <c r="E36" s="25" t="n">
        <v>49.5</v>
      </c>
      <c r="F36" s="112" t="n"/>
      <c r="G36" s="29">
        <f>ROUND(J36*(1+K36),1)</f>
        <v/>
      </c>
      <c r="H36" s="27">
        <f>D36*G36</f>
        <v/>
      </c>
      <c r="I36" s="21" t="n"/>
      <c r="J36" s="21" t="n">
        <v>31.4</v>
      </c>
      <c r="K36" s="28" t="n">
        <v>0.1</v>
      </c>
      <c r="L36" s="29" t="n">
        <v>28</v>
      </c>
      <c r="M36" s="20" t="n">
        <v>0.12</v>
      </c>
      <c r="N36" s="21" t="n"/>
      <c r="O36" s="20" t="n"/>
      <c r="Q36" s="22" t="n"/>
    </row>
    <row r="37" ht="14.4" customHeight="1" s="1">
      <c r="A37" s="30" t="inlineStr">
        <is>
          <t>NY3170HC</t>
        </is>
      </c>
      <c r="B37" s="30" t="n">
        <v>7628</v>
      </c>
      <c r="C37" s="30" t="n">
        <v>45</v>
      </c>
      <c r="D37" s="30" t="n">
        <v>150</v>
      </c>
      <c r="E37" s="25" t="n">
        <v>49.5</v>
      </c>
      <c r="F37" s="30" t="inlineStr">
        <is>
          <t>/</t>
        </is>
      </c>
      <c r="G37" s="29">
        <f>ROUND(J37*(1+K37),1)</f>
        <v/>
      </c>
      <c r="H37" s="27">
        <f>D37*G37</f>
        <v/>
      </c>
      <c r="I37" s="21" t="n"/>
      <c r="J37" s="21" t="n">
        <v>40.7</v>
      </c>
      <c r="K37" s="28" t="n">
        <v>0.1</v>
      </c>
      <c r="L37" s="29" t="n">
        <v>36.3</v>
      </c>
      <c r="M37" s="20" t="n">
        <v>0.12</v>
      </c>
      <c r="N37" s="21" t="n">
        <v>33</v>
      </c>
      <c r="O37" s="20" t="n">
        <v>0.1</v>
      </c>
      <c r="P37" t="n">
        <v>30</v>
      </c>
      <c r="Q37" s="22" t="n">
        <v>0.1</v>
      </c>
    </row>
    <row r="38" ht="14.4" customHeight="1" s="1">
      <c r="A38" s="30" t="inlineStr">
        <is>
          <t>NY3170M2</t>
        </is>
      </c>
      <c r="B38" s="30" t="n">
        <v>1078</v>
      </c>
      <c r="C38" s="30" t="n">
        <v>65</v>
      </c>
      <c r="D38" s="30" t="n">
        <v>300</v>
      </c>
      <c r="E38" s="25" t="n">
        <v>49.5</v>
      </c>
      <c r="F38" s="30" t="n"/>
      <c r="G38" s="29">
        <f>ROUND(J38*(1+K38),1)</f>
        <v/>
      </c>
      <c r="H38" s="27">
        <f>D38*G38</f>
        <v/>
      </c>
      <c r="I38" s="21" t="n"/>
      <c r="J38" s="21" t="n">
        <v>39.1</v>
      </c>
      <c r="K38" s="28" t="n">
        <v>0.12</v>
      </c>
      <c r="L38" s="29" t="n">
        <v>34</v>
      </c>
      <c r="M38" s="20" t="n">
        <v>0.15</v>
      </c>
      <c r="N38" s="21" t="n"/>
      <c r="O38" s="20" t="n"/>
      <c r="Q38" s="22" t="n"/>
    </row>
    <row r="39" ht="14.4" customHeight="1" s="1">
      <c r="A39" s="30" t="inlineStr">
        <is>
          <t>NY3170M2</t>
        </is>
      </c>
      <c r="B39" s="30" t="n">
        <v>1078</v>
      </c>
      <c r="C39" s="30" t="n">
        <v>69</v>
      </c>
      <c r="D39" s="30" t="n">
        <v>300</v>
      </c>
      <c r="E39" s="25" t="n">
        <v>49.5</v>
      </c>
      <c r="F39" s="30" t="n"/>
      <c r="G39" s="29">
        <f>ROUND(J39*(1+K39),1)</f>
        <v/>
      </c>
      <c r="H39" s="27">
        <f>D39*G39</f>
        <v/>
      </c>
      <c r="I39" s="21" t="n"/>
      <c r="J39" s="21" t="n">
        <v>42.6</v>
      </c>
      <c r="K39" s="28" t="n">
        <v>0.12</v>
      </c>
      <c r="L39" s="29" t="n">
        <v>37</v>
      </c>
      <c r="M39" s="20" t="n">
        <v>0.15</v>
      </c>
      <c r="N39" s="21" t="n"/>
      <c r="O39" s="20" t="n"/>
      <c r="Q39" s="22" t="n"/>
    </row>
    <row r="40" ht="14.4" customHeight="1" s="1">
      <c r="A40" s="30" t="inlineStr">
        <is>
          <t>NY3170M2</t>
        </is>
      </c>
      <c r="B40" s="30" t="n">
        <v>1080</v>
      </c>
      <c r="C40" s="30" t="n">
        <v>65</v>
      </c>
      <c r="D40" s="30" t="n">
        <v>300</v>
      </c>
      <c r="E40" s="25" t="n">
        <v>49.5</v>
      </c>
      <c r="F40" s="30" t="n"/>
      <c r="G40" s="29" t="n">
        <v>43.8</v>
      </c>
      <c r="H40" s="27">
        <f>D40*G40</f>
        <v/>
      </c>
      <c r="I40" s="21" t="n"/>
      <c r="J40" s="21" t="n"/>
      <c r="K40" s="28" t="n"/>
      <c r="L40" s="29" t="n"/>
      <c r="M40" s="20" t="n"/>
      <c r="N40" s="21" t="n"/>
      <c r="O40" s="20" t="n"/>
      <c r="Q40" s="22" t="n"/>
    </row>
    <row r="41" ht="14.4" customHeight="1" s="1">
      <c r="A41" s="30" t="inlineStr">
        <is>
          <t>NY3170M2</t>
        </is>
      </c>
      <c r="B41" s="30" t="n">
        <v>1080</v>
      </c>
      <c r="C41" s="30" t="n">
        <v>69</v>
      </c>
      <c r="D41" s="30" t="n">
        <v>300</v>
      </c>
      <c r="E41" s="25" t="n">
        <v>49.5</v>
      </c>
      <c r="F41" s="30" t="n"/>
      <c r="G41" s="29">
        <f>ROUND(J41*(1+K41),1)</f>
        <v/>
      </c>
      <c r="H41" s="27">
        <f>D41*G41</f>
        <v/>
      </c>
      <c r="I41" s="21" t="n"/>
      <c r="J41" s="21" t="n">
        <v>42.6</v>
      </c>
      <c r="K41" s="28" t="n">
        <v>0.12</v>
      </c>
      <c r="L41" s="29" t="n">
        <v>37</v>
      </c>
      <c r="M41" s="20" t="n">
        <v>0.15</v>
      </c>
      <c r="N41" s="21" t="n"/>
      <c r="O41" s="20" t="n"/>
      <c r="Q41" s="22" t="n"/>
    </row>
    <row r="42" ht="14.4" customHeight="1" s="1">
      <c r="A42" s="30" t="inlineStr">
        <is>
          <t>NY3170M2</t>
        </is>
      </c>
      <c r="B42" s="30" t="n">
        <v>1080</v>
      </c>
      <c r="C42" s="30" t="n">
        <v>72</v>
      </c>
      <c r="D42" s="30" t="n">
        <v>300</v>
      </c>
      <c r="E42" s="25" t="n">
        <v>49.5</v>
      </c>
      <c r="F42" s="30" t="inlineStr">
        <is>
          <t>/</t>
        </is>
      </c>
      <c r="G42" s="29">
        <f>ROUND(J42*(1+K42),1)</f>
        <v/>
      </c>
      <c r="H42" s="27">
        <f>D42*G42</f>
        <v/>
      </c>
      <c r="I42" s="21" t="n"/>
      <c r="J42" s="21" t="n">
        <v>45.8</v>
      </c>
      <c r="K42" s="28" t="n">
        <v>0.12</v>
      </c>
      <c r="L42" s="29" t="n">
        <v>39.8</v>
      </c>
      <c r="M42" s="20" t="n">
        <v>0.15</v>
      </c>
      <c r="N42" s="21" t="n">
        <v>39.8</v>
      </c>
      <c r="O42" s="21" t="n"/>
    </row>
    <row r="43" ht="14.4" customHeight="1" s="1">
      <c r="A43" s="30" t="inlineStr">
        <is>
          <t>NY3170M2</t>
        </is>
      </c>
      <c r="B43" s="30" t="n">
        <v>3313</v>
      </c>
      <c r="C43" s="30" t="n">
        <v>59</v>
      </c>
      <c r="D43" s="30" t="n">
        <v>300</v>
      </c>
      <c r="E43" s="25" t="n">
        <v>49.5</v>
      </c>
      <c r="F43" s="30" t="n"/>
      <c r="G43" s="29" t="n">
        <v>43</v>
      </c>
      <c r="H43" s="27">
        <f>D43*G43</f>
        <v/>
      </c>
      <c r="I43" s="21" t="n"/>
      <c r="J43" s="21" t="n"/>
      <c r="K43" s="28" t="n"/>
      <c r="L43" s="29" t="n"/>
      <c r="M43" s="20" t="n"/>
      <c r="N43" s="21" t="n"/>
      <c r="O43" s="21" t="n"/>
    </row>
    <row r="44" ht="14.4" customHeight="1" s="1">
      <c r="A44" s="30" t="inlineStr">
        <is>
          <t>NY3170M2</t>
        </is>
      </c>
      <c r="B44" s="30" t="n">
        <v>7628</v>
      </c>
      <c r="C44" s="30" t="n">
        <v>50</v>
      </c>
      <c r="D44" s="30" t="n">
        <v>150</v>
      </c>
      <c r="E44" s="25" t="n">
        <v>49.5</v>
      </c>
      <c r="F44" s="30" t="n"/>
      <c r="G44" s="29" t="n">
        <v>46</v>
      </c>
      <c r="H44" s="27">
        <f>D44*G44</f>
        <v/>
      </c>
      <c r="I44" s="21" t="n"/>
      <c r="J44" s="21" t="n"/>
      <c r="K44" s="28" t="n"/>
      <c r="L44" s="29" t="n"/>
      <c r="M44" s="20" t="n"/>
      <c r="N44" s="21" t="n"/>
      <c r="O44" s="21" t="n"/>
    </row>
    <row r="45" ht="14.4" customHeight="1" s="1">
      <c r="A45" s="30" t="inlineStr">
        <is>
          <t>NY6300S</t>
        </is>
      </c>
      <c r="B45" s="30" t="n">
        <v>1078</v>
      </c>
      <c r="C45" s="30" t="n">
        <v>64</v>
      </c>
      <c r="D45" s="30" t="n">
        <v>300</v>
      </c>
      <c r="E45" s="25" t="n">
        <v>49.5</v>
      </c>
      <c r="F45" s="30" t="n"/>
      <c r="G45" s="29">
        <f>ROUND(J45*(1+K45),1)</f>
        <v/>
      </c>
      <c r="H45" s="27">
        <f>D45*G45</f>
        <v/>
      </c>
      <c r="I45" s="21" t="n"/>
      <c r="J45" s="21" t="n">
        <v>105.8</v>
      </c>
      <c r="K45" s="28" t="n">
        <v>0.12</v>
      </c>
      <c r="L45" s="29" t="n">
        <v>92</v>
      </c>
      <c r="M45" s="20" t="n">
        <v>0.15</v>
      </c>
      <c r="N45" s="21" t="n"/>
      <c r="O45" s="21" t="n"/>
    </row>
    <row r="46" ht="14.4" customHeight="1" s="1">
      <c r="A46" s="30" t="inlineStr">
        <is>
          <t>NY6300S</t>
        </is>
      </c>
      <c r="B46" s="30" t="n">
        <v>1078</v>
      </c>
      <c r="C46" s="30" t="inlineStr">
        <is>
          <t>67/68</t>
        </is>
      </c>
      <c r="D46" s="30" t="n">
        <v>300</v>
      </c>
      <c r="E46" s="25" t="n">
        <v>49.5</v>
      </c>
      <c r="F46" s="30" t="inlineStr">
        <is>
          <t>/</t>
        </is>
      </c>
      <c r="G46" s="29">
        <f>ROUND(J46*(1+K46),1)</f>
        <v/>
      </c>
      <c r="H46" s="27">
        <f>D46*G46</f>
        <v/>
      </c>
      <c r="I46" s="21" t="n"/>
      <c r="J46" s="21" t="n">
        <v>117.3</v>
      </c>
      <c r="K46" s="28" t="n">
        <v>0.12</v>
      </c>
      <c r="L46" s="29" t="n">
        <v>102</v>
      </c>
      <c r="M46" s="20" t="n">
        <v>0.15</v>
      </c>
      <c r="N46" s="21" t="n"/>
      <c r="O46" s="21" t="n"/>
    </row>
    <row r="47" ht="14.4" customHeight="1" s="1">
      <c r="A47" s="30" t="inlineStr">
        <is>
          <t>NY6300S</t>
        </is>
      </c>
      <c r="B47" s="30" t="n">
        <v>2116</v>
      </c>
      <c r="C47" s="30" t="n">
        <v>58</v>
      </c>
      <c r="D47" s="30" t="n">
        <v>300</v>
      </c>
      <c r="E47" s="25" t="n">
        <v>49.5</v>
      </c>
      <c r="F47" s="30" t="inlineStr">
        <is>
          <t>/</t>
        </is>
      </c>
      <c r="G47" s="29" t="n">
        <v>132</v>
      </c>
      <c r="H47" s="27">
        <f>D47*G47</f>
        <v/>
      </c>
      <c r="I47" s="21" t="n"/>
      <c r="J47" s="21" t="n"/>
      <c r="K47" s="28" t="n"/>
      <c r="L47" s="29" t="n"/>
      <c r="M47" s="20" t="n"/>
      <c r="N47" s="21" t="n"/>
      <c r="O47" s="21" t="n"/>
    </row>
    <row r="48" ht="14.4" customHeight="1" s="1">
      <c r="A48" s="30" t="inlineStr">
        <is>
          <t>NY6300(C)</t>
        </is>
      </c>
      <c r="B48" s="30" t="n">
        <v>2116</v>
      </c>
      <c r="C48" s="30" t="n">
        <v>53</v>
      </c>
      <c r="D48" s="30" t="n">
        <v>300</v>
      </c>
      <c r="E48" s="25" t="n">
        <v>49.5</v>
      </c>
      <c r="F48" s="30" t="inlineStr">
        <is>
          <t>/</t>
        </is>
      </c>
      <c r="G48" s="29">
        <f>ROUND(J48*(1+K48),1)</f>
        <v/>
      </c>
      <c r="H48" s="27">
        <f>D48*G48</f>
        <v/>
      </c>
      <c r="I48" s="21" t="n"/>
      <c r="J48" s="21" t="n">
        <v>125.4</v>
      </c>
      <c r="K48" s="28" t="n">
        <v>0.12</v>
      </c>
      <c r="L48" s="29" t="n">
        <v>112</v>
      </c>
      <c r="M48" s="20" t="n">
        <v>0.12</v>
      </c>
      <c r="N48" s="21" t="n">
        <v>112</v>
      </c>
      <c r="O48" s="21" t="n"/>
    </row>
    <row r="49" ht="14.4" customHeight="1" s="1">
      <c r="A49" s="30" t="inlineStr">
        <is>
          <t>NY6300(C)</t>
        </is>
      </c>
      <c r="B49" s="30" t="n">
        <v>1080</v>
      </c>
      <c r="C49" s="30" t="n">
        <v>65</v>
      </c>
      <c r="D49" s="30" t="n">
        <v>300</v>
      </c>
      <c r="E49" s="25" t="n">
        <v>49.5</v>
      </c>
      <c r="F49" s="30" t="inlineStr">
        <is>
          <t>/</t>
        </is>
      </c>
      <c r="G49" s="29">
        <f>ROUND(J49*(1+K49),1)</f>
        <v/>
      </c>
      <c r="H49" s="27">
        <f>D49*G49</f>
        <v/>
      </c>
      <c r="I49" s="21" t="n"/>
      <c r="J49" s="21" t="n">
        <v>124.2</v>
      </c>
      <c r="K49" s="28" t="n">
        <v>0.12</v>
      </c>
      <c r="L49" s="29" t="n">
        <v>108</v>
      </c>
      <c r="M49" s="20" t="n">
        <v>0.15</v>
      </c>
      <c r="N49" s="21" t="n">
        <v>108</v>
      </c>
      <c r="O49" s="21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1" t="n"/>
      <c r="J50" s="31" t="n"/>
      <c r="K50" s="31" t="n"/>
      <c r="L50" s="31" t="n"/>
      <c r="M50" s="31" t="n"/>
      <c r="N50" s="31" t="n"/>
      <c r="O50" s="31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1" t="n"/>
      <c r="J51" s="31" t="n"/>
      <c r="K51" s="31" t="n"/>
      <c r="L51" s="31" t="n"/>
      <c r="M51" s="31" t="n"/>
      <c r="N51" s="31" t="n"/>
      <c r="O51" s="31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1" t="n"/>
      <c r="J52" s="31" t="n"/>
      <c r="K52" s="31" t="n"/>
      <c r="L52" s="31" t="n"/>
      <c r="M52" s="31" t="n"/>
      <c r="N52" s="31" t="n"/>
      <c r="O52" s="31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1" t="n"/>
      <c r="J53" s="31" t="n"/>
      <c r="K53" s="31" t="n"/>
      <c r="L53" s="31" t="n"/>
      <c r="M53" s="31" t="n"/>
      <c r="N53" s="31" t="n"/>
      <c r="O53" s="31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1" t="n"/>
      <c r="J54" s="31" t="n"/>
      <c r="K54" s="31" t="n"/>
      <c r="L54" s="31" t="n"/>
      <c r="M54" s="31" t="n"/>
      <c r="N54" s="31" t="n"/>
      <c r="O54" s="31" t="n"/>
    </row>
  </sheetData>
  <mergeCells count="1">
    <mergeCell ref="F1:H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南亚新材料营销处 - 王磊</dc:creator>
  <dcterms:created xmlns:dcterms="http://purl.org/dc/terms/" xmlns:xsi="http://www.w3.org/2001/XMLSchema-instance" xsi:type="dcterms:W3CDTF">2018-05-20T13:37:00Z</dcterms:created>
  <dcterms:modified xmlns:dcterms="http://purl.org/dc/terms/" xmlns:xsi="http://www.w3.org/2001/XMLSchema-instance" xsi:type="dcterms:W3CDTF">2026-07-16T02:36:30Z</dcterms:modified>
  <cp:lastModifiedBy>蹲墙角数蚂蚁</cp:lastModifiedBy>
  <cp:lastPrinted>2023-08-16T02:14:00Z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34784B5552CE4D6D8990D4A0CAD9D564_13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  <property name="5B77E7CEEC58BC6AFAE8886BEB80DBEB" fmtid="{D5CDD505-2E9C-101B-9397-08002B2CF9AE}" pid="6">
    <vt:lpwstr xmlns:vt="http://schemas.openxmlformats.org/officeDocument/2006/docPropsVTypes">otCYQxs9Dbw2bUEn/Soxv9pYAoWsCRIsU8+gIbxzzmNcJN13+qHIPyWmbF9hFzPHyi2m8DLwi54E5OVVM5pJ0yGmgAiYTaR6oYUdYZxdjep6I9xviFUFZ9aTScfBW9OG4Gi0y+z7RY/6A7YZY/3jOst/6/+ROXBS63ZpB8VNsJGJvtVGjgH7xNf3IUk6LM9RqjaR1cnToHufycN5NnagvcUB84myh4qcyUjWCMyHTb4chv/fs7JwmzlOGSQn8unQmDkCNxOkdn1UlHuWHcl9yeW4R0jlFmOZaKVD5IEWHfdoNmjGUJhPhSZFE9skYuL1gRQEY/NZ+7VsABbQRaU2ZRFVgQlkDKJg7/S450eTi7kcfjIz/z6ltJ1MDZjXVBmbjINO71OdPfEt0pbZAb2GcKzgwWRyWVI3b1hnK4upQtq60VLAkeuo5l795hJKKA3hg3Zpn7IUOEFk1EDlbnL3gdPk1aPusuhzolrYzsIFK4GN+t0KPRHhdyGt9QVFqxV85Prw1I2fOS3ugzNPHUCoIrprfhsNyW5jysodU7eYufHbVy3PNOtfB68pfIt1rC9sXupp+FkiZuZ6PIk8zwTENdU9CXcrVX6hlR4Nghf8ul1/JoXiGfIIRCB+Skar3HnHpzY3J18peVGYcSUgatdIsLLsuB0oqFKgMqAGgZN7jQXLP52x15J+GPGX6iYQZtqjKp0RwjcMSNNfsEL8NgtgZ/2STUxOUJ6vh6NdXo9k9BVikYvyqJAyxQWU2VNREwwlKntucjmMRmv9uZXj7OTlYyjdTmQZ8fg0hntIT5Urhj4r6z0RI5MgUaWpZ02ZxUwjp3zpxaAvP7O5TeAlOpk5WmQqxmWXVOE+zqsyVdxiN5UbPFxpAGC/FGCAzN/wMy5wYiKSsY4oUetoOlKV/ILfny2A6D6TWrdnZMlVs8box4ZR/qfxnp58jLbIVOTcKdTJCgsoPBCqZtd95Ej4d0KVSE7+dclAu9m2wJldS7ig3HI2897QiG/kmNNozu9LKKF5Q5t74bqj0VSRb5N1e+jeRXJ91T80w/aSQ+k91ETdJ2oRozaBOkHx7gqiKrhEumVOgY+Ba3qJrnei30FknSkPjIIicy9QP286yxTo1V3/Bec=</vt:lpwstr>
  </property>
</Properties>
</file>