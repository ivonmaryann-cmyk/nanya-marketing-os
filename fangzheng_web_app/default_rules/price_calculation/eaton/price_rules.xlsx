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10500" tabRatio="960"/>
  </bookViews>
  <sheets>
    <sheet name="NY2150" sheetId="1" r:id="rId1"/>
    <sheet name="2150PP" sheetId="4" r:id="rId2"/>
    <sheet name="NY2170" sheetId="2" r:id="rId3"/>
    <sheet name="2170PP" sheetId="5" r:id="rId4"/>
    <sheet name="NY2150H" sheetId="3" r:id="rId5"/>
    <sheet name="NY-A1" sheetId="18" r:id="rId6"/>
    <sheet name="NY-A2" sheetId="7" r:id="rId7"/>
    <sheet name="NY-A3HF" sheetId="29" r:id="rId8"/>
    <sheet name="NY3150HF" sheetId="16" r:id="rId9"/>
    <sheet name="NY3150HC" sheetId="10" r:id="rId10"/>
    <sheet name="NY3170HC" sheetId="9" r:id="rId11"/>
    <sheet name="NY3170M" sheetId="25" r:id="rId12"/>
    <sheet name="NY3170M2" sheetId="15" r:id="rId13"/>
    <sheet name="NY3170LK" sheetId="26" r:id="rId14"/>
    <sheet name="NY6200" sheetId="19" r:id="rId15"/>
    <sheet name="NY6180" sheetId="22" r:id="rId16"/>
    <sheet name="NY6180L" sheetId="24" r:id="rId17"/>
    <sheet name="NY6300S" sheetId="28" r:id="rId18"/>
  </sheets>
  <definedNames>
    <definedName name="_xlnm._FilterDatabase" localSheetId="0" hidden="1">'NY2150'!$A$9:$P$230</definedName>
    <definedName name="_xlnm._FilterDatabase" localSheetId="1" hidden="1">'2150PP'!$A$9:$M$41</definedName>
    <definedName name="_xlnm._FilterDatabase" localSheetId="2" hidden="1">'NY2170'!$A$9:$P$174</definedName>
    <definedName name="_xlnm._FilterDatabase" localSheetId="3" hidden="1">'2170PP'!$A$10:$IA$38</definedName>
    <definedName name="_xlnm._FilterDatabase" localSheetId="4" hidden="1">NY2150H!$A$9:$Q$157</definedName>
    <definedName name="_xlnm._FilterDatabase" localSheetId="5" hidden="1">'NY-A1'!$A$10:$Q$45</definedName>
    <definedName name="_xlnm._FilterDatabase" localSheetId="6" hidden="1">'NY-A2'!$A$9:$R$47</definedName>
    <definedName name="_xlnm._FilterDatabase" localSheetId="7" hidden="1">'NY-A3HF'!$A$9:$N$26</definedName>
    <definedName name="_xlnm._FilterDatabase" localSheetId="9" hidden="1">NY3150HC!$A$10:$K$19</definedName>
    <definedName name="_xlnm._FilterDatabase" localSheetId="10" hidden="1">NY3170HC!$A$10:$K$16</definedName>
    <definedName name="_xlnm._FilterDatabase" localSheetId="11" hidden="1">NY3170M!$A$10:$K$26</definedName>
    <definedName name="_xlnm._FilterDatabase" localSheetId="12" hidden="1">NY3170M2!$A$10:$R$52</definedName>
    <definedName name="_xlnm._FilterDatabase" localSheetId="13" hidden="1">NY3170LK!$A$10:$S$15</definedName>
    <definedName name="_xlnm._FilterDatabase" localSheetId="14" hidden="1">'NY6200'!$A$10:$R$21</definedName>
    <definedName name="_xlnm._FilterDatabase" localSheetId="15" hidden="1">'NY6180'!$A$10:$M$18</definedName>
    <definedName name="_xlnm._FilterDatabase" localSheetId="16" hidden="1">NY6180L!$A$10:$X$18</definedName>
    <definedName name="_xlnm._FilterDatabase" localSheetId="17" hidden="1">NY6300S!$A$10:$X$20</definedName>
    <definedName name="_xlnm.Print_Area" localSheetId="4">NY2150H!$A$1:$I$165</definedName>
    <definedName name="_xlnm.Print_Titles" localSheetId="4">NY2150H!$9:10</definedName>
    <definedName name="_xlnm.Print_Titles" localSheetId="0">'NY2150'!$9:$9</definedName>
    <definedName name="_xlnm.Print_Titles" localSheetId="2">'NY2170'!$9:$9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<sst xmlns="http://schemas.openxmlformats.org/spreadsheetml/2006/main" count="4151" uniqueCount="289">
  <si>
    <t>中 国 上 海 市 嘉 定 区 南 翔 镇 昌 翔 路 158 号</t>
  </si>
  <si>
    <t>TEL：021-59175555(上海)</t>
  </si>
  <si>
    <t>客户名称:广东依顿</t>
  </si>
  <si>
    <t>发件人：亓连杰</t>
  </si>
  <si>
    <t>收件人：陈小姐</t>
  </si>
  <si>
    <t>联系方式：13326976568</t>
  </si>
  <si>
    <t xml:space="preserve">联系方式：          </t>
  </si>
  <si>
    <t>生效日期：2026.06.18（出货生效）</t>
  </si>
  <si>
    <t>Sub:价格-NY2150基板价格</t>
  </si>
  <si>
    <t>计价单位：含税人民币(RMB)</t>
  </si>
  <si>
    <t>产品类别</t>
  </si>
  <si>
    <t>不含铜
厚度mm</t>
  </si>
  <si>
    <t>不含铜
厚度mil</t>
  </si>
  <si>
    <t>组合结构</t>
  </si>
  <si>
    <t>铜箔</t>
  </si>
  <si>
    <t>铜箔类型</t>
  </si>
  <si>
    <t>SF(含税）</t>
  </si>
  <si>
    <t>37*49（含税）</t>
  </si>
  <si>
    <t>41*49（含税）</t>
  </si>
  <si>
    <t>43*49（含税）</t>
  </si>
  <si>
    <t>原（6.09前）
SF(含税）</t>
  </si>
  <si>
    <t>新新新
SF（含税）</t>
  </si>
  <si>
    <t>涨幅</t>
  </si>
  <si>
    <t>41*49
新价格</t>
  </si>
  <si>
    <t>NY2150</t>
  </si>
  <si>
    <t>1*1080</t>
  </si>
  <si>
    <t>1/1</t>
  </si>
  <si>
    <t>RTF</t>
  </si>
  <si>
    <t>H/H</t>
  </si>
  <si>
    <t>HTE</t>
  </si>
  <si>
    <t>H/1</t>
  </si>
  <si>
    <t>2/2</t>
  </si>
  <si>
    <t>1*2313</t>
  </si>
  <si>
    <t>1*2116</t>
  </si>
  <si>
    <t>3/3</t>
  </si>
  <si>
    <t>1*3313</t>
  </si>
  <si>
    <t>2*106</t>
  </si>
  <si>
    <t>2*1080</t>
  </si>
  <si>
    <t>1*1506</t>
  </si>
  <si>
    <t>2*2313</t>
  </si>
  <si>
    <t>1*7628</t>
  </si>
  <si>
    <t>2*2116</t>
  </si>
  <si>
    <t>1/2</t>
  </si>
  <si>
    <t>T/T</t>
  </si>
  <si>
    <t>F/F</t>
  </si>
  <si>
    <t>2*1506</t>
  </si>
  <si>
    <t>3*3313</t>
  </si>
  <si>
    <t>2*7628</t>
  </si>
  <si>
    <t>2*7628+1*1080</t>
  </si>
  <si>
    <t>1/F</t>
  </si>
  <si>
    <t>F/3</t>
  </si>
  <si>
    <t>2*7628+1*2116</t>
  </si>
  <si>
    <t>3*7628</t>
  </si>
  <si>
    <t>2*1506+2*7628</t>
  </si>
  <si>
    <t>4*7628</t>
  </si>
  <si>
    <t>4*7628+1*1080</t>
  </si>
  <si>
    <t>4*7628+1*2116</t>
  </si>
  <si>
    <t>5*7628</t>
  </si>
  <si>
    <t>6*7628</t>
  </si>
  <si>
    <t>4/4</t>
  </si>
  <si>
    <t>7*7628</t>
  </si>
  <si>
    <t>8*7628</t>
  </si>
  <si>
    <t>J/J</t>
  </si>
  <si>
    <t>2/0</t>
  </si>
  <si>
    <t>9*7628</t>
  </si>
  <si>
    <t>10*7628</t>
  </si>
  <si>
    <t>11*7628</t>
  </si>
  <si>
    <t>12*7628</t>
  </si>
  <si>
    <t>13*7628</t>
  </si>
  <si>
    <t>15*7628</t>
  </si>
  <si>
    <t>16*7628</t>
  </si>
  <si>
    <t>说明：以上为基板厚度中值，均为不含铜厚度。</t>
  </si>
  <si>
    <t>1.以上价格为人民币含税价格。特殊订单,可另议特别专案价格。</t>
  </si>
  <si>
    <t>2.方板价格在上述单位面积价格的基础上加7%。</t>
  </si>
  <si>
    <t>3.有效期至南亚新材另行通知为止。</t>
  </si>
  <si>
    <t>4.可配合生产加大尺寸，如eg83.3*49.3，加大尺寸不额为收费，不保障加大0.3的品质</t>
  </si>
  <si>
    <t>5.泰国泰华价格=依顿价格*1.05（+收5%运费，不满柜要重新核算价格）</t>
  </si>
  <si>
    <t>客户回签：__________________________</t>
  </si>
  <si>
    <t>Sub:价格-NY2150 PP价格</t>
  </si>
  <si>
    <t>产品型号</t>
  </si>
  <si>
    <t>树脂含量中值(%)</t>
  </si>
  <si>
    <t>标准卷装长度</t>
  </si>
  <si>
    <t>标准卷装宽度</t>
  </si>
  <si>
    <t>价格（含税）</t>
  </si>
  <si>
    <t>Products</t>
  </si>
  <si>
    <t>Glass type</t>
  </si>
  <si>
    <t>Resin Content</t>
  </si>
  <si>
    <t>Length (m)</t>
  </si>
  <si>
    <t>Width (inch)</t>
  </si>
  <si>
    <t>SF单价
(含税）</t>
  </si>
  <si>
    <t>每米单价
（含税）</t>
  </si>
  <si>
    <t>每卷单价
（含税）</t>
  </si>
  <si>
    <t>新
SF（含税）</t>
  </si>
  <si>
    <t>M
新价格</t>
  </si>
  <si>
    <t>NY2150P</t>
  </si>
  <si>
    <t>63-64%</t>
  </si>
  <si>
    <t xml:space="preserve">49.5" </t>
  </si>
  <si>
    <t>65-66%</t>
  </si>
  <si>
    <t>67-68%</t>
  </si>
  <si>
    <t>69-70%</t>
  </si>
  <si>
    <t>2313/3313</t>
  </si>
  <si>
    <t>53-55%</t>
  </si>
  <si>
    <t>56-58%</t>
  </si>
  <si>
    <t>59-60%</t>
  </si>
  <si>
    <t>52-53%</t>
  </si>
  <si>
    <t>54-55%</t>
  </si>
  <si>
    <t>61-62%</t>
  </si>
  <si>
    <t>45-46%</t>
  </si>
  <si>
    <t>47-48%</t>
  </si>
  <si>
    <t>49-52%</t>
  </si>
  <si>
    <t xml:space="preserve">49.6" </t>
  </si>
  <si>
    <t>43-44%</t>
  </si>
  <si>
    <t>49-50%</t>
  </si>
  <si>
    <t>51-52%</t>
  </si>
  <si>
    <t>说明：</t>
  </si>
  <si>
    <t>1、以上为常用PP价格，特别规格价格可另议。</t>
  </si>
  <si>
    <t>2、泰国泰华价格=依顿价格/1.13*1.04*1.05（连续除乘，保留2位小数），不满柜的情况下另外核算</t>
  </si>
  <si>
    <t>Sub:价格-NY2170基板价格</t>
  </si>
  <si>
    <t>铜厚</t>
  </si>
  <si>
    <t>NY2170</t>
  </si>
  <si>
    <t>1078*1</t>
  </si>
  <si>
    <t>1080*1</t>
  </si>
  <si>
    <t>H/2</t>
  </si>
  <si>
    <t>2313/3313*1</t>
  </si>
  <si>
    <t>3313*1</t>
  </si>
  <si>
    <t>2313*1</t>
  </si>
  <si>
    <t>2116*1</t>
  </si>
  <si>
    <t>106*2</t>
  </si>
  <si>
    <t>1080*2</t>
  </si>
  <si>
    <t>1506*1</t>
  </si>
  <si>
    <t>7628*1</t>
  </si>
  <si>
    <t>2116*2</t>
  </si>
  <si>
    <t>2313*2</t>
  </si>
  <si>
    <t>1080*3</t>
  </si>
  <si>
    <t>1080*2+1*2116</t>
  </si>
  <si>
    <t>1506*2</t>
  </si>
  <si>
    <t>2116*3</t>
  </si>
  <si>
    <t>7628*2</t>
  </si>
  <si>
    <t> 7628*2+1080*1</t>
  </si>
  <si>
    <t> 7628*2+2116*1</t>
  </si>
  <si>
    <t> 7628*3</t>
  </si>
  <si>
    <t>E/E</t>
  </si>
  <si>
    <t> 7628*2+1506*2</t>
  </si>
  <si>
    <t> 7628*4</t>
  </si>
  <si>
    <t> 7628*4+2116*1</t>
  </si>
  <si>
    <t>7628*5</t>
  </si>
  <si>
    <t>7628*6</t>
  </si>
  <si>
    <t>7628*7</t>
  </si>
  <si>
    <t>7628*8</t>
  </si>
  <si>
    <t>7628*9</t>
  </si>
  <si>
    <t>7628*10</t>
  </si>
  <si>
    <r>
      <rPr>
        <sz val="10"/>
        <color theme="1"/>
        <rFont val="微软雅黑"/>
        <charset val="134"/>
      </rPr>
      <t>客户回签：</t>
    </r>
    <r>
      <rPr>
        <sz val="10"/>
        <rFont val="微软雅黑"/>
        <charset val="134"/>
      </rPr>
      <t>__________________________</t>
    </r>
  </si>
  <si>
    <t xml:space="preserve">中国上海嘉定区南翔镇昌翔路158号 </t>
  </si>
  <si>
    <t>客户名称：</t>
  </si>
  <si>
    <t>广东依顿</t>
  </si>
  <si>
    <t>主题：NY2170P (High-Tg &amp; Lead Free)半固化片价格表</t>
  </si>
  <si>
    <t>半固化片单价 （RMB）</t>
  </si>
  <si>
    <t>NY2170P</t>
  </si>
  <si>
    <t>62-64%</t>
  </si>
  <si>
    <t>76-78%</t>
  </si>
  <si>
    <t>公司审核：__________________________</t>
  </si>
  <si>
    <t>主题：NY2150H(Mid-Tg &amp; Lead Free)覆铜板价格表</t>
  </si>
  <si>
    <t>NY2150H</t>
  </si>
  <si>
    <t>1/H</t>
  </si>
  <si>
    <t>2313*1/3313*1</t>
  </si>
  <si>
    <t>1078*2</t>
  </si>
  <si>
    <t>1086*2</t>
  </si>
  <si>
    <t>3313*2</t>
  </si>
  <si>
    <t>3313*3</t>
  </si>
  <si>
    <t>2*2116+1*1080</t>
  </si>
  <si>
    <t>7628*2+1*1080</t>
  </si>
  <si>
    <t>7628*2+2116*1</t>
  </si>
  <si>
    <t>7628*3</t>
  </si>
  <si>
    <t>2116*5</t>
  </si>
  <si>
    <t>7628*2+1506*2</t>
  </si>
  <si>
    <t>7628*4</t>
  </si>
  <si>
    <t>7628*4+1*2116</t>
  </si>
  <si>
    <t>7628*11</t>
  </si>
  <si>
    <t>7628*12</t>
  </si>
  <si>
    <t>7628*14</t>
  </si>
  <si>
    <t>7628*17</t>
  </si>
  <si>
    <t>7628*18</t>
  </si>
  <si>
    <t>1.以上价格为人民币未税价格。特殊订单,可另议特别专案价格</t>
  </si>
  <si>
    <t>主题：NY2150HP (Mid-Tg &amp; Lead Free)半固化片价格表</t>
  </si>
  <si>
    <t>计价单位：人民币(RMB)</t>
  </si>
  <si>
    <t>SF单价(含税）</t>
  </si>
  <si>
    <t>每米单价（含税）</t>
  </si>
  <si>
    <t>每卷单价（含税）</t>
  </si>
  <si>
    <t>NY2150HP</t>
  </si>
  <si>
    <t>客户名称：依顿电子</t>
  </si>
  <si>
    <t>NY-A1报 价 单(含税)</t>
  </si>
  <si>
    <t>型号</t>
  </si>
  <si>
    <t xml:space="preserve"> 不含铜厚(mm）</t>
  </si>
  <si>
    <t>不含铜厚
（mil）</t>
  </si>
  <si>
    <t>含铜厚度
(mm)</t>
  </si>
  <si>
    <t>结构</t>
  </si>
  <si>
    <t>含税/SF</t>
  </si>
  <si>
    <t>37X49</t>
  </si>
  <si>
    <t>41*49</t>
  </si>
  <si>
    <t>43X49</t>
  </si>
  <si>
    <t>NY-A1</t>
  </si>
  <si>
    <t>树脂含量(%)</t>
  </si>
  <si>
    <t>半固化片单价 （RMB）含税</t>
  </si>
  <si>
    <t>Per SF</t>
  </si>
  <si>
    <t>Per M</t>
  </si>
  <si>
    <t>Per Roll</t>
  </si>
  <si>
    <t>NY-A1P</t>
  </si>
  <si>
    <t>46-48%</t>
  </si>
  <si>
    <t>60-62%</t>
  </si>
  <si>
    <t>64-66%</t>
  </si>
  <si>
    <t>77-78%</t>
  </si>
  <si>
    <t>截止日期：截止到下次调整前</t>
  </si>
  <si>
    <t>NY-A2报 价 单(含税)</t>
  </si>
  <si>
    <t>NY-A2</t>
  </si>
  <si>
    <t>7628*2+1080*1</t>
  </si>
  <si>
    <t>5/5</t>
  </si>
  <si>
    <t>NY-A2P</t>
  </si>
  <si>
    <t>56-57%</t>
  </si>
  <si>
    <t>NY-A3HF报 价 单(含税)</t>
  </si>
  <si>
    <t>NY-A3HF</t>
  </si>
  <si>
    <t>1067*1</t>
  </si>
  <si>
    <t>NY-A3HFP</t>
  </si>
  <si>
    <t>截止日期：</t>
  </si>
  <si>
    <t>NY3150HF报 价 单(含税)</t>
  </si>
  <si>
    <t xml:space="preserve"> 芯厚(mm）</t>
  </si>
  <si>
    <t>芯厚
（mil）</t>
  </si>
  <si>
    <t>含铜厚度</t>
  </si>
  <si>
    <t>配料结构</t>
  </si>
  <si>
    <t>NY3150HF</t>
  </si>
  <si>
    <t>NY3150HFP报 价 单(含税)</t>
  </si>
  <si>
    <t>NY3150HFP</t>
  </si>
  <si>
    <t>抄送：</t>
  </si>
  <si>
    <t>联系方式：</t>
  </si>
  <si>
    <t>NY-3150HC报 价 单</t>
  </si>
  <si>
    <t>NY-3150HC</t>
  </si>
  <si>
    <t>半固化片
含税单价 （RMB）</t>
  </si>
  <si>
    <t>NY-3150HCP</t>
  </si>
  <si>
    <t>币种：RMB（含税）</t>
  </si>
  <si>
    <t>NY-3170HC报 价 单</t>
  </si>
  <si>
    <t>NY-3170HC</t>
  </si>
  <si>
    <t>2/4</t>
  </si>
  <si>
    <t>7628*4+1080*1</t>
  </si>
  <si>
    <t>57-61%</t>
  </si>
  <si>
    <t>NY3170M报 价 单</t>
  </si>
  <si>
    <t>NY3170M</t>
  </si>
  <si>
    <t>1*1078</t>
  </si>
  <si>
    <t>2*1067</t>
  </si>
  <si>
    <t>2*1078</t>
  </si>
  <si>
    <t>5*2116</t>
  </si>
  <si>
    <t>8*2116</t>
  </si>
  <si>
    <t>NY3170MP</t>
  </si>
  <si>
    <t>68-69%</t>
  </si>
  <si>
    <t>NY3170M2报 价 单</t>
  </si>
  <si>
    <t>NY3170M2</t>
  </si>
  <si>
    <t>106*1</t>
  </si>
  <si>
    <t>RTF2</t>
  </si>
  <si>
    <t>2113*1</t>
  </si>
  <si>
    <t>1067*2</t>
  </si>
  <si>
    <t>6*2116</t>
  </si>
  <si>
    <t>NY3170M2P</t>
  </si>
  <si>
    <t>75-77%</t>
  </si>
  <si>
    <t>55-57%</t>
  </si>
  <si>
    <t>58-60%</t>
  </si>
  <si>
    <t>下次更新</t>
  </si>
  <si>
    <t>NY3170LK报 价 单</t>
  </si>
  <si>
    <t>NY3170LK</t>
  </si>
  <si>
    <t>2*1037</t>
  </si>
  <si>
    <t>3*2116</t>
  </si>
  <si>
    <t>10*2116</t>
  </si>
  <si>
    <t>NY3170LKP</t>
  </si>
  <si>
    <t>NY6200报 价 单</t>
  </si>
  <si>
    <t>NY6200</t>
  </si>
  <si>
    <t>HVLP</t>
  </si>
  <si>
    <t>NY6200P</t>
  </si>
  <si>
    <t>66-67%</t>
  </si>
  <si>
    <t>68-70%</t>
  </si>
  <si>
    <t>57-59%</t>
  </si>
  <si>
    <t>NY6180报 价 单</t>
  </si>
  <si>
    <t>NY6180</t>
  </si>
  <si>
    <t>2116*4</t>
  </si>
  <si>
    <t>NY6180P</t>
  </si>
  <si>
    <t>NY6180L报 价 单</t>
  </si>
  <si>
    <t>NY6180L</t>
  </si>
  <si>
    <t>RTF3</t>
  </si>
  <si>
    <t>NY6180LP</t>
  </si>
  <si>
    <t>NY6300S报 价 单</t>
  </si>
  <si>
    <t>NY6300S</t>
  </si>
  <si>
    <t>1035*2</t>
  </si>
  <si>
    <t>NY6300SP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</si>
</sst>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_ "/>
    <numFmt numFmtId="178" formatCode="0.00_ "/>
    <numFmt numFmtId="179" formatCode="0_ "/>
    <numFmt numFmtId="180" formatCode="0.0%"/>
    <numFmt numFmtId="181" formatCode="0.00_);[Red]\(0.00\)"/>
  </numFmts>
  <fonts count="34">
    <font>
      <sz val="12"/>
      <name val="宋体"/>
      <charset val="134"/>
    </font>
    <font>
      <i/>
      <sz val="16"/>
      <name val="Arial"/>
      <charset val="134"/>
    </font>
    <font>
      <sz val="10"/>
      <name val="宋体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rgb="FF000000"/>
      <name val="宋体"/>
      <charset val="134"/>
    </font>
    <font>
      <i/>
      <sz val="10"/>
      <name val="微软雅黑"/>
      <charset val="134"/>
    </font>
    <font>
      <sz val="10"/>
      <color theme="1"/>
      <name val="微软雅黑"/>
      <charset val="134"/>
    </font>
    <font>
      <sz val="12"/>
      <name val="微软雅黑"/>
      <charset val="134"/>
    </font>
    <font>
      <i/>
      <sz val="16"/>
      <name val="微软雅黑"/>
      <charset val="134"/>
    </font>
    <font>
      <sz val="10"/>
      <color indexed="10"/>
      <name val="微软雅黑"/>
      <charset val="134"/>
    </font>
    <font>
      <b/>
      <u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3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7" applyNumberFormat="0" applyAlignment="0" applyProtection="0">
      <alignment vertical="center"/>
    </xf>
    <xf numFmtId="0" fontId="23" fillId="5" borderId="18" applyNumberFormat="0" applyAlignment="0" applyProtection="0">
      <alignment vertical="center"/>
    </xf>
    <xf numFmtId="0" fontId="24" fillId="5" borderId="17" applyNumberFormat="0" applyAlignment="0" applyProtection="0">
      <alignment vertical="center"/>
    </xf>
    <xf numFmtId="0" fontId="25" fillId="6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3" fillId="0" borderId="0">
      <alignment vertical="center"/>
    </xf>
    <xf numFmtId="0" fontId="0" fillId="0" borderId="0">
      <alignment vertical="center"/>
    </xf>
  </cellStyleXfs>
  <cellXfs count="195">
    <xf numFmtId="0" fontId="0" fillId="0" borderId="0" xfId="0" applyAlignment="1"/>
    <xf numFmtId="0" fontId="0" fillId="0" borderId="0" xfId="0" applyFill="1" applyAlignment="1"/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177" fontId="3" fillId="0" borderId="0" xfId="0" applyNumberFormat="1" applyFont="1" applyFill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9" fontId="0" fillId="0" borderId="0" xfId="0" applyNumberFormat="1" applyFill="1" applyAlignment="1"/>
    <xf numFmtId="178" fontId="3" fillId="2" borderId="0" xfId="0" applyNumberFormat="1" applyFont="1" applyFill="1" applyBorder="1" applyAlignment="1">
      <alignment horizontal="center" vertical="center"/>
    </xf>
    <xf numFmtId="9" fontId="3" fillId="0" borderId="0" xfId="0" applyNumberFormat="1" applyFont="1" applyAlignment="1"/>
    <xf numFmtId="178" fontId="3" fillId="0" borderId="0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10" fontId="3" fillId="0" borderId="1" xfId="49" applyNumberFormat="1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9" fontId="3" fillId="0" borderId="1" xfId="49" applyNumberFormat="1" applyFont="1" applyFill="1" applyBorder="1" applyAlignment="1">
      <alignment horizontal="center" vertical="center" wrapText="1"/>
    </xf>
    <xf numFmtId="178" fontId="3" fillId="0" borderId="1" xfId="49" applyNumberFormat="1" applyFont="1" applyFill="1" applyBorder="1" applyAlignment="1">
      <alignment horizontal="center" vertical="center"/>
    </xf>
    <xf numFmtId="178" fontId="0" fillId="0" borderId="0" xfId="0" applyNumberFormat="1" applyFill="1" applyAlignment="1"/>
    <xf numFmtId="176" fontId="3" fillId="2" borderId="0" xfId="0" applyNumberFormat="1" applyFont="1" applyFill="1" applyBorder="1" applyAlignment="1">
      <alignment horizontal="center" vertical="center"/>
    </xf>
    <xf numFmtId="9" fontId="3" fillId="0" borderId="0" xfId="0" applyNumberFormat="1" applyFont="1" applyAlignment="1">
      <alignment horizontal="center"/>
    </xf>
    <xf numFmtId="0" fontId="7" fillId="0" borderId="0" xfId="0" applyFont="1" applyFill="1" applyAlignment="1">
      <alignment vertical="center" wrapText="1"/>
    </xf>
    <xf numFmtId="9" fontId="0" fillId="0" borderId="0" xfId="0" applyNumberFormat="1" applyAlignment="1"/>
    <xf numFmtId="0" fontId="3" fillId="0" borderId="0" xfId="0" applyFont="1" applyAlignment="1"/>
    <xf numFmtId="0" fontId="3" fillId="0" borderId="0" xfId="0" applyFont="1" applyFill="1" applyAlignment="1"/>
    <xf numFmtId="0" fontId="3" fillId="2" borderId="0" xfId="0" applyFont="1" applyFill="1" applyAlignment="1"/>
    <xf numFmtId="0" fontId="8" fillId="0" borderId="0" xfId="0" applyFont="1" applyFill="1" applyAlignment="1">
      <alignment horizontal="left" vertical="center"/>
    </xf>
    <xf numFmtId="176" fontId="8" fillId="0" borderId="0" xfId="0" applyNumberFormat="1" applyFont="1" applyFill="1" applyAlignment="1">
      <alignment horizontal="left" vertical="center"/>
    </xf>
    <xf numFmtId="177" fontId="8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179" fontId="9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179" fontId="9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78" fontId="3" fillId="0" borderId="0" xfId="0" applyNumberFormat="1" applyFont="1" applyAlignment="1">
      <alignment horizontal="center"/>
    </xf>
    <xf numFmtId="9" fontId="3" fillId="0" borderId="0" xfId="3" applyFont="1" applyFill="1" applyAlignment="1">
      <alignment horizontal="center" vertical="center"/>
    </xf>
    <xf numFmtId="9" fontId="3" fillId="0" borderId="0" xfId="0" applyNumberFormat="1" applyFont="1" applyFill="1" applyAlignment="1">
      <alignment horizontal="center"/>
    </xf>
    <xf numFmtId="177" fontId="9" fillId="0" borderId="1" xfId="0" applyNumberFormat="1" applyFont="1" applyFill="1" applyBorder="1" applyAlignment="1">
      <alignment horizontal="center" vertical="center"/>
    </xf>
    <xf numFmtId="9" fontId="3" fillId="0" borderId="0" xfId="0" applyNumberFormat="1" applyFont="1" applyFill="1" applyAlignment="1"/>
    <xf numFmtId="180" fontId="3" fillId="0" borderId="1" xfId="49" applyNumberFormat="1" applyFont="1" applyFill="1" applyBorder="1" applyAlignment="1">
      <alignment horizontal="center" vertical="center" wrapText="1"/>
    </xf>
    <xf numFmtId="9" fontId="3" fillId="0" borderId="0" xfId="3" applyFont="1" applyFill="1" applyAlignment="1">
      <alignment horizontal="center"/>
    </xf>
    <xf numFmtId="9" fontId="3" fillId="0" borderId="0" xfId="3" applyNumberFormat="1" applyFont="1" applyFill="1" applyAlignment="1">
      <alignment horizontal="center"/>
    </xf>
    <xf numFmtId="0" fontId="10" fillId="0" borderId="0" xfId="0" applyFont="1" applyFill="1" applyAlignment="1"/>
    <xf numFmtId="0" fontId="10" fillId="2" borderId="0" xfId="0" applyFont="1" applyFill="1" applyAlignment="1"/>
    <xf numFmtId="0" fontId="11" fillId="0" borderId="0" xfId="0" applyFont="1" applyFill="1" applyAlignment="1">
      <alignment horizontal="left" vertical="center"/>
    </xf>
    <xf numFmtId="176" fontId="11" fillId="0" borderId="0" xfId="0" applyNumberFormat="1" applyFont="1" applyFill="1" applyAlignment="1">
      <alignment horizontal="left" vertical="center"/>
    </xf>
    <xf numFmtId="177" fontId="11" fillId="0" borderId="0" xfId="0" applyNumberFormat="1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9" fontId="10" fillId="0" borderId="0" xfId="0" applyNumberFormat="1" applyFont="1" applyFill="1" applyAlignment="1"/>
    <xf numFmtId="9" fontId="3" fillId="0" borderId="0" xfId="0" applyNumberFormat="1" applyFont="1" applyFill="1" applyBorder="1" applyAlignment="1">
      <alignment horizontal="center" vertical="center"/>
    </xf>
    <xf numFmtId="0" fontId="10" fillId="0" borderId="0" xfId="0" applyFont="1" applyAlignment="1"/>
    <xf numFmtId="9" fontId="10" fillId="0" borderId="0" xfId="0" applyNumberFormat="1" applyFont="1" applyAlignment="1"/>
    <xf numFmtId="176" fontId="3" fillId="0" borderId="1" xfId="49" applyNumberFormat="1" applyFont="1" applyFill="1" applyBorder="1" applyAlignment="1">
      <alignment horizontal="center" vertical="center"/>
    </xf>
    <xf numFmtId="176" fontId="3" fillId="0" borderId="1" xfId="49" applyNumberFormat="1" applyFont="1" applyFill="1" applyBorder="1" applyAlignment="1">
      <alignment horizontal="center" vertical="center" wrapText="1"/>
    </xf>
    <xf numFmtId="0" fontId="0" fillId="2" borderId="0" xfId="0" applyFill="1" applyAlignment="1"/>
    <xf numFmtId="0" fontId="3" fillId="0" borderId="0" xfId="0" applyFont="1" applyFill="1" applyBorder="1" applyAlignment="1">
      <alignment horizontal="left" vertical="center" readingOrder="1"/>
    </xf>
    <xf numFmtId="177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3" fillId="0" borderId="0" xfId="0" applyFont="1" applyFill="1" applyAlignment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Fill="1" applyAlignment="1">
      <alignment horizontal="left" vertical="center"/>
    </xf>
    <xf numFmtId="176" fontId="3" fillId="2" borderId="0" xfId="49" applyNumberFormat="1" applyFont="1" applyFill="1" applyBorder="1" applyAlignment="1">
      <alignment horizontal="center" vertical="center" wrapText="1"/>
    </xf>
    <xf numFmtId="9" fontId="0" fillId="0" borderId="0" xfId="3" applyFill="1" applyAlignment="1"/>
    <xf numFmtId="9" fontId="1" fillId="0" borderId="0" xfId="3" applyFont="1" applyFill="1" applyAlignment="1">
      <alignment horizontal="left" vertical="center"/>
    </xf>
    <xf numFmtId="9" fontId="2" fillId="0" borderId="0" xfId="3" applyFont="1" applyFill="1" applyAlignment="1">
      <alignment horizontal="center" vertical="center"/>
    </xf>
    <xf numFmtId="9" fontId="3" fillId="0" borderId="0" xfId="3" applyFont="1" applyFill="1" applyAlignment="1">
      <alignment horizontal="left" vertical="center"/>
    </xf>
    <xf numFmtId="9" fontId="5" fillId="0" borderId="0" xfId="3" applyFont="1" applyFill="1" applyAlignment="1">
      <alignment horizontal="left" vertical="center"/>
    </xf>
    <xf numFmtId="9" fontId="3" fillId="0" borderId="0" xfId="3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80" fontId="3" fillId="0" borderId="0" xfId="3" applyNumberFormat="1" applyFont="1" applyFill="1" applyAlignment="1">
      <alignment horizontal="center" vertical="center" wrapText="1"/>
    </xf>
    <xf numFmtId="9" fontId="3" fillId="0" borderId="0" xfId="3" applyNumberFormat="1" applyFont="1" applyFill="1" applyAlignment="1">
      <alignment horizontal="center" vertical="center"/>
    </xf>
    <xf numFmtId="9" fontId="0" fillId="0" borderId="0" xfId="3" applyNumberFormat="1" applyFill="1" applyAlignment="1"/>
    <xf numFmtId="178" fontId="3" fillId="0" borderId="0" xfId="0" applyNumberFormat="1" applyFont="1" applyFill="1" applyAlignment="1">
      <alignment horizontal="center"/>
    </xf>
    <xf numFmtId="178" fontId="3" fillId="0" borderId="0" xfId="0" applyNumberFormat="1" applyFont="1" applyFill="1" applyBorder="1" applyAlignment="1">
      <alignment horizontal="center" vertical="center" wrapText="1"/>
    </xf>
    <xf numFmtId="9" fontId="3" fillId="0" borderId="0" xfId="3" applyFont="1" applyFill="1" applyBorder="1" applyAlignment="1">
      <alignment horizontal="center" vertical="center" wrapText="1"/>
    </xf>
    <xf numFmtId="180" fontId="3" fillId="0" borderId="0" xfId="3" applyNumberFormat="1" applyFont="1" applyFill="1" applyBorder="1" applyAlignment="1">
      <alignment horizontal="center" vertical="center" wrapText="1"/>
    </xf>
    <xf numFmtId="10" fontId="3" fillId="0" borderId="0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Alignment="1">
      <alignment horizontal="center" vertical="center"/>
    </xf>
    <xf numFmtId="177" fontId="9" fillId="0" borderId="0" xfId="0" applyNumberFormat="1" applyFont="1" applyFill="1" applyAlignment="1">
      <alignment horizontal="center" vertical="center"/>
    </xf>
    <xf numFmtId="10" fontId="3" fillId="0" borderId="0" xfId="0" applyNumberFormat="1" applyFont="1" applyFill="1" applyAlignment="1"/>
    <xf numFmtId="0" fontId="3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8" fillId="0" borderId="0" xfId="0" applyFont="1" applyFill="1" applyAlignment="1">
      <alignment vertical="center"/>
    </xf>
    <xf numFmtId="0" fontId="4" fillId="0" borderId="0" xfId="0" applyFont="1" applyFill="1" applyAlignment="1"/>
    <xf numFmtId="0" fontId="4" fillId="0" borderId="0" xfId="0" applyFont="1" applyFill="1" applyAlignment="1">
      <alignment vertical="center"/>
    </xf>
    <xf numFmtId="9" fontId="3" fillId="0" borderId="0" xfId="0" applyNumberFormat="1" applyFont="1" applyFill="1" applyBorder="1" applyAlignment="1">
      <alignment horizontal="center"/>
    </xf>
    <xf numFmtId="178" fontId="3" fillId="0" borderId="0" xfId="0" applyNumberFormat="1" applyFont="1" applyFill="1" applyBorder="1" applyAlignment="1">
      <alignment horizont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80" fontId="0" fillId="0" borderId="0" xfId="0" applyNumberFormat="1" applyFill="1" applyAlignment="1"/>
    <xf numFmtId="10" fontId="3" fillId="0" borderId="0" xfId="0" applyNumberFormat="1" applyFont="1" applyFill="1" applyAlignment="1">
      <alignment vertical="center"/>
    </xf>
    <xf numFmtId="9" fontId="3" fillId="0" borderId="0" xfId="0" applyNumberFormat="1" applyFont="1" applyFill="1" applyAlignment="1">
      <alignment vertical="center"/>
    </xf>
    <xf numFmtId="9" fontId="3" fillId="0" borderId="0" xfId="3" applyFont="1" applyFill="1" applyAlignment="1">
      <alignment vertical="center"/>
    </xf>
    <xf numFmtId="177" fontId="3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shrinkToFit="1"/>
    </xf>
    <xf numFmtId="0" fontId="3" fillId="2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/>
    </xf>
    <xf numFmtId="0" fontId="4" fillId="0" borderId="0" xfId="0" applyFont="1" applyFill="1" applyBorder="1" applyAlignment="1">
      <alignment vertical="center"/>
    </xf>
    <xf numFmtId="26" fontId="3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readingOrder="1"/>
    </xf>
    <xf numFmtId="0" fontId="3" fillId="0" borderId="2" xfId="49" applyFont="1" applyFill="1" applyBorder="1" applyAlignment="1">
      <alignment horizontal="center" vertical="center" wrapText="1"/>
    </xf>
    <xf numFmtId="0" fontId="3" fillId="0" borderId="3" xfId="49" applyFont="1" applyFill="1" applyBorder="1" applyAlignment="1">
      <alignment horizontal="center" vertical="center" wrapText="1"/>
    </xf>
    <xf numFmtId="0" fontId="3" fillId="0" borderId="4" xfId="50" applyFont="1" applyFill="1" applyBorder="1" applyAlignment="1">
      <alignment horizontal="center" vertical="center" wrapText="1"/>
    </xf>
    <xf numFmtId="0" fontId="3" fillId="0" borderId="5" xfId="50" applyFont="1" applyFill="1" applyBorder="1" applyAlignment="1">
      <alignment horizontal="center" vertical="center" wrapText="1"/>
    </xf>
    <xf numFmtId="0" fontId="3" fillId="0" borderId="6" xfId="50" applyFont="1" applyFill="1" applyBorder="1" applyAlignment="1">
      <alignment horizontal="center" vertical="center" wrapText="1"/>
    </xf>
    <xf numFmtId="0" fontId="3" fillId="0" borderId="7" xfId="49" applyFont="1" applyFill="1" applyBorder="1" applyAlignment="1">
      <alignment horizontal="center" vertical="center" wrapText="1"/>
    </xf>
    <xf numFmtId="0" fontId="3" fillId="0" borderId="1" xfId="50" applyFont="1" applyFill="1" applyBorder="1" applyAlignment="1">
      <alignment horizontal="center" vertical="center" wrapText="1"/>
    </xf>
    <xf numFmtId="0" fontId="3" fillId="0" borderId="8" xfId="50" applyFont="1" applyFill="1" applyBorder="1" applyAlignment="1">
      <alignment horizontal="center" vertical="center" wrapText="1"/>
    </xf>
    <xf numFmtId="178" fontId="3" fillId="0" borderId="1" xfId="50" applyNumberFormat="1" applyFont="1" applyFill="1" applyBorder="1" applyAlignment="1">
      <alignment horizontal="center" vertical="center" wrapText="1"/>
    </xf>
    <xf numFmtId="178" fontId="3" fillId="0" borderId="8" xfId="50" applyNumberFormat="1" applyFont="1" applyFill="1" applyBorder="1" applyAlignment="1">
      <alignment horizontal="center" vertical="center" wrapText="1"/>
    </xf>
    <xf numFmtId="0" fontId="3" fillId="0" borderId="9" xfId="49" applyFont="1" applyFill="1" applyBorder="1" applyAlignment="1">
      <alignment horizontal="center" vertical="center" wrapText="1"/>
    </xf>
    <xf numFmtId="0" fontId="3" fillId="0" borderId="10" xfId="49" applyFont="1" applyFill="1" applyBorder="1" applyAlignment="1">
      <alignment horizontal="center" vertical="center" wrapText="1"/>
    </xf>
    <xf numFmtId="9" fontId="3" fillId="0" borderId="10" xfId="49" applyNumberFormat="1" applyFont="1" applyFill="1" applyBorder="1" applyAlignment="1">
      <alignment horizontal="center" vertical="center" wrapText="1"/>
    </xf>
    <xf numFmtId="10" fontId="3" fillId="0" borderId="10" xfId="49" applyNumberFormat="1" applyFont="1" applyFill="1" applyBorder="1" applyAlignment="1">
      <alignment horizontal="center" vertical="center" wrapText="1"/>
    </xf>
    <xf numFmtId="176" fontId="3" fillId="0" borderId="10" xfId="49" applyNumberFormat="1" applyFont="1" applyFill="1" applyBorder="1" applyAlignment="1">
      <alignment horizontal="center" vertical="center" wrapText="1"/>
    </xf>
    <xf numFmtId="178" fontId="3" fillId="0" borderId="10" xfId="50" applyNumberFormat="1" applyFont="1" applyFill="1" applyBorder="1" applyAlignment="1">
      <alignment horizontal="center" vertical="center" wrapText="1"/>
    </xf>
    <xf numFmtId="178" fontId="3" fillId="0" borderId="11" xfId="5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26" fontId="3" fillId="0" borderId="0" xfId="0" applyNumberFormat="1" applyFont="1" applyFill="1" applyBorder="1" applyAlignment="1">
      <alignment horizontal="left" vertical="center" wrapText="1"/>
    </xf>
    <xf numFmtId="0" fontId="3" fillId="0" borderId="0" xfId="50" applyFont="1" applyFill="1" applyAlignment="1">
      <alignment horizontal="center" vertical="center" wrapText="1"/>
    </xf>
    <xf numFmtId="0" fontId="3" fillId="0" borderId="0" xfId="50" applyFont="1" applyFill="1" applyAlignment="1">
      <alignment vertical="center"/>
    </xf>
    <xf numFmtId="0" fontId="3" fillId="0" borderId="0" xfId="50" applyFont="1" applyFill="1" applyBorder="1" applyAlignment="1">
      <alignment vertical="center"/>
    </xf>
    <xf numFmtId="0" fontId="3" fillId="2" borderId="0" xfId="50" applyFont="1" applyFill="1" applyBorder="1" applyAlignment="1">
      <alignment horizontal="center" vertical="center"/>
    </xf>
    <xf numFmtId="0" fontId="3" fillId="0" borderId="0" xfId="50" applyFont="1" applyFill="1" applyBorder="1" applyAlignment="1">
      <alignment horizontal="center" vertical="center"/>
    </xf>
    <xf numFmtId="178" fontId="3" fillId="0" borderId="0" xfId="50" applyNumberFormat="1" applyFont="1" applyFill="1" applyAlignment="1">
      <alignment horizontal="center" vertical="center" wrapText="1"/>
    </xf>
    <xf numFmtId="176" fontId="3" fillId="2" borderId="0" xfId="50" applyNumberFormat="1" applyFont="1" applyFill="1" applyBorder="1" applyAlignment="1">
      <alignment horizontal="center" vertical="center"/>
    </xf>
    <xf numFmtId="180" fontId="3" fillId="0" borderId="0" xfId="50" applyNumberFormat="1" applyFont="1" applyFill="1" applyBorder="1" applyAlignment="1">
      <alignment horizontal="center" vertical="center"/>
    </xf>
    <xf numFmtId="178" fontId="3" fillId="0" borderId="0" xfId="50" applyNumberFormat="1" applyFont="1" applyFill="1" applyBorder="1" applyAlignment="1">
      <alignment horizontal="center" vertical="center"/>
    </xf>
    <xf numFmtId="0" fontId="3" fillId="0" borderId="0" xfId="50" applyFont="1" applyFill="1" applyAlignment="1"/>
    <xf numFmtId="0" fontId="3" fillId="0" borderId="0" xfId="0" applyFont="1" applyFill="1" applyBorder="1" applyAlignment="1">
      <alignment horizontal="left" vertical="center"/>
    </xf>
    <xf numFmtId="0" fontId="12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3" fillId="0" borderId="0" xfId="0" applyFont="1" applyFill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178" fontId="9" fillId="0" borderId="3" xfId="0" applyNumberFormat="1" applyFont="1" applyFill="1" applyBorder="1" applyAlignment="1">
      <alignment horizontal="center" vertical="center"/>
    </xf>
    <xf numFmtId="178" fontId="9" fillId="0" borderId="12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178" fontId="3" fillId="0" borderId="8" xfId="0" applyNumberFormat="1" applyFont="1" applyFill="1" applyBorder="1" applyAlignment="1">
      <alignment horizontal="center" vertical="center"/>
    </xf>
    <xf numFmtId="178" fontId="3" fillId="2" borderId="0" xfId="0" applyNumberFormat="1" applyFont="1" applyFill="1" applyBorder="1" applyAlignment="1">
      <alignment horizontal="center"/>
    </xf>
    <xf numFmtId="178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9" fontId="12" fillId="0" borderId="0" xfId="0" applyNumberFormat="1" applyFont="1" applyFill="1" applyAlignment="1">
      <alignment vertical="center"/>
    </xf>
    <xf numFmtId="180" fontId="3" fillId="0" borderId="0" xfId="0" applyNumberFormat="1" applyFont="1" applyFill="1" applyAlignment="1"/>
    <xf numFmtId="178" fontId="3" fillId="0" borderId="1" xfId="0" applyNumberFormat="1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/>
    </xf>
    <xf numFmtId="178" fontId="3" fillId="0" borderId="10" xfId="0" applyNumberFormat="1" applyFont="1" applyFill="1" applyBorder="1" applyAlignment="1">
      <alignment horizontal="left" vertical="center"/>
    </xf>
    <xf numFmtId="177" fontId="3" fillId="0" borderId="10" xfId="0" applyNumberFormat="1" applyFont="1" applyFill="1" applyBorder="1" applyAlignment="1">
      <alignment horizontal="center" vertical="center"/>
    </xf>
    <xf numFmtId="178" fontId="3" fillId="0" borderId="1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9" fillId="0" borderId="10" xfId="0" applyNumberFormat="1" applyFont="1" applyFill="1" applyBorder="1" applyAlignment="1">
      <alignment horizontal="center" vertical="center"/>
    </xf>
    <xf numFmtId="178" fontId="3" fillId="0" borderId="11" xfId="0" applyNumberFormat="1" applyFont="1" applyFill="1" applyBorder="1" applyAlignment="1">
      <alignment horizontal="center" vertical="center"/>
    </xf>
    <xf numFmtId="9" fontId="9" fillId="0" borderId="0" xfId="0" applyNumberFormat="1" applyFont="1" applyFill="1" applyAlignment="1">
      <alignment horizontal="center" vertical="center"/>
    </xf>
    <xf numFmtId="181" fontId="3" fillId="0" borderId="0" xfId="0" applyNumberFormat="1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176" fontId="3" fillId="2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9" fontId="8" fillId="0" borderId="0" xfId="3" applyFont="1" applyFill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9" fontId="9" fillId="0" borderId="0" xfId="3" applyFont="1" applyFill="1" applyBorder="1" applyAlignment="1">
      <alignment horizontal="center" vertical="center"/>
    </xf>
    <xf numFmtId="178" fontId="9" fillId="0" borderId="0" xfId="0" applyNumberFormat="1" applyFont="1" applyFill="1" applyBorder="1" applyAlignment="1">
      <alignment horizontal="center" vertical="center"/>
    </xf>
    <xf numFmtId="9" fontId="3" fillId="0" borderId="0" xfId="3" applyFont="1" applyFill="1" applyBorder="1" applyAlignment="1">
      <alignment horizontal="center" vertical="center"/>
    </xf>
    <xf numFmtId="9" fontId="3" fillId="0" borderId="0" xfId="3" applyNumberFormat="1" applyFont="1" applyFill="1" applyBorder="1" applyAlignment="1">
      <alignment horizontal="center" vertical="center"/>
    </xf>
    <xf numFmtId="181" fontId="3" fillId="0" borderId="0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1e_" xfId="49"/>
    <cellStyle name="常规 2" xfId="50"/>
  </cellStyles>
  <tableStyles count="0" defaultTableStyle="TableStyleMedium2"/>
  <colors>
    <mruColors>
      <color rgb="0092D050"/>
      <color rgb="0000B0F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28675"/>
          <a:ext cx="9525" cy="4953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28675"/>
          <a:ext cx="9525" cy="4953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893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893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893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893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28675"/>
          <a:ext cx="9525" cy="4953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1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28675"/>
          <a:ext cx="9525" cy="4953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1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893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1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893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1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893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1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893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0</xdr:col>
      <xdr:colOff>635</xdr:colOff>
      <xdr:row>0</xdr:row>
      <xdr:rowOff>92710</xdr:rowOff>
    </xdr:from>
    <xdr:to>
      <xdr:col>5</xdr:col>
      <xdr:colOff>250190</xdr:colOff>
      <xdr:row>0</xdr:row>
      <xdr:rowOff>601345</xdr:rowOff>
    </xdr:to>
    <xdr:pic>
      <xdr:nvPicPr>
        <xdr:cNvPr id="16" name="图片 15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635" y="92710"/>
          <a:ext cx="3896360" cy="5086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1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1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1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1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1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1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1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1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1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1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2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2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2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2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2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2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2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2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2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2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3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3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3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3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3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3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3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3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3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3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4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8191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4</xdr:row>
      <xdr:rowOff>0</xdr:rowOff>
    </xdr:to>
    <xdr:pic>
      <xdr:nvPicPr>
        <xdr:cNvPr id="4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572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4</xdr:row>
      <xdr:rowOff>0</xdr:rowOff>
    </xdr:to>
    <xdr:pic>
      <xdr:nvPicPr>
        <xdr:cNvPr id="4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572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4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81788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4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81788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4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81788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4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81788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4</xdr:row>
      <xdr:rowOff>0</xdr:rowOff>
    </xdr:to>
    <xdr:pic>
      <xdr:nvPicPr>
        <xdr:cNvPr id="4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572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4</xdr:row>
      <xdr:rowOff>0</xdr:rowOff>
    </xdr:to>
    <xdr:pic>
      <xdr:nvPicPr>
        <xdr:cNvPr id="5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572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81788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81788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81788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81788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0</xdr:col>
      <xdr:colOff>7620</xdr:colOff>
      <xdr:row>0</xdr:row>
      <xdr:rowOff>7620</xdr:rowOff>
    </xdr:from>
    <xdr:to>
      <xdr:col>4</xdr:col>
      <xdr:colOff>123825</xdr:colOff>
      <xdr:row>0</xdr:row>
      <xdr:rowOff>530860</xdr:rowOff>
    </xdr:to>
    <xdr:pic>
      <xdr:nvPicPr>
        <xdr:cNvPr id="55" name="图片 54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7620" y="7620"/>
          <a:ext cx="4002405" cy="5232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19050</xdr:rowOff>
    </xdr:from>
    <xdr:to>
      <xdr:col>0</xdr:col>
      <xdr:colOff>8890</xdr:colOff>
      <xdr:row>0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2667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0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2667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0</xdr:row>
      <xdr:rowOff>285750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2667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0</xdr:row>
      <xdr:rowOff>285750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2667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266700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266700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0</xdr:row>
      <xdr:rowOff>285750</xdr:rowOff>
    </xdr:to>
    <xdr:pic>
      <xdr:nvPicPr>
        <xdr:cNvPr id="1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2667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0</xdr:row>
      <xdr:rowOff>285750</xdr:rowOff>
    </xdr:to>
    <xdr:pic>
      <xdr:nvPicPr>
        <xdr:cNvPr id="1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2667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0</xdr:row>
      <xdr:rowOff>285750</xdr:rowOff>
    </xdr:to>
    <xdr:pic>
      <xdr:nvPicPr>
        <xdr:cNvPr id="1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2667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0</xdr:row>
      <xdr:rowOff>285750</xdr:rowOff>
    </xdr:to>
    <xdr:pic>
      <xdr:nvPicPr>
        <xdr:cNvPr id="1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2667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266700</xdr:rowOff>
    </xdr:to>
    <xdr:pic>
      <xdr:nvPicPr>
        <xdr:cNvPr id="1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266700</xdr:rowOff>
    </xdr:to>
    <xdr:pic>
      <xdr:nvPicPr>
        <xdr:cNvPr id="1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266700</xdr:rowOff>
    </xdr:to>
    <xdr:pic>
      <xdr:nvPicPr>
        <xdr:cNvPr id="1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266700</xdr:rowOff>
    </xdr:to>
    <xdr:pic>
      <xdr:nvPicPr>
        <xdr:cNvPr id="1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285750</xdr:rowOff>
    </xdr:to>
    <xdr:pic>
      <xdr:nvPicPr>
        <xdr:cNvPr id="1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285750</xdr:rowOff>
    </xdr:to>
    <xdr:pic>
      <xdr:nvPicPr>
        <xdr:cNvPr id="1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285750</xdr:rowOff>
    </xdr:to>
    <xdr:pic>
      <xdr:nvPicPr>
        <xdr:cNvPr id="2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285750</xdr:rowOff>
    </xdr:to>
    <xdr:pic>
      <xdr:nvPicPr>
        <xdr:cNvPr id="2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2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77875"/>
          <a:ext cx="9525" cy="4953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2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77875"/>
          <a:ext cx="9525" cy="4953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2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2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2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2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3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77875"/>
          <a:ext cx="9525" cy="4953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3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77875"/>
          <a:ext cx="9525" cy="4953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3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3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3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3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3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77875"/>
          <a:ext cx="9525" cy="4953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3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77875"/>
          <a:ext cx="9525" cy="4953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3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4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4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4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4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77875"/>
          <a:ext cx="9525" cy="4953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4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77875"/>
          <a:ext cx="9525" cy="4953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4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4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4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4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2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3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4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5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5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6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6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6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6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6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6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6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6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6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7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7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7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7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7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7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7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7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7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7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8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8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8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8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8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8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8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8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8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8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9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9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9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9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9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7397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9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77875"/>
          <a:ext cx="9525" cy="4953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9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77875"/>
          <a:ext cx="9525" cy="4953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9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9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9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10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10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77875"/>
          <a:ext cx="9525" cy="4953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10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77875"/>
          <a:ext cx="9525" cy="4953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10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10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10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10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73850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0</xdr:col>
      <xdr:colOff>7620</xdr:colOff>
      <xdr:row>0</xdr:row>
      <xdr:rowOff>7620</xdr:rowOff>
    </xdr:from>
    <xdr:to>
      <xdr:col>6</xdr:col>
      <xdr:colOff>54610</xdr:colOff>
      <xdr:row>0</xdr:row>
      <xdr:rowOff>530860</xdr:rowOff>
    </xdr:to>
    <xdr:pic>
      <xdr:nvPicPr>
        <xdr:cNvPr id="107" name="图片 106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7620" y="7620"/>
          <a:ext cx="4002405" cy="5232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1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1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1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1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1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1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1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1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1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1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2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2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2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2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2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2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2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2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2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2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3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3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3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3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3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3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3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3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3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3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4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0</xdr:col>
      <xdr:colOff>21590</xdr:colOff>
      <xdr:row>0</xdr:row>
      <xdr:rowOff>1270</xdr:rowOff>
    </xdr:from>
    <xdr:to>
      <xdr:col>4</xdr:col>
      <xdr:colOff>614680</xdr:colOff>
      <xdr:row>0</xdr:row>
      <xdr:rowOff>593090</xdr:rowOff>
    </xdr:to>
    <xdr:pic>
      <xdr:nvPicPr>
        <xdr:cNvPr id="42" name="图片 41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21590" y="1270"/>
          <a:ext cx="4479290" cy="5918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285750</xdr:rowOff>
    </xdr:to>
    <xdr:pic>
      <xdr:nvPicPr>
        <xdr:cNvPr id="2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285750</xdr:rowOff>
    </xdr:to>
    <xdr:pic>
      <xdr:nvPicPr>
        <xdr:cNvPr id="3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285750</xdr:rowOff>
    </xdr:to>
    <xdr:pic>
      <xdr:nvPicPr>
        <xdr:cNvPr id="4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285750</xdr:rowOff>
    </xdr:to>
    <xdr:pic>
      <xdr:nvPicPr>
        <xdr:cNvPr id="5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6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7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8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9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285750</xdr:rowOff>
    </xdr:to>
    <xdr:pic>
      <xdr:nvPicPr>
        <xdr:cNvPr id="10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285750</xdr:rowOff>
    </xdr:to>
    <xdr:pic>
      <xdr:nvPicPr>
        <xdr:cNvPr id="11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285750</xdr:rowOff>
    </xdr:to>
    <xdr:pic>
      <xdr:nvPicPr>
        <xdr:cNvPr id="12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285750</xdr:rowOff>
    </xdr:to>
    <xdr:pic>
      <xdr:nvPicPr>
        <xdr:cNvPr id="13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14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15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16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17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18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19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20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0</xdr:row>
      <xdr:rowOff>381000</xdr:rowOff>
    </xdr:to>
    <xdr:pic>
      <xdr:nvPicPr>
        <xdr:cNvPr id="21" name="Picture 1" descr="NOUYA+logo"/>
        <xdr:cNvPicPr/>
      </xdr:nvPicPr>
      <xdr:blipFill>
        <a:blip r:embed="rId1">
          <a:lum/>
        </a:blip>
        <a:stretch>
          <a:fillRect/>
        </a:stretch>
      </xdr:blipFill>
      <xdr:spPr>
        <a:xfrm>
          <a:off x="0" y="19050"/>
          <a:ext cx="9525" cy="17907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0</xdr:col>
      <xdr:colOff>635</xdr:colOff>
      <xdr:row>0</xdr:row>
      <xdr:rowOff>635</xdr:rowOff>
    </xdr:from>
    <xdr:to>
      <xdr:col>4</xdr:col>
      <xdr:colOff>499110</xdr:colOff>
      <xdr:row>3</xdr:row>
      <xdr:rowOff>13335</xdr:rowOff>
    </xdr:to>
    <xdr:pic>
      <xdr:nvPicPr>
        <xdr:cNvPr id="23" name="图片 22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635" y="635"/>
          <a:ext cx="4479290" cy="5994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266700</xdr:rowOff>
    </xdr:to>
    <xdr:pic>
      <xdr:nvPicPr>
        <xdr:cNvPr id="2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266700</xdr:rowOff>
    </xdr:to>
    <xdr:pic>
      <xdr:nvPicPr>
        <xdr:cNvPr id="2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266700</xdr:rowOff>
    </xdr:to>
    <xdr:pic>
      <xdr:nvPicPr>
        <xdr:cNvPr id="2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266700</xdr:rowOff>
    </xdr:to>
    <xdr:pic>
      <xdr:nvPicPr>
        <xdr:cNvPr id="2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266700</xdr:rowOff>
    </xdr:to>
    <xdr:pic>
      <xdr:nvPicPr>
        <xdr:cNvPr id="2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266700</xdr:rowOff>
    </xdr:to>
    <xdr:pic>
      <xdr:nvPicPr>
        <xdr:cNvPr id="2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266700</xdr:rowOff>
    </xdr:to>
    <xdr:pic>
      <xdr:nvPicPr>
        <xdr:cNvPr id="3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266700</xdr:rowOff>
    </xdr:to>
    <xdr:pic>
      <xdr:nvPicPr>
        <xdr:cNvPr id="3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285750</xdr:rowOff>
    </xdr:to>
    <xdr:pic>
      <xdr:nvPicPr>
        <xdr:cNvPr id="3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285750</xdr:rowOff>
    </xdr:to>
    <xdr:pic>
      <xdr:nvPicPr>
        <xdr:cNvPr id="3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285750</xdr:rowOff>
    </xdr:to>
    <xdr:pic>
      <xdr:nvPicPr>
        <xdr:cNvPr id="3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8890</xdr:colOff>
      <xdr:row>1</xdr:row>
      <xdr:rowOff>285750</xdr:rowOff>
    </xdr:to>
    <xdr:pic>
      <xdr:nvPicPr>
        <xdr:cNvPr id="3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8890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3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415290"/>
          <a:ext cx="9525" cy="5524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3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415290"/>
          <a:ext cx="9525" cy="5524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3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3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4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4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4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415290"/>
          <a:ext cx="9525" cy="5524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4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415290"/>
          <a:ext cx="9525" cy="5524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4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4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4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4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4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415290"/>
          <a:ext cx="9525" cy="5524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4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415290"/>
          <a:ext cx="9525" cy="5524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5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415290"/>
          <a:ext cx="9525" cy="5524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5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415290"/>
          <a:ext cx="9525" cy="5524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5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6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6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6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6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6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6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6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6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6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6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7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7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7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7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7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7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7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7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7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7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8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8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8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8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8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8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8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8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8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8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9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9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9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9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9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9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9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9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9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9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10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10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10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266700</xdr:rowOff>
    </xdr:to>
    <xdr:pic>
      <xdr:nvPicPr>
        <xdr:cNvPr id="10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10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10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9525</xdr:colOff>
      <xdr:row>1</xdr:row>
      <xdr:rowOff>285750</xdr:rowOff>
    </xdr:to>
    <xdr:pic>
      <xdr:nvPicPr>
        <xdr:cNvPr id="10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050"/>
          <a:ext cx="9525" cy="37719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10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415290"/>
          <a:ext cx="9525" cy="5524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10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415290"/>
          <a:ext cx="9525" cy="5524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10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11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11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11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11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415290"/>
          <a:ext cx="9525" cy="5524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0</xdr:rowOff>
    </xdr:to>
    <xdr:pic>
      <xdr:nvPicPr>
        <xdr:cNvPr id="11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415290"/>
          <a:ext cx="9525" cy="5524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11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11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11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9525</xdr:colOff>
      <xdr:row>2</xdr:row>
      <xdr:rowOff>0</xdr:rowOff>
    </xdr:to>
    <xdr:pic>
      <xdr:nvPicPr>
        <xdr:cNvPr id="11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9525" cy="37592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81050"/>
          <a:ext cx="952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81050"/>
          <a:ext cx="952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81050"/>
          <a:ext cx="9525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81050"/>
          <a:ext cx="9525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355600</xdr:colOff>
      <xdr:row>0</xdr:row>
      <xdr:rowOff>635</xdr:rowOff>
    </xdr:from>
    <xdr:to>
      <xdr:col>8</xdr:col>
      <xdr:colOff>453390</xdr:colOff>
      <xdr:row>1</xdr:row>
      <xdr:rowOff>20955</xdr:rowOff>
    </xdr:to>
    <xdr:pic>
      <xdr:nvPicPr>
        <xdr:cNvPr id="10" name="图片 9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793240" y="635"/>
          <a:ext cx="4479290" cy="5918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88670"/>
          <a:ext cx="9525" cy="773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88670"/>
          <a:ext cx="9525" cy="773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49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49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49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49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88670"/>
          <a:ext cx="9525" cy="37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1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88670"/>
          <a:ext cx="9525" cy="37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244475</xdr:colOff>
      <xdr:row>0</xdr:row>
      <xdr:rowOff>635</xdr:rowOff>
    </xdr:from>
    <xdr:to>
      <xdr:col>8</xdr:col>
      <xdr:colOff>304165</xdr:colOff>
      <xdr:row>1</xdr:row>
      <xdr:rowOff>20955</xdr:rowOff>
    </xdr:to>
    <xdr:pic>
      <xdr:nvPicPr>
        <xdr:cNvPr id="8" name="图片 7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565275" y="635"/>
          <a:ext cx="4479290" cy="5918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88670"/>
          <a:ext cx="9525" cy="773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88670"/>
          <a:ext cx="9525" cy="773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49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49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49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49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88670"/>
          <a:ext cx="9525" cy="37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88670"/>
          <a:ext cx="9525" cy="37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244475</xdr:colOff>
      <xdr:row>0</xdr:row>
      <xdr:rowOff>635</xdr:rowOff>
    </xdr:from>
    <xdr:to>
      <xdr:col>8</xdr:col>
      <xdr:colOff>304165</xdr:colOff>
      <xdr:row>1</xdr:row>
      <xdr:rowOff>20955</xdr:rowOff>
    </xdr:to>
    <xdr:pic>
      <xdr:nvPicPr>
        <xdr:cNvPr id="10" name="图片 9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623695" y="635"/>
          <a:ext cx="4479290" cy="5918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45720</xdr:colOff>
      <xdr:row>0</xdr:row>
      <xdr:rowOff>16510</xdr:rowOff>
    </xdr:from>
    <xdr:to>
      <xdr:col>9</xdr:col>
      <xdr:colOff>119380</xdr:colOff>
      <xdr:row>0</xdr:row>
      <xdr:rowOff>528955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714500" y="16510"/>
          <a:ext cx="4767580" cy="5124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3" name="Picture 1" descr="NOUYA+logo"/>
        <xdr:cNvPicPr/>
      </xdr:nvPicPr>
      <xdr:blipFill>
        <a:blip r:embed="rId3"/>
        <a:stretch>
          <a:fillRect/>
        </a:stretch>
      </xdr:blipFill>
      <xdr:spPr>
        <a:xfrm>
          <a:off x="0" y="750570"/>
          <a:ext cx="9525" cy="773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4" name="Picture 1" descr="NOUYA+logo"/>
        <xdr:cNvPicPr/>
      </xdr:nvPicPr>
      <xdr:blipFill>
        <a:blip r:embed="rId3"/>
        <a:stretch>
          <a:fillRect/>
        </a:stretch>
      </xdr:blipFill>
      <xdr:spPr>
        <a:xfrm>
          <a:off x="0" y="750570"/>
          <a:ext cx="9525" cy="773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3"/>
        <a:stretch>
          <a:fillRect/>
        </a:stretch>
      </xdr:blipFill>
      <xdr:spPr>
        <a:xfrm>
          <a:off x="0" y="19685"/>
          <a:ext cx="9525" cy="711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3"/>
        <a:stretch>
          <a:fillRect/>
        </a:stretch>
      </xdr:blipFill>
      <xdr:spPr>
        <a:xfrm>
          <a:off x="0" y="19685"/>
          <a:ext cx="9525" cy="711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3"/>
        <a:stretch>
          <a:fillRect/>
        </a:stretch>
      </xdr:blipFill>
      <xdr:spPr>
        <a:xfrm>
          <a:off x="0" y="19685"/>
          <a:ext cx="9525" cy="711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8" name="Picture 1" descr="NOUYA+logo"/>
        <xdr:cNvPicPr/>
      </xdr:nvPicPr>
      <xdr:blipFill>
        <a:blip r:embed="rId3"/>
        <a:stretch>
          <a:fillRect/>
        </a:stretch>
      </xdr:blipFill>
      <xdr:spPr>
        <a:xfrm>
          <a:off x="0" y="19685"/>
          <a:ext cx="9525" cy="711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3"/>
        <a:stretch>
          <a:fillRect/>
        </a:stretch>
      </xdr:blipFill>
      <xdr:spPr>
        <a:xfrm>
          <a:off x="0" y="750570"/>
          <a:ext cx="9525" cy="37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10" name="Picture 1" descr="NOUYA+logo"/>
        <xdr:cNvPicPr/>
      </xdr:nvPicPr>
      <xdr:blipFill>
        <a:blip r:embed="rId3"/>
        <a:stretch>
          <a:fillRect/>
        </a:stretch>
      </xdr:blipFill>
      <xdr:spPr>
        <a:xfrm>
          <a:off x="0" y="750570"/>
          <a:ext cx="9525" cy="3771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50570"/>
          <a:ext cx="9525" cy="773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50570"/>
          <a:ext cx="9525" cy="773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11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11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11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11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50570"/>
          <a:ext cx="9525" cy="37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1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50570"/>
          <a:ext cx="9525" cy="37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427355</xdr:colOff>
      <xdr:row>0</xdr:row>
      <xdr:rowOff>635</xdr:rowOff>
    </xdr:from>
    <xdr:to>
      <xdr:col>8</xdr:col>
      <xdr:colOff>114935</xdr:colOff>
      <xdr:row>0</xdr:row>
      <xdr:rowOff>513080</xdr:rowOff>
    </xdr:to>
    <xdr:pic>
      <xdr:nvPicPr>
        <xdr:cNvPr id="11" name="图片 10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735455" y="635"/>
          <a:ext cx="4767580" cy="5124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24230"/>
          <a:ext cx="9525" cy="864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24230"/>
          <a:ext cx="9525" cy="864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85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85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85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85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24230"/>
          <a:ext cx="9525" cy="422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1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24230"/>
          <a:ext cx="9525" cy="422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43180</xdr:colOff>
      <xdr:row>0</xdr:row>
      <xdr:rowOff>635</xdr:rowOff>
    </xdr:from>
    <xdr:to>
      <xdr:col>8</xdr:col>
      <xdr:colOff>102870</xdr:colOff>
      <xdr:row>1</xdr:row>
      <xdr:rowOff>8255</xdr:rowOff>
    </xdr:to>
    <xdr:pic>
      <xdr:nvPicPr>
        <xdr:cNvPr id="8" name="图片 7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2011680" y="635"/>
          <a:ext cx="4479290" cy="5918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73430"/>
          <a:ext cx="9525" cy="864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73430"/>
          <a:ext cx="9525" cy="864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34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34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34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34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73430"/>
          <a:ext cx="9525" cy="422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73430"/>
          <a:ext cx="9525" cy="422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427355</xdr:colOff>
      <xdr:row>0</xdr:row>
      <xdr:rowOff>635</xdr:rowOff>
    </xdr:from>
    <xdr:to>
      <xdr:col>8</xdr:col>
      <xdr:colOff>114935</xdr:colOff>
      <xdr:row>0</xdr:row>
      <xdr:rowOff>513080</xdr:rowOff>
    </xdr:to>
    <xdr:pic>
      <xdr:nvPicPr>
        <xdr:cNvPr id="10" name="图片 9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735455" y="635"/>
          <a:ext cx="4767580" cy="5124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42950"/>
          <a:ext cx="952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42950"/>
          <a:ext cx="952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04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04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04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04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42950"/>
          <a:ext cx="9525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42950"/>
          <a:ext cx="9525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427355</xdr:colOff>
      <xdr:row>0</xdr:row>
      <xdr:rowOff>635</xdr:rowOff>
    </xdr:from>
    <xdr:to>
      <xdr:col>8</xdr:col>
      <xdr:colOff>59055</xdr:colOff>
      <xdr:row>0</xdr:row>
      <xdr:rowOff>513080</xdr:rowOff>
    </xdr:to>
    <xdr:pic>
      <xdr:nvPicPr>
        <xdr:cNvPr id="10" name="图片 9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735455" y="635"/>
          <a:ext cx="4767580" cy="5124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42950"/>
          <a:ext cx="952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42950"/>
          <a:ext cx="952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04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04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04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04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42950"/>
          <a:ext cx="9525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742950"/>
          <a:ext cx="9525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427355</xdr:colOff>
      <xdr:row>0</xdr:row>
      <xdr:rowOff>635</xdr:rowOff>
    </xdr:from>
    <xdr:to>
      <xdr:col>8</xdr:col>
      <xdr:colOff>59055</xdr:colOff>
      <xdr:row>0</xdr:row>
      <xdr:rowOff>513080</xdr:rowOff>
    </xdr:to>
    <xdr:pic>
      <xdr:nvPicPr>
        <xdr:cNvPr id="10" name="图片 9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735455" y="635"/>
          <a:ext cx="4767580" cy="5124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31850"/>
          <a:ext cx="952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31850"/>
          <a:ext cx="952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93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93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93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93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31850"/>
          <a:ext cx="9525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31850"/>
          <a:ext cx="9525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8</xdr:col>
      <xdr:colOff>3810</xdr:colOff>
      <xdr:row>0</xdr:row>
      <xdr:rowOff>591820</xdr:rowOff>
    </xdr:to>
    <xdr:pic>
      <xdr:nvPicPr>
        <xdr:cNvPr id="10" name="图片 9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968500" y="0"/>
          <a:ext cx="4479290" cy="5918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31850"/>
          <a:ext cx="952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31850"/>
          <a:ext cx="952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93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93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93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793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31850"/>
          <a:ext cx="9525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31850"/>
          <a:ext cx="9525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8</xdr:col>
      <xdr:colOff>3810</xdr:colOff>
      <xdr:row>0</xdr:row>
      <xdr:rowOff>591820</xdr:rowOff>
    </xdr:to>
    <xdr:pic>
      <xdr:nvPicPr>
        <xdr:cNvPr id="10" name="图片 9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968500" y="0"/>
          <a:ext cx="4479290" cy="5918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39470"/>
          <a:ext cx="9525" cy="773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39470"/>
          <a:ext cx="9525" cy="773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80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80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80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80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39470"/>
          <a:ext cx="9525" cy="37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39470"/>
          <a:ext cx="9525" cy="37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8</xdr:col>
      <xdr:colOff>3810</xdr:colOff>
      <xdr:row>0</xdr:row>
      <xdr:rowOff>591820</xdr:rowOff>
    </xdr:to>
    <xdr:pic>
      <xdr:nvPicPr>
        <xdr:cNvPr id="10" name="图片 9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968500" y="0"/>
          <a:ext cx="4479290" cy="5918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39470"/>
          <a:ext cx="9525" cy="773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5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39470"/>
          <a:ext cx="9525" cy="773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80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80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80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19685</xdr:rowOff>
    </xdr:from>
    <xdr:to>
      <xdr:col>0</xdr:col>
      <xdr:colOff>9525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9685"/>
          <a:ext cx="9525" cy="80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8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39470"/>
          <a:ext cx="9525" cy="37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9525</xdr:colOff>
      <xdr:row>3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839470"/>
          <a:ext cx="9525" cy="37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8</xdr:col>
      <xdr:colOff>3810</xdr:colOff>
      <xdr:row>0</xdr:row>
      <xdr:rowOff>591820</xdr:rowOff>
    </xdr:to>
    <xdr:pic>
      <xdr:nvPicPr>
        <xdr:cNvPr id="10" name="图片 9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968500" y="0"/>
          <a:ext cx="4479290" cy="5918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0"/>
  <sheetViews>
    <sheetView tabSelected="1" zoomScale="80" zoomScaleNormal="80" workbookViewId="0">
      <pane ySplit="9" topLeftCell="A10" activePane="bottomLeft" state="frozen"/>
      <selection/>
      <selection pane="bottomLeft" activeCell="G18" sqref="G18"/>
    </sheetView>
  </sheetViews>
  <sheetFormatPr defaultColWidth="9" defaultRowHeight="15"/>
  <cols>
    <col min="1" max="1" width="9.21666666666667" style="46" customWidth="1"/>
    <col min="2" max="2" width="8.975" style="46" customWidth="1"/>
    <col min="3" max="3" width="9.625" style="46" customWidth="1"/>
    <col min="4" max="4" width="14.4416666666667" style="46" customWidth="1"/>
    <col min="5" max="5" width="5.6" style="46" customWidth="1"/>
    <col min="6" max="6" width="8.3" style="46" customWidth="1"/>
    <col min="7" max="7" width="11.2166666666667" style="46" customWidth="1"/>
    <col min="8" max="10" width="12.4" style="46" customWidth="1"/>
    <col min="11" max="11" width="8.4" style="56" customWidth="1"/>
    <col min="12" max="12" width="7.3" style="182" customWidth="1"/>
    <col min="13" max="13" width="11.5" style="182" customWidth="1"/>
    <col min="14" max="14" width="9.66666666666667" style="118" customWidth="1"/>
    <col min="15" max="15" width="6.55" style="17" customWidth="1"/>
    <col min="16" max="16" width="9" style="17"/>
    <col min="17" max="16384" width="9" style="79"/>
  </cols>
  <sheetData>
    <row r="1" s="46" customFormat="1" ht="51" customHeight="1" spans="1:16">
      <c r="A1" s="105"/>
      <c r="B1" s="185"/>
      <c r="C1" s="185"/>
      <c r="D1" s="185"/>
      <c r="E1" s="185"/>
      <c r="F1" s="185"/>
      <c r="G1" s="185"/>
      <c r="H1" s="185"/>
      <c r="I1" s="105"/>
      <c r="J1" s="105"/>
      <c r="K1" s="186"/>
      <c r="L1" s="187"/>
      <c r="M1" s="187"/>
      <c r="N1" s="118"/>
      <c r="O1" s="17"/>
      <c r="P1" s="17"/>
    </row>
    <row r="2" s="46" customFormat="1" ht="12.75" customHeight="1" spans="1:16">
      <c r="A2" s="79" t="s">
        <v>0</v>
      </c>
      <c r="B2" s="46"/>
      <c r="C2" s="46"/>
      <c r="D2" s="46"/>
      <c r="E2" s="46"/>
      <c r="F2" s="46"/>
      <c r="G2" s="46"/>
      <c r="H2" s="46"/>
      <c r="I2" s="79"/>
      <c r="J2" s="79"/>
      <c r="K2" s="115"/>
      <c r="L2" s="17"/>
      <c r="M2" s="17"/>
      <c r="N2" s="118"/>
      <c r="O2" s="17"/>
      <c r="P2" s="17"/>
    </row>
    <row r="3" s="46" customFormat="1" ht="12.75" customHeight="1" spans="1:16">
      <c r="A3" s="79" t="s">
        <v>1</v>
      </c>
      <c r="B3" s="46"/>
      <c r="C3" s="46"/>
      <c r="D3" s="46"/>
      <c r="E3" s="46"/>
      <c r="F3" s="46"/>
      <c r="G3" s="46"/>
      <c r="H3" s="46"/>
      <c r="I3" s="79"/>
      <c r="J3" s="79"/>
      <c r="K3" s="115"/>
      <c r="L3" s="17"/>
      <c r="M3" s="17"/>
      <c r="N3" s="118"/>
      <c r="O3" s="17"/>
      <c r="P3" s="17"/>
    </row>
    <row r="4" s="46" customFormat="1" ht="12.75" customHeight="1" spans="1:16">
      <c r="E4" s="41"/>
      <c r="F4" s="46"/>
      <c r="G4" s="46"/>
      <c r="H4" s="46"/>
      <c r="I4" s="46"/>
      <c r="J4" s="46"/>
      <c r="K4" s="56"/>
      <c r="L4" s="17"/>
      <c r="M4" s="17"/>
      <c r="N4" s="118"/>
      <c r="O4" s="17"/>
      <c r="P4" s="17"/>
    </row>
    <row r="5" s="46" customFormat="1" customHeight="1" spans="1:16">
      <c r="A5" s="6" t="s">
        <v>2</v>
      </c>
      <c r="B5" s="46"/>
      <c r="C5" s="46"/>
      <c r="D5" s="46"/>
      <c r="E5" s="52"/>
      <c r="F5" s="52"/>
      <c r="G5" s="9" t="s">
        <v>3</v>
      </c>
      <c r="H5" s="46"/>
      <c r="I5" s="46"/>
      <c r="J5" s="46"/>
      <c r="K5" s="56"/>
      <c r="L5" s="17"/>
      <c r="M5" s="188"/>
      <c r="N5" s="118"/>
      <c r="O5" s="17"/>
      <c r="P5" s="17"/>
    </row>
    <row r="6" s="46" customFormat="1" customHeight="1" spans="1:16">
      <c r="A6" s="6" t="s">
        <v>4</v>
      </c>
      <c r="B6" s="46"/>
      <c r="C6" s="46"/>
      <c r="D6" s="46"/>
      <c r="E6" s="52"/>
      <c r="F6" s="52"/>
      <c r="G6" s="79" t="s">
        <v>5</v>
      </c>
      <c r="H6" s="46"/>
      <c r="I6" s="46"/>
      <c r="J6" s="46"/>
      <c r="K6" s="56"/>
      <c r="L6" s="17"/>
      <c r="M6" s="188"/>
      <c r="N6" s="118"/>
      <c r="O6" s="17"/>
      <c r="P6" s="17"/>
    </row>
    <row r="7" s="46" customFormat="1" customHeight="1" spans="1:16">
      <c r="A7" s="6" t="s">
        <v>6</v>
      </c>
      <c r="B7" s="46"/>
      <c r="C7" s="46"/>
      <c r="D7" s="46"/>
      <c r="E7" s="52"/>
      <c r="F7" s="52"/>
      <c r="G7" s="9" t="s">
        <v>7</v>
      </c>
      <c r="H7" s="46"/>
      <c r="I7" s="46"/>
      <c r="J7" s="46"/>
      <c r="K7" s="56"/>
      <c r="L7" s="17"/>
      <c r="M7" s="188"/>
      <c r="N7" s="118"/>
      <c r="O7" s="17"/>
      <c r="P7" s="17"/>
    </row>
    <row r="8" s="154" customFormat="1" customHeight="1" spans="1:16">
      <c r="A8" s="156" t="s">
        <v>8</v>
      </c>
      <c r="B8" s="46"/>
      <c r="C8" s="46"/>
      <c r="D8" s="46"/>
      <c r="E8" s="52"/>
      <c r="F8" s="52"/>
      <c r="G8" s="76" t="s">
        <v>9</v>
      </c>
      <c r="H8" s="46"/>
      <c r="I8" s="46"/>
      <c r="J8" s="46"/>
      <c r="K8" s="56"/>
      <c r="L8" s="182"/>
      <c r="M8" s="188"/>
      <c r="N8" s="189"/>
      <c r="O8" s="182"/>
      <c r="P8" s="182"/>
    </row>
    <row r="9" ht="30" spans="1:16">
      <c r="A9" s="157" t="s">
        <v>10</v>
      </c>
      <c r="B9" s="158" t="s">
        <v>11</v>
      </c>
      <c r="C9" s="158" t="s">
        <v>12</v>
      </c>
      <c r="D9" s="159" t="s">
        <v>13</v>
      </c>
      <c r="E9" s="159" t="s">
        <v>14</v>
      </c>
      <c r="F9" s="159" t="s">
        <v>15</v>
      </c>
      <c r="G9" s="158" t="s">
        <v>16</v>
      </c>
      <c r="H9" s="159" t="s">
        <v>17</v>
      </c>
      <c r="I9" s="160" t="s">
        <v>18</v>
      </c>
      <c r="J9" s="161" t="s">
        <v>19</v>
      </c>
      <c r="K9" s="190"/>
      <c r="L9" s="191"/>
      <c r="M9" s="15" t="s">
        <v>20</v>
      </c>
      <c r="N9" s="16" t="s">
        <v>21</v>
      </c>
      <c r="O9" s="17" t="s">
        <v>22</v>
      </c>
      <c r="P9" s="15" t="s">
        <v>23</v>
      </c>
    </row>
    <row r="10" spans="1:16">
      <c r="A10" s="162" t="s">
        <v>24</v>
      </c>
      <c r="B10" s="20">
        <f t="shared" ref="B10:B16" si="0">C10/39.37</f>
        <v>0.063500127000254</v>
      </c>
      <c r="C10" s="164">
        <v>2.5</v>
      </c>
      <c r="D10" s="21" t="s">
        <v>25</v>
      </c>
      <c r="E10" s="26" t="s">
        <v>26</v>
      </c>
      <c r="F10" s="165" t="s">
        <v>27</v>
      </c>
      <c r="G10" s="164">
        <v>11.05</v>
      </c>
      <c r="H10" s="21">
        <f t="shared" ref="H10:H29" si="1">ROUND(G10*12,2)</f>
        <v>132.6</v>
      </c>
      <c r="I10" s="21">
        <f t="shared" ref="I10:I29" si="2">ROUND(G10*13.33,2)</f>
        <v>147.3</v>
      </c>
      <c r="J10" s="166">
        <f t="shared" ref="J10:J29" si="3">ROUND(G10*14,2)</f>
        <v>154.7</v>
      </c>
      <c r="K10" s="192"/>
      <c r="L10" s="191"/>
      <c r="M10" s="164">
        <v>10.14</v>
      </c>
      <c r="N10" s="89">
        <f>ROUND(M10*1.09,2)</f>
        <v>11.05</v>
      </c>
      <c r="O10" s="70">
        <f>(N10-M10)/M10</f>
        <v>0.0897435897435898</v>
      </c>
      <c r="P10" s="25">
        <f>N10*13.33</f>
        <v>147.2965</v>
      </c>
    </row>
    <row r="11" spans="1:16">
      <c r="A11" s="162" t="s">
        <v>24</v>
      </c>
      <c r="B11" s="20">
        <f t="shared" si="0"/>
        <v>0.0762001524003048</v>
      </c>
      <c r="C11" s="110">
        <v>3</v>
      </c>
      <c r="D11" s="21" t="s">
        <v>25</v>
      </c>
      <c r="E11" s="26" t="s">
        <v>28</v>
      </c>
      <c r="F11" s="26" t="s">
        <v>29</v>
      </c>
      <c r="G11" s="21">
        <v>7.37</v>
      </c>
      <c r="H11" s="21">
        <f t="shared" si="1"/>
        <v>88.44</v>
      </c>
      <c r="I11" s="21">
        <f t="shared" si="2"/>
        <v>98.24</v>
      </c>
      <c r="J11" s="166">
        <f t="shared" si="3"/>
        <v>103.18</v>
      </c>
      <c r="K11" s="192"/>
      <c r="L11" s="191"/>
      <c r="M11" s="21">
        <v>6.76</v>
      </c>
      <c r="N11" s="89">
        <f t="shared" ref="N11:N54" si="4">ROUND(M11*1.09,2)</f>
        <v>7.37</v>
      </c>
      <c r="O11" s="70">
        <f t="shared" ref="O11:O74" si="5">(N11-M11)/M11</f>
        <v>0.0902366863905326</v>
      </c>
      <c r="P11" s="25">
        <f t="shared" ref="P11:P74" si="6">N11*13.33</f>
        <v>98.2421</v>
      </c>
    </row>
    <row r="12" s="79" customFormat="1" spans="1:16">
      <c r="A12" s="162" t="s">
        <v>24</v>
      </c>
      <c r="B12" s="20">
        <f t="shared" si="0"/>
        <v>0.0762001524003048</v>
      </c>
      <c r="C12" s="110">
        <v>3</v>
      </c>
      <c r="D12" s="21" t="s">
        <v>25</v>
      </c>
      <c r="E12" s="26" t="s">
        <v>30</v>
      </c>
      <c r="F12" s="26" t="s">
        <v>29</v>
      </c>
      <c r="G12" s="21">
        <v>9.06</v>
      </c>
      <c r="H12" s="21">
        <f t="shared" si="1"/>
        <v>108.72</v>
      </c>
      <c r="I12" s="21">
        <f t="shared" si="2"/>
        <v>120.77</v>
      </c>
      <c r="J12" s="166">
        <f t="shared" si="3"/>
        <v>126.84</v>
      </c>
      <c r="K12" s="192"/>
      <c r="L12" s="191"/>
      <c r="M12" s="21">
        <v>8.31</v>
      </c>
      <c r="N12" s="89">
        <f t="shared" si="4"/>
        <v>9.06</v>
      </c>
      <c r="O12" s="70">
        <f t="shared" si="5"/>
        <v>0.0902527075812274</v>
      </c>
      <c r="P12" s="25">
        <f t="shared" si="6"/>
        <v>120.7698</v>
      </c>
    </row>
    <row r="13" spans="1:16">
      <c r="A13" s="162" t="s">
        <v>24</v>
      </c>
      <c r="B13" s="20">
        <f t="shared" si="0"/>
        <v>0.0762001524003048</v>
      </c>
      <c r="C13" s="110">
        <v>3</v>
      </c>
      <c r="D13" s="21" t="s">
        <v>25</v>
      </c>
      <c r="E13" s="26" t="s">
        <v>26</v>
      </c>
      <c r="F13" s="26" t="s">
        <v>29</v>
      </c>
      <c r="G13" s="21">
        <v>10.44</v>
      </c>
      <c r="H13" s="21">
        <f t="shared" si="1"/>
        <v>125.28</v>
      </c>
      <c r="I13" s="21">
        <f t="shared" si="2"/>
        <v>139.17</v>
      </c>
      <c r="J13" s="166">
        <f t="shared" si="3"/>
        <v>146.16</v>
      </c>
      <c r="K13" s="192"/>
      <c r="L13" s="191"/>
      <c r="M13" s="21">
        <v>9.49</v>
      </c>
      <c r="N13" s="89">
        <f>ROUND(M13*1.1,2)</f>
        <v>10.44</v>
      </c>
      <c r="O13" s="70">
        <f t="shared" si="5"/>
        <v>0.100105374077977</v>
      </c>
      <c r="P13" s="25">
        <f t="shared" si="6"/>
        <v>139.1652</v>
      </c>
    </row>
    <row r="14" spans="1:16">
      <c r="A14" s="162" t="s">
        <v>24</v>
      </c>
      <c r="B14" s="20">
        <f t="shared" si="0"/>
        <v>0.0762001524003048</v>
      </c>
      <c r="C14" s="110">
        <v>3</v>
      </c>
      <c r="D14" s="21" t="s">
        <v>25</v>
      </c>
      <c r="E14" s="26" t="s">
        <v>31</v>
      </c>
      <c r="F14" s="26" t="s">
        <v>29</v>
      </c>
      <c r="G14" s="21">
        <v>21.09</v>
      </c>
      <c r="H14" s="21">
        <f t="shared" si="1"/>
        <v>253.08</v>
      </c>
      <c r="I14" s="21">
        <f t="shared" si="2"/>
        <v>281.13</v>
      </c>
      <c r="J14" s="166">
        <f t="shared" si="3"/>
        <v>295.26</v>
      </c>
      <c r="K14" s="192"/>
      <c r="L14" s="191"/>
      <c r="M14" s="21">
        <v>19.53</v>
      </c>
      <c r="N14" s="89">
        <f>ROUND(M14*1.08,2)</f>
        <v>21.09</v>
      </c>
      <c r="O14" s="70">
        <f t="shared" si="5"/>
        <v>0.0798771121351766</v>
      </c>
      <c r="P14" s="25">
        <f t="shared" si="6"/>
        <v>281.1297</v>
      </c>
    </row>
    <row r="15" spans="1:16">
      <c r="A15" s="162" t="s">
        <v>24</v>
      </c>
      <c r="B15" s="20">
        <f t="shared" si="0"/>
        <v>0.0762001524003048</v>
      </c>
      <c r="C15" s="110">
        <v>3</v>
      </c>
      <c r="D15" s="21" t="s">
        <v>25</v>
      </c>
      <c r="E15" s="26" t="s">
        <v>31</v>
      </c>
      <c r="F15" s="26" t="s">
        <v>27</v>
      </c>
      <c r="G15" s="21">
        <v>22.39</v>
      </c>
      <c r="H15" s="21">
        <f t="shared" si="1"/>
        <v>268.68</v>
      </c>
      <c r="I15" s="21">
        <f t="shared" si="2"/>
        <v>298.46</v>
      </c>
      <c r="J15" s="166">
        <f t="shared" si="3"/>
        <v>313.46</v>
      </c>
      <c r="K15" s="192"/>
      <c r="L15" s="191"/>
      <c r="M15" s="21">
        <v>20.73</v>
      </c>
      <c r="N15" s="89">
        <f>ROUND(M15*1.08,2)</f>
        <v>22.39</v>
      </c>
      <c r="O15" s="70">
        <f t="shared" si="5"/>
        <v>0.080077182826821</v>
      </c>
      <c r="P15" s="25">
        <f t="shared" si="6"/>
        <v>298.4587</v>
      </c>
    </row>
    <row r="16" spans="1:16">
      <c r="A16" s="162" t="s">
        <v>24</v>
      </c>
      <c r="B16" s="20">
        <f t="shared" si="0"/>
        <v>0.0889001778003556</v>
      </c>
      <c r="C16" s="110">
        <v>3.5</v>
      </c>
      <c r="D16" s="21" t="s">
        <v>32</v>
      </c>
      <c r="E16" s="26" t="s">
        <v>28</v>
      </c>
      <c r="F16" s="26" t="s">
        <v>29</v>
      </c>
      <c r="G16" s="21">
        <v>7.77</v>
      </c>
      <c r="H16" s="21">
        <f t="shared" si="1"/>
        <v>93.24</v>
      </c>
      <c r="I16" s="21">
        <f t="shared" si="2"/>
        <v>103.57</v>
      </c>
      <c r="J16" s="166">
        <f t="shared" si="3"/>
        <v>108.78</v>
      </c>
      <c r="K16" s="192"/>
      <c r="L16" s="191"/>
      <c r="M16" s="21">
        <v>7.13</v>
      </c>
      <c r="N16" s="89">
        <f t="shared" si="4"/>
        <v>7.77</v>
      </c>
      <c r="O16" s="70">
        <f t="shared" si="5"/>
        <v>0.0897615708274894</v>
      </c>
      <c r="P16" s="25">
        <f t="shared" si="6"/>
        <v>103.5741</v>
      </c>
    </row>
    <row r="17" spans="1:16">
      <c r="A17" s="162" t="s">
        <v>24</v>
      </c>
      <c r="B17" s="20">
        <f t="shared" ref="B17:B22" si="7">C17/39.37</f>
        <v>0.0889001778003556</v>
      </c>
      <c r="C17" s="110">
        <v>3.5</v>
      </c>
      <c r="D17" s="21" t="s">
        <v>32</v>
      </c>
      <c r="E17" s="26" t="s">
        <v>26</v>
      </c>
      <c r="F17" s="26" t="s">
        <v>29</v>
      </c>
      <c r="G17" s="21">
        <v>10.53</v>
      </c>
      <c r="H17" s="21">
        <f t="shared" si="1"/>
        <v>126.36</v>
      </c>
      <c r="I17" s="21">
        <f t="shared" si="2"/>
        <v>140.36</v>
      </c>
      <c r="J17" s="166">
        <f t="shared" si="3"/>
        <v>147.42</v>
      </c>
      <c r="K17" s="192"/>
      <c r="L17" s="191"/>
      <c r="M17" s="21">
        <v>9.57</v>
      </c>
      <c r="N17" s="89">
        <f>ROUND(M17*1.1,2)</f>
        <v>10.53</v>
      </c>
      <c r="O17" s="70">
        <f t="shared" si="5"/>
        <v>0.100313479623824</v>
      </c>
      <c r="P17" s="25">
        <f t="shared" si="6"/>
        <v>140.3649</v>
      </c>
    </row>
    <row r="18" spans="1:16">
      <c r="A18" s="162" t="s">
        <v>24</v>
      </c>
      <c r="B18" s="20">
        <f t="shared" si="7"/>
        <v>0.0889001778003556</v>
      </c>
      <c r="C18" s="110">
        <v>3.5</v>
      </c>
      <c r="D18" s="21" t="s">
        <v>32</v>
      </c>
      <c r="E18" s="26" t="s">
        <v>31</v>
      </c>
      <c r="F18" s="26" t="s">
        <v>29</v>
      </c>
      <c r="G18" s="21">
        <v>21.46</v>
      </c>
      <c r="H18" s="21">
        <f t="shared" si="1"/>
        <v>257.52</v>
      </c>
      <c r="I18" s="21">
        <f t="shared" si="2"/>
        <v>286.06</v>
      </c>
      <c r="J18" s="166">
        <f t="shared" si="3"/>
        <v>300.44</v>
      </c>
      <c r="K18" s="192"/>
      <c r="L18" s="191"/>
      <c r="M18" s="21">
        <v>19.87</v>
      </c>
      <c r="N18" s="89">
        <f>ROUND(M18*1.08,2)</f>
        <v>21.46</v>
      </c>
      <c r="O18" s="70">
        <f t="shared" si="5"/>
        <v>0.0800201308505284</v>
      </c>
      <c r="P18" s="25">
        <f t="shared" si="6"/>
        <v>286.0618</v>
      </c>
    </row>
    <row r="19" spans="1:16">
      <c r="A19" s="162" t="s">
        <v>24</v>
      </c>
      <c r="B19" s="20">
        <f t="shared" si="7"/>
        <v>0.101600203200406</v>
      </c>
      <c r="C19" s="110">
        <v>4</v>
      </c>
      <c r="D19" s="21" t="s">
        <v>33</v>
      </c>
      <c r="E19" s="26" t="s">
        <v>28</v>
      </c>
      <c r="F19" s="26" t="s">
        <v>29</v>
      </c>
      <c r="G19" s="21">
        <v>7.15</v>
      </c>
      <c r="H19" s="21">
        <f t="shared" si="1"/>
        <v>85.8</v>
      </c>
      <c r="I19" s="21">
        <f t="shared" si="2"/>
        <v>95.31</v>
      </c>
      <c r="J19" s="166">
        <f t="shared" si="3"/>
        <v>100.1</v>
      </c>
      <c r="K19" s="192"/>
      <c r="L19" s="191"/>
      <c r="M19" s="21">
        <v>6.56</v>
      </c>
      <c r="N19" s="89">
        <f t="shared" si="4"/>
        <v>7.15</v>
      </c>
      <c r="O19" s="70">
        <f t="shared" si="5"/>
        <v>0.089939024390244</v>
      </c>
      <c r="P19" s="25">
        <f t="shared" si="6"/>
        <v>95.3095</v>
      </c>
    </row>
    <row r="20" spans="1:16">
      <c r="A20" s="162" t="s">
        <v>24</v>
      </c>
      <c r="B20" s="20">
        <f t="shared" si="7"/>
        <v>0.101600203200406</v>
      </c>
      <c r="C20" s="110">
        <v>4</v>
      </c>
      <c r="D20" s="21" t="s">
        <v>33</v>
      </c>
      <c r="E20" s="26" t="s">
        <v>30</v>
      </c>
      <c r="F20" s="26" t="s">
        <v>29</v>
      </c>
      <c r="G20" s="21">
        <v>9.19</v>
      </c>
      <c r="H20" s="21">
        <f t="shared" si="1"/>
        <v>110.28</v>
      </c>
      <c r="I20" s="21">
        <f t="shared" si="2"/>
        <v>122.5</v>
      </c>
      <c r="J20" s="166">
        <f t="shared" si="3"/>
        <v>128.66</v>
      </c>
      <c r="K20" s="192"/>
      <c r="L20" s="191"/>
      <c r="M20" s="21">
        <v>8.43</v>
      </c>
      <c r="N20" s="89">
        <f t="shared" si="4"/>
        <v>9.19</v>
      </c>
      <c r="O20" s="70">
        <f t="shared" si="5"/>
        <v>0.0901542111506524</v>
      </c>
      <c r="P20" s="25">
        <f t="shared" si="6"/>
        <v>122.5027</v>
      </c>
    </row>
    <row r="21" spans="1:16">
      <c r="A21" s="162" t="s">
        <v>24</v>
      </c>
      <c r="B21" s="20">
        <f t="shared" si="7"/>
        <v>0.101600203200406</v>
      </c>
      <c r="C21" s="110">
        <v>4</v>
      </c>
      <c r="D21" s="21" t="s">
        <v>33</v>
      </c>
      <c r="E21" s="26" t="s">
        <v>26</v>
      </c>
      <c r="F21" s="26" t="s">
        <v>29</v>
      </c>
      <c r="G21" s="21">
        <v>10.45</v>
      </c>
      <c r="H21" s="21">
        <f t="shared" si="1"/>
        <v>125.4</v>
      </c>
      <c r="I21" s="21">
        <f t="shared" si="2"/>
        <v>139.3</v>
      </c>
      <c r="J21" s="166">
        <f t="shared" si="3"/>
        <v>146.3</v>
      </c>
      <c r="K21" s="192"/>
      <c r="L21" s="191"/>
      <c r="M21" s="21">
        <v>9.5</v>
      </c>
      <c r="N21" s="89">
        <f>ROUND(M21*1.1,2)</f>
        <v>10.45</v>
      </c>
      <c r="O21" s="70">
        <f t="shared" si="5"/>
        <v>0.0999999999999999</v>
      </c>
      <c r="P21" s="25">
        <f t="shared" si="6"/>
        <v>139.2985</v>
      </c>
    </row>
    <row r="22" spans="1:16">
      <c r="A22" s="162" t="s">
        <v>24</v>
      </c>
      <c r="B22" s="20">
        <f t="shared" si="7"/>
        <v>0.101600203200406</v>
      </c>
      <c r="C22" s="110">
        <v>4</v>
      </c>
      <c r="D22" s="21" t="s">
        <v>33</v>
      </c>
      <c r="E22" s="26" t="s">
        <v>26</v>
      </c>
      <c r="F22" s="26" t="s">
        <v>27</v>
      </c>
      <c r="G22" s="21">
        <v>11.59</v>
      </c>
      <c r="H22" s="21">
        <f t="shared" si="1"/>
        <v>139.08</v>
      </c>
      <c r="I22" s="21">
        <f t="shared" si="2"/>
        <v>154.49</v>
      </c>
      <c r="J22" s="166">
        <f t="shared" si="3"/>
        <v>162.26</v>
      </c>
      <c r="K22" s="192"/>
      <c r="L22" s="191"/>
      <c r="M22" s="21">
        <v>10.63</v>
      </c>
      <c r="N22" s="89">
        <f t="shared" si="4"/>
        <v>11.59</v>
      </c>
      <c r="O22" s="70">
        <f t="shared" si="5"/>
        <v>0.0903104421448729</v>
      </c>
      <c r="P22" s="25">
        <f t="shared" si="6"/>
        <v>154.4947</v>
      </c>
    </row>
    <row r="23" spans="1:16">
      <c r="A23" s="162" t="s">
        <v>24</v>
      </c>
      <c r="B23" s="20">
        <f t="shared" ref="B23:B53" si="8">C23/39.37</f>
        <v>0.101600203200406</v>
      </c>
      <c r="C23" s="110">
        <v>4</v>
      </c>
      <c r="D23" s="21" t="s">
        <v>33</v>
      </c>
      <c r="E23" s="26" t="s">
        <v>31</v>
      </c>
      <c r="F23" s="26" t="s">
        <v>29</v>
      </c>
      <c r="G23" s="21">
        <v>21.42</v>
      </c>
      <c r="H23" s="21">
        <f t="shared" si="1"/>
        <v>257.04</v>
      </c>
      <c r="I23" s="21">
        <f t="shared" si="2"/>
        <v>285.53</v>
      </c>
      <c r="J23" s="166">
        <f t="shared" si="3"/>
        <v>299.88</v>
      </c>
      <c r="K23" s="192"/>
      <c r="L23" s="191"/>
      <c r="M23" s="21">
        <v>19.83</v>
      </c>
      <c r="N23" s="89">
        <f>ROUND(M23*1.08,2)</f>
        <v>21.42</v>
      </c>
      <c r="O23" s="70">
        <f t="shared" si="5"/>
        <v>0.0801815431164903</v>
      </c>
      <c r="P23" s="25">
        <f t="shared" si="6"/>
        <v>285.5286</v>
      </c>
    </row>
    <row r="24" spans="1:16">
      <c r="A24" s="162" t="s">
        <v>24</v>
      </c>
      <c r="B24" s="20">
        <f t="shared" si="8"/>
        <v>0.101600203200406</v>
      </c>
      <c r="C24" s="110">
        <v>4</v>
      </c>
      <c r="D24" s="21" t="s">
        <v>33</v>
      </c>
      <c r="E24" s="26" t="s">
        <v>34</v>
      </c>
      <c r="F24" s="26" t="s">
        <v>29</v>
      </c>
      <c r="G24" s="21">
        <v>32.89</v>
      </c>
      <c r="H24" s="21">
        <f t="shared" si="1"/>
        <v>394.68</v>
      </c>
      <c r="I24" s="21">
        <f t="shared" si="2"/>
        <v>438.42</v>
      </c>
      <c r="J24" s="166">
        <f t="shared" si="3"/>
        <v>460.46</v>
      </c>
      <c r="K24" s="192"/>
      <c r="L24" s="191"/>
      <c r="M24" s="21">
        <v>30.45</v>
      </c>
      <c r="N24" s="89">
        <f>ROUND(M24*1.08,2)</f>
        <v>32.89</v>
      </c>
      <c r="O24" s="70">
        <f t="shared" si="5"/>
        <v>0.0801313628899836</v>
      </c>
      <c r="P24" s="25">
        <f t="shared" si="6"/>
        <v>438.4237</v>
      </c>
    </row>
    <row r="25" spans="1:16">
      <c r="A25" s="162" t="s">
        <v>24</v>
      </c>
      <c r="B25" s="20">
        <f t="shared" si="8"/>
        <v>0.101600203200406</v>
      </c>
      <c r="C25" s="110">
        <v>4</v>
      </c>
      <c r="D25" s="21" t="s">
        <v>32</v>
      </c>
      <c r="E25" s="26" t="s">
        <v>26</v>
      </c>
      <c r="F25" s="26" t="s">
        <v>29</v>
      </c>
      <c r="G25" s="21">
        <v>10.68</v>
      </c>
      <c r="H25" s="21">
        <f t="shared" si="1"/>
        <v>128.16</v>
      </c>
      <c r="I25" s="21">
        <f t="shared" si="2"/>
        <v>142.36</v>
      </c>
      <c r="J25" s="166">
        <f t="shared" si="3"/>
        <v>149.52</v>
      </c>
      <c r="K25" s="192"/>
      <c r="L25" s="191"/>
      <c r="M25" s="21">
        <v>9.8</v>
      </c>
      <c r="N25" s="89">
        <f t="shared" si="4"/>
        <v>10.68</v>
      </c>
      <c r="O25" s="70">
        <f t="shared" si="5"/>
        <v>0.0897959183673468</v>
      </c>
      <c r="P25" s="25">
        <f t="shared" si="6"/>
        <v>142.3644</v>
      </c>
    </row>
    <row r="26" spans="1:16">
      <c r="A26" s="162" t="s">
        <v>24</v>
      </c>
      <c r="B26" s="20">
        <f t="shared" si="8"/>
        <v>0.101600203200406</v>
      </c>
      <c r="C26" s="110">
        <v>4</v>
      </c>
      <c r="D26" s="21" t="s">
        <v>35</v>
      </c>
      <c r="E26" s="26" t="s">
        <v>28</v>
      </c>
      <c r="F26" s="26" t="s">
        <v>29</v>
      </c>
      <c r="G26" s="21">
        <v>7.74</v>
      </c>
      <c r="H26" s="21">
        <f t="shared" si="1"/>
        <v>92.88</v>
      </c>
      <c r="I26" s="21">
        <f t="shared" si="2"/>
        <v>103.17</v>
      </c>
      <c r="J26" s="166">
        <f t="shared" si="3"/>
        <v>108.36</v>
      </c>
      <c r="K26" s="192"/>
      <c r="L26" s="191"/>
      <c r="M26" s="21">
        <v>7.1</v>
      </c>
      <c r="N26" s="89">
        <f t="shared" si="4"/>
        <v>7.74</v>
      </c>
      <c r="O26" s="70">
        <f t="shared" si="5"/>
        <v>0.0901408450704226</v>
      </c>
      <c r="P26" s="25">
        <f t="shared" si="6"/>
        <v>103.1742</v>
      </c>
    </row>
    <row r="27" spans="1:16">
      <c r="A27" s="162" t="s">
        <v>24</v>
      </c>
      <c r="B27" s="20">
        <f t="shared" si="8"/>
        <v>0.101600203200406</v>
      </c>
      <c r="C27" s="110">
        <v>4</v>
      </c>
      <c r="D27" s="21" t="s">
        <v>35</v>
      </c>
      <c r="E27" s="26" t="s">
        <v>26</v>
      </c>
      <c r="F27" s="26" t="s">
        <v>29</v>
      </c>
      <c r="G27" s="21">
        <v>10.88</v>
      </c>
      <c r="H27" s="21">
        <f t="shared" si="1"/>
        <v>130.56</v>
      </c>
      <c r="I27" s="21">
        <f t="shared" si="2"/>
        <v>145.03</v>
      </c>
      <c r="J27" s="166">
        <f t="shared" si="3"/>
        <v>152.32</v>
      </c>
      <c r="K27" s="192"/>
      <c r="L27" s="191"/>
      <c r="M27" s="21">
        <v>9.89</v>
      </c>
      <c r="N27" s="89">
        <f>ROUND(M27*1.1,2)</f>
        <v>10.88</v>
      </c>
      <c r="O27" s="70">
        <f t="shared" si="5"/>
        <v>0.10010111223458</v>
      </c>
      <c r="P27" s="25">
        <f t="shared" si="6"/>
        <v>145.0304</v>
      </c>
    </row>
    <row r="28" spans="1:16">
      <c r="A28" s="162" t="s">
        <v>24</v>
      </c>
      <c r="B28" s="20">
        <f t="shared" si="8"/>
        <v>0.101600203200406</v>
      </c>
      <c r="C28" s="110">
        <v>4</v>
      </c>
      <c r="D28" s="21" t="s">
        <v>36</v>
      </c>
      <c r="E28" s="26" t="s">
        <v>26</v>
      </c>
      <c r="F28" s="26" t="s">
        <v>29</v>
      </c>
      <c r="G28" s="21">
        <v>11.38</v>
      </c>
      <c r="H28" s="21">
        <f t="shared" si="1"/>
        <v>136.56</v>
      </c>
      <c r="I28" s="21">
        <f t="shared" si="2"/>
        <v>151.7</v>
      </c>
      <c r="J28" s="166">
        <f t="shared" si="3"/>
        <v>159.32</v>
      </c>
      <c r="K28" s="192"/>
      <c r="L28" s="191"/>
      <c r="M28" s="21">
        <v>10.44</v>
      </c>
      <c r="N28" s="89">
        <f t="shared" si="4"/>
        <v>11.38</v>
      </c>
      <c r="O28" s="70">
        <f t="shared" si="5"/>
        <v>0.0900383141762453</v>
      </c>
      <c r="P28" s="25">
        <f t="shared" si="6"/>
        <v>151.6954</v>
      </c>
    </row>
    <row r="29" spans="1:16">
      <c r="A29" s="162" t="s">
        <v>24</v>
      </c>
      <c r="B29" s="20">
        <f t="shared" si="8"/>
        <v>0.101600203200406</v>
      </c>
      <c r="C29" s="110">
        <v>4</v>
      </c>
      <c r="D29" s="21" t="s">
        <v>36</v>
      </c>
      <c r="E29" s="26" t="s">
        <v>31</v>
      </c>
      <c r="F29" s="26" t="s">
        <v>29</v>
      </c>
      <c r="G29" s="21">
        <v>22.07</v>
      </c>
      <c r="H29" s="21">
        <f t="shared" si="1"/>
        <v>264.84</v>
      </c>
      <c r="I29" s="21">
        <f t="shared" si="2"/>
        <v>294.19</v>
      </c>
      <c r="J29" s="166">
        <f t="shared" si="3"/>
        <v>308.98</v>
      </c>
      <c r="K29" s="192"/>
      <c r="L29" s="191"/>
      <c r="M29" s="21">
        <v>20.25</v>
      </c>
      <c r="N29" s="89">
        <f t="shared" si="4"/>
        <v>22.07</v>
      </c>
      <c r="O29" s="70">
        <f t="shared" si="5"/>
        <v>0.0898765432098766</v>
      </c>
      <c r="P29" s="25">
        <f t="shared" si="6"/>
        <v>294.1931</v>
      </c>
    </row>
    <row r="30" spans="1:16">
      <c r="A30" s="162" t="s">
        <v>24</v>
      </c>
      <c r="B30" s="20">
        <f t="shared" si="8"/>
        <v>0.114300228600457</v>
      </c>
      <c r="C30" s="110">
        <v>4.5</v>
      </c>
      <c r="D30" s="21" t="s">
        <v>33</v>
      </c>
      <c r="E30" s="26" t="s">
        <v>28</v>
      </c>
      <c r="F30" s="26" t="s">
        <v>29</v>
      </c>
      <c r="G30" s="21">
        <v>7.61</v>
      </c>
      <c r="H30" s="21">
        <f t="shared" ref="H30:H53" si="9">ROUND(G30*12,2)</f>
        <v>91.32</v>
      </c>
      <c r="I30" s="21">
        <f t="shared" ref="I30:I53" si="10">ROUND(G30*13.33,2)</f>
        <v>101.44</v>
      </c>
      <c r="J30" s="166">
        <f t="shared" ref="J30:J53" si="11">ROUND(G30*14,2)</f>
        <v>106.54</v>
      </c>
      <c r="K30" s="192"/>
      <c r="L30" s="191"/>
      <c r="M30" s="21">
        <v>6.98</v>
      </c>
      <c r="N30" s="89">
        <f t="shared" si="4"/>
        <v>7.61</v>
      </c>
      <c r="O30" s="70">
        <f t="shared" si="5"/>
        <v>0.0902578796561604</v>
      </c>
      <c r="P30" s="25">
        <f t="shared" si="6"/>
        <v>101.4413</v>
      </c>
    </row>
    <row r="31" spans="1:16">
      <c r="A31" s="162" t="s">
        <v>24</v>
      </c>
      <c r="B31" s="20">
        <f t="shared" si="8"/>
        <v>0.114300228600457</v>
      </c>
      <c r="C31" s="110">
        <v>4.5</v>
      </c>
      <c r="D31" s="21" t="s">
        <v>33</v>
      </c>
      <c r="E31" s="26" t="s">
        <v>26</v>
      </c>
      <c r="F31" s="26" t="s">
        <v>29</v>
      </c>
      <c r="G31" s="21">
        <v>10.46</v>
      </c>
      <c r="H31" s="21">
        <f t="shared" si="9"/>
        <v>125.52</v>
      </c>
      <c r="I31" s="21">
        <f t="shared" si="10"/>
        <v>139.43</v>
      </c>
      <c r="J31" s="166">
        <f t="shared" si="11"/>
        <v>146.44</v>
      </c>
      <c r="K31" s="192"/>
      <c r="L31" s="191"/>
      <c r="M31" s="21">
        <v>9.51</v>
      </c>
      <c r="N31" s="89">
        <f>ROUND(M31*1.1,2)</f>
        <v>10.46</v>
      </c>
      <c r="O31" s="70">
        <f t="shared" si="5"/>
        <v>0.099894847528917</v>
      </c>
      <c r="P31" s="25">
        <f t="shared" si="6"/>
        <v>139.4318</v>
      </c>
    </row>
    <row r="32" spans="1:16">
      <c r="A32" s="162" t="s">
        <v>24</v>
      </c>
      <c r="B32" s="20">
        <f t="shared" si="8"/>
        <v>0.114300228600457</v>
      </c>
      <c r="C32" s="110">
        <v>4.5</v>
      </c>
      <c r="D32" s="21" t="s">
        <v>33</v>
      </c>
      <c r="E32" s="26" t="s">
        <v>31</v>
      </c>
      <c r="F32" s="26" t="s">
        <v>29</v>
      </c>
      <c r="G32" s="21">
        <v>21.05</v>
      </c>
      <c r="H32" s="21">
        <f t="shared" si="9"/>
        <v>252.6</v>
      </c>
      <c r="I32" s="21">
        <f t="shared" si="10"/>
        <v>280.6</v>
      </c>
      <c r="J32" s="166">
        <f t="shared" si="11"/>
        <v>294.7</v>
      </c>
      <c r="K32" s="192"/>
      <c r="L32" s="191"/>
      <c r="M32" s="21">
        <v>19.49</v>
      </c>
      <c r="N32" s="89">
        <f>ROUND(M32*1.08,2)</f>
        <v>21.05</v>
      </c>
      <c r="O32" s="70">
        <f t="shared" si="5"/>
        <v>0.0800410466906107</v>
      </c>
      <c r="P32" s="25">
        <f t="shared" si="6"/>
        <v>280.5965</v>
      </c>
    </row>
    <row r="33" spans="1:16">
      <c r="A33" s="162" t="s">
        <v>24</v>
      </c>
      <c r="B33" s="20">
        <f t="shared" si="8"/>
        <v>0.127000254000508</v>
      </c>
      <c r="C33" s="110">
        <v>5</v>
      </c>
      <c r="D33" s="21" t="s">
        <v>32</v>
      </c>
      <c r="E33" s="26" t="s">
        <v>28</v>
      </c>
      <c r="F33" s="26" t="s">
        <v>29</v>
      </c>
      <c r="G33" s="21">
        <v>7.67</v>
      </c>
      <c r="H33" s="21">
        <f t="shared" si="9"/>
        <v>92.04</v>
      </c>
      <c r="I33" s="21">
        <f t="shared" si="10"/>
        <v>102.24</v>
      </c>
      <c r="J33" s="166">
        <f t="shared" si="11"/>
        <v>107.38</v>
      </c>
      <c r="K33" s="192"/>
      <c r="L33" s="191"/>
      <c r="M33" s="21">
        <v>7.04</v>
      </c>
      <c r="N33" s="89">
        <f t="shared" si="4"/>
        <v>7.67</v>
      </c>
      <c r="O33" s="70">
        <f t="shared" si="5"/>
        <v>0.0894886363636364</v>
      </c>
      <c r="P33" s="25">
        <f t="shared" si="6"/>
        <v>102.2411</v>
      </c>
    </row>
    <row r="34" spans="1:16">
      <c r="A34" s="162" t="s">
        <v>24</v>
      </c>
      <c r="B34" s="20">
        <f t="shared" si="8"/>
        <v>0.127000254000508</v>
      </c>
      <c r="C34" s="110">
        <v>5</v>
      </c>
      <c r="D34" s="21" t="s">
        <v>33</v>
      </c>
      <c r="E34" s="26" t="s">
        <v>28</v>
      </c>
      <c r="F34" s="26" t="s">
        <v>29</v>
      </c>
      <c r="G34" s="21">
        <v>7.75</v>
      </c>
      <c r="H34" s="21">
        <f t="shared" si="9"/>
        <v>93</v>
      </c>
      <c r="I34" s="21">
        <f t="shared" si="10"/>
        <v>103.31</v>
      </c>
      <c r="J34" s="166">
        <f t="shared" si="11"/>
        <v>108.5</v>
      </c>
      <c r="K34" s="192"/>
      <c r="L34" s="191"/>
      <c r="M34" s="21">
        <v>7.11</v>
      </c>
      <c r="N34" s="89">
        <f t="shared" si="4"/>
        <v>7.75</v>
      </c>
      <c r="O34" s="70">
        <f t="shared" si="5"/>
        <v>0.0900140646976089</v>
      </c>
      <c r="P34" s="25">
        <f t="shared" si="6"/>
        <v>103.3075</v>
      </c>
    </row>
    <row r="35" spans="1:16">
      <c r="A35" s="162" t="s">
        <v>24</v>
      </c>
      <c r="B35" s="20">
        <f t="shared" si="8"/>
        <v>0.127000254000508</v>
      </c>
      <c r="C35" s="110">
        <v>5</v>
      </c>
      <c r="D35" s="21" t="s">
        <v>33</v>
      </c>
      <c r="E35" s="26" t="s">
        <v>30</v>
      </c>
      <c r="F35" s="26" t="s">
        <v>29</v>
      </c>
      <c r="G35" s="21">
        <v>9.4</v>
      </c>
      <c r="H35" s="21">
        <f t="shared" si="9"/>
        <v>112.8</v>
      </c>
      <c r="I35" s="21">
        <f t="shared" si="10"/>
        <v>125.3</v>
      </c>
      <c r="J35" s="166">
        <f t="shared" si="11"/>
        <v>131.6</v>
      </c>
      <c r="K35" s="192"/>
      <c r="L35" s="191"/>
      <c r="M35" s="21">
        <v>8.62</v>
      </c>
      <c r="N35" s="89">
        <f t="shared" si="4"/>
        <v>9.4</v>
      </c>
      <c r="O35" s="70">
        <f t="shared" si="5"/>
        <v>0.0904872389791185</v>
      </c>
      <c r="P35" s="25">
        <f t="shared" si="6"/>
        <v>125.302</v>
      </c>
    </row>
    <row r="36" spans="1:16">
      <c r="A36" s="162" t="s">
        <v>24</v>
      </c>
      <c r="B36" s="20">
        <f t="shared" si="8"/>
        <v>0.127000254000508</v>
      </c>
      <c r="C36" s="110">
        <v>5</v>
      </c>
      <c r="D36" s="21" t="s">
        <v>33</v>
      </c>
      <c r="E36" s="26" t="s">
        <v>26</v>
      </c>
      <c r="F36" s="26" t="s">
        <v>29</v>
      </c>
      <c r="G36" s="21">
        <v>10.42</v>
      </c>
      <c r="H36" s="21">
        <f t="shared" si="9"/>
        <v>125.04</v>
      </c>
      <c r="I36" s="21">
        <f t="shared" si="10"/>
        <v>138.9</v>
      </c>
      <c r="J36" s="166">
        <f t="shared" si="11"/>
        <v>145.88</v>
      </c>
      <c r="K36" s="192"/>
      <c r="L36" s="191"/>
      <c r="M36" s="21">
        <v>9.47</v>
      </c>
      <c r="N36" s="89">
        <f>ROUND(M36*1.1,2)</f>
        <v>10.42</v>
      </c>
      <c r="O36" s="70">
        <f t="shared" si="5"/>
        <v>0.100316789862724</v>
      </c>
      <c r="P36" s="25">
        <f t="shared" si="6"/>
        <v>138.8986</v>
      </c>
    </row>
    <row r="37" spans="1:16">
      <c r="A37" s="162" t="s">
        <v>24</v>
      </c>
      <c r="B37" s="20">
        <f t="shared" si="8"/>
        <v>0.127000254000508</v>
      </c>
      <c r="C37" s="110">
        <v>5</v>
      </c>
      <c r="D37" s="21" t="s">
        <v>33</v>
      </c>
      <c r="E37" s="26" t="s">
        <v>26</v>
      </c>
      <c r="F37" s="26" t="s">
        <v>27</v>
      </c>
      <c r="G37" s="21">
        <v>11.28</v>
      </c>
      <c r="H37" s="21">
        <f t="shared" si="9"/>
        <v>135.36</v>
      </c>
      <c r="I37" s="21">
        <f t="shared" si="10"/>
        <v>150.36</v>
      </c>
      <c r="J37" s="166">
        <f t="shared" si="11"/>
        <v>157.92</v>
      </c>
      <c r="K37" s="192"/>
      <c r="L37" s="191"/>
      <c r="M37" s="21">
        <v>10.35</v>
      </c>
      <c r="N37" s="89">
        <f t="shared" si="4"/>
        <v>11.28</v>
      </c>
      <c r="O37" s="70">
        <f t="shared" si="5"/>
        <v>0.0898550724637681</v>
      </c>
      <c r="P37" s="25">
        <f t="shared" si="6"/>
        <v>150.3624</v>
      </c>
    </row>
    <row r="38" spans="1:16">
      <c r="A38" s="162" t="s">
        <v>24</v>
      </c>
      <c r="B38" s="20">
        <f t="shared" si="8"/>
        <v>0.127000254000508</v>
      </c>
      <c r="C38" s="110">
        <v>5</v>
      </c>
      <c r="D38" s="21" t="s">
        <v>33</v>
      </c>
      <c r="E38" s="26" t="s">
        <v>31</v>
      </c>
      <c r="F38" s="26" t="s">
        <v>29</v>
      </c>
      <c r="G38" s="21">
        <v>21.35</v>
      </c>
      <c r="H38" s="21">
        <f t="shared" si="9"/>
        <v>256.2</v>
      </c>
      <c r="I38" s="21">
        <f t="shared" si="10"/>
        <v>284.6</v>
      </c>
      <c r="J38" s="166">
        <f t="shared" si="11"/>
        <v>298.9</v>
      </c>
      <c r="K38" s="192"/>
      <c r="L38" s="191"/>
      <c r="M38" s="21">
        <v>19.77</v>
      </c>
      <c r="N38" s="89">
        <f>ROUND(M38*1.08,2)</f>
        <v>21.35</v>
      </c>
      <c r="O38" s="70">
        <f t="shared" si="5"/>
        <v>0.0799190692969146</v>
      </c>
      <c r="P38" s="25">
        <f t="shared" si="6"/>
        <v>284.5955</v>
      </c>
    </row>
    <row r="39" spans="1:16">
      <c r="A39" s="162" t="s">
        <v>24</v>
      </c>
      <c r="B39" s="20">
        <f t="shared" si="8"/>
        <v>0.127000254000508</v>
      </c>
      <c r="C39" s="110">
        <v>5</v>
      </c>
      <c r="D39" s="21" t="s">
        <v>33</v>
      </c>
      <c r="E39" s="26" t="s">
        <v>34</v>
      </c>
      <c r="F39" s="26" t="s">
        <v>29</v>
      </c>
      <c r="G39" s="21">
        <v>32.02</v>
      </c>
      <c r="H39" s="21">
        <f t="shared" si="9"/>
        <v>384.24</v>
      </c>
      <c r="I39" s="21">
        <f t="shared" si="10"/>
        <v>426.83</v>
      </c>
      <c r="J39" s="166">
        <f t="shared" si="11"/>
        <v>448.28</v>
      </c>
      <c r="K39" s="192"/>
      <c r="L39" s="191"/>
      <c r="M39" s="21">
        <v>29.38</v>
      </c>
      <c r="N39" s="89">
        <f>ROUND(M39*1.09,2)</f>
        <v>32.02</v>
      </c>
      <c r="O39" s="70">
        <f t="shared" si="5"/>
        <v>0.0898570456092581</v>
      </c>
      <c r="P39" s="25">
        <f t="shared" si="6"/>
        <v>426.8266</v>
      </c>
    </row>
    <row r="40" spans="1:16">
      <c r="A40" s="162" t="s">
        <v>24</v>
      </c>
      <c r="B40" s="20">
        <f t="shared" si="8"/>
        <v>0.127000254000508</v>
      </c>
      <c r="C40" s="110">
        <v>5</v>
      </c>
      <c r="D40" s="21" t="s">
        <v>37</v>
      </c>
      <c r="E40" s="26" t="s">
        <v>26</v>
      </c>
      <c r="F40" s="26" t="s">
        <v>29</v>
      </c>
      <c r="G40" s="21">
        <v>11.46</v>
      </c>
      <c r="H40" s="21">
        <f t="shared" si="9"/>
        <v>137.52</v>
      </c>
      <c r="I40" s="21">
        <f t="shared" si="10"/>
        <v>152.76</v>
      </c>
      <c r="J40" s="166">
        <f t="shared" si="11"/>
        <v>160.44</v>
      </c>
      <c r="K40" s="192"/>
      <c r="L40" s="191"/>
      <c r="M40" s="21">
        <v>10.42</v>
      </c>
      <c r="N40" s="89">
        <f>ROUND(M40*1.1,2)</f>
        <v>11.46</v>
      </c>
      <c r="O40" s="70">
        <f t="shared" si="5"/>
        <v>0.0998080614203456</v>
      </c>
      <c r="P40" s="25">
        <f t="shared" si="6"/>
        <v>152.7618</v>
      </c>
    </row>
    <row r="41" spans="1:16">
      <c r="A41" s="162" t="s">
        <v>24</v>
      </c>
      <c r="B41" s="20">
        <f t="shared" si="8"/>
        <v>0.127000254000508</v>
      </c>
      <c r="C41" s="110">
        <v>5</v>
      </c>
      <c r="D41" s="21" t="s">
        <v>37</v>
      </c>
      <c r="E41" s="26" t="s">
        <v>31</v>
      </c>
      <c r="F41" s="26" t="s">
        <v>29</v>
      </c>
      <c r="G41" s="21">
        <v>21.83</v>
      </c>
      <c r="H41" s="21">
        <f t="shared" si="9"/>
        <v>261.96</v>
      </c>
      <c r="I41" s="21">
        <f t="shared" si="10"/>
        <v>290.99</v>
      </c>
      <c r="J41" s="166">
        <f t="shared" si="11"/>
        <v>305.62</v>
      </c>
      <c r="K41" s="192"/>
      <c r="L41" s="191"/>
      <c r="M41" s="21">
        <v>20.03</v>
      </c>
      <c r="N41" s="89">
        <f t="shared" si="4"/>
        <v>21.83</v>
      </c>
      <c r="O41" s="70">
        <f t="shared" si="5"/>
        <v>0.0898652021967048</v>
      </c>
      <c r="P41" s="25">
        <f t="shared" si="6"/>
        <v>290.9939</v>
      </c>
    </row>
    <row r="42" spans="1:16">
      <c r="A42" s="162" t="s">
        <v>24</v>
      </c>
      <c r="B42" s="20">
        <f t="shared" si="8"/>
        <v>0.15240030480061</v>
      </c>
      <c r="C42" s="110">
        <v>6</v>
      </c>
      <c r="D42" s="21" t="s">
        <v>38</v>
      </c>
      <c r="E42" s="26" t="s">
        <v>28</v>
      </c>
      <c r="F42" s="26" t="s">
        <v>29</v>
      </c>
      <c r="G42" s="21">
        <v>7.95</v>
      </c>
      <c r="H42" s="21">
        <f t="shared" si="9"/>
        <v>95.4</v>
      </c>
      <c r="I42" s="21">
        <f t="shared" si="10"/>
        <v>105.97</v>
      </c>
      <c r="J42" s="166">
        <f t="shared" si="11"/>
        <v>111.3</v>
      </c>
      <c r="K42" s="192"/>
      <c r="L42" s="191"/>
      <c r="M42" s="21">
        <v>7.29</v>
      </c>
      <c r="N42" s="89">
        <f t="shared" si="4"/>
        <v>7.95</v>
      </c>
      <c r="O42" s="70">
        <f t="shared" si="5"/>
        <v>0.0905349794238683</v>
      </c>
      <c r="P42" s="25">
        <f t="shared" si="6"/>
        <v>105.9735</v>
      </c>
    </row>
    <row r="43" spans="1:16">
      <c r="A43" s="162" t="s">
        <v>24</v>
      </c>
      <c r="B43" s="20">
        <f t="shared" si="8"/>
        <v>0.15240030480061</v>
      </c>
      <c r="C43" s="110">
        <v>6</v>
      </c>
      <c r="D43" s="21" t="s">
        <v>38</v>
      </c>
      <c r="E43" s="26" t="s">
        <v>30</v>
      </c>
      <c r="F43" s="26" t="s">
        <v>29</v>
      </c>
      <c r="G43" s="21">
        <v>9.46</v>
      </c>
      <c r="H43" s="21">
        <f t="shared" si="9"/>
        <v>113.52</v>
      </c>
      <c r="I43" s="21">
        <f t="shared" si="10"/>
        <v>126.1</v>
      </c>
      <c r="J43" s="166">
        <f t="shared" si="11"/>
        <v>132.44</v>
      </c>
      <c r="K43" s="192"/>
      <c r="L43" s="191"/>
      <c r="M43" s="21">
        <v>8.68</v>
      </c>
      <c r="N43" s="89">
        <f t="shared" si="4"/>
        <v>9.46</v>
      </c>
      <c r="O43" s="70">
        <f t="shared" si="5"/>
        <v>0.0898617511520739</v>
      </c>
      <c r="P43" s="25">
        <f t="shared" si="6"/>
        <v>126.1018</v>
      </c>
    </row>
    <row r="44" spans="1:16">
      <c r="A44" s="162" t="s">
        <v>24</v>
      </c>
      <c r="B44" s="20">
        <f t="shared" si="8"/>
        <v>0.15240030480061</v>
      </c>
      <c r="C44" s="110">
        <v>6</v>
      </c>
      <c r="D44" s="21" t="s">
        <v>38</v>
      </c>
      <c r="E44" s="26" t="s">
        <v>26</v>
      </c>
      <c r="F44" s="26" t="s">
        <v>29</v>
      </c>
      <c r="G44" s="21">
        <v>10.57</v>
      </c>
      <c r="H44" s="21">
        <f t="shared" si="9"/>
        <v>126.84</v>
      </c>
      <c r="I44" s="21">
        <f t="shared" si="10"/>
        <v>140.9</v>
      </c>
      <c r="J44" s="166">
        <f t="shared" si="11"/>
        <v>147.98</v>
      </c>
      <c r="K44" s="192"/>
      <c r="L44" s="191"/>
      <c r="M44" s="21">
        <v>9.61</v>
      </c>
      <c r="N44" s="89">
        <f>ROUND(M44*1.1,2)</f>
        <v>10.57</v>
      </c>
      <c r="O44" s="70">
        <f t="shared" si="5"/>
        <v>0.0998959417273674</v>
      </c>
      <c r="P44" s="25">
        <f t="shared" si="6"/>
        <v>140.8981</v>
      </c>
    </row>
    <row r="45" spans="1:16">
      <c r="A45" s="162" t="s">
        <v>24</v>
      </c>
      <c r="B45" s="20">
        <f t="shared" si="8"/>
        <v>0.15240030480061</v>
      </c>
      <c r="C45" s="110">
        <v>6</v>
      </c>
      <c r="D45" s="21" t="s">
        <v>38</v>
      </c>
      <c r="E45" s="26" t="s">
        <v>31</v>
      </c>
      <c r="F45" s="26" t="s">
        <v>29</v>
      </c>
      <c r="G45" s="21">
        <v>21.44</v>
      </c>
      <c r="H45" s="21">
        <f t="shared" si="9"/>
        <v>257.28</v>
      </c>
      <c r="I45" s="21">
        <f t="shared" si="10"/>
        <v>285.8</v>
      </c>
      <c r="J45" s="166">
        <f t="shared" si="11"/>
        <v>300.16</v>
      </c>
      <c r="K45" s="192"/>
      <c r="L45" s="191"/>
      <c r="M45" s="21">
        <v>19.67</v>
      </c>
      <c r="N45" s="89">
        <f t="shared" si="4"/>
        <v>21.44</v>
      </c>
      <c r="O45" s="70">
        <f t="shared" si="5"/>
        <v>0.0899847483477376</v>
      </c>
      <c r="P45" s="25">
        <f t="shared" si="6"/>
        <v>285.7952</v>
      </c>
    </row>
    <row r="46" spans="1:16">
      <c r="A46" s="162" t="s">
        <v>24</v>
      </c>
      <c r="B46" s="20">
        <f t="shared" si="8"/>
        <v>0.15240030480061</v>
      </c>
      <c r="C46" s="110">
        <v>6</v>
      </c>
      <c r="D46" s="21" t="s">
        <v>38</v>
      </c>
      <c r="E46" s="26" t="s">
        <v>34</v>
      </c>
      <c r="F46" s="26" t="s">
        <v>29</v>
      </c>
      <c r="G46" s="21">
        <v>31.76</v>
      </c>
      <c r="H46" s="21">
        <f t="shared" si="9"/>
        <v>381.12</v>
      </c>
      <c r="I46" s="21">
        <f t="shared" si="10"/>
        <v>423.36</v>
      </c>
      <c r="J46" s="166">
        <f t="shared" si="11"/>
        <v>444.64</v>
      </c>
      <c r="K46" s="192"/>
      <c r="L46" s="191"/>
      <c r="M46" s="21">
        <v>29.41</v>
      </c>
      <c r="N46" s="89">
        <f>ROUND(M46*1.08,2)</f>
        <v>31.76</v>
      </c>
      <c r="O46" s="70">
        <f t="shared" si="5"/>
        <v>0.0799047942876573</v>
      </c>
      <c r="P46" s="25">
        <f t="shared" si="6"/>
        <v>423.3608</v>
      </c>
    </row>
    <row r="47" spans="1:16">
      <c r="A47" s="162" t="s">
        <v>24</v>
      </c>
      <c r="B47" s="20">
        <f t="shared" si="8"/>
        <v>0.15240030480061</v>
      </c>
      <c r="C47" s="110">
        <v>6</v>
      </c>
      <c r="D47" s="21" t="s">
        <v>37</v>
      </c>
      <c r="E47" s="26" t="s">
        <v>26</v>
      </c>
      <c r="F47" s="26" t="s">
        <v>29</v>
      </c>
      <c r="G47" s="21">
        <v>11.73</v>
      </c>
      <c r="H47" s="21">
        <f t="shared" si="9"/>
        <v>140.76</v>
      </c>
      <c r="I47" s="21">
        <f t="shared" si="10"/>
        <v>156.36</v>
      </c>
      <c r="J47" s="166">
        <f t="shared" si="11"/>
        <v>164.22</v>
      </c>
      <c r="K47" s="192"/>
      <c r="L47" s="191"/>
      <c r="M47" s="21">
        <v>10.76</v>
      </c>
      <c r="N47" s="89">
        <f t="shared" si="4"/>
        <v>11.73</v>
      </c>
      <c r="O47" s="70">
        <f t="shared" si="5"/>
        <v>0.0901486988847584</v>
      </c>
      <c r="P47" s="25">
        <f t="shared" si="6"/>
        <v>156.3609</v>
      </c>
    </row>
    <row r="48" spans="1:16">
      <c r="A48" s="162" t="s">
        <v>24</v>
      </c>
      <c r="B48" s="20">
        <f t="shared" si="8"/>
        <v>0.15240030480061</v>
      </c>
      <c r="C48" s="110">
        <v>6</v>
      </c>
      <c r="D48" s="21" t="s">
        <v>37</v>
      </c>
      <c r="E48" s="26" t="s">
        <v>31</v>
      </c>
      <c r="F48" s="26" t="s">
        <v>29</v>
      </c>
      <c r="G48" s="21">
        <v>21.24</v>
      </c>
      <c r="H48" s="21">
        <f t="shared" si="9"/>
        <v>254.88</v>
      </c>
      <c r="I48" s="21">
        <f t="shared" si="10"/>
        <v>283.13</v>
      </c>
      <c r="J48" s="166">
        <f t="shared" si="11"/>
        <v>297.36</v>
      </c>
      <c r="K48" s="192"/>
      <c r="L48" s="191"/>
      <c r="M48" s="21">
        <v>19.49</v>
      </c>
      <c r="N48" s="89">
        <f t="shared" si="4"/>
        <v>21.24</v>
      </c>
      <c r="O48" s="70">
        <f t="shared" si="5"/>
        <v>0.0897896357106208</v>
      </c>
      <c r="P48" s="25">
        <f t="shared" si="6"/>
        <v>283.1292</v>
      </c>
    </row>
    <row r="49" spans="1:16">
      <c r="A49" s="162" t="s">
        <v>24</v>
      </c>
      <c r="B49" s="20">
        <f t="shared" si="8"/>
        <v>0.15240030480061</v>
      </c>
      <c r="C49" s="110">
        <v>6</v>
      </c>
      <c r="D49" s="21" t="s">
        <v>39</v>
      </c>
      <c r="E49" s="26" t="s">
        <v>31</v>
      </c>
      <c r="F49" s="26" t="s">
        <v>29</v>
      </c>
      <c r="G49" s="21">
        <v>22.67</v>
      </c>
      <c r="H49" s="21">
        <f t="shared" si="9"/>
        <v>272.04</v>
      </c>
      <c r="I49" s="21">
        <f t="shared" si="10"/>
        <v>302.19</v>
      </c>
      <c r="J49" s="166">
        <f t="shared" si="11"/>
        <v>317.38</v>
      </c>
      <c r="K49" s="192"/>
      <c r="L49" s="191"/>
      <c r="M49" s="21">
        <v>20.8</v>
      </c>
      <c r="N49" s="89">
        <f t="shared" si="4"/>
        <v>22.67</v>
      </c>
      <c r="O49" s="70">
        <f t="shared" si="5"/>
        <v>0.0899038461538462</v>
      </c>
      <c r="P49" s="25">
        <f t="shared" si="6"/>
        <v>302.1911</v>
      </c>
    </row>
    <row r="50" spans="1:16">
      <c r="A50" s="162" t="s">
        <v>24</v>
      </c>
      <c r="B50" s="20">
        <f t="shared" si="8"/>
        <v>0.177800355600711</v>
      </c>
      <c r="C50" s="110">
        <v>7</v>
      </c>
      <c r="D50" s="21" t="s">
        <v>40</v>
      </c>
      <c r="E50" s="26" t="s">
        <v>28</v>
      </c>
      <c r="F50" s="26" t="s">
        <v>29</v>
      </c>
      <c r="G50" s="21">
        <v>7.65</v>
      </c>
      <c r="H50" s="21">
        <f t="shared" si="9"/>
        <v>91.8</v>
      </c>
      <c r="I50" s="21">
        <f t="shared" si="10"/>
        <v>101.97</v>
      </c>
      <c r="J50" s="166">
        <f t="shared" si="11"/>
        <v>107.1</v>
      </c>
      <c r="K50" s="192"/>
      <c r="L50" s="191"/>
      <c r="M50" s="21">
        <v>7.02</v>
      </c>
      <c r="N50" s="89">
        <f t="shared" si="4"/>
        <v>7.65</v>
      </c>
      <c r="O50" s="70">
        <f t="shared" si="5"/>
        <v>0.0897435897435899</v>
      </c>
      <c r="P50" s="25">
        <f t="shared" si="6"/>
        <v>101.9745</v>
      </c>
    </row>
    <row r="51" spans="1:16">
      <c r="A51" s="162" t="s">
        <v>24</v>
      </c>
      <c r="B51" s="20">
        <f t="shared" si="8"/>
        <v>0.177800355600711</v>
      </c>
      <c r="C51" s="110">
        <v>7</v>
      </c>
      <c r="D51" s="21" t="s">
        <v>40</v>
      </c>
      <c r="E51" s="26" t="s">
        <v>26</v>
      </c>
      <c r="F51" s="26" t="s">
        <v>29</v>
      </c>
      <c r="G51" s="21">
        <v>10.65</v>
      </c>
      <c r="H51" s="21">
        <f t="shared" si="9"/>
        <v>127.8</v>
      </c>
      <c r="I51" s="21">
        <f t="shared" si="10"/>
        <v>141.96</v>
      </c>
      <c r="J51" s="166">
        <f t="shared" si="11"/>
        <v>149.1</v>
      </c>
      <c r="K51" s="192"/>
      <c r="L51" s="191"/>
      <c r="M51" s="21">
        <v>9.68</v>
      </c>
      <c r="N51" s="89">
        <f>ROUND(M51*1.1,2)</f>
        <v>10.65</v>
      </c>
      <c r="O51" s="70">
        <f t="shared" si="5"/>
        <v>0.100206611570248</v>
      </c>
      <c r="P51" s="25">
        <f t="shared" si="6"/>
        <v>141.9645</v>
      </c>
    </row>
    <row r="52" spans="1:16">
      <c r="A52" s="162" t="s">
        <v>24</v>
      </c>
      <c r="B52" s="20">
        <f t="shared" si="8"/>
        <v>0.177800355600711</v>
      </c>
      <c r="C52" s="110">
        <v>7</v>
      </c>
      <c r="D52" s="21" t="s">
        <v>39</v>
      </c>
      <c r="E52" s="26" t="s">
        <v>31</v>
      </c>
      <c r="F52" s="26" t="s">
        <v>29</v>
      </c>
      <c r="G52" s="21">
        <v>21.59</v>
      </c>
      <c r="H52" s="21">
        <f t="shared" si="9"/>
        <v>259.08</v>
      </c>
      <c r="I52" s="21">
        <f t="shared" si="10"/>
        <v>287.79</v>
      </c>
      <c r="J52" s="166">
        <f t="shared" si="11"/>
        <v>302.26</v>
      </c>
      <c r="K52" s="192"/>
      <c r="L52" s="191"/>
      <c r="M52" s="21">
        <v>19.81</v>
      </c>
      <c r="N52" s="89">
        <f t="shared" si="4"/>
        <v>21.59</v>
      </c>
      <c r="O52" s="70">
        <f t="shared" si="5"/>
        <v>0.0898536092882383</v>
      </c>
      <c r="P52" s="25">
        <f t="shared" si="6"/>
        <v>287.7947</v>
      </c>
    </row>
    <row r="53" spans="1:16">
      <c r="A53" s="162" t="s">
        <v>24</v>
      </c>
      <c r="B53" s="20">
        <f t="shared" si="8"/>
        <v>0.177800355600711</v>
      </c>
      <c r="C53" s="110">
        <v>7</v>
      </c>
      <c r="D53" s="21" t="s">
        <v>41</v>
      </c>
      <c r="E53" s="26" t="s">
        <v>31</v>
      </c>
      <c r="F53" s="26" t="s">
        <v>29</v>
      </c>
      <c r="G53" s="21">
        <v>21.59</v>
      </c>
      <c r="H53" s="21">
        <f t="shared" si="9"/>
        <v>259.08</v>
      </c>
      <c r="I53" s="21">
        <f t="shared" si="10"/>
        <v>287.79</v>
      </c>
      <c r="J53" s="166">
        <f t="shared" si="11"/>
        <v>302.26</v>
      </c>
      <c r="K53" s="192"/>
      <c r="L53" s="191"/>
      <c r="M53" s="21">
        <v>19.81</v>
      </c>
      <c r="N53" s="89">
        <f t="shared" si="4"/>
        <v>21.59</v>
      </c>
      <c r="O53" s="70">
        <f t="shared" si="5"/>
        <v>0.0898536092882383</v>
      </c>
      <c r="P53" s="25">
        <f t="shared" si="6"/>
        <v>287.7947</v>
      </c>
    </row>
    <row r="54" spans="1:16">
      <c r="A54" s="162" t="s">
        <v>24</v>
      </c>
      <c r="B54" s="20">
        <f t="shared" ref="B54:B59" si="12">C54/39.37</f>
        <v>0.203200406400813</v>
      </c>
      <c r="C54" s="110">
        <v>8</v>
      </c>
      <c r="D54" s="21" t="s">
        <v>40</v>
      </c>
      <c r="E54" s="26" t="s">
        <v>28</v>
      </c>
      <c r="F54" s="26" t="s">
        <v>29</v>
      </c>
      <c r="G54" s="21">
        <v>7.26</v>
      </c>
      <c r="H54" s="21">
        <f t="shared" ref="H54:H59" si="13">ROUND(G54*12,2)</f>
        <v>87.12</v>
      </c>
      <c r="I54" s="21">
        <f t="shared" ref="I54:I59" si="14">ROUND(G54*13.33,2)</f>
        <v>96.78</v>
      </c>
      <c r="J54" s="166">
        <f t="shared" ref="J54:J59" si="15">ROUND(G54*14,2)</f>
        <v>101.64</v>
      </c>
      <c r="K54" s="192"/>
      <c r="L54" s="191"/>
      <c r="M54" s="21">
        <v>6.66</v>
      </c>
      <c r="N54" s="89">
        <f t="shared" si="4"/>
        <v>7.26</v>
      </c>
      <c r="O54" s="70">
        <f t="shared" si="5"/>
        <v>0.09009009009009</v>
      </c>
      <c r="P54" s="25">
        <f t="shared" si="6"/>
        <v>96.7758</v>
      </c>
    </row>
    <row r="55" s="79" customFormat="1" spans="1:16">
      <c r="A55" s="162" t="s">
        <v>24</v>
      </c>
      <c r="B55" s="20">
        <f t="shared" si="12"/>
        <v>0.203200406400813</v>
      </c>
      <c r="C55" s="110">
        <v>8</v>
      </c>
      <c r="D55" s="21" t="s">
        <v>40</v>
      </c>
      <c r="E55" s="26" t="s">
        <v>26</v>
      </c>
      <c r="F55" s="26" t="s">
        <v>29</v>
      </c>
      <c r="G55" s="21">
        <v>10.55</v>
      </c>
      <c r="H55" s="21">
        <f t="shared" si="13"/>
        <v>126.6</v>
      </c>
      <c r="I55" s="21">
        <f t="shared" si="14"/>
        <v>140.63</v>
      </c>
      <c r="J55" s="166">
        <f t="shared" si="15"/>
        <v>147.7</v>
      </c>
      <c r="K55" s="192"/>
      <c r="L55" s="191"/>
      <c r="M55" s="21">
        <v>9.42</v>
      </c>
      <c r="N55" s="89">
        <f>ROUND(M55*1.12,2)</f>
        <v>10.55</v>
      </c>
      <c r="O55" s="70">
        <f t="shared" si="5"/>
        <v>0.119957537154989</v>
      </c>
      <c r="P55" s="25">
        <f t="shared" si="6"/>
        <v>140.6315</v>
      </c>
    </row>
    <row r="56" spans="1:16">
      <c r="A56" s="162" t="s">
        <v>24</v>
      </c>
      <c r="B56" s="20">
        <f t="shared" si="12"/>
        <v>0.203200406400813</v>
      </c>
      <c r="C56" s="110">
        <v>8</v>
      </c>
      <c r="D56" s="21" t="s">
        <v>40</v>
      </c>
      <c r="E56" s="26" t="s">
        <v>42</v>
      </c>
      <c r="F56" s="26" t="s">
        <v>29</v>
      </c>
      <c r="G56" s="21">
        <v>16.22</v>
      </c>
      <c r="H56" s="21">
        <f t="shared" si="13"/>
        <v>194.64</v>
      </c>
      <c r="I56" s="21">
        <f t="shared" si="14"/>
        <v>216.21</v>
      </c>
      <c r="J56" s="166">
        <f t="shared" si="15"/>
        <v>227.08</v>
      </c>
      <c r="K56" s="192"/>
      <c r="L56" s="191"/>
      <c r="M56" s="21">
        <v>14.88</v>
      </c>
      <c r="N56" s="89">
        <f t="shared" ref="N56:N87" si="16">ROUND(M56*1.09,2)</f>
        <v>16.22</v>
      </c>
      <c r="O56" s="70">
        <f t="shared" si="5"/>
        <v>0.0900537634408601</v>
      </c>
      <c r="P56" s="25">
        <f t="shared" si="6"/>
        <v>216.2126</v>
      </c>
    </row>
    <row r="57" spans="1:16">
      <c r="A57" s="162" t="s">
        <v>24</v>
      </c>
      <c r="B57" s="20">
        <f t="shared" si="12"/>
        <v>0.203200406400813</v>
      </c>
      <c r="C57" s="110">
        <v>8</v>
      </c>
      <c r="D57" s="21" t="s">
        <v>40</v>
      </c>
      <c r="E57" s="26" t="s">
        <v>31</v>
      </c>
      <c r="F57" s="26" t="s">
        <v>29</v>
      </c>
      <c r="G57" s="21">
        <v>20.43</v>
      </c>
      <c r="H57" s="21">
        <f t="shared" si="13"/>
        <v>245.16</v>
      </c>
      <c r="I57" s="21">
        <f t="shared" si="14"/>
        <v>272.33</v>
      </c>
      <c r="J57" s="166">
        <f t="shared" si="15"/>
        <v>286.02</v>
      </c>
      <c r="K57" s="192"/>
      <c r="L57" s="191"/>
      <c r="M57" s="21">
        <v>18.74</v>
      </c>
      <c r="N57" s="89">
        <f t="shared" si="16"/>
        <v>20.43</v>
      </c>
      <c r="O57" s="70">
        <f t="shared" si="5"/>
        <v>0.0901814300960513</v>
      </c>
      <c r="P57" s="25">
        <f t="shared" si="6"/>
        <v>272.3319</v>
      </c>
    </row>
    <row r="58" spans="1:16">
      <c r="A58" s="162" t="s">
        <v>24</v>
      </c>
      <c r="B58" s="20">
        <f t="shared" si="12"/>
        <v>0.203200406400813</v>
      </c>
      <c r="C58" s="110">
        <v>8</v>
      </c>
      <c r="D58" s="21" t="s">
        <v>41</v>
      </c>
      <c r="E58" s="26" t="s">
        <v>28</v>
      </c>
      <c r="F58" s="26" t="s">
        <v>29</v>
      </c>
      <c r="G58" s="21">
        <v>8.44</v>
      </c>
      <c r="H58" s="21">
        <f t="shared" si="13"/>
        <v>101.28</v>
      </c>
      <c r="I58" s="21">
        <f t="shared" si="14"/>
        <v>112.51</v>
      </c>
      <c r="J58" s="166">
        <f t="shared" si="15"/>
        <v>118.16</v>
      </c>
      <c r="K58" s="192"/>
      <c r="L58" s="191"/>
      <c r="M58" s="21">
        <v>7.74</v>
      </c>
      <c r="N58" s="89">
        <f t="shared" si="16"/>
        <v>8.44</v>
      </c>
      <c r="O58" s="70">
        <f t="shared" si="5"/>
        <v>0.090439276485788</v>
      </c>
      <c r="P58" s="25">
        <f t="shared" si="6"/>
        <v>112.5052</v>
      </c>
    </row>
    <row r="59" spans="1:16">
      <c r="A59" s="162" t="s">
        <v>24</v>
      </c>
      <c r="B59" s="20">
        <f t="shared" si="12"/>
        <v>0.203200406400813</v>
      </c>
      <c r="C59" s="110">
        <v>8</v>
      </c>
      <c r="D59" s="21" t="s">
        <v>41</v>
      </c>
      <c r="E59" s="26" t="s">
        <v>26</v>
      </c>
      <c r="F59" s="26" t="s">
        <v>29</v>
      </c>
      <c r="G59" s="21">
        <v>11.8</v>
      </c>
      <c r="H59" s="21">
        <f t="shared" si="13"/>
        <v>141.6</v>
      </c>
      <c r="I59" s="21">
        <f t="shared" si="14"/>
        <v>157.29</v>
      </c>
      <c r="J59" s="166">
        <f t="shared" si="15"/>
        <v>165.2</v>
      </c>
      <c r="K59" s="192"/>
      <c r="L59" s="191"/>
      <c r="M59" s="21">
        <v>10.83</v>
      </c>
      <c r="N59" s="89">
        <f t="shared" si="16"/>
        <v>11.8</v>
      </c>
      <c r="O59" s="70">
        <f t="shared" si="5"/>
        <v>0.0895660203139428</v>
      </c>
      <c r="P59" s="25">
        <f t="shared" si="6"/>
        <v>157.294</v>
      </c>
    </row>
    <row r="60" spans="1:16">
      <c r="A60" s="162" t="s">
        <v>24</v>
      </c>
      <c r="B60" s="20">
        <f t="shared" ref="B60:B77" si="17">C60/39.37</f>
        <v>0.203200406400813</v>
      </c>
      <c r="C60" s="110">
        <v>8</v>
      </c>
      <c r="D60" s="21" t="s">
        <v>41</v>
      </c>
      <c r="E60" s="26" t="s">
        <v>31</v>
      </c>
      <c r="F60" s="26" t="s">
        <v>29</v>
      </c>
      <c r="G60" s="21">
        <v>21.21</v>
      </c>
      <c r="H60" s="21">
        <f t="shared" ref="H60:H89" si="18">ROUND(G60*12,2)</f>
        <v>254.52</v>
      </c>
      <c r="I60" s="21">
        <f t="shared" ref="I60:I89" si="19">ROUND(G60*13.33,2)</f>
        <v>282.73</v>
      </c>
      <c r="J60" s="166">
        <f t="shared" ref="J60:J89" si="20">ROUND(G60*14,2)</f>
        <v>296.94</v>
      </c>
      <c r="K60" s="192"/>
      <c r="L60" s="191"/>
      <c r="M60" s="21">
        <v>19.46</v>
      </c>
      <c r="N60" s="89">
        <f t="shared" si="16"/>
        <v>21.21</v>
      </c>
      <c r="O60" s="70">
        <f t="shared" si="5"/>
        <v>0.0899280575539568</v>
      </c>
      <c r="P60" s="25">
        <f t="shared" si="6"/>
        <v>282.7293</v>
      </c>
    </row>
    <row r="61" spans="1:16">
      <c r="A61" s="162" t="s">
        <v>24</v>
      </c>
      <c r="B61" s="20">
        <f t="shared" si="17"/>
        <v>0.203200406400813</v>
      </c>
      <c r="C61" s="110">
        <v>8</v>
      </c>
      <c r="D61" s="21" t="s">
        <v>41</v>
      </c>
      <c r="E61" s="26" t="s">
        <v>34</v>
      </c>
      <c r="F61" s="26" t="s">
        <v>29</v>
      </c>
      <c r="G61" s="21">
        <v>33.87</v>
      </c>
      <c r="H61" s="21">
        <f t="shared" si="18"/>
        <v>406.44</v>
      </c>
      <c r="I61" s="21">
        <f t="shared" si="19"/>
        <v>451.49</v>
      </c>
      <c r="J61" s="166">
        <f t="shared" si="20"/>
        <v>474.18</v>
      </c>
      <c r="K61" s="192"/>
      <c r="L61" s="191"/>
      <c r="M61" s="21">
        <v>31.07</v>
      </c>
      <c r="N61" s="89">
        <f t="shared" si="16"/>
        <v>33.87</v>
      </c>
      <c r="O61" s="70">
        <f t="shared" si="5"/>
        <v>0.0901190859349854</v>
      </c>
      <c r="P61" s="25">
        <f t="shared" si="6"/>
        <v>451.4871</v>
      </c>
    </row>
    <row r="62" spans="1:16">
      <c r="A62" s="162" t="s">
        <v>24</v>
      </c>
      <c r="B62" s="20">
        <f t="shared" si="17"/>
        <v>0.228600457200914</v>
      </c>
      <c r="C62" s="110">
        <v>9</v>
      </c>
      <c r="D62" s="21" t="s">
        <v>41</v>
      </c>
      <c r="E62" s="26" t="s">
        <v>28</v>
      </c>
      <c r="F62" s="26" t="s">
        <v>29</v>
      </c>
      <c r="G62" s="21">
        <v>8.8</v>
      </c>
      <c r="H62" s="21">
        <f t="shared" si="18"/>
        <v>105.6</v>
      </c>
      <c r="I62" s="21">
        <f t="shared" si="19"/>
        <v>117.3</v>
      </c>
      <c r="J62" s="166">
        <f t="shared" si="20"/>
        <v>123.2</v>
      </c>
      <c r="K62" s="192"/>
      <c r="L62" s="191"/>
      <c r="M62" s="21">
        <v>8.07</v>
      </c>
      <c r="N62" s="89">
        <f t="shared" si="16"/>
        <v>8.8</v>
      </c>
      <c r="O62" s="70">
        <f t="shared" si="5"/>
        <v>0.090458488228005</v>
      </c>
      <c r="P62" s="25">
        <f t="shared" si="6"/>
        <v>117.304</v>
      </c>
    </row>
    <row r="63" spans="1:16">
      <c r="A63" s="162" t="s">
        <v>24</v>
      </c>
      <c r="B63" s="20">
        <f t="shared" si="17"/>
        <v>0.228600457200914</v>
      </c>
      <c r="C63" s="110">
        <v>9</v>
      </c>
      <c r="D63" s="21" t="s">
        <v>41</v>
      </c>
      <c r="E63" s="26" t="s">
        <v>26</v>
      </c>
      <c r="F63" s="26" t="s">
        <v>29</v>
      </c>
      <c r="G63" s="21">
        <v>12.08</v>
      </c>
      <c r="H63" s="21">
        <f t="shared" si="18"/>
        <v>144.96</v>
      </c>
      <c r="I63" s="21">
        <f t="shared" si="19"/>
        <v>161.03</v>
      </c>
      <c r="J63" s="166">
        <f t="shared" si="20"/>
        <v>169.12</v>
      </c>
      <c r="K63" s="192"/>
      <c r="L63" s="191"/>
      <c r="M63" s="21">
        <v>11.08</v>
      </c>
      <c r="N63" s="89">
        <f t="shared" si="16"/>
        <v>12.08</v>
      </c>
      <c r="O63" s="70">
        <f t="shared" si="5"/>
        <v>0.0902527075812274</v>
      </c>
      <c r="P63" s="25">
        <f t="shared" si="6"/>
        <v>161.0264</v>
      </c>
    </row>
    <row r="64" spans="1:16">
      <c r="A64" s="162" t="s">
        <v>24</v>
      </c>
      <c r="B64" s="20">
        <f t="shared" si="17"/>
        <v>0.228600457200914</v>
      </c>
      <c r="C64" s="110">
        <v>9</v>
      </c>
      <c r="D64" s="21" t="s">
        <v>41</v>
      </c>
      <c r="E64" s="26" t="s">
        <v>31</v>
      </c>
      <c r="F64" s="26" t="s">
        <v>29</v>
      </c>
      <c r="G64" s="21">
        <v>21.9</v>
      </c>
      <c r="H64" s="21">
        <f t="shared" si="18"/>
        <v>262.8</v>
      </c>
      <c r="I64" s="21">
        <f t="shared" si="19"/>
        <v>291.93</v>
      </c>
      <c r="J64" s="166">
        <f t="shared" si="20"/>
        <v>306.6</v>
      </c>
      <c r="K64" s="192"/>
      <c r="L64" s="191"/>
      <c r="M64" s="21">
        <v>20.09</v>
      </c>
      <c r="N64" s="89">
        <f t="shared" si="16"/>
        <v>21.9</v>
      </c>
      <c r="O64" s="70">
        <f t="shared" si="5"/>
        <v>0.0900945744151318</v>
      </c>
      <c r="P64" s="25">
        <f t="shared" si="6"/>
        <v>291.927</v>
      </c>
    </row>
    <row r="65" spans="1:16">
      <c r="A65" s="162" t="s">
        <v>24</v>
      </c>
      <c r="B65" s="20">
        <f t="shared" si="17"/>
        <v>0.228600457200914</v>
      </c>
      <c r="C65" s="110">
        <v>9</v>
      </c>
      <c r="D65" s="21" t="s">
        <v>41</v>
      </c>
      <c r="E65" s="26" t="s">
        <v>34</v>
      </c>
      <c r="F65" s="26" t="s">
        <v>29</v>
      </c>
      <c r="G65" s="21">
        <v>34.75</v>
      </c>
      <c r="H65" s="21">
        <f t="shared" si="18"/>
        <v>417</v>
      </c>
      <c r="I65" s="21">
        <f t="shared" si="19"/>
        <v>463.22</v>
      </c>
      <c r="J65" s="166">
        <f t="shared" si="20"/>
        <v>486.5</v>
      </c>
      <c r="K65" s="192"/>
      <c r="L65" s="191"/>
      <c r="M65" s="21">
        <v>31.88</v>
      </c>
      <c r="N65" s="89">
        <f t="shared" si="16"/>
        <v>34.75</v>
      </c>
      <c r="O65" s="70">
        <f t="shared" si="5"/>
        <v>0.0900250941028859</v>
      </c>
      <c r="P65" s="25">
        <f t="shared" si="6"/>
        <v>463.2175</v>
      </c>
    </row>
    <row r="66" spans="1:16">
      <c r="A66" s="162" t="s">
        <v>24</v>
      </c>
      <c r="B66" s="20">
        <f t="shared" si="17"/>
        <v>0.254000508001016</v>
      </c>
      <c r="C66" s="110">
        <v>10</v>
      </c>
      <c r="D66" s="21" t="s">
        <v>41</v>
      </c>
      <c r="E66" s="26" t="s">
        <v>28</v>
      </c>
      <c r="F66" s="26" t="s">
        <v>29</v>
      </c>
      <c r="G66" s="21">
        <v>8.8</v>
      </c>
      <c r="H66" s="21">
        <f t="shared" si="18"/>
        <v>105.6</v>
      </c>
      <c r="I66" s="21">
        <f t="shared" si="19"/>
        <v>117.3</v>
      </c>
      <c r="J66" s="166">
        <f t="shared" si="20"/>
        <v>123.2</v>
      </c>
      <c r="K66" s="192"/>
      <c r="L66" s="191"/>
      <c r="M66" s="21">
        <v>8.07</v>
      </c>
      <c r="N66" s="89">
        <f t="shared" si="16"/>
        <v>8.8</v>
      </c>
      <c r="O66" s="70">
        <f t="shared" si="5"/>
        <v>0.090458488228005</v>
      </c>
      <c r="P66" s="25">
        <f t="shared" si="6"/>
        <v>117.304</v>
      </c>
    </row>
    <row r="67" spans="1:16">
      <c r="A67" s="162" t="s">
        <v>24</v>
      </c>
      <c r="B67" s="20">
        <f t="shared" si="17"/>
        <v>0.254000508001016</v>
      </c>
      <c r="C67" s="110">
        <v>10</v>
      </c>
      <c r="D67" s="21" t="s">
        <v>41</v>
      </c>
      <c r="E67" s="26" t="s">
        <v>43</v>
      </c>
      <c r="F67" s="26" t="s">
        <v>29</v>
      </c>
      <c r="G67" s="21">
        <v>8.96</v>
      </c>
      <c r="H67" s="21">
        <f t="shared" si="18"/>
        <v>107.52</v>
      </c>
      <c r="I67" s="21">
        <f t="shared" si="19"/>
        <v>119.44</v>
      </c>
      <c r="J67" s="166">
        <f t="shared" si="20"/>
        <v>125.44</v>
      </c>
      <c r="K67" s="192"/>
      <c r="L67" s="191"/>
      <c r="M67" s="21">
        <v>8.22</v>
      </c>
      <c r="N67" s="89">
        <f t="shared" si="16"/>
        <v>8.96</v>
      </c>
      <c r="O67" s="70">
        <f t="shared" si="5"/>
        <v>0.0900243309002433</v>
      </c>
      <c r="P67" s="25">
        <f t="shared" si="6"/>
        <v>119.4368</v>
      </c>
    </row>
    <row r="68" spans="1:16">
      <c r="A68" s="162" t="s">
        <v>24</v>
      </c>
      <c r="B68" s="20">
        <f t="shared" si="17"/>
        <v>0.254000508001016</v>
      </c>
      <c r="C68" s="110">
        <v>10</v>
      </c>
      <c r="D68" s="21" t="s">
        <v>41</v>
      </c>
      <c r="E68" s="26" t="s">
        <v>26</v>
      </c>
      <c r="F68" s="26" t="s">
        <v>29</v>
      </c>
      <c r="G68" s="21">
        <v>11.8</v>
      </c>
      <c r="H68" s="21">
        <f t="shared" si="18"/>
        <v>141.6</v>
      </c>
      <c r="I68" s="21">
        <f t="shared" si="19"/>
        <v>157.29</v>
      </c>
      <c r="J68" s="166">
        <f t="shared" si="20"/>
        <v>165.2</v>
      </c>
      <c r="K68" s="192"/>
      <c r="L68" s="191"/>
      <c r="M68" s="21">
        <v>10.83</v>
      </c>
      <c r="N68" s="89">
        <f t="shared" si="16"/>
        <v>11.8</v>
      </c>
      <c r="O68" s="70">
        <f t="shared" si="5"/>
        <v>0.0895660203139428</v>
      </c>
      <c r="P68" s="25">
        <f t="shared" si="6"/>
        <v>157.294</v>
      </c>
    </row>
    <row r="69" spans="1:16">
      <c r="A69" s="162" t="s">
        <v>24</v>
      </c>
      <c r="B69" s="20">
        <f t="shared" si="17"/>
        <v>0.254000508001016</v>
      </c>
      <c r="C69" s="110">
        <v>10</v>
      </c>
      <c r="D69" s="21" t="s">
        <v>41</v>
      </c>
      <c r="E69" s="26" t="s">
        <v>44</v>
      </c>
      <c r="F69" s="26" t="s">
        <v>29</v>
      </c>
      <c r="G69" s="21">
        <v>18.01</v>
      </c>
      <c r="H69" s="21">
        <f t="shared" si="18"/>
        <v>216.12</v>
      </c>
      <c r="I69" s="21">
        <f t="shared" si="19"/>
        <v>240.07</v>
      </c>
      <c r="J69" s="166">
        <f t="shared" si="20"/>
        <v>252.14</v>
      </c>
      <c r="K69" s="192"/>
      <c r="L69" s="191"/>
      <c r="M69" s="21">
        <v>16.52</v>
      </c>
      <c r="N69" s="89">
        <f t="shared" si="16"/>
        <v>18.01</v>
      </c>
      <c r="O69" s="70">
        <f t="shared" si="5"/>
        <v>0.0901937046004844</v>
      </c>
      <c r="P69" s="25">
        <f t="shared" si="6"/>
        <v>240.0733</v>
      </c>
    </row>
    <row r="70" spans="1:16">
      <c r="A70" s="162" t="s">
        <v>24</v>
      </c>
      <c r="B70" s="20">
        <f t="shared" si="17"/>
        <v>0.254000508001016</v>
      </c>
      <c r="C70" s="110">
        <v>10</v>
      </c>
      <c r="D70" s="21" t="s">
        <v>41</v>
      </c>
      <c r="E70" s="26" t="s">
        <v>42</v>
      </c>
      <c r="F70" s="26" t="s">
        <v>29</v>
      </c>
      <c r="G70" s="21">
        <v>18.68</v>
      </c>
      <c r="H70" s="21">
        <f t="shared" si="18"/>
        <v>224.16</v>
      </c>
      <c r="I70" s="21">
        <f t="shared" si="19"/>
        <v>249</v>
      </c>
      <c r="J70" s="166">
        <f t="shared" si="20"/>
        <v>261.52</v>
      </c>
      <c r="K70" s="192"/>
      <c r="L70" s="191"/>
      <c r="M70" s="21">
        <v>17.14</v>
      </c>
      <c r="N70" s="89">
        <f t="shared" si="16"/>
        <v>18.68</v>
      </c>
      <c r="O70" s="70">
        <f t="shared" si="5"/>
        <v>0.0898483080513418</v>
      </c>
      <c r="P70" s="25">
        <f t="shared" si="6"/>
        <v>249.0044</v>
      </c>
    </row>
    <row r="71" spans="1:16">
      <c r="A71" s="162" t="s">
        <v>24</v>
      </c>
      <c r="B71" s="20">
        <f t="shared" si="17"/>
        <v>0.254000508001016</v>
      </c>
      <c r="C71" s="110">
        <v>10</v>
      </c>
      <c r="D71" s="21" t="s">
        <v>41</v>
      </c>
      <c r="E71" s="26" t="s">
        <v>31</v>
      </c>
      <c r="F71" s="26" t="s">
        <v>29</v>
      </c>
      <c r="G71" s="21">
        <v>22.23</v>
      </c>
      <c r="H71" s="21">
        <f t="shared" si="18"/>
        <v>266.76</v>
      </c>
      <c r="I71" s="21">
        <f t="shared" si="19"/>
        <v>296.33</v>
      </c>
      <c r="J71" s="166">
        <f t="shared" si="20"/>
        <v>311.22</v>
      </c>
      <c r="K71" s="192"/>
      <c r="L71" s="191"/>
      <c r="M71" s="21">
        <v>20.39</v>
      </c>
      <c r="N71" s="89">
        <f t="shared" si="16"/>
        <v>22.23</v>
      </c>
      <c r="O71" s="70">
        <f t="shared" si="5"/>
        <v>0.0902403138793526</v>
      </c>
      <c r="P71" s="25">
        <f t="shared" si="6"/>
        <v>296.3259</v>
      </c>
    </row>
    <row r="72" spans="1:16">
      <c r="A72" s="162" t="s">
        <v>24</v>
      </c>
      <c r="B72" s="20">
        <f t="shared" si="17"/>
        <v>0.254000508001016</v>
      </c>
      <c r="C72" s="110">
        <v>10</v>
      </c>
      <c r="D72" s="21" t="s">
        <v>41</v>
      </c>
      <c r="E72" s="26" t="s">
        <v>34</v>
      </c>
      <c r="F72" s="26" t="s">
        <v>29</v>
      </c>
      <c r="G72" s="21">
        <v>34.1</v>
      </c>
      <c r="H72" s="21">
        <f t="shared" si="18"/>
        <v>409.2</v>
      </c>
      <c r="I72" s="21">
        <f t="shared" si="19"/>
        <v>454.55</v>
      </c>
      <c r="J72" s="166">
        <f t="shared" si="20"/>
        <v>477.4</v>
      </c>
      <c r="K72" s="192"/>
      <c r="L72" s="191"/>
      <c r="M72" s="21">
        <v>31.28</v>
      </c>
      <c r="N72" s="89">
        <f t="shared" si="16"/>
        <v>34.1</v>
      </c>
      <c r="O72" s="70">
        <f t="shared" si="5"/>
        <v>0.090153452685422</v>
      </c>
      <c r="P72" s="25">
        <f t="shared" si="6"/>
        <v>454.553</v>
      </c>
    </row>
    <row r="73" spans="1:16">
      <c r="A73" s="162" t="s">
        <v>24</v>
      </c>
      <c r="B73" s="20">
        <f t="shared" si="17"/>
        <v>0.304800609601219</v>
      </c>
      <c r="C73" s="110">
        <v>12</v>
      </c>
      <c r="D73" s="21" t="s">
        <v>45</v>
      </c>
      <c r="E73" s="26" t="s">
        <v>28</v>
      </c>
      <c r="F73" s="26" t="s">
        <v>29</v>
      </c>
      <c r="G73" s="21">
        <v>8.76</v>
      </c>
      <c r="H73" s="21">
        <f t="shared" si="18"/>
        <v>105.12</v>
      </c>
      <c r="I73" s="21">
        <f t="shared" si="19"/>
        <v>116.77</v>
      </c>
      <c r="J73" s="166">
        <f t="shared" si="20"/>
        <v>122.64</v>
      </c>
      <c r="K73" s="192"/>
      <c r="L73" s="191"/>
      <c r="M73" s="21">
        <v>8.04</v>
      </c>
      <c r="N73" s="89">
        <f t="shared" si="16"/>
        <v>8.76</v>
      </c>
      <c r="O73" s="70">
        <f t="shared" si="5"/>
        <v>0.0895522388059702</v>
      </c>
      <c r="P73" s="25">
        <f t="shared" si="6"/>
        <v>116.7708</v>
      </c>
    </row>
    <row r="74" spans="1:16">
      <c r="A74" s="162" t="s">
        <v>24</v>
      </c>
      <c r="B74" s="20">
        <f t="shared" si="17"/>
        <v>0.304800609601219</v>
      </c>
      <c r="C74" s="110">
        <v>12</v>
      </c>
      <c r="D74" s="21" t="s">
        <v>45</v>
      </c>
      <c r="E74" s="26" t="s">
        <v>26</v>
      </c>
      <c r="F74" s="26" t="s">
        <v>29</v>
      </c>
      <c r="G74" s="21">
        <v>11.78</v>
      </c>
      <c r="H74" s="21">
        <f t="shared" si="18"/>
        <v>141.36</v>
      </c>
      <c r="I74" s="21">
        <f t="shared" si="19"/>
        <v>157.03</v>
      </c>
      <c r="J74" s="166">
        <f t="shared" si="20"/>
        <v>164.92</v>
      </c>
      <c r="K74" s="192"/>
      <c r="L74" s="191"/>
      <c r="M74" s="21">
        <v>10.71</v>
      </c>
      <c r="N74" s="89">
        <f>ROUND(M74*1.1,2)</f>
        <v>11.78</v>
      </c>
      <c r="O74" s="70">
        <f t="shared" si="5"/>
        <v>0.0999066293183939</v>
      </c>
      <c r="P74" s="25">
        <f t="shared" si="6"/>
        <v>157.0274</v>
      </c>
    </row>
    <row r="75" spans="1:16">
      <c r="A75" s="162" t="s">
        <v>24</v>
      </c>
      <c r="B75" s="20">
        <f t="shared" si="17"/>
        <v>0.304800609601219</v>
      </c>
      <c r="C75" s="110">
        <v>12</v>
      </c>
      <c r="D75" s="21" t="s">
        <v>45</v>
      </c>
      <c r="E75" s="26" t="s">
        <v>31</v>
      </c>
      <c r="F75" s="26" t="s">
        <v>29</v>
      </c>
      <c r="G75" s="21">
        <v>22.02</v>
      </c>
      <c r="H75" s="21">
        <f t="shared" si="18"/>
        <v>264.24</v>
      </c>
      <c r="I75" s="21">
        <f t="shared" si="19"/>
        <v>293.53</v>
      </c>
      <c r="J75" s="166">
        <f t="shared" si="20"/>
        <v>308.28</v>
      </c>
      <c r="K75" s="192"/>
      <c r="L75" s="191"/>
      <c r="M75" s="21">
        <v>20.2</v>
      </c>
      <c r="N75" s="89">
        <f t="shared" si="16"/>
        <v>22.02</v>
      </c>
      <c r="O75" s="70">
        <f t="shared" ref="O75:O107" si="21">(N75-M75)/M75</f>
        <v>0.0900990099009901</v>
      </c>
      <c r="P75" s="25">
        <f t="shared" ref="P75:P107" si="22">N75*13.33</f>
        <v>293.5266</v>
      </c>
    </row>
    <row r="76" spans="1:16">
      <c r="A76" s="162" t="s">
        <v>24</v>
      </c>
      <c r="B76" s="20">
        <f t="shared" si="17"/>
        <v>0.304800609601219</v>
      </c>
      <c r="C76" s="110">
        <v>12</v>
      </c>
      <c r="D76" s="21" t="s">
        <v>45</v>
      </c>
      <c r="E76" s="26" t="s">
        <v>34</v>
      </c>
      <c r="F76" s="26" t="s">
        <v>29</v>
      </c>
      <c r="G76" s="21">
        <v>34.47</v>
      </c>
      <c r="H76" s="21">
        <f t="shared" si="18"/>
        <v>413.64</v>
      </c>
      <c r="I76" s="21">
        <f t="shared" si="19"/>
        <v>459.49</v>
      </c>
      <c r="J76" s="166">
        <f t="shared" si="20"/>
        <v>482.58</v>
      </c>
      <c r="K76" s="192"/>
      <c r="L76" s="191"/>
      <c r="M76" s="21">
        <v>31.62</v>
      </c>
      <c r="N76" s="89">
        <f t="shared" si="16"/>
        <v>34.47</v>
      </c>
      <c r="O76" s="70">
        <f t="shared" si="21"/>
        <v>0.0901328273244781</v>
      </c>
      <c r="P76" s="25">
        <f t="shared" si="22"/>
        <v>459.4851</v>
      </c>
    </row>
    <row r="77" spans="1:16">
      <c r="A77" s="162" t="s">
        <v>24</v>
      </c>
      <c r="B77" s="20">
        <f t="shared" si="17"/>
        <v>0.304800609601219</v>
      </c>
      <c r="C77" s="110">
        <v>12</v>
      </c>
      <c r="D77" s="21" t="s">
        <v>46</v>
      </c>
      <c r="E77" s="26" t="s">
        <v>31</v>
      </c>
      <c r="F77" s="26" t="s">
        <v>29</v>
      </c>
      <c r="G77" s="21">
        <v>23.84</v>
      </c>
      <c r="H77" s="21">
        <f t="shared" si="18"/>
        <v>286.08</v>
      </c>
      <c r="I77" s="21">
        <f t="shared" si="19"/>
        <v>317.79</v>
      </c>
      <c r="J77" s="166">
        <f t="shared" si="20"/>
        <v>333.76</v>
      </c>
      <c r="K77" s="192"/>
      <c r="L77" s="191"/>
      <c r="M77" s="21">
        <v>21.87</v>
      </c>
      <c r="N77" s="89">
        <f t="shared" si="16"/>
        <v>23.84</v>
      </c>
      <c r="O77" s="70">
        <f t="shared" si="21"/>
        <v>0.0900777320530406</v>
      </c>
      <c r="P77" s="25">
        <f t="shared" si="22"/>
        <v>317.7872</v>
      </c>
    </row>
    <row r="78" spans="1:16">
      <c r="A78" s="162" t="s">
        <v>24</v>
      </c>
      <c r="B78" s="20">
        <f t="shared" ref="B78:B89" si="23">C78/39.37</f>
        <v>0.355600711201422</v>
      </c>
      <c r="C78" s="110">
        <v>14</v>
      </c>
      <c r="D78" s="21" t="s">
        <v>47</v>
      </c>
      <c r="E78" s="26" t="s">
        <v>28</v>
      </c>
      <c r="F78" s="26" t="s">
        <v>29</v>
      </c>
      <c r="G78" s="21">
        <v>8.71</v>
      </c>
      <c r="H78" s="21">
        <f t="shared" si="18"/>
        <v>104.52</v>
      </c>
      <c r="I78" s="21">
        <f t="shared" si="19"/>
        <v>116.1</v>
      </c>
      <c r="J78" s="166">
        <f t="shared" si="20"/>
        <v>121.94</v>
      </c>
      <c r="K78" s="192"/>
      <c r="L78" s="191"/>
      <c r="M78" s="21">
        <v>7.99</v>
      </c>
      <c r="N78" s="89">
        <f t="shared" si="16"/>
        <v>8.71</v>
      </c>
      <c r="O78" s="70">
        <f t="shared" si="21"/>
        <v>0.0901126408010013</v>
      </c>
      <c r="P78" s="25">
        <f t="shared" si="22"/>
        <v>116.1043</v>
      </c>
    </row>
    <row r="79" spans="1:16">
      <c r="A79" s="162" t="s">
        <v>24</v>
      </c>
      <c r="B79" s="20">
        <f t="shared" si="23"/>
        <v>0.355600711201422</v>
      </c>
      <c r="C79" s="110">
        <v>14</v>
      </c>
      <c r="D79" s="21" t="s">
        <v>47</v>
      </c>
      <c r="E79" s="26" t="s">
        <v>30</v>
      </c>
      <c r="F79" s="26" t="s">
        <v>29</v>
      </c>
      <c r="G79" s="21">
        <v>11.14</v>
      </c>
      <c r="H79" s="21">
        <f t="shared" si="18"/>
        <v>133.68</v>
      </c>
      <c r="I79" s="21">
        <f t="shared" si="19"/>
        <v>148.5</v>
      </c>
      <c r="J79" s="166">
        <f t="shared" si="20"/>
        <v>155.96</v>
      </c>
      <c r="K79" s="192"/>
      <c r="L79" s="191"/>
      <c r="M79" s="21">
        <v>10.22</v>
      </c>
      <c r="N79" s="89">
        <f t="shared" si="16"/>
        <v>11.14</v>
      </c>
      <c r="O79" s="70">
        <f t="shared" si="21"/>
        <v>0.0900195694716242</v>
      </c>
      <c r="P79" s="25">
        <f t="shared" si="22"/>
        <v>148.4962</v>
      </c>
    </row>
    <row r="80" spans="1:16">
      <c r="A80" s="162" t="s">
        <v>24</v>
      </c>
      <c r="B80" s="20">
        <f t="shared" si="23"/>
        <v>0.355600711201422</v>
      </c>
      <c r="C80" s="110">
        <v>14</v>
      </c>
      <c r="D80" s="21" t="s">
        <v>47</v>
      </c>
      <c r="E80" s="26" t="s">
        <v>26</v>
      </c>
      <c r="F80" s="26" t="s">
        <v>29</v>
      </c>
      <c r="G80" s="21">
        <v>11.8</v>
      </c>
      <c r="H80" s="21">
        <f t="shared" si="18"/>
        <v>141.6</v>
      </c>
      <c r="I80" s="21">
        <f t="shared" si="19"/>
        <v>157.29</v>
      </c>
      <c r="J80" s="166">
        <f t="shared" si="20"/>
        <v>165.2</v>
      </c>
      <c r="K80" s="192"/>
      <c r="L80" s="191"/>
      <c r="M80" s="21">
        <v>10.83</v>
      </c>
      <c r="N80" s="89">
        <f t="shared" si="16"/>
        <v>11.8</v>
      </c>
      <c r="O80" s="70">
        <f t="shared" si="21"/>
        <v>0.0895660203139428</v>
      </c>
      <c r="P80" s="25">
        <f t="shared" si="22"/>
        <v>157.294</v>
      </c>
    </row>
    <row r="81" spans="1:16">
      <c r="A81" s="162" t="s">
        <v>24</v>
      </c>
      <c r="B81" s="20">
        <f t="shared" si="23"/>
        <v>0.355600711201422</v>
      </c>
      <c r="C81" s="110">
        <v>14</v>
      </c>
      <c r="D81" s="21" t="s">
        <v>47</v>
      </c>
      <c r="E81" s="26" t="s">
        <v>31</v>
      </c>
      <c r="F81" s="26" t="s">
        <v>29</v>
      </c>
      <c r="G81" s="21">
        <v>22.04</v>
      </c>
      <c r="H81" s="21">
        <f t="shared" si="18"/>
        <v>264.48</v>
      </c>
      <c r="I81" s="21">
        <f t="shared" si="19"/>
        <v>293.79</v>
      </c>
      <c r="J81" s="166">
        <f t="shared" si="20"/>
        <v>308.56</v>
      </c>
      <c r="K81" s="192"/>
      <c r="L81" s="191"/>
      <c r="M81" s="21">
        <v>20.22</v>
      </c>
      <c r="N81" s="89">
        <f t="shared" si="16"/>
        <v>22.04</v>
      </c>
      <c r="O81" s="70">
        <f t="shared" si="21"/>
        <v>0.0900098911968348</v>
      </c>
      <c r="P81" s="25">
        <f t="shared" si="22"/>
        <v>293.7932</v>
      </c>
    </row>
    <row r="82" spans="1:16">
      <c r="A82" s="162" t="s">
        <v>24</v>
      </c>
      <c r="B82" s="20">
        <f t="shared" si="23"/>
        <v>0.355600711201422</v>
      </c>
      <c r="C82" s="110">
        <v>14</v>
      </c>
      <c r="D82" s="21" t="s">
        <v>47</v>
      </c>
      <c r="E82" s="26" t="s">
        <v>34</v>
      </c>
      <c r="F82" s="26" t="s">
        <v>29</v>
      </c>
      <c r="G82" s="21">
        <v>35.32</v>
      </c>
      <c r="H82" s="21">
        <f t="shared" si="18"/>
        <v>423.84</v>
      </c>
      <c r="I82" s="21">
        <f t="shared" si="19"/>
        <v>470.82</v>
      </c>
      <c r="J82" s="166">
        <f t="shared" si="20"/>
        <v>494.48</v>
      </c>
      <c r="K82" s="192"/>
      <c r="L82" s="191"/>
      <c r="M82" s="21">
        <v>32.4</v>
      </c>
      <c r="N82" s="89">
        <f t="shared" si="16"/>
        <v>35.32</v>
      </c>
      <c r="O82" s="70">
        <f t="shared" si="21"/>
        <v>0.0901234567901235</v>
      </c>
      <c r="P82" s="25">
        <f t="shared" si="22"/>
        <v>470.8156</v>
      </c>
    </row>
    <row r="83" spans="1:16">
      <c r="A83" s="162" t="s">
        <v>24</v>
      </c>
      <c r="B83" s="20">
        <f t="shared" si="23"/>
        <v>0.381000762001524</v>
      </c>
      <c r="C83" s="110">
        <v>15</v>
      </c>
      <c r="D83" s="21" t="s">
        <v>47</v>
      </c>
      <c r="E83" s="26" t="s">
        <v>28</v>
      </c>
      <c r="F83" s="26" t="s">
        <v>29</v>
      </c>
      <c r="G83" s="21">
        <v>8.71</v>
      </c>
      <c r="H83" s="21">
        <f t="shared" si="18"/>
        <v>104.52</v>
      </c>
      <c r="I83" s="21">
        <f t="shared" si="19"/>
        <v>116.1</v>
      </c>
      <c r="J83" s="166">
        <f t="shared" si="20"/>
        <v>121.94</v>
      </c>
      <c r="K83" s="192"/>
      <c r="L83" s="191"/>
      <c r="M83" s="21">
        <v>7.99</v>
      </c>
      <c r="N83" s="89">
        <f t="shared" si="16"/>
        <v>8.71</v>
      </c>
      <c r="O83" s="70">
        <f t="shared" si="21"/>
        <v>0.0901126408010013</v>
      </c>
      <c r="P83" s="25">
        <f t="shared" si="22"/>
        <v>116.1043</v>
      </c>
    </row>
    <row r="84" spans="1:16">
      <c r="A84" s="162" t="s">
        <v>24</v>
      </c>
      <c r="B84" s="20">
        <f t="shared" si="23"/>
        <v>0.381000762001524</v>
      </c>
      <c r="C84" s="110">
        <v>15</v>
      </c>
      <c r="D84" s="21" t="s">
        <v>47</v>
      </c>
      <c r="E84" s="26" t="s">
        <v>26</v>
      </c>
      <c r="F84" s="26" t="s">
        <v>29</v>
      </c>
      <c r="G84" s="21">
        <v>12.03</v>
      </c>
      <c r="H84" s="21">
        <f t="shared" si="18"/>
        <v>144.36</v>
      </c>
      <c r="I84" s="21">
        <f t="shared" si="19"/>
        <v>160.36</v>
      </c>
      <c r="J84" s="166">
        <f t="shared" si="20"/>
        <v>168.42</v>
      </c>
      <c r="K84" s="192"/>
      <c r="L84" s="191"/>
      <c r="M84" s="21">
        <v>11.04</v>
      </c>
      <c r="N84" s="89">
        <f t="shared" si="16"/>
        <v>12.03</v>
      </c>
      <c r="O84" s="70">
        <f t="shared" si="21"/>
        <v>0.0896739130434783</v>
      </c>
      <c r="P84" s="25">
        <f t="shared" si="22"/>
        <v>160.3599</v>
      </c>
    </row>
    <row r="85" spans="1:16">
      <c r="A85" s="162" t="s">
        <v>24</v>
      </c>
      <c r="B85" s="20">
        <f t="shared" si="23"/>
        <v>0.381000762001524</v>
      </c>
      <c r="C85" s="110">
        <v>15</v>
      </c>
      <c r="D85" s="21" t="s">
        <v>47</v>
      </c>
      <c r="E85" s="26" t="s">
        <v>31</v>
      </c>
      <c r="F85" s="26" t="s">
        <v>29</v>
      </c>
      <c r="G85" s="21">
        <v>22.04</v>
      </c>
      <c r="H85" s="21">
        <f t="shared" si="18"/>
        <v>264.48</v>
      </c>
      <c r="I85" s="21">
        <f t="shared" si="19"/>
        <v>293.79</v>
      </c>
      <c r="J85" s="166">
        <f t="shared" si="20"/>
        <v>308.56</v>
      </c>
      <c r="K85" s="192"/>
      <c r="L85" s="191"/>
      <c r="M85" s="21">
        <v>20.22</v>
      </c>
      <c r="N85" s="89">
        <f t="shared" si="16"/>
        <v>22.04</v>
      </c>
      <c r="O85" s="70">
        <f t="shared" si="21"/>
        <v>0.0900098911968348</v>
      </c>
      <c r="P85" s="25">
        <f t="shared" si="22"/>
        <v>293.7932</v>
      </c>
    </row>
    <row r="86" spans="1:16">
      <c r="A86" s="162" t="s">
        <v>24</v>
      </c>
      <c r="B86" s="20">
        <f t="shared" si="23"/>
        <v>0.406400812801626</v>
      </c>
      <c r="C86" s="110">
        <v>16</v>
      </c>
      <c r="D86" s="21" t="s">
        <v>47</v>
      </c>
      <c r="E86" s="26" t="s">
        <v>28</v>
      </c>
      <c r="F86" s="26" t="s">
        <v>29</v>
      </c>
      <c r="G86" s="21">
        <v>9.06</v>
      </c>
      <c r="H86" s="21">
        <f t="shared" si="18"/>
        <v>108.72</v>
      </c>
      <c r="I86" s="21">
        <f t="shared" si="19"/>
        <v>120.77</v>
      </c>
      <c r="J86" s="166">
        <f t="shared" si="20"/>
        <v>126.84</v>
      </c>
      <c r="K86" s="192"/>
      <c r="L86" s="191"/>
      <c r="M86" s="21">
        <v>8.31</v>
      </c>
      <c r="N86" s="89">
        <f t="shared" si="16"/>
        <v>9.06</v>
      </c>
      <c r="O86" s="70">
        <f t="shared" si="21"/>
        <v>0.0902527075812274</v>
      </c>
      <c r="P86" s="25">
        <f t="shared" si="22"/>
        <v>120.7698</v>
      </c>
    </row>
    <row r="87" spans="1:16">
      <c r="A87" s="162" t="s">
        <v>24</v>
      </c>
      <c r="B87" s="20">
        <f t="shared" si="23"/>
        <v>0.406400812801626</v>
      </c>
      <c r="C87" s="110">
        <v>16</v>
      </c>
      <c r="D87" s="21" t="s">
        <v>47</v>
      </c>
      <c r="E87" s="26" t="s">
        <v>30</v>
      </c>
      <c r="F87" s="26" t="s">
        <v>29</v>
      </c>
      <c r="G87" s="21">
        <v>10.89</v>
      </c>
      <c r="H87" s="21">
        <f t="shared" si="18"/>
        <v>130.68</v>
      </c>
      <c r="I87" s="21">
        <f t="shared" si="19"/>
        <v>145.16</v>
      </c>
      <c r="J87" s="166">
        <f t="shared" si="20"/>
        <v>152.46</v>
      </c>
      <c r="K87" s="192"/>
      <c r="L87" s="191"/>
      <c r="M87" s="21">
        <v>9.99</v>
      </c>
      <c r="N87" s="89">
        <f t="shared" si="16"/>
        <v>10.89</v>
      </c>
      <c r="O87" s="70">
        <f t="shared" si="21"/>
        <v>0.0900900900900901</v>
      </c>
      <c r="P87" s="25">
        <f t="shared" si="22"/>
        <v>145.1637</v>
      </c>
    </row>
    <row r="88" spans="1:16">
      <c r="A88" s="162" t="s">
        <v>24</v>
      </c>
      <c r="B88" s="20">
        <f t="shared" si="23"/>
        <v>0.406400812801626</v>
      </c>
      <c r="C88" s="110">
        <v>16</v>
      </c>
      <c r="D88" s="21" t="s">
        <v>47</v>
      </c>
      <c r="E88" s="26" t="s">
        <v>44</v>
      </c>
      <c r="F88" s="26" t="s">
        <v>29</v>
      </c>
      <c r="G88" s="21">
        <v>18.49</v>
      </c>
      <c r="H88" s="21">
        <f t="shared" si="18"/>
        <v>221.88</v>
      </c>
      <c r="I88" s="21">
        <f t="shared" si="19"/>
        <v>246.47</v>
      </c>
      <c r="J88" s="166">
        <f t="shared" si="20"/>
        <v>258.86</v>
      </c>
      <c r="K88" s="192"/>
      <c r="L88" s="191"/>
      <c r="M88" s="21">
        <v>16.96</v>
      </c>
      <c r="N88" s="89">
        <f t="shared" ref="N88:N119" si="24">ROUND(M88*1.09,2)</f>
        <v>18.49</v>
      </c>
      <c r="O88" s="70">
        <f t="shared" si="21"/>
        <v>0.0902122641509432</v>
      </c>
      <c r="P88" s="25">
        <f t="shared" si="22"/>
        <v>246.4717</v>
      </c>
    </row>
    <row r="89" spans="1:16">
      <c r="A89" s="162" t="s">
        <v>24</v>
      </c>
      <c r="B89" s="20">
        <f t="shared" si="23"/>
        <v>0.406400812801626</v>
      </c>
      <c r="C89" s="110">
        <v>16</v>
      </c>
      <c r="D89" s="21" t="s">
        <v>47</v>
      </c>
      <c r="E89" s="26" t="s">
        <v>26</v>
      </c>
      <c r="F89" s="26" t="s">
        <v>29</v>
      </c>
      <c r="G89" s="21">
        <v>12.69</v>
      </c>
      <c r="H89" s="21">
        <f t="shared" si="18"/>
        <v>152.28</v>
      </c>
      <c r="I89" s="21">
        <f t="shared" si="19"/>
        <v>169.16</v>
      </c>
      <c r="J89" s="166">
        <f t="shared" si="20"/>
        <v>177.66</v>
      </c>
      <c r="K89" s="192"/>
      <c r="L89" s="191"/>
      <c r="M89" s="21">
        <v>11.64</v>
      </c>
      <c r="N89" s="89">
        <f t="shared" si="24"/>
        <v>12.69</v>
      </c>
      <c r="O89" s="70">
        <f t="shared" si="21"/>
        <v>0.0902061855670102</v>
      </c>
      <c r="P89" s="25">
        <f t="shared" si="22"/>
        <v>169.1577</v>
      </c>
    </row>
    <row r="90" spans="1:16">
      <c r="A90" s="162" t="s">
        <v>24</v>
      </c>
      <c r="B90" s="20">
        <f t="shared" ref="B90:B107" si="25">C90/39.37</f>
        <v>0.406400812801626</v>
      </c>
      <c r="C90" s="110">
        <v>16</v>
      </c>
      <c r="D90" s="21" t="s">
        <v>47</v>
      </c>
      <c r="E90" s="26" t="s">
        <v>42</v>
      </c>
      <c r="F90" s="26" t="s">
        <v>29</v>
      </c>
      <c r="G90" s="21">
        <v>21.36</v>
      </c>
      <c r="H90" s="21">
        <f t="shared" ref="H90:H109" si="26">ROUND(G90*12,2)</f>
        <v>256.32</v>
      </c>
      <c r="I90" s="21">
        <f t="shared" ref="I90:I109" si="27">ROUND(G90*13.33,2)</f>
        <v>284.73</v>
      </c>
      <c r="J90" s="166">
        <f t="shared" ref="J90:J109" si="28">ROUND(G90*14,2)</f>
        <v>299.04</v>
      </c>
      <c r="K90" s="192"/>
      <c r="L90" s="191"/>
      <c r="M90" s="21">
        <v>19.6</v>
      </c>
      <c r="N90" s="89">
        <f t="shared" si="24"/>
        <v>21.36</v>
      </c>
      <c r="O90" s="70">
        <f t="shared" si="21"/>
        <v>0.0897959183673468</v>
      </c>
      <c r="P90" s="25">
        <f t="shared" si="22"/>
        <v>284.7288</v>
      </c>
    </row>
    <row r="91" spans="1:16">
      <c r="A91" s="162" t="s">
        <v>24</v>
      </c>
      <c r="B91" s="20">
        <f t="shared" si="25"/>
        <v>0.406400812801626</v>
      </c>
      <c r="C91" s="110">
        <v>16</v>
      </c>
      <c r="D91" s="21" t="s">
        <v>47</v>
      </c>
      <c r="E91" s="26" t="s">
        <v>31</v>
      </c>
      <c r="F91" s="26" t="s">
        <v>29</v>
      </c>
      <c r="G91" s="21">
        <v>22.04</v>
      </c>
      <c r="H91" s="21">
        <f t="shared" si="26"/>
        <v>264.48</v>
      </c>
      <c r="I91" s="21">
        <f t="shared" si="27"/>
        <v>293.79</v>
      </c>
      <c r="J91" s="166">
        <f t="shared" si="28"/>
        <v>308.56</v>
      </c>
      <c r="K91" s="192"/>
      <c r="L91" s="191"/>
      <c r="M91" s="21">
        <v>20.22</v>
      </c>
      <c r="N91" s="89">
        <f t="shared" si="24"/>
        <v>22.04</v>
      </c>
      <c r="O91" s="70">
        <f t="shared" si="21"/>
        <v>0.0900098911968348</v>
      </c>
      <c r="P91" s="25">
        <f t="shared" si="22"/>
        <v>293.7932</v>
      </c>
    </row>
    <row r="92" spans="1:16">
      <c r="A92" s="162" t="s">
        <v>24</v>
      </c>
      <c r="B92" s="20">
        <f t="shared" si="25"/>
        <v>0.457200914401829</v>
      </c>
      <c r="C92" s="110">
        <v>18</v>
      </c>
      <c r="D92" s="21" t="s">
        <v>48</v>
      </c>
      <c r="E92" s="26" t="s">
        <v>28</v>
      </c>
      <c r="F92" s="26" t="s">
        <v>29</v>
      </c>
      <c r="G92" s="21">
        <v>9.56</v>
      </c>
      <c r="H92" s="21">
        <f t="shared" si="26"/>
        <v>114.72</v>
      </c>
      <c r="I92" s="21">
        <f t="shared" si="27"/>
        <v>127.43</v>
      </c>
      <c r="J92" s="166">
        <f t="shared" si="28"/>
        <v>133.84</v>
      </c>
      <c r="K92" s="192"/>
      <c r="L92" s="191"/>
      <c r="M92" s="21">
        <v>8.77</v>
      </c>
      <c r="N92" s="89">
        <f t="shared" si="24"/>
        <v>9.56</v>
      </c>
      <c r="O92" s="70">
        <f t="shared" si="21"/>
        <v>0.0900798175598633</v>
      </c>
      <c r="P92" s="25">
        <f t="shared" si="22"/>
        <v>127.4348</v>
      </c>
    </row>
    <row r="93" spans="1:16">
      <c r="A93" s="162" t="s">
        <v>24</v>
      </c>
      <c r="B93" s="20">
        <f t="shared" si="25"/>
        <v>0.457200914401829</v>
      </c>
      <c r="C93" s="110">
        <v>18</v>
      </c>
      <c r="D93" s="21" t="s">
        <v>48</v>
      </c>
      <c r="E93" s="26" t="s">
        <v>26</v>
      </c>
      <c r="F93" s="26" t="s">
        <v>29</v>
      </c>
      <c r="G93" s="21">
        <v>13.09</v>
      </c>
      <c r="H93" s="21">
        <f t="shared" si="26"/>
        <v>157.08</v>
      </c>
      <c r="I93" s="21">
        <f t="shared" si="27"/>
        <v>174.49</v>
      </c>
      <c r="J93" s="166">
        <f t="shared" si="28"/>
        <v>183.26</v>
      </c>
      <c r="K93" s="192"/>
      <c r="L93" s="191"/>
      <c r="M93" s="21">
        <v>12.01</v>
      </c>
      <c r="N93" s="89">
        <f t="shared" si="24"/>
        <v>13.09</v>
      </c>
      <c r="O93" s="70">
        <f t="shared" si="21"/>
        <v>0.08992506244796</v>
      </c>
      <c r="P93" s="25">
        <f t="shared" si="22"/>
        <v>174.4897</v>
      </c>
    </row>
    <row r="94" spans="1:16">
      <c r="A94" s="162" t="s">
        <v>24</v>
      </c>
      <c r="B94" s="20">
        <f t="shared" si="25"/>
        <v>0.457200914401829</v>
      </c>
      <c r="C94" s="110">
        <v>18</v>
      </c>
      <c r="D94" s="21" t="s">
        <v>48</v>
      </c>
      <c r="E94" s="26" t="s">
        <v>31</v>
      </c>
      <c r="F94" s="26" t="s">
        <v>29</v>
      </c>
      <c r="G94" s="21">
        <v>23.34</v>
      </c>
      <c r="H94" s="21">
        <f t="shared" si="26"/>
        <v>280.08</v>
      </c>
      <c r="I94" s="21">
        <f t="shared" si="27"/>
        <v>311.12</v>
      </c>
      <c r="J94" s="166">
        <f t="shared" si="28"/>
        <v>326.76</v>
      </c>
      <c r="K94" s="192"/>
      <c r="L94" s="191"/>
      <c r="M94" s="21">
        <v>21.41</v>
      </c>
      <c r="N94" s="89">
        <f t="shared" si="24"/>
        <v>23.34</v>
      </c>
      <c r="O94" s="70">
        <f t="shared" si="21"/>
        <v>0.0901447921531994</v>
      </c>
      <c r="P94" s="25">
        <f t="shared" si="22"/>
        <v>311.1222</v>
      </c>
    </row>
    <row r="95" spans="1:16">
      <c r="A95" s="162" t="s">
        <v>24</v>
      </c>
      <c r="B95" s="20">
        <f t="shared" si="25"/>
        <v>0.457200914401829</v>
      </c>
      <c r="C95" s="110">
        <v>18</v>
      </c>
      <c r="D95" s="21" t="s">
        <v>48</v>
      </c>
      <c r="E95" s="26" t="s">
        <v>49</v>
      </c>
      <c r="F95" s="26" t="s">
        <v>29</v>
      </c>
      <c r="G95" s="14">
        <v>19.24</v>
      </c>
      <c r="H95" s="21">
        <f t="shared" si="26"/>
        <v>230.88</v>
      </c>
      <c r="I95" s="21">
        <f t="shared" si="27"/>
        <v>256.47</v>
      </c>
      <c r="J95" s="166">
        <f t="shared" si="28"/>
        <v>269.36</v>
      </c>
      <c r="K95" s="97"/>
      <c r="L95" s="29"/>
      <c r="M95" s="14">
        <v>17.65</v>
      </c>
      <c r="N95" s="89">
        <f t="shared" si="24"/>
        <v>19.24</v>
      </c>
      <c r="O95" s="70">
        <f t="shared" si="21"/>
        <v>0.090084985835694</v>
      </c>
      <c r="P95" s="25">
        <f t="shared" si="22"/>
        <v>256.4692</v>
      </c>
    </row>
    <row r="96" spans="1:16">
      <c r="A96" s="162" t="s">
        <v>24</v>
      </c>
      <c r="B96" s="20">
        <f t="shared" si="25"/>
        <v>0.457200914401829</v>
      </c>
      <c r="C96" s="110">
        <v>18</v>
      </c>
      <c r="D96" s="21" t="s">
        <v>48</v>
      </c>
      <c r="E96" s="26" t="s">
        <v>44</v>
      </c>
      <c r="F96" s="26" t="s">
        <v>29</v>
      </c>
      <c r="G96" s="14">
        <v>21.06</v>
      </c>
      <c r="H96" s="21">
        <f t="shared" si="26"/>
        <v>252.72</v>
      </c>
      <c r="I96" s="21">
        <f t="shared" si="27"/>
        <v>280.73</v>
      </c>
      <c r="J96" s="166">
        <f t="shared" si="28"/>
        <v>294.84</v>
      </c>
      <c r="K96" s="97"/>
      <c r="L96" s="29"/>
      <c r="M96" s="14">
        <v>19.5</v>
      </c>
      <c r="N96" s="89">
        <f>ROUND(M96*1.08,2)</f>
        <v>21.06</v>
      </c>
      <c r="O96" s="70">
        <f t="shared" si="21"/>
        <v>0.0799999999999999</v>
      </c>
      <c r="P96" s="25">
        <f t="shared" si="22"/>
        <v>280.7298</v>
      </c>
    </row>
    <row r="97" spans="1:16">
      <c r="A97" s="162" t="s">
        <v>24</v>
      </c>
      <c r="B97" s="20">
        <f t="shared" si="25"/>
        <v>0.457200914401829</v>
      </c>
      <c r="C97" s="110">
        <v>18</v>
      </c>
      <c r="D97" s="21" t="s">
        <v>48</v>
      </c>
      <c r="E97" s="26" t="s">
        <v>50</v>
      </c>
      <c r="F97" s="26" t="s">
        <v>29</v>
      </c>
      <c r="G97" s="21">
        <v>33.07</v>
      </c>
      <c r="H97" s="21">
        <f t="shared" si="26"/>
        <v>396.84</v>
      </c>
      <c r="I97" s="21">
        <f t="shared" si="27"/>
        <v>440.82</v>
      </c>
      <c r="J97" s="166">
        <f t="shared" si="28"/>
        <v>462.98</v>
      </c>
      <c r="K97" s="192"/>
      <c r="L97" s="191"/>
      <c r="M97" s="21">
        <v>30.34</v>
      </c>
      <c r="N97" s="89">
        <f t="shared" si="24"/>
        <v>33.07</v>
      </c>
      <c r="O97" s="70">
        <f t="shared" si="21"/>
        <v>0.0899802241265656</v>
      </c>
      <c r="P97" s="25">
        <f t="shared" si="22"/>
        <v>440.8231</v>
      </c>
    </row>
    <row r="98" spans="1:16">
      <c r="A98" s="162" t="s">
        <v>24</v>
      </c>
      <c r="B98" s="20">
        <f t="shared" si="25"/>
        <v>0.457200914401829</v>
      </c>
      <c r="C98" s="110">
        <v>18</v>
      </c>
      <c r="D98" s="21" t="s">
        <v>48</v>
      </c>
      <c r="E98" s="26" t="s">
        <v>34</v>
      </c>
      <c r="F98" s="26" t="s">
        <v>29</v>
      </c>
      <c r="G98" s="21">
        <v>36.02</v>
      </c>
      <c r="H98" s="21">
        <f t="shared" si="26"/>
        <v>432.24</v>
      </c>
      <c r="I98" s="21">
        <f t="shared" si="27"/>
        <v>480.15</v>
      </c>
      <c r="J98" s="166">
        <f t="shared" si="28"/>
        <v>504.28</v>
      </c>
      <c r="K98" s="192"/>
      <c r="L98" s="191"/>
      <c r="M98" s="21">
        <v>33.05</v>
      </c>
      <c r="N98" s="89">
        <f t="shared" si="24"/>
        <v>36.02</v>
      </c>
      <c r="O98" s="70">
        <f t="shared" si="21"/>
        <v>0.0898638426626326</v>
      </c>
      <c r="P98" s="25">
        <f t="shared" si="22"/>
        <v>480.1466</v>
      </c>
    </row>
    <row r="99" spans="1:16">
      <c r="A99" s="162" t="s">
        <v>24</v>
      </c>
      <c r="B99" s="20">
        <f t="shared" si="25"/>
        <v>0.508001016002032</v>
      </c>
      <c r="C99" s="110">
        <v>20</v>
      </c>
      <c r="D99" s="21" t="s">
        <v>51</v>
      </c>
      <c r="E99" s="26" t="s">
        <v>28</v>
      </c>
      <c r="F99" s="26" t="s">
        <v>29</v>
      </c>
      <c r="G99" s="21">
        <v>9.56</v>
      </c>
      <c r="H99" s="21">
        <f t="shared" si="26"/>
        <v>114.72</v>
      </c>
      <c r="I99" s="21">
        <f t="shared" si="27"/>
        <v>127.43</v>
      </c>
      <c r="J99" s="166">
        <f t="shared" si="28"/>
        <v>133.84</v>
      </c>
      <c r="K99" s="192"/>
      <c r="L99" s="191"/>
      <c r="M99" s="21">
        <v>8.77</v>
      </c>
      <c r="N99" s="89">
        <f t="shared" si="24"/>
        <v>9.56</v>
      </c>
      <c r="O99" s="70">
        <f t="shared" si="21"/>
        <v>0.0900798175598633</v>
      </c>
      <c r="P99" s="25">
        <f t="shared" si="22"/>
        <v>127.4348</v>
      </c>
    </row>
    <row r="100" spans="1:16">
      <c r="A100" s="162" t="s">
        <v>24</v>
      </c>
      <c r="B100" s="20">
        <f t="shared" si="25"/>
        <v>0.508001016002032</v>
      </c>
      <c r="C100" s="110">
        <v>20</v>
      </c>
      <c r="D100" s="21" t="s">
        <v>51</v>
      </c>
      <c r="E100" s="26" t="s">
        <v>26</v>
      </c>
      <c r="F100" s="26" t="s">
        <v>29</v>
      </c>
      <c r="G100" s="21">
        <v>13.28</v>
      </c>
      <c r="H100" s="21">
        <f t="shared" si="26"/>
        <v>159.36</v>
      </c>
      <c r="I100" s="21">
        <f t="shared" si="27"/>
        <v>177.02</v>
      </c>
      <c r="J100" s="166">
        <f t="shared" si="28"/>
        <v>185.92</v>
      </c>
      <c r="K100" s="192"/>
      <c r="L100" s="191"/>
      <c r="M100" s="21">
        <v>12.18</v>
      </c>
      <c r="N100" s="89">
        <f t="shared" si="24"/>
        <v>13.28</v>
      </c>
      <c r="O100" s="70">
        <f t="shared" si="21"/>
        <v>0.090311986863711</v>
      </c>
      <c r="P100" s="25">
        <f t="shared" si="22"/>
        <v>177.0224</v>
      </c>
    </row>
    <row r="101" spans="1:16">
      <c r="A101" s="162" t="s">
        <v>24</v>
      </c>
      <c r="B101" s="20">
        <f t="shared" si="25"/>
        <v>0.508001016002032</v>
      </c>
      <c r="C101" s="110">
        <v>20</v>
      </c>
      <c r="D101" s="21" t="s">
        <v>51</v>
      </c>
      <c r="E101" s="26" t="s">
        <v>31</v>
      </c>
      <c r="F101" s="26" t="s">
        <v>29</v>
      </c>
      <c r="G101" s="21">
        <v>23.14</v>
      </c>
      <c r="H101" s="21">
        <f t="shared" si="26"/>
        <v>277.68</v>
      </c>
      <c r="I101" s="21">
        <f t="shared" si="27"/>
        <v>308.46</v>
      </c>
      <c r="J101" s="166">
        <f t="shared" si="28"/>
        <v>323.96</v>
      </c>
      <c r="K101" s="192"/>
      <c r="L101" s="191"/>
      <c r="M101" s="21">
        <v>21.23</v>
      </c>
      <c r="N101" s="89">
        <f t="shared" si="24"/>
        <v>23.14</v>
      </c>
      <c r="O101" s="70">
        <f t="shared" si="21"/>
        <v>0.089967027790862</v>
      </c>
      <c r="P101" s="25">
        <f t="shared" si="22"/>
        <v>308.4562</v>
      </c>
    </row>
    <row r="102" spans="1:16">
      <c r="A102" s="162" t="s">
        <v>24</v>
      </c>
      <c r="B102" s="20">
        <f t="shared" si="25"/>
        <v>0.533401066802134</v>
      </c>
      <c r="C102" s="110">
        <v>21</v>
      </c>
      <c r="D102" s="21" t="s">
        <v>52</v>
      </c>
      <c r="E102" s="26" t="s">
        <v>28</v>
      </c>
      <c r="F102" s="26" t="s">
        <v>29</v>
      </c>
      <c r="G102" s="21">
        <v>9.89</v>
      </c>
      <c r="H102" s="21">
        <f t="shared" si="26"/>
        <v>118.68</v>
      </c>
      <c r="I102" s="21">
        <f t="shared" si="27"/>
        <v>131.83</v>
      </c>
      <c r="J102" s="166">
        <f t="shared" si="28"/>
        <v>138.46</v>
      </c>
      <c r="K102" s="192"/>
      <c r="L102" s="191"/>
      <c r="M102" s="21">
        <v>9.07</v>
      </c>
      <c r="N102" s="89">
        <f t="shared" si="24"/>
        <v>9.89</v>
      </c>
      <c r="O102" s="70">
        <f t="shared" si="21"/>
        <v>0.0904079382579934</v>
      </c>
      <c r="P102" s="25">
        <f t="shared" si="22"/>
        <v>131.8337</v>
      </c>
    </row>
    <row r="103" spans="1:16">
      <c r="A103" s="162" t="s">
        <v>24</v>
      </c>
      <c r="B103" s="20">
        <f t="shared" si="25"/>
        <v>0.533401066802134</v>
      </c>
      <c r="C103" s="110">
        <v>21</v>
      </c>
      <c r="D103" s="21" t="s">
        <v>52</v>
      </c>
      <c r="E103" s="26" t="s">
        <v>26</v>
      </c>
      <c r="F103" s="26" t="s">
        <v>29</v>
      </c>
      <c r="G103" s="21">
        <v>13.2</v>
      </c>
      <c r="H103" s="21">
        <f t="shared" si="26"/>
        <v>158.4</v>
      </c>
      <c r="I103" s="21">
        <f t="shared" si="27"/>
        <v>175.96</v>
      </c>
      <c r="J103" s="166">
        <f t="shared" si="28"/>
        <v>184.8</v>
      </c>
      <c r="K103" s="192"/>
      <c r="L103" s="191"/>
      <c r="M103" s="21">
        <v>12.11</v>
      </c>
      <c r="N103" s="89">
        <f t="shared" si="24"/>
        <v>13.2</v>
      </c>
      <c r="O103" s="70">
        <f t="shared" si="21"/>
        <v>0.0900082576383154</v>
      </c>
      <c r="P103" s="25">
        <f t="shared" si="22"/>
        <v>175.956</v>
      </c>
    </row>
    <row r="104" spans="1:16">
      <c r="A104" s="162" t="s">
        <v>24</v>
      </c>
      <c r="B104" s="20">
        <f t="shared" si="25"/>
        <v>0.533401066802134</v>
      </c>
      <c r="C104" s="110">
        <v>21</v>
      </c>
      <c r="D104" s="21" t="s">
        <v>52</v>
      </c>
      <c r="E104" s="26" t="s">
        <v>31</v>
      </c>
      <c r="F104" s="26" t="s">
        <v>29</v>
      </c>
      <c r="G104" s="21">
        <v>23.77</v>
      </c>
      <c r="H104" s="21">
        <f t="shared" si="26"/>
        <v>285.24</v>
      </c>
      <c r="I104" s="21">
        <f t="shared" si="27"/>
        <v>316.85</v>
      </c>
      <c r="J104" s="166">
        <f t="shared" si="28"/>
        <v>332.78</v>
      </c>
      <c r="K104" s="192"/>
      <c r="L104" s="191"/>
      <c r="M104" s="21">
        <v>21.81</v>
      </c>
      <c r="N104" s="89">
        <f t="shared" si="24"/>
        <v>23.77</v>
      </c>
      <c r="O104" s="70">
        <f t="shared" si="21"/>
        <v>0.089867033470885</v>
      </c>
      <c r="P104" s="25">
        <f t="shared" si="22"/>
        <v>316.8541</v>
      </c>
    </row>
    <row r="105" spans="1:16">
      <c r="A105" s="162" t="s">
        <v>24</v>
      </c>
      <c r="B105" s="20">
        <f t="shared" si="25"/>
        <v>0.558801117602235</v>
      </c>
      <c r="C105" s="110">
        <v>22</v>
      </c>
      <c r="D105" s="21" t="s">
        <v>52</v>
      </c>
      <c r="E105" s="26" t="s">
        <v>28</v>
      </c>
      <c r="F105" s="26" t="s">
        <v>29</v>
      </c>
      <c r="G105" s="21">
        <v>9.66</v>
      </c>
      <c r="H105" s="21">
        <f t="shared" si="26"/>
        <v>115.92</v>
      </c>
      <c r="I105" s="21">
        <f t="shared" si="27"/>
        <v>128.77</v>
      </c>
      <c r="J105" s="166">
        <f t="shared" si="28"/>
        <v>135.24</v>
      </c>
      <c r="K105" s="192"/>
      <c r="L105" s="191"/>
      <c r="M105" s="21">
        <v>8.86</v>
      </c>
      <c r="N105" s="89">
        <f t="shared" si="24"/>
        <v>9.66</v>
      </c>
      <c r="O105" s="70">
        <f t="shared" si="21"/>
        <v>0.0902934537246051</v>
      </c>
      <c r="P105" s="25">
        <f t="shared" si="22"/>
        <v>128.7678</v>
      </c>
    </row>
    <row r="106" spans="1:16">
      <c r="A106" s="162" t="s">
        <v>24</v>
      </c>
      <c r="B106" s="20">
        <f t="shared" si="25"/>
        <v>0.558801117602235</v>
      </c>
      <c r="C106" s="110">
        <v>22</v>
      </c>
      <c r="D106" s="21" t="s">
        <v>52</v>
      </c>
      <c r="E106" s="26" t="s">
        <v>26</v>
      </c>
      <c r="F106" s="26" t="s">
        <v>29</v>
      </c>
      <c r="G106" s="21">
        <v>13.57</v>
      </c>
      <c r="H106" s="21">
        <f t="shared" si="26"/>
        <v>162.84</v>
      </c>
      <c r="I106" s="21">
        <f t="shared" si="27"/>
        <v>180.89</v>
      </c>
      <c r="J106" s="166">
        <f t="shared" si="28"/>
        <v>189.98</v>
      </c>
      <c r="K106" s="192"/>
      <c r="L106" s="191"/>
      <c r="M106" s="21">
        <v>12.45</v>
      </c>
      <c r="N106" s="89">
        <f t="shared" si="24"/>
        <v>13.57</v>
      </c>
      <c r="O106" s="70">
        <f t="shared" si="21"/>
        <v>0.0899598393574298</v>
      </c>
      <c r="P106" s="25">
        <f t="shared" si="22"/>
        <v>180.8881</v>
      </c>
    </row>
    <row r="107" s="79" customFormat="1" spans="1:16">
      <c r="A107" s="162" t="s">
        <v>24</v>
      </c>
      <c r="B107" s="20">
        <f t="shared" si="25"/>
        <v>0.558801117602235</v>
      </c>
      <c r="C107" s="110">
        <v>22</v>
      </c>
      <c r="D107" s="21" t="s">
        <v>52</v>
      </c>
      <c r="E107" s="26" t="s">
        <v>31</v>
      </c>
      <c r="F107" s="26" t="s">
        <v>29</v>
      </c>
      <c r="G107" s="21">
        <v>23.72</v>
      </c>
      <c r="H107" s="21">
        <f t="shared" si="26"/>
        <v>284.64</v>
      </c>
      <c r="I107" s="21">
        <f t="shared" si="27"/>
        <v>316.19</v>
      </c>
      <c r="J107" s="166">
        <f t="shared" si="28"/>
        <v>332.08</v>
      </c>
      <c r="K107" s="192"/>
      <c r="L107" s="191"/>
      <c r="M107" s="21">
        <v>21.76</v>
      </c>
      <c r="N107" s="89">
        <f t="shared" si="24"/>
        <v>23.72</v>
      </c>
      <c r="O107" s="70">
        <f t="shared" si="21"/>
        <v>0.0900735294117646</v>
      </c>
      <c r="P107" s="25">
        <f t="shared" si="22"/>
        <v>316.1876</v>
      </c>
    </row>
    <row r="108" s="79" customFormat="1" spans="1:16">
      <c r="A108" s="162" t="s">
        <v>24</v>
      </c>
      <c r="B108" s="20">
        <v>0.56</v>
      </c>
      <c r="C108" s="110">
        <f>B108*39.37</f>
        <v>22.0472</v>
      </c>
      <c r="D108" s="21" t="s">
        <v>52</v>
      </c>
      <c r="E108" s="26" t="s">
        <v>34</v>
      </c>
      <c r="F108" s="18" t="s">
        <v>29</v>
      </c>
      <c r="G108" s="18">
        <v>34.37</v>
      </c>
      <c r="H108" s="21">
        <f t="shared" si="26"/>
        <v>412.44</v>
      </c>
      <c r="I108" s="21">
        <f t="shared" si="27"/>
        <v>458.15</v>
      </c>
      <c r="J108" s="166">
        <f t="shared" si="28"/>
        <v>481.18</v>
      </c>
      <c r="K108" s="193"/>
      <c r="L108" s="191"/>
      <c r="M108" s="18">
        <v>31.82</v>
      </c>
      <c r="N108" s="89">
        <f>ROUND(M108*1.08,2)</f>
        <v>34.37</v>
      </c>
      <c r="O108" s="70">
        <f t="shared" ref="O108:O139" si="29">(N108-M108)/M108</f>
        <v>0.0801382778126963</v>
      </c>
      <c r="P108" s="25">
        <f t="shared" ref="P108:P139" si="30">N108*13.33</f>
        <v>458.1521</v>
      </c>
    </row>
    <row r="109" spans="1:16">
      <c r="A109" s="162" t="s">
        <v>24</v>
      </c>
      <c r="B109" s="20">
        <f t="shared" ref="B109:B121" si="31">C109/39.37</f>
        <v>0.609601219202438</v>
      </c>
      <c r="C109" s="110">
        <v>24</v>
      </c>
      <c r="D109" s="21" t="s">
        <v>52</v>
      </c>
      <c r="E109" s="26" t="s">
        <v>28</v>
      </c>
      <c r="F109" s="26" t="s">
        <v>29</v>
      </c>
      <c r="G109" s="21">
        <v>9.53</v>
      </c>
      <c r="H109" s="21">
        <f t="shared" si="26"/>
        <v>114.36</v>
      </c>
      <c r="I109" s="21">
        <f t="shared" si="27"/>
        <v>127.03</v>
      </c>
      <c r="J109" s="166">
        <f t="shared" si="28"/>
        <v>133.42</v>
      </c>
      <c r="K109" s="192"/>
      <c r="L109" s="191"/>
      <c r="M109" s="21">
        <v>8.74</v>
      </c>
      <c r="N109" s="89">
        <f t="shared" si="24"/>
        <v>9.53</v>
      </c>
      <c r="O109" s="70">
        <f t="shared" si="29"/>
        <v>0.0903890160183065</v>
      </c>
      <c r="P109" s="25">
        <f t="shared" si="30"/>
        <v>127.0349</v>
      </c>
    </row>
    <row r="110" spans="1:16">
      <c r="A110" s="162" t="s">
        <v>24</v>
      </c>
      <c r="B110" s="20">
        <f t="shared" si="31"/>
        <v>0.609601219202438</v>
      </c>
      <c r="C110" s="110">
        <v>24</v>
      </c>
      <c r="D110" s="21" t="s">
        <v>52</v>
      </c>
      <c r="E110" s="26" t="s">
        <v>30</v>
      </c>
      <c r="F110" s="26" t="s">
        <v>29</v>
      </c>
      <c r="G110" s="21">
        <v>12.2</v>
      </c>
      <c r="H110" s="21">
        <f t="shared" ref="H109:H121" si="32">ROUND(G110*12,2)</f>
        <v>146.4</v>
      </c>
      <c r="I110" s="21">
        <f t="shared" ref="I109:I121" si="33">ROUND(G110*13.33,2)</f>
        <v>162.63</v>
      </c>
      <c r="J110" s="166">
        <f t="shared" ref="J109:J121" si="34">ROUND(G110*14,2)</f>
        <v>170.8</v>
      </c>
      <c r="K110" s="192"/>
      <c r="L110" s="191"/>
      <c r="M110" s="21">
        <v>11.19</v>
      </c>
      <c r="N110" s="89">
        <f t="shared" si="24"/>
        <v>12.2</v>
      </c>
      <c r="O110" s="70">
        <f t="shared" si="29"/>
        <v>0.0902591599642538</v>
      </c>
      <c r="P110" s="25">
        <f t="shared" si="30"/>
        <v>162.626</v>
      </c>
    </row>
    <row r="111" spans="1:16">
      <c r="A111" s="162" t="s">
        <v>24</v>
      </c>
      <c r="B111" s="20">
        <f t="shared" si="31"/>
        <v>0.609601219202438</v>
      </c>
      <c r="C111" s="110">
        <v>24</v>
      </c>
      <c r="D111" s="21" t="s">
        <v>52</v>
      </c>
      <c r="E111" s="26" t="s">
        <v>26</v>
      </c>
      <c r="F111" s="26" t="s">
        <v>29</v>
      </c>
      <c r="G111" s="21">
        <v>13.84</v>
      </c>
      <c r="H111" s="21">
        <f t="shared" si="32"/>
        <v>166.08</v>
      </c>
      <c r="I111" s="21">
        <f t="shared" si="33"/>
        <v>184.49</v>
      </c>
      <c r="J111" s="166">
        <f t="shared" si="34"/>
        <v>193.76</v>
      </c>
      <c r="K111" s="192"/>
      <c r="L111" s="191"/>
      <c r="M111" s="21">
        <v>12.7</v>
      </c>
      <c r="N111" s="89">
        <f t="shared" si="24"/>
        <v>13.84</v>
      </c>
      <c r="O111" s="70">
        <f t="shared" si="29"/>
        <v>0.0897637795275591</v>
      </c>
      <c r="P111" s="25">
        <f t="shared" si="30"/>
        <v>184.4872</v>
      </c>
    </row>
    <row r="112" spans="1:16">
      <c r="A112" s="162" t="s">
        <v>24</v>
      </c>
      <c r="B112" s="20">
        <f t="shared" si="31"/>
        <v>0.609601219202438</v>
      </c>
      <c r="C112" s="110">
        <v>24</v>
      </c>
      <c r="D112" s="21" t="s">
        <v>52</v>
      </c>
      <c r="E112" s="26" t="s">
        <v>44</v>
      </c>
      <c r="F112" s="26" t="s">
        <v>29</v>
      </c>
      <c r="G112" s="21">
        <v>21.36</v>
      </c>
      <c r="H112" s="21">
        <f t="shared" si="32"/>
        <v>256.32</v>
      </c>
      <c r="I112" s="21">
        <f t="shared" si="33"/>
        <v>284.73</v>
      </c>
      <c r="J112" s="166">
        <f t="shared" si="34"/>
        <v>299.04</v>
      </c>
      <c r="K112" s="192"/>
      <c r="L112" s="191"/>
      <c r="M112" s="21">
        <v>19.6</v>
      </c>
      <c r="N112" s="89">
        <f t="shared" si="24"/>
        <v>21.36</v>
      </c>
      <c r="O112" s="70">
        <f t="shared" si="29"/>
        <v>0.0897959183673468</v>
      </c>
      <c r="P112" s="25">
        <f t="shared" si="30"/>
        <v>284.7288</v>
      </c>
    </row>
    <row r="113" spans="1:16">
      <c r="A113" s="162" t="s">
        <v>24</v>
      </c>
      <c r="B113" s="20">
        <f t="shared" si="31"/>
        <v>0.609601219202438</v>
      </c>
      <c r="C113" s="110">
        <v>24</v>
      </c>
      <c r="D113" s="21" t="s">
        <v>52</v>
      </c>
      <c r="E113" s="26" t="s">
        <v>31</v>
      </c>
      <c r="F113" s="26" t="s">
        <v>29</v>
      </c>
      <c r="G113" s="21">
        <v>23.83</v>
      </c>
      <c r="H113" s="21">
        <f t="shared" si="32"/>
        <v>285.96</v>
      </c>
      <c r="I113" s="21">
        <f t="shared" si="33"/>
        <v>317.65</v>
      </c>
      <c r="J113" s="166">
        <f t="shared" si="34"/>
        <v>333.62</v>
      </c>
      <c r="K113" s="192"/>
      <c r="L113" s="191"/>
      <c r="M113" s="21">
        <v>21.86</v>
      </c>
      <c r="N113" s="89">
        <f t="shared" si="24"/>
        <v>23.83</v>
      </c>
      <c r="O113" s="70">
        <f t="shared" si="29"/>
        <v>0.0901189387008234</v>
      </c>
      <c r="P113" s="25">
        <f t="shared" si="30"/>
        <v>317.6539</v>
      </c>
    </row>
    <row r="114" spans="1:16">
      <c r="A114" s="162" t="s">
        <v>24</v>
      </c>
      <c r="B114" s="20">
        <f t="shared" si="31"/>
        <v>0.660401320802642</v>
      </c>
      <c r="C114" s="110">
        <v>26</v>
      </c>
      <c r="D114" s="21" t="s">
        <v>53</v>
      </c>
      <c r="E114" s="26" t="s">
        <v>43</v>
      </c>
      <c r="F114" s="26" t="s">
        <v>29</v>
      </c>
      <c r="G114" s="21">
        <v>11.31</v>
      </c>
      <c r="H114" s="21">
        <f t="shared" si="32"/>
        <v>135.72</v>
      </c>
      <c r="I114" s="21">
        <f t="shared" si="33"/>
        <v>150.76</v>
      </c>
      <c r="J114" s="166">
        <f t="shared" si="34"/>
        <v>158.34</v>
      </c>
      <c r="K114" s="192"/>
      <c r="L114" s="191"/>
      <c r="M114" s="21">
        <v>10.38</v>
      </c>
      <c r="N114" s="89">
        <f t="shared" si="24"/>
        <v>11.31</v>
      </c>
      <c r="O114" s="70">
        <f t="shared" si="29"/>
        <v>0.0895953757225433</v>
      </c>
      <c r="P114" s="25">
        <f t="shared" si="30"/>
        <v>150.7623</v>
      </c>
    </row>
    <row r="115" spans="1:16">
      <c r="A115" s="162" t="s">
        <v>24</v>
      </c>
      <c r="B115" s="20">
        <f t="shared" si="31"/>
        <v>0.660401320802642</v>
      </c>
      <c r="C115" s="110">
        <v>26</v>
      </c>
      <c r="D115" s="21" t="s">
        <v>53</v>
      </c>
      <c r="E115" s="26" t="s">
        <v>28</v>
      </c>
      <c r="F115" s="26" t="s">
        <v>29</v>
      </c>
      <c r="G115" s="21">
        <v>11.14</v>
      </c>
      <c r="H115" s="21">
        <f t="shared" si="32"/>
        <v>133.68</v>
      </c>
      <c r="I115" s="21">
        <f t="shared" si="33"/>
        <v>148.5</v>
      </c>
      <c r="J115" s="166">
        <f t="shared" si="34"/>
        <v>155.96</v>
      </c>
      <c r="K115" s="192"/>
      <c r="L115" s="191"/>
      <c r="M115" s="21">
        <v>10.22</v>
      </c>
      <c r="N115" s="89">
        <f t="shared" si="24"/>
        <v>11.14</v>
      </c>
      <c r="O115" s="70">
        <f t="shared" si="29"/>
        <v>0.0900195694716242</v>
      </c>
      <c r="P115" s="25">
        <f t="shared" si="30"/>
        <v>148.4962</v>
      </c>
    </row>
    <row r="116" spans="1:16">
      <c r="A116" s="162" t="s">
        <v>24</v>
      </c>
      <c r="B116" s="20">
        <f t="shared" si="31"/>
        <v>0.660401320802642</v>
      </c>
      <c r="C116" s="110">
        <v>26</v>
      </c>
      <c r="D116" s="21" t="s">
        <v>53</v>
      </c>
      <c r="E116" s="26" t="s">
        <v>26</v>
      </c>
      <c r="F116" s="26" t="s">
        <v>29</v>
      </c>
      <c r="G116" s="21">
        <v>14.81</v>
      </c>
      <c r="H116" s="21">
        <f t="shared" si="32"/>
        <v>177.72</v>
      </c>
      <c r="I116" s="21">
        <f t="shared" si="33"/>
        <v>197.42</v>
      </c>
      <c r="J116" s="166">
        <f t="shared" si="34"/>
        <v>207.34</v>
      </c>
      <c r="K116" s="192"/>
      <c r="L116" s="191"/>
      <c r="M116" s="21">
        <v>13.59</v>
      </c>
      <c r="N116" s="89">
        <f t="shared" si="24"/>
        <v>14.81</v>
      </c>
      <c r="O116" s="70">
        <f t="shared" si="29"/>
        <v>0.0897718910963945</v>
      </c>
      <c r="P116" s="25">
        <f t="shared" si="30"/>
        <v>197.4173</v>
      </c>
    </row>
    <row r="117" spans="1:16">
      <c r="A117" s="162" t="s">
        <v>24</v>
      </c>
      <c r="B117" s="20">
        <f t="shared" si="31"/>
        <v>0.660401320802642</v>
      </c>
      <c r="C117" s="110">
        <v>26</v>
      </c>
      <c r="D117" s="21" t="s">
        <v>53</v>
      </c>
      <c r="E117" s="26" t="s">
        <v>31</v>
      </c>
      <c r="F117" s="26" t="s">
        <v>29</v>
      </c>
      <c r="G117" s="21">
        <v>24.93</v>
      </c>
      <c r="H117" s="21">
        <f t="shared" si="32"/>
        <v>299.16</v>
      </c>
      <c r="I117" s="21">
        <f t="shared" si="33"/>
        <v>332.32</v>
      </c>
      <c r="J117" s="166">
        <f t="shared" si="34"/>
        <v>349.02</v>
      </c>
      <c r="K117" s="192"/>
      <c r="L117" s="191"/>
      <c r="M117" s="21">
        <v>22.87</v>
      </c>
      <c r="N117" s="89">
        <f t="shared" si="24"/>
        <v>24.93</v>
      </c>
      <c r="O117" s="70">
        <f t="shared" si="29"/>
        <v>0.0900743331875819</v>
      </c>
      <c r="P117" s="25">
        <f t="shared" si="30"/>
        <v>332.3169</v>
      </c>
    </row>
    <row r="118" spans="1:16">
      <c r="A118" s="162" t="s">
        <v>24</v>
      </c>
      <c r="B118" s="20">
        <f t="shared" si="31"/>
        <v>0.711201422402845</v>
      </c>
      <c r="C118" s="110">
        <v>28</v>
      </c>
      <c r="D118" s="21" t="s">
        <v>54</v>
      </c>
      <c r="E118" s="26" t="s">
        <v>28</v>
      </c>
      <c r="F118" s="26" t="s">
        <v>29</v>
      </c>
      <c r="G118" s="21">
        <v>10.54</v>
      </c>
      <c r="H118" s="21">
        <f t="shared" si="32"/>
        <v>126.48</v>
      </c>
      <c r="I118" s="21">
        <f t="shared" si="33"/>
        <v>140.5</v>
      </c>
      <c r="J118" s="166">
        <f t="shared" si="34"/>
        <v>147.56</v>
      </c>
      <c r="K118" s="192"/>
      <c r="L118" s="191"/>
      <c r="M118" s="21">
        <v>9.67</v>
      </c>
      <c r="N118" s="89">
        <f t="shared" si="24"/>
        <v>10.54</v>
      </c>
      <c r="O118" s="70">
        <f t="shared" si="29"/>
        <v>0.0899689762150982</v>
      </c>
      <c r="P118" s="25">
        <f t="shared" si="30"/>
        <v>140.4982</v>
      </c>
    </row>
    <row r="119" spans="1:16">
      <c r="A119" s="162" t="s">
        <v>24</v>
      </c>
      <c r="B119" s="20">
        <f t="shared" si="31"/>
        <v>0.711201422402845</v>
      </c>
      <c r="C119" s="110">
        <v>28</v>
      </c>
      <c r="D119" s="21" t="s">
        <v>54</v>
      </c>
      <c r="E119" s="26" t="s">
        <v>26</v>
      </c>
      <c r="F119" s="26" t="s">
        <v>29</v>
      </c>
      <c r="G119" s="21">
        <v>14.17</v>
      </c>
      <c r="H119" s="21">
        <f t="shared" si="32"/>
        <v>170.04</v>
      </c>
      <c r="I119" s="21">
        <f t="shared" si="33"/>
        <v>188.89</v>
      </c>
      <c r="J119" s="166">
        <f t="shared" si="34"/>
        <v>198.38</v>
      </c>
      <c r="K119" s="192"/>
      <c r="L119" s="191"/>
      <c r="M119" s="21">
        <v>13</v>
      </c>
      <c r="N119" s="89">
        <f t="shared" si="24"/>
        <v>14.17</v>
      </c>
      <c r="O119" s="70">
        <f t="shared" si="29"/>
        <v>0.09</v>
      </c>
      <c r="P119" s="25">
        <f t="shared" si="30"/>
        <v>188.8861</v>
      </c>
    </row>
    <row r="120" spans="1:16">
      <c r="A120" s="162" t="s">
        <v>24</v>
      </c>
      <c r="B120" s="20">
        <f t="shared" si="31"/>
        <v>0.711201422402845</v>
      </c>
      <c r="C120" s="110">
        <v>28</v>
      </c>
      <c r="D120" s="21" t="s">
        <v>54</v>
      </c>
      <c r="E120" s="26" t="s">
        <v>31</v>
      </c>
      <c r="F120" s="26" t="s">
        <v>29</v>
      </c>
      <c r="G120" s="21">
        <v>24.32</v>
      </c>
      <c r="H120" s="21">
        <f t="shared" si="32"/>
        <v>291.84</v>
      </c>
      <c r="I120" s="21">
        <f t="shared" si="33"/>
        <v>324.19</v>
      </c>
      <c r="J120" s="166">
        <f t="shared" si="34"/>
        <v>340.48</v>
      </c>
      <c r="K120" s="192"/>
      <c r="L120" s="191"/>
      <c r="M120" s="21">
        <v>22.31</v>
      </c>
      <c r="N120" s="89">
        <f t="shared" ref="N120:N151" si="35">ROUND(M120*1.09,2)</f>
        <v>24.32</v>
      </c>
      <c r="O120" s="70">
        <f t="shared" si="29"/>
        <v>0.0900941281936352</v>
      </c>
      <c r="P120" s="25">
        <f t="shared" si="30"/>
        <v>324.1856</v>
      </c>
    </row>
    <row r="121" spans="1:16">
      <c r="A121" s="162" t="s">
        <v>24</v>
      </c>
      <c r="B121" s="20">
        <f t="shared" si="31"/>
        <v>0.711201422402845</v>
      </c>
      <c r="C121" s="110">
        <v>28</v>
      </c>
      <c r="D121" s="21" t="s">
        <v>54</v>
      </c>
      <c r="E121" s="26" t="s">
        <v>34</v>
      </c>
      <c r="F121" s="26" t="s">
        <v>29</v>
      </c>
      <c r="G121" s="21">
        <v>36.97</v>
      </c>
      <c r="H121" s="21">
        <f t="shared" si="32"/>
        <v>443.64</v>
      </c>
      <c r="I121" s="21">
        <f t="shared" si="33"/>
        <v>492.81</v>
      </c>
      <c r="J121" s="166">
        <f t="shared" si="34"/>
        <v>517.58</v>
      </c>
      <c r="K121" s="192"/>
      <c r="L121" s="191"/>
      <c r="M121" s="21">
        <v>33.92</v>
      </c>
      <c r="N121" s="89">
        <f t="shared" si="35"/>
        <v>36.97</v>
      </c>
      <c r="O121" s="70">
        <f t="shared" si="29"/>
        <v>0.0899174528301886</v>
      </c>
      <c r="P121" s="25">
        <f t="shared" si="30"/>
        <v>492.8101</v>
      </c>
    </row>
    <row r="122" spans="1:16">
      <c r="A122" s="162" t="s">
        <v>24</v>
      </c>
      <c r="B122" s="20">
        <f t="shared" ref="B122:B135" si="36">C122/39.37</f>
        <v>0.762001524003048</v>
      </c>
      <c r="C122" s="110">
        <v>30</v>
      </c>
      <c r="D122" s="21" t="s">
        <v>54</v>
      </c>
      <c r="E122" s="26" t="s">
        <v>28</v>
      </c>
      <c r="F122" s="26" t="s">
        <v>29</v>
      </c>
      <c r="G122" s="21">
        <v>10.64</v>
      </c>
      <c r="H122" s="21">
        <f t="shared" ref="H122:H147" si="37">ROUND(G122*12,2)</f>
        <v>127.68</v>
      </c>
      <c r="I122" s="21">
        <f t="shared" ref="I122:I147" si="38">ROUND(G122*13.33,2)</f>
        <v>141.83</v>
      </c>
      <c r="J122" s="166">
        <f t="shared" ref="J122:J147" si="39">ROUND(G122*14,2)</f>
        <v>148.96</v>
      </c>
      <c r="K122" s="192"/>
      <c r="L122" s="191"/>
      <c r="M122" s="21">
        <v>9.76</v>
      </c>
      <c r="N122" s="89">
        <f t="shared" si="35"/>
        <v>10.64</v>
      </c>
      <c r="O122" s="70">
        <f t="shared" si="29"/>
        <v>0.0901639344262296</v>
      </c>
      <c r="P122" s="25">
        <f t="shared" si="30"/>
        <v>141.8312</v>
      </c>
    </row>
    <row r="123" spans="1:16">
      <c r="A123" s="162" t="s">
        <v>24</v>
      </c>
      <c r="B123" s="20">
        <f t="shared" si="36"/>
        <v>0.762001524003048</v>
      </c>
      <c r="C123" s="110">
        <v>30</v>
      </c>
      <c r="D123" s="21" t="s">
        <v>54</v>
      </c>
      <c r="E123" s="26" t="s">
        <v>26</v>
      </c>
      <c r="F123" s="26" t="s">
        <v>29</v>
      </c>
      <c r="G123" s="21">
        <v>14.54</v>
      </c>
      <c r="H123" s="21">
        <f t="shared" si="37"/>
        <v>174.48</v>
      </c>
      <c r="I123" s="21">
        <f t="shared" si="38"/>
        <v>193.82</v>
      </c>
      <c r="J123" s="166">
        <f t="shared" si="39"/>
        <v>203.56</v>
      </c>
      <c r="K123" s="192"/>
      <c r="L123" s="191"/>
      <c r="M123" s="21">
        <v>13.34</v>
      </c>
      <c r="N123" s="89">
        <f t="shared" si="35"/>
        <v>14.54</v>
      </c>
      <c r="O123" s="70">
        <f t="shared" si="29"/>
        <v>0.0899550224887556</v>
      </c>
      <c r="P123" s="25">
        <f t="shared" si="30"/>
        <v>193.8182</v>
      </c>
    </row>
    <row r="124" spans="1:16">
      <c r="A124" s="162" t="s">
        <v>24</v>
      </c>
      <c r="B124" s="20">
        <f t="shared" si="36"/>
        <v>0.762001524003048</v>
      </c>
      <c r="C124" s="110">
        <v>30</v>
      </c>
      <c r="D124" s="21" t="s">
        <v>54</v>
      </c>
      <c r="E124" s="26" t="s">
        <v>31</v>
      </c>
      <c r="F124" s="26" t="s">
        <v>29</v>
      </c>
      <c r="G124" s="21">
        <v>24.97</v>
      </c>
      <c r="H124" s="21">
        <f t="shared" si="37"/>
        <v>299.64</v>
      </c>
      <c r="I124" s="21">
        <f t="shared" si="38"/>
        <v>332.85</v>
      </c>
      <c r="J124" s="166">
        <f t="shared" si="39"/>
        <v>349.58</v>
      </c>
      <c r="K124" s="192"/>
      <c r="L124" s="191"/>
      <c r="M124" s="21">
        <v>22.91</v>
      </c>
      <c r="N124" s="89">
        <f t="shared" si="35"/>
        <v>24.97</v>
      </c>
      <c r="O124" s="70">
        <f t="shared" si="29"/>
        <v>0.0899170667830641</v>
      </c>
      <c r="P124" s="25">
        <f t="shared" si="30"/>
        <v>332.8501</v>
      </c>
    </row>
    <row r="125" s="79" customFormat="1" spans="1:16">
      <c r="A125" s="162" t="s">
        <v>24</v>
      </c>
      <c r="B125" s="20">
        <f t="shared" si="36"/>
        <v>0.812801625603251</v>
      </c>
      <c r="C125" s="110">
        <v>32</v>
      </c>
      <c r="D125" s="21" t="s">
        <v>54</v>
      </c>
      <c r="E125" s="26" t="s">
        <v>28</v>
      </c>
      <c r="F125" s="26" t="s">
        <v>29</v>
      </c>
      <c r="G125" s="21">
        <v>11.73</v>
      </c>
      <c r="H125" s="21">
        <f t="shared" si="37"/>
        <v>140.76</v>
      </c>
      <c r="I125" s="21">
        <f t="shared" si="38"/>
        <v>156.36</v>
      </c>
      <c r="J125" s="166">
        <f t="shared" si="39"/>
        <v>164.22</v>
      </c>
      <c r="K125" s="192"/>
      <c r="L125" s="191"/>
      <c r="M125" s="21">
        <v>10.76</v>
      </c>
      <c r="N125" s="89">
        <f t="shared" si="35"/>
        <v>11.73</v>
      </c>
      <c r="O125" s="70">
        <f t="shared" si="29"/>
        <v>0.0901486988847584</v>
      </c>
      <c r="P125" s="25">
        <f t="shared" si="30"/>
        <v>156.3609</v>
      </c>
    </row>
    <row r="126" spans="1:16">
      <c r="A126" s="162" t="s">
        <v>24</v>
      </c>
      <c r="B126" s="20">
        <f t="shared" si="36"/>
        <v>0.812801625603251</v>
      </c>
      <c r="C126" s="110">
        <v>32</v>
      </c>
      <c r="D126" s="21" t="s">
        <v>54</v>
      </c>
      <c r="E126" s="26" t="s">
        <v>26</v>
      </c>
      <c r="F126" s="26" t="s">
        <v>29</v>
      </c>
      <c r="G126" s="21">
        <v>14.75</v>
      </c>
      <c r="H126" s="21">
        <f t="shared" si="37"/>
        <v>177</v>
      </c>
      <c r="I126" s="21">
        <f t="shared" si="38"/>
        <v>196.62</v>
      </c>
      <c r="J126" s="166">
        <f t="shared" si="39"/>
        <v>206.5</v>
      </c>
      <c r="K126" s="192"/>
      <c r="L126" s="191"/>
      <c r="M126" s="21">
        <v>13.53</v>
      </c>
      <c r="N126" s="89">
        <f t="shared" si="35"/>
        <v>14.75</v>
      </c>
      <c r="O126" s="70">
        <f t="shared" si="29"/>
        <v>0.090169992609017</v>
      </c>
      <c r="P126" s="25">
        <f t="shared" si="30"/>
        <v>196.6175</v>
      </c>
    </row>
    <row r="127" spans="1:16">
      <c r="A127" s="162" t="s">
        <v>24</v>
      </c>
      <c r="B127" s="20">
        <f t="shared" si="36"/>
        <v>0.812801625603251</v>
      </c>
      <c r="C127" s="110">
        <v>32</v>
      </c>
      <c r="D127" s="21" t="s">
        <v>54</v>
      </c>
      <c r="E127" s="26" t="s">
        <v>31</v>
      </c>
      <c r="F127" s="26" t="s">
        <v>29</v>
      </c>
      <c r="G127" s="21">
        <v>24.99</v>
      </c>
      <c r="H127" s="21">
        <f t="shared" si="37"/>
        <v>299.88</v>
      </c>
      <c r="I127" s="21">
        <f t="shared" si="38"/>
        <v>333.12</v>
      </c>
      <c r="J127" s="166">
        <f t="shared" si="39"/>
        <v>349.86</v>
      </c>
      <c r="K127" s="192"/>
      <c r="L127" s="191"/>
      <c r="M127" s="21">
        <v>22.93</v>
      </c>
      <c r="N127" s="89">
        <f t="shared" si="35"/>
        <v>24.99</v>
      </c>
      <c r="O127" s="70">
        <f t="shared" si="29"/>
        <v>0.0898386393371129</v>
      </c>
      <c r="P127" s="25">
        <f t="shared" si="30"/>
        <v>333.1167</v>
      </c>
    </row>
    <row r="128" spans="1:16">
      <c r="A128" s="162" t="s">
        <v>24</v>
      </c>
      <c r="B128" s="20">
        <f t="shared" si="36"/>
        <v>0.838201676403353</v>
      </c>
      <c r="C128" s="110">
        <v>33</v>
      </c>
      <c r="D128" s="21" t="s">
        <v>55</v>
      </c>
      <c r="E128" s="26" t="s">
        <v>28</v>
      </c>
      <c r="F128" s="26" t="s">
        <v>29</v>
      </c>
      <c r="G128" s="21">
        <v>11.88</v>
      </c>
      <c r="H128" s="21">
        <f t="shared" si="37"/>
        <v>142.56</v>
      </c>
      <c r="I128" s="21">
        <f t="shared" si="38"/>
        <v>158.36</v>
      </c>
      <c r="J128" s="166">
        <f t="shared" si="39"/>
        <v>166.32</v>
      </c>
      <c r="K128" s="192"/>
      <c r="L128" s="191"/>
      <c r="M128" s="21">
        <v>10.9</v>
      </c>
      <c r="N128" s="89">
        <f t="shared" si="35"/>
        <v>11.88</v>
      </c>
      <c r="O128" s="70">
        <f t="shared" si="29"/>
        <v>0.089908256880734</v>
      </c>
      <c r="P128" s="25">
        <f t="shared" si="30"/>
        <v>158.3604</v>
      </c>
    </row>
    <row r="129" spans="1:16">
      <c r="A129" s="162" t="s">
        <v>24</v>
      </c>
      <c r="B129" s="20">
        <f t="shared" si="36"/>
        <v>0.838201676403353</v>
      </c>
      <c r="C129" s="110">
        <v>33</v>
      </c>
      <c r="D129" s="21" t="s">
        <v>55</v>
      </c>
      <c r="E129" s="26" t="s">
        <v>26</v>
      </c>
      <c r="F129" s="26" t="s">
        <v>29</v>
      </c>
      <c r="G129" s="21">
        <v>14.85</v>
      </c>
      <c r="H129" s="21">
        <f t="shared" si="37"/>
        <v>178.2</v>
      </c>
      <c r="I129" s="21">
        <f t="shared" si="38"/>
        <v>197.95</v>
      </c>
      <c r="J129" s="166">
        <f t="shared" si="39"/>
        <v>207.9</v>
      </c>
      <c r="K129" s="192"/>
      <c r="L129" s="191"/>
      <c r="M129" s="21">
        <v>13.62</v>
      </c>
      <c r="N129" s="89">
        <f t="shared" si="35"/>
        <v>14.85</v>
      </c>
      <c r="O129" s="70">
        <f t="shared" si="29"/>
        <v>0.0903083700440529</v>
      </c>
      <c r="P129" s="25">
        <f t="shared" si="30"/>
        <v>197.9505</v>
      </c>
    </row>
    <row r="130" spans="1:16">
      <c r="A130" s="162" t="s">
        <v>24</v>
      </c>
      <c r="B130" s="20">
        <f t="shared" si="36"/>
        <v>0.838201676403353</v>
      </c>
      <c r="C130" s="110">
        <v>33</v>
      </c>
      <c r="D130" s="21" t="s">
        <v>55</v>
      </c>
      <c r="E130" s="26" t="s">
        <v>31</v>
      </c>
      <c r="F130" s="26" t="s">
        <v>29</v>
      </c>
      <c r="G130" s="21">
        <v>25.24</v>
      </c>
      <c r="H130" s="21">
        <f t="shared" si="37"/>
        <v>302.88</v>
      </c>
      <c r="I130" s="21">
        <f t="shared" si="38"/>
        <v>336.45</v>
      </c>
      <c r="J130" s="166">
        <f t="shared" si="39"/>
        <v>353.36</v>
      </c>
      <c r="K130" s="192"/>
      <c r="L130" s="191"/>
      <c r="M130" s="21">
        <v>23.16</v>
      </c>
      <c r="N130" s="89">
        <f t="shared" si="35"/>
        <v>25.24</v>
      </c>
      <c r="O130" s="70">
        <f t="shared" si="29"/>
        <v>0.0898100172711571</v>
      </c>
      <c r="P130" s="25">
        <f t="shared" si="30"/>
        <v>336.4492</v>
      </c>
    </row>
    <row r="131" spans="1:16">
      <c r="A131" s="162" t="s">
        <v>24</v>
      </c>
      <c r="B131" s="21">
        <f t="shared" si="36"/>
        <v>0.863601727203455</v>
      </c>
      <c r="C131" s="110">
        <v>34</v>
      </c>
      <c r="D131" s="21" t="s">
        <v>56</v>
      </c>
      <c r="E131" s="26" t="s">
        <v>28</v>
      </c>
      <c r="F131" s="26" t="s">
        <v>29</v>
      </c>
      <c r="G131" s="21">
        <v>11.89</v>
      </c>
      <c r="H131" s="21">
        <f t="shared" si="37"/>
        <v>142.68</v>
      </c>
      <c r="I131" s="21">
        <f t="shared" si="38"/>
        <v>158.49</v>
      </c>
      <c r="J131" s="166">
        <f t="shared" si="39"/>
        <v>166.46</v>
      </c>
      <c r="K131" s="192"/>
      <c r="L131" s="191"/>
      <c r="M131" s="21">
        <v>10.91</v>
      </c>
      <c r="N131" s="89">
        <f t="shared" si="35"/>
        <v>11.89</v>
      </c>
      <c r="O131" s="70">
        <f t="shared" si="29"/>
        <v>0.0898258478460129</v>
      </c>
      <c r="P131" s="25">
        <f t="shared" si="30"/>
        <v>158.4937</v>
      </c>
    </row>
    <row r="132" spans="1:16">
      <c r="A132" s="162" t="s">
        <v>24</v>
      </c>
      <c r="B132" s="21">
        <f t="shared" si="36"/>
        <v>0.863601727203455</v>
      </c>
      <c r="C132" s="110">
        <v>34</v>
      </c>
      <c r="D132" s="21" t="s">
        <v>56</v>
      </c>
      <c r="E132" s="26" t="s">
        <v>26</v>
      </c>
      <c r="F132" s="26" t="s">
        <v>27</v>
      </c>
      <c r="G132" s="21">
        <v>16.8</v>
      </c>
      <c r="H132" s="21">
        <f t="shared" si="37"/>
        <v>201.6</v>
      </c>
      <c r="I132" s="21">
        <f t="shared" si="38"/>
        <v>223.94</v>
      </c>
      <c r="J132" s="166">
        <f t="shared" si="39"/>
        <v>235.2</v>
      </c>
      <c r="K132" s="192"/>
      <c r="L132" s="191"/>
      <c r="M132" s="21">
        <v>15.41</v>
      </c>
      <c r="N132" s="89">
        <f t="shared" si="35"/>
        <v>16.8</v>
      </c>
      <c r="O132" s="70">
        <f t="shared" si="29"/>
        <v>0.0902011680726801</v>
      </c>
      <c r="P132" s="25">
        <f t="shared" si="30"/>
        <v>223.944</v>
      </c>
    </row>
    <row r="133" spans="1:16">
      <c r="A133" s="162" t="s">
        <v>24</v>
      </c>
      <c r="B133" s="21">
        <f t="shared" si="36"/>
        <v>0.863601727203455</v>
      </c>
      <c r="C133" s="110">
        <v>34</v>
      </c>
      <c r="D133" s="21" t="s">
        <v>56</v>
      </c>
      <c r="E133" s="26" t="s">
        <v>26</v>
      </c>
      <c r="F133" s="26" t="s">
        <v>29</v>
      </c>
      <c r="G133" s="21">
        <v>16.14</v>
      </c>
      <c r="H133" s="21">
        <f t="shared" si="37"/>
        <v>193.68</v>
      </c>
      <c r="I133" s="21">
        <f t="shared" si="38"/>
        <v>215.15</v>
      </c>
      <c r="J133" s="166">
        <f t="shared" si="39"/>
        <v>225.96</v>
      </c>
      <c r="K133" s="192"/>
      <c r="L133" s="191"/>
      <c r="M133" s="21">
        <v>14.81</v>
      </c>
      <c r="N133" s="89">
        <f t="shared" si="35"/>
        <v>16.14</v>
      </c>
      <c r="O133" s="70">
        <f t="shared" si="29"/>
        <v>0.0898041863605672</v>
      </c>
      <c r="P133" s="25">
        <f t="shared" si="30"/>
        <v>215.1462</v>
      </c>
    </row>
    <row r="134" spans="1:16">
      <c r="A134" s="162" t="s">
        <v>24</v>
      </c>
      <c r="B134" s="21">
        <f t="shared" si="36"/>
        <v>0.863601727203455</v>
      </c>
      <c r="C134" s="110">
        <v>34</v>
      </c>
      <c r="D134" s="21" t="s">
        <v>56</v>
      </c>
      <c r="E134" s="26" t="s">
        <v>31</v>
      </c>
      <c r="F134" s="26" t="s">
        <v>29</v>
      </c>
      <c r="G134" s="21">
        <v>24.96</v>
      </c>
      <c r="H134" s="21">
        <f t="shared" si="37"/>
        <v>299.52</v>
      </c>
      <c r="I134" s="21">
        <f t="shared" si="38"/>
        <v>332.72</v>
      </c>
      <c r="J134" s="166">
        <f t="shared" si="39"/>
        <v>349.44</v>
      </c>
      <c r="K134" s="192"/>
      <c r="L134" s="191"/>
      <c r="M134" s="21">
        <v>22.9</v>
      </c>
      <c r="N134" s="89">
        <f t="shared" si="35"/>
        <v>24.96</v>
      </c>
      <c r="O134" s="70">
        <f t="shared" si="29"/>
        <v>0.0899563318777294</v>
      </c>
      <c r="P134" s="25">
        <f t="shared" si="30"/>
        <v>332.7168</v>
      </c>
    </row>
    <row r="135" spans="1:16">
      <c r="A135" s="162" t="s">
        <v>24</v>
      </c>
      <c r="B135" s="21">
        <f t="shared" si="36"/>
        <v>0.914401828803658</v>
      </c>
      <c r="C135" s="77">
        <v>36</v>
      </c>
      <c r="D135" s="21" t="s">
        <v>57</v>
      </c>
      <c r="E135" s="26" t="s">
        <v>28</v>
      </c>
      <c r="F135" s="26" t="s">
        <v>29</v>
      </c>
      <c r="G135" s="21">
        <v>11.82</v>
      </c>
      <c r="H135" s="21">
        <f t="shared" si="37"/>
        <v>141.84</v>
      </c>
      <c r="I135" s="21">
        <f t="shared" si="38"/>
        <v>157.56</v>
      </c>
      <c r="J135" s="166">
        <f t="shared" si="39"/>
        <v>165.48</v>
      </c>
      <c r="K135" s="192"/>
      <c r="L135" s="191"/>
      <c r="M135" s="21">
        <v>10.84</v>
      </c>
      <c r="N135" s="89">
        <f t="shared" si="35"/>
        <v>11.82</v>
      </c>
      <c r="O135" s="70">
        <f t="shared" si="29"/>
        <v>0.0904059040590406</v>
      </c>
      <c r="P135" s="25">
        <f t="shared" si="30"/>
        <v>157.5606</v>
      </c>
    </row>
    <row r="136" spans="1:16">
      <c r="A136" s="162" t="s">
        <v>24</v>
      </c>
      <c r="B136" s="21">
        <f t="shared" ref="B136:B142" si="40">C136/39.37</f>
        <v>0.914401828803658</v>
      </c>
      <c r="C136" s="110">
        <v>36</v>
      </c>
      <c r="D136" s="21" t="s">
        <v>57</v>
      </c>
      <c r="E136" s="26" t="s">
        <v>26</v>
      </c>
      <c r="F136" s="26" t="s">
        <v>29</v>
      </c>
      <c r="G136" s="21">
        <v>15.72</v>
      </c>
      <c r="H136" s="21">
        <f t="shared" si="37"/>
        <v>188.64</v>
      </c>
      <c r="I136" s="21">
        <f t="shared" si="38"/>
        <v>209.55</v>
      </c>
      <c r="J136" s="166">
        <f t="shared" si="39"/>
        <v>220.08</v>
      </c>
      <c r="K136" s="192"/>
      <c r="L136" s="191"/>
      <c r="M136" s="21">
        <v>14.42</v>
      </c>
      <c r="N136" s="89">
        <f t="shared" si="35"/>
        <v>15.72</v>
      </c>
      <c r="O136" s="70">
        <f t="shared" si="29"/>
        <v>0.0901525658807213</v>
      </c>
      <c r="P136" s="25">
        <f t="shared" si="30"/>
        <v>209.5476</v>
      </c>
    </row>
    <row r="137" spans="1:16">
      <c r="A137" s="162" t="s">
        <v>24</v>
      </c>
      <c r="B137" s="21">
        <f t="shared" si="40"/>
        <v>0.914401828803658</v>
      </c>
      <c r="C137" s="110">
        <v>36</v>
      </c>
      <c r="D137" s="21" t="s">
        <v>57</v>
      </c>
      <c r="E137" s="26" t="s">
        <v>31</v>
      </c>
      <c r="F137" s="26" t="s">
        <v>29</v>
      </c>
      <c r="G137" s="21">
        <v>26.31</v>
      </c>
      <c r="H137" s="21">
        <f t="shared" si="37"/>
        <v>315.72</v>
      </c>
      <c r="I137" s="21">
        <f t="shared" si="38"/>
        <v>350.71</v>
      </c>
      <c r="J137" s="166">
        <f t="shared" si="39"/>
        <v>368.34</v>
      </c>
      <c r="K137" s="192"/>
      <c r="L137" s="191"/>
      <c r="M137" s="21">
        <v>24.14</v>
      </c>
      <c r="N137" s="89">
        <f t="shared" si="35"/>
        <v>26.31</v>
      </c>
      <c r="O137" s="70">
        <f t="shared" si="29"/>
        <v>0.0898922949461474</v>
      </c>
      <c r="P137" s="25">
        <f t="shared" si="30"/>
        <v>350.7123</v>
      </c>
    </row>
    <row r="138" spans="1:16">
      <c r="A138" s="162" t="s">
        <v>24</v>
      </c>
      <c r="B138" s="21">
        <f t="shared" si="40"/>
        <v>0.914401828803658</v>
      </c>
      <c r="C138" s="110">
        <v>36</v>
      </c>
      <c r="D138" s="21" t="s">
        <v>57</v>
      </c>
      <c r="E138" s="26" t="s">
        <v>34</v>
      </c>
      <c r="F138" s="26" t="s">
        <v>29</v>
      </c>
      <c r="G138" s="21">
        <v>37.9</v>
      </c>
      <c r="H138" s="21">
        <f t="shared" si="37"/>
        <v>454.8</v>
      </c>
      <c r="I138" s="21">
        <f t="shared" si="38"/>
        <v>505.21</v>
      </c>
      <c r="J138" s="166">
        <f t="shared" si="39"/>
        <v>530.6</v>
      </c>
      <c r="K138" s="192"/>
      <c r="L138" s="191"/>
      <c r="M138" s="21">
        <v>34.77</v>
      </c>
      <c r="N138" s="89">
        <f t="shared" si="35"/>
        <v>37.9</v>
      </c>
      <c r="O138" s="70">
        <f t="shared" si="29"/>
        <v>0.0900201322979579</v>
      </c>
      <c r="P138" s="25">
        <f t="shared" si="30"/>
        <v>505.207</v>
      </c>
    </row>
    <row r="139" spans="1:16">
      <c r="A139" s="162" t="s">
        <v>24</v>
      </c>
      <c r="B139" s="21">
        <f t="shared" si="40"/>
        <v>0.965201930403861</v>
      </c>
      <c r="C139" s="110">
        <v>38</v>
      </c>
      <c r="D139" s="21" t="s">
        <v>57</v>
      </c>
      <c r="E139" s="26" t="s">
        <v>28</v>
      </c>
      <c r="F139" s="26" t="s">
        <v>29</v>
      </c>
      <c r="G139" s="21">
        <v>12.19</v>
      </c>
      <c r="H139" s="21">
        <f t="shared" si="37"/>
        <v>146.28</v>
      </c>
      <c r="I139" s="21">
        <f t="shared" si="38"/>
        <v>162.49</v>
      </c>
      <c r="J139" s="166">
        <f t="shared" si="39"/>
        <v>170.66</v>
      </c>
      <c r="K139" s="192"/>
      <c r="L139" s="191"/>
      <c r="M139" s="21">
        <v>11.18</v>
      </c>
      <c r="N139" s="89">
        <f t="shared" si="35"/>
        <v>12.19</v>
      </c>
      <c r="O139" s="70">
        <f t="shared" si="29"/>
        <v>0.090339892665474</v>
      </c>
      <c r="P139" s="25">
        <f t="shared" si="30"/>
        <v>162.4927</v>
      </c>
    </row>
    <row r="140" spans="1:16">
      <c r="A140" s="162" t="s">
        <v>24</v>
      </c>
      <c r="B140" s="21">
        <f t="shared" si="40"/>
        <v>0.965201930403861</v>
      </c>
      <c r="C140" s="110">
        <v>38</v>
      </c>
      <c r="D140" s="21" t="s">
        <v>57</v>
      </c>
      <c r="E140" s="26" t="s">
        <v>26</v>
      </c>
      <c r="F140" s="26" t="s">
        <v>29</v>
      </c>
      <c r="G140" s="21">
        <v>16.23</v>
      </c>
      <c r="H140" s="21">
        <f t="shared" si="37"/>
        <v>194.76</v>
      </c>
      <c r="I140" s="21">
        <f t="shared" si="38"/>
        <v>216.35</v>
      </c>
      <c r="J140" s="166">
        <f t="shared" si="39"/>
        <v>227.22</v>
      </c>
      <c r="K140" s="192"/>
      <c r="L140" s="191"/>
      <c r="M140" s="21">
        <v>14.89</v>
      </c>
      <c r="N140" s="89">
        <f t="shared" si="35"/>
        <v>16.23</v>
      </c>
      <c r="O140" s="70">
        <f t="shared" ref="O140:O171" si="41">(N140-M140)/M140</f>
        <v>0.0899932840832773</v>
      </c>
      <c r="P140" s="25">
        <f t="shared" ref="P140:P171" si="42">N140*13.33</f>
        <v>216.3459</v>
      </c>
    </row>
    <row r="141" spans="1:16">
      <c r="A141" s="162" t="s">
        <v>24</v>
      </c>
      <c r="B141" s="21">
        <f t="shared" si="40"/>
        <v>0.965201930403861</v>
      </c>
      <c r="C141" s="110">
        <v>38</v>
      </c>
      <c r="D141" s="21" t="s">
        <v>57</v>
      </c>
      <c r="E141" s="26" t="s">
        <v>31</v>
      </c>
      <c r="F141" s="26" t="s">
        <v>29</v>
      </c>
      <c r="G141" s="21">
        <v>26.65</v>
      </c>
      <c r="H141" s="21">
        <f t="shared" si="37"/>
        <v>319.8</v>
      </c>
      <c r="I141" s="21">
        <f t="shared" si="38"/>
        <v>355.24</v>
      </c>
      <c r="J141" s="166">
        <f t="shared" si="39"/>
        <v>373.1</v>
      </c>
      <c r="K141" s="192"/>
      <c r="L141" s="191"/>
      <c r="M141" s="21">
        <v>24.45</v>
      </c>
      <c r="N141" s="89">
        <f t="shared" si="35"/>
        <v>26.65</v>
      </c>
      <c r="O141" s="70">
        <f t="shared" si="41"/>
        <v>0.0899795501022495</v>
      </c>
      <c r="P141" s="25">
        <f t="shared" si="42"/>
        <v>355.2445</v>
      </c>
    </row>
    <row r="142" spans="1:16">
      <c r="A142" s="162" t="s">
        <v>24</v>
      </c>
      <c r="B142" s="21">
        <f t="shared" si="40"/>
        <v>0.990601981203962</v>
      </c>
      <c r="C142" s="110">
        <v>39</v>
      </c>
      <c r="D142" s="21" t="s">
        <v>57</v>
      </c>
      <c r="E142" s="26" t="s">
        <v>28</v>
      </c>
      <c r="F142" s="26" t="s">
        <v>27</v>
      </c>
      <c r="G142" s="21">
        <v>13.63</v>
      </c>
      <c r="H142" s="21">
        <f t="shared" si="37"/>
        <v>163.56</v>
      </c>
      <c r="I142" s="21">
        <f t="shared" si="38"/>
        <v>181.69</v>
      </c>
      <c r="J142" s="166">
        <f t="shared" si="39"/>
        <v>190.82</v>
      </c>
      <c r="K142" s="192"/>
      <c r="L142" s="191"/>
      <c r="M142" s="21">
        <v>12.5</v>
      </c>
      <c r="N142" s="89">
        <f t="shared" si="35"/>
        <v>13.63</v>
      </c>
      <c r="O142" s="70">
        <f t="shared" si="41"/>
        <v>0.0904000000000001</v>
      </c>
      <c r="P142" s="25">
        <f t="shared" si="42"/>
        <v>181.6879</v>
      </c>
    </row>
    <row r="143" spans="1:16">
      <c r="A143" s="162" t="s">
        <v>24</v>
      </c>
      <c r="B143" s="21">
        <f t="shared" ref="B143:B158" si="43">C143/39.37</f>
        <v>0.990601981203962</v>
      </c>
      <c r="C143" s="110">
        <v>39</v>
      </c>
      <c r="D143" s="21" t="s">
        <v>57</v>
      </c>
      <c r="E143" s="26" t="s">
        <v>28</v>
      </c>
      <c r="F143" s="26" t="s">
        <v>29</v>
      </c>
      <c r="G143" s="21">
        <v>12.67</v>
      </c>
      <c r="H143" s="21">
        <f t="shared" si="37"/>
        <v>152.04</v>
      </c>
      <c r="I143" s="21">
        <f t="shared" si="38"/>
        <v>168.89</v>
      </c>
      <c r="J143" s="166">
        <f t="shared" si="39"/>
        <v>177.38</v>
      </c>
      <c r="K143" s="192"/>
      <c r="L143" s="191"/>
      <c r="M143" s="21">
        <v>11.62</v>
      </c>
      <c r="N143" s="89">
        <f t="shared" si="35"/>
        <v>12.67</v>
      </c>
      <c r="O143" s="70">
        <f t="shared" si="41"/>
        <v>0.0903614457831326</v>
      </c>
      <c r="P143" s="25">
        <f t="shared" si="42"/>
        <v>168.8911</v>
      </c>
    </row>
    <row r="144" spans="1:16">
      <c r="A144" s="162" t="s">
        <v>24</v>
      </c>
      <c r="B144" s="21">
        <f t="shared" si="43"/>
        <v>0.990601981203962</v>
      </c>
      <c r="C144" s="110">
        <v>39</v>
      </c>
      <c r="D144" s="21" t="s">
        <v>57</v>
      </c>
      <c r="E144" s="26" t="s">
        <v>26</v>
      </c>
      <c r="F144" s="26" t="s">
        <v>29</v>
      </c>
      <c r="G144" s="21">
        <v>15.51</v>
      </c>
      <c r="H144" s="21">
        <f t="shared" si="37"/>
        <v>186.12</v>
      </c>
      <c r="I144" s="21">
        <f t="shared" si="38"/>
        <v>206.75</v>
      </c>
      <c r="J144" s="166">
        <f t="shared" si="39"/>
        <v>217.14</v>
      </c>
      <c r="K144" s="192"/>
      <c r="L144" s="191"/>
      <c r="M144" s="21">
        <v>14.1</v>
      </c>
      <c r="N144" s="89">
        <f>ROUND(M144*1.1,2)</f>
        <v>15.51</v>
      </c>
      <c r="O144" s="70">
        <f t="shared" si="41"/>
        <v>0.1</v>
      </c>
      <c r="P144" s="25">
        <f t="shared" si="42"/>
        <v>206.7483</v>
      </c>
    </row>
    <row r="145" spans="1:16">
      <c r="A145" s="162" t="s">
        <v>24</v>
      </c>
      <c r="B145" s="21">
        <f t="shared" si="43"/>
        <v>0.990601981203962</v>
      </c>
      <c r="C145" s="110">
        <v>39</v>
      </c>
      <c r="D145" s="21" t="s">
        <v>57</v>
      </c>
      <c r="E145" s="26" t="s">
        <v>44</v>
      </c>
      <c r="F145" s="26" t="s">
        <v>29</v>
      </c>
      <c r="G145" s="21">
        <v>21.71</v>
      </c>
      <c r="H145" s="21">
        <f t="shared" si="37"/>
        <v>260.52</v>
      </c>
      <c r="I145" s="21">
        <f t="shared" si="38"/>
        <v>289.39</v>
      </c>
      <c r="J145" s="166">
        <f t="shared" si="39"/>
        <v>303.94</v>
      </c>
      <c r="K145" s="192"/>
      <c r="L145" s="191"/>
      <c r="M145" s="21">
        <v>19.92</v>
      </c>
      <c r="N145" s="89">
        <f t="shared" si="35"/>
        <v>21.71</v>
      </c>
      <c r="O145" s="70">
        <f t="shared" si="41"/>
        <v>0.089859437751004</v>
      </c>
      <c r="P145" s="25">
        <f t="shared" si="42"/>
        <v>289.3943</v>
      </c>
    </row>
    <row r="146" spans="1:16">
      <c r="A146" s="162" t="s">
        <v>24</v>
      </c>
      <c r="B146" s="21">
        <f t="shared" si="43"/>
        <v>0.990601981203962</v>
      </c>
      <c r="C146" s="110">
        <v>39</v>
      </c>
      <c r="D146" s="21" t="s">
        <v>58</v>
      </c>
      <c r="E146" s="26" t="s">
        <v>31</v>
      </c>
      <c r="F146" s="26" t="s">
        <v>29</v>
      </c>
      <c r="G146" s="21">
        <v>26.54</v>
      </c>
      <c r="H146" s="21">
        <f t="shared" si="37"/>
        <v>318.48</v>
      </c>
      <c r="I146" s="21">
        <f t="shared" si="38"/>
        <v>353.78</v>
      </c>
      <c r="J146" s="166">
        <f t="shared" si="39"/>
        <v>371.56</v>
      </c>
      <c r="K146" s="192"/>
      <c r="L146" s="191"/>
      <c r="M146" s="21">
        <v>24.35</v>
      </c>
      <c r="N146" s="89">
        <f t="shared" si="35"/>
        <v>26.54</v>
      </c>
      <c r="O146" s="70">
        <f t="shared" si="41"/>
        <v>0.0899383983572894</v>
      </c>
      <c r="P146" s="25">
        <f t="shared" si="42"/>
        <v>353.7782</v>
      </c>
    </row>
    <row r="147" spans="1:16">
      <c r="A147" s="162" t="s">
        <v>24</v>
      </c>
      <c r="B147" s="21">
        <f t="shared" si="43"/>
        <v>1.04140208280417</v>
      </c>
      <c r="C147" s="110">
        <v>41</v>
      </c>
      <c r="D147" s="21" t="s">
        <v>58</v>
      </c>
      <c r="E147" s="26" t="s">
        <v>28</v>
      </c>
      <c r="F147" s="26" t="s">
        <v>29</v>
      </c>
      <c r="G147" s="21">
        <v>13.19</v>
      </c>
      <c r="H147" s="21">
        <f t="shared" si="37"/>
        <v>158.28</v>
      </c>
      <c r="I147" s="21">
        <f t="shared" si="38"/>
        <v>175.82</v>
      </c>
      <c r="J147" s="166">
        <f t="shared" si="39"/>
        <v>184.66</v>
      </c>
      <c r="K147" s="192"/>
      <c r="L147" s="191"/>
      <c r="M147" s="21">
        <v>12.1</v>
      </c>
      <c r="N147" s="89">
        <f t="shared" si="35"/>
        <v>13.19</v>
      </c>
      <c r="O147" s="70">
        <f t="shared" si="41"/>
        <v>0.0900826446280992</v>
      </c>
      <c r="P147" s="25">
        <f t="shared" si="42"/>
        <v>175.8227</v>
      </c>
    </row>
    <row r="148" spans="1:16">
      <c r="A148" s="162" t="s">
        <v>24</v>
      </c>
      <c r="B148" s="21">
        <f t="shared" si="43"/>
        <v>1.04140208280417</v>
      </c>
      <c r="C148" s="110">
        <v>41</v>
      </c>
      <c r="D148" s="21" t="s">
        <v>58</v>
      </c>
      <c r="E148" s="26" t="s">
        <v>30</v>
      </c>
      <c r="F148" s="26" t="s">
        <v>29</v>
      </c>
      <c r="G148" s="21">
        <v>16.84</v>
      </c>
      <c r="H148" s="21">
        <f t="shared" ref="H148:H203" si="44">ROUND(G148*12,2)</f>
        <v>202.08</v>
      </c>
      <c r="I148" s="21">
        <f t="shared" ref="I148:I203" si="45">ROUND(G148*13.33,2)</f>
        <v>224.48</v>
      </c>
      <c r="J148" s="166">
        <f t="shared" ref="J148:J203" si="46">ROUND(G148*14,2)</f>
        <v>235.76</v>
      </c>
      <c r="K148" s="192"/>
      <c r="L148" s="191"/>
      <c r="M148" s="21">
        <v>15.45</v>
      </c>
      <c r="N148" s="89">
        <f t="shared" si="35"/>
        <v>16.84</v>
      </c>
      <c r="O148" s="70">
        <f t="shared" si="41"/>
        <v>0.0899676375404531</v>
      </c>
      <c r="P148" s="25">
        <f t="shared" si="42"/>
        <v>224.4772</v>
      </c>
    </row>
    <row r="149" spans="1:16">
      <c r="A149" s="162" t="s">
        <v>24</v>
      </c>
      <c r="B149" s="21">
        <f t="shared" si="43"/>
        <v>1.04140208280417</v>
      </c>
      <c r="C149" s="110">
        <v>41</v>
      </c>
      <c r="D149" s="21" t="s">
        <v>58</v>
      </c>
      <c r="E149" s="26" t="s">
        <v>26</v>
      </c>
      <c r="F149" s="26" t="s">
        <v>29</v>
      </c>
      <c r="G149" s="21">
        <v>17.33</v>
      </c>
      <c r="H149" s="21">
        <f t="shared" si="44"/>
        <v>207.96</v>
      </c>
      <c r="I149" s="21">
        <f t="shared" si="45"/>
        <v>231.01</v>
      </c>
      <c r="J149" s="166">
        <f t="shared" si="46"/>
        <v>242.62</v>
      </c>
      <c r="K149" s="192"/>
      <c r="L149" s="191"/>
      <c r="M149" s="21">
        <v>15.9</v>
      </c>
      <c r="N149" s="89">
        <f t="shared" si="35"/>
        <v>17.33</v>
      </c>
      <c r="O149" s="70">
        <f t="shared" si="41"/>
        <v>0.0899371069182389</v>
      </c>
      <c r="P149" s="25">
        <f t="shared" si="42"/>
        <v>231.0089</v>
      </c>
    </row>
    <row r="150" spans="1:16">
      <c r="A150" s="162" t="s">
        <v>24</v>
      </c>
      <c r="B150" s="21">
        <f t="shared" si="43"/>
        <v>1.04140208280417</v>
      </c>
      <c r="C150" s="110">
        <v>41</v>
      </c>
      <c r="D150" s="21" t="s">
        <v>58</v>
      </c>
      <c r="E150" s="26" t="s">
        <v>42</v>
      </c>
      <c r="F150" s="26" t="s">
        <v>29</v>
      </c>
      <c r="G150" s="21">
        <v>24.17</v>
      </c>
      <c r="H150" s="21">
        <f t="shared" si="44"/>
        <v>290.04</v>
      </c>
      <c r="I150" s="21">
        <f t="shared" si="45"/>
        <v>322.19</v>
      </c>
      <c r="J150" s="166">
        <f t="shared" si="46"/>
        <v>338.38</v>
      </c>
      <c r="K150" s="192"/>
      <c r="L150" s="191"/>
      <c r="M150" s="21">
        <v>22.17</v>
      </c>
      <c r="N150" s="89">
        <f t="shared" si="35"/>
        <v>24.17</v>
      </c>
      <c r="O150" s="70">
        <f t="shared" si="41"/>
        <v>0.09021199819576</v>
      </c>
      <c r="P150" s="25">
        <f t="shared" si="42"/>
        <v>322.1861</v>
      </c>
    </row>
    <row r="151" spans="1:16">
      <c r="A151" s="162" t="s">
        <v>24</v>
      </c>
      <c r="B151" s="21">
        <f t="shared" si="43"/>
        <v>1.04140208280417</v>
      </c>
      <c r="C151" s="110">
        <v>41</v>
      </c>
      <c r="D151" s="21" t="s">
        <v>58</v>
      </c>
      <c r="E151" s="26" t="s">
        <v>31</v>
      </c>
      <c r="F151" s="26" t="s">
        <v>29</v>
      </c>
      <c r="G151" s="21">
        <v>26.55</v>
      </c>
      <c r="H151" s="21">
        <f t="shared" si="44"/>
        <v>318.6</v>
      </c>
      <c r="I151" s="21">
        <f t="shared" si="45"/>
        <v>353.91</v>
      </c>
      <c r="J151" s="166">
        <f t="shared" si="46"/>
        <v>371.7</v>
      </c>
      <c r="K151" s="192"/>
      <c r="L151" s="191"/>
      <c r="M151" s="21">
        <v>24.36</v>
      </c>
      <c r="N151" s="89">
        <f t="shared" si="35"/>
        <v>26.55</v>
      </c>
      <c r="O151" s="70">
        <f t="shared" si="41"/>
        <v>0.0899014778325124</v>
      </c>
      <c r="P151" s="25">
        <f t="shared" si="42"/>
        <v>353.9115</v>
      </c>
    </row>
    <row r="152" spans="1:16">
      <c r="A152" s="162" t="s">
        <v>24</v>
      </c>
      <c r="B152" s="21">
        <f t="shared" si="43"/>
        <v>1.09220218440437</v>
      </c>
      <c r="C152" s="110">
        <v>43</v>
      </c>
      <c r="D152" s="21" t="s">
        <v>58</v>
      </c>
      <c r="E152" s="26" t="s">
        <v>28</v>
      </c>
      <c r="F152" s="26" t="s">
        <v>29</v>
      </c>
      <c r="G152" s="21">
        <v>13.86</v>
      </c>
      <c r="H152" s="21">
        <f t="shared" si="44"/>
        <v>166.32</v>
      </c>
      <c r="I152" s="21">
        <f t="shared" si="45"/>
        <v>184.75</v>
      </c>
      <c r="J152" s="166">
        <f t="shared" si="46"/>
        <v>194.04</v>
      </c>
      <c r="K152" s="192"/>
      <c r="L152" s="191"/>
      <c r="M152" s="21">
        <v>12.72</v>
      </c>
      <c r="N152" s="89">
        <f t="shared" ref="N152:N179" si="47">ROUND(M152*1.09,2)</f>
        <v>13.86</v>
      </c>
      <c r="O152" s="70">
        <f t="shared" si="41"/>
        <v>0.0896226415094339</v>
      </c>
      <c r="P152" s="25">
        <f t="shared" si="42"/>
        <v>184.7538</v>
      </c>
    </row>
    <row r="153" spans="1:16">
      <c r="A153" s="162" t="s">
        <v>24</v>
      </c>
      <c r="B153" s="21">
        <f t="shared" si="43"/>
        <v>1.09220218440437</v>
      </c>
      <c r="C153" s="110">
        <v>43</v>
      </c>
      <c r="D153" s="21" t="s">
        <v>58</v>
      </c>
      <c r="E153" s="26" t="s">
        <v>26</v>
      </c>
      <c r="F153" s="26" t="s">
        <v>29</v>
      </c>
      <c r="G153" s="21">
        <v>18.08</v>
      </c>
      <c r="H153" s="21">
        <f t="shared" si="44"/>
        <v>216.96</v>
      </c>
      <c r="I153" s="21">
        <f t="shared" si="45"/>
        <v>241.01</v>
      </c>
      <c r="J153" s="166">
        <f t="shared" si="46"/>
        <v>253.12</v>
      </c>
      <c r="K153" s="192"/>
      <c r="L153" s="191"/>
      <c r="M153" s="21">
        <v>16.59</v>
      </c>
      <c r="N153" s="89">
        <f t="shared" si="47"/>
        <v>18.08</v>
      </c>
      <c r="O153" s="70">
        <f t="shared" si="41"/>
        <v>0.0898131404460518</v>
      </c>
      <c r="P153" s="25">
        <f t="shared" si="42"/>
        <v>241.0064</v>
      </c>
    </row>
    <row r="154" spans="1:16">
      <c r="A154" s="162" t="s">
        <v>24</v>
      </c>
      <c r="B154" s="21">
        <f t="shared" si="43"/>
        <v>1.09220218440437</v>
      </c>
      <c r="C154" s="110">
        <v>43</v>
      </c>
      <c r="D154" s="21" t="s">
        <v>58</v>
      </c>
      <c r="E154" s="26" t="s">
        <v>31</v>
      </c>
      <c r="F154" s="26" t="s">
        <v>29</v>
      </c>
      <c r="G154" s="21">
        <v>27.96</v>
      </c>
      <c r="H154" s="21">
        <f t="shared" si="44"/>
        <v>335.52</v>
      </c>
      <c r="I154" s="21">
        <f t="shared" si="45"/>
        <v>372.71</v>
      </c>
      <c r="J154" s="166">
        <f t="shared" si="46"/>
        <v>391.44</v>
      </c>
      <c r="K154" s="192"/>
      <c r="L154" s="191"/>
      <c r="M154" s="21">
        <v>25.65</v>
      </c>
      <c r="N154" s="89">
        <f t="shared" si="47"/>
        <v>27.96</v>
      </c>
      <c r="O154" s="70">
        <f t="shared" si="41"/>
        <v>0.0900584795321638</v>
      </c>
      <c r="P154" s="25">
        <f t="shared" si="42"/>
        <v>372.7068</v>
      </c>
    </row>
    <row r="155" spans="1:16">
      <c r="A155" s="162" t="s">
        <v>24</v>
      </c>
      <c r="B155" s="21">
        <f t="shared" si="43"/>
        <v>1.11760223520447</v>
      </c>
      <c r="C155" s="110">
        <v>44</v>
      </c>
      <c r="D155" s="21" t="s">
        <v>58</v>
      </c>
      <c r="E155" s="26" t="s">
        <v>28</v>
      </c>
      <c r="F155" s="26" t="s">
        <v>29</v>
      </c>
      <c r="G155" s="21">
        <v>13.86</v>
      </c>
      <c r="H155" s="21">
        <f t="shared" si="44"/>
        <v>166.32</v>
      </c>
      <c r="I155" s="21">
        <f t="shared" si="45"/>
        <v>184.75</v>
      </c>
      <c r="J155" s="166">
        <f t="shared" si="46"/>
        <v>194.04</v>
      </c>
      <c r="K155" s="192"/>
      <c r="L155" s="191"/>
      <c r="M155" s="21">
        <v>12.72</v>
      </c>
      <c r="N155" s="89">
        <f t="shared" si="47"/>
        <v>13.86</v>
      </c>
      <c r="O155" s="70">
        <f t="shared" si="41"/>
        <v>0.0896226415094339</v>
      </c>
      <c r="P155" s="25">
        <f t="shared" si="42"/>
        <v>184.7538</v>
      </c>
    </row>
    <row r="156" spans="1:16">
      <c r="A156" s="162" t="s">
        <v>24</v>
      </c>
      <c r="B156" s="21">
        <f t="shared" si="43"/>
        <v>1.11760223520447</v>
      </c>
      <c r="C156" s="110">
        <v>44</v>
      </c>
      <c r="D156" s="21" t="s">
        <v>58</v>
      </c>
      <c r="E156" s="26" t="s">
        <v>26</v>
      </c>
      <c r="F156" s="26" t="s">
        <v>29</v>
      </c>
      <c r="G156" s="21">
        <v>16.81</v>
      </c>
      <c r="H156" s="21">
        <f t="shared" si="44"/>
        <v>201.72</v>
      </c>
      <c r="I156" s="21">
        <f t="shared" si="45"/>
        <v>224.08</v>
      </c>
      <c r="J156" s="166">
        <f t="shared" si="46"/>
        <v>235.34</v>
      </c>
      <c r="K156" s="192"/>
      <c r="L156" s="191"/>
      <c r="M156" s="21">
        <v>15.28</v>
      </c>
      <c r="N156" s="89">
        <f>ROUND(M156*1.1,2)</f>
        <v>16.81</v>
      </c>
      <c r="O156" s="70">
        <f t="shared" si="41"/>
        <v>0.100130890052356</v>
      </c>
      <c r="P156" s="25">
        <f t="shared" si="42"/>
        <v>224.0773</v>
      </c>
    </row>
    <row r="157" spans="1:16">
      <c r="A157" s="162" t="s">
        <v>24</v>
      </c>
      <c r="B157" s="21">
        <f t="shared" si="43"/>
        <v>1.11760223520447</v>
      </c>
      <c r="C157" s="110">
        <v>44</v>
      </c>
      <c r="D157" s="21" t="s">
        <v>58</v>
      </c>
      <c r="E157" s="26" t="s">
        <v>31</v>
      </c>
      <c r="F157" s="26" t="s">
        <v>29</v>
      </c>
      <c r="G157" s="21">
        <v>27.37</v>
      </c>
      <c r="H157" s="21">
        <f t="shared" si="44"/>
        <v>328.44</v>
      </c>
      <c r="I157" s="21">
        <f t="shared" si="45"/>
        <v>364.84</v>
      </c>
      <c r="J157" s="166">
        <f t="shared" si="46"/>
        <v>383.18</v>
      </c>
      <c r="K157" s="192"/>
      <c r="L157" s="191"/>
      <c r="M157" s="21">
        <v>25.11</v>
      </c>
      <c r="N157" s="89">
        <f t="shared" si="47"/>
        <v>27.37</v>
      </c>
      <c r="O157" s="70">
        <f t="shared" si="41"/>
        <v>0.0900039824771008</v>
      </c>
      <c r="P157" s="25">
        <f t="shared" si="42"/>
        <v>364.8421</v>
      </c>
    </row>
    <row r="158" spans="1:16">
      <c r="A158" s="162" t="s">
        <v>24</v>
      </c>
      <c r="B158" s="21">
        <f t="shared" si="43"/>
        <v>1.11760223520447</v>
      </c>
      <c r="C158" s="110">
        <v>44</v>
      </c>
      <c r="D158" s="21" t="s">
        <v>58</v>
      </c>
      <c r="E158" s="26" t="s">
        <v>34</v>
      </c>
      <c r="F158" s="26" t="s">
        <v>29</v>
      </c>
      <c r="G158" s="21">
        <v>41.45</v>
      </c>
      <c r="H158" s="21">
        <f t="shared" si="44"/>
        <v>497.4</v>
      </c>
      <c r="I158" s="21">
        <f t="shared" si="45"/>
        <v>552.53</v>
      </c>
      <c r="J158" s="166">
        <f t="shared" si="46"/>
        <v>580.3</v>
      </c>
      <c r="K158" s="192"/>
      <c r="L158" s="191"/>
      <c r="M158" s="21">
        <v>38.03</v>
      </c>
      <c r="N158" s="89">
        <f t="shared" si="47"/>
        <v>41.45</v>
      </c>
      <c r="O158" s="70">
        <f t="shared" si="41"/>
        <v>0.089929003418354</v>
      </c>
      <c r="P158" s="25">
        <f t="shared" si="42"/>
        <v>552.5285</v>
      </c>
    </row>
    <row r="159" spans="1:16">
      <c r="A159" s="162" t="s">
        <v>24</v>
      </c>
      <c r="B159" s="21">
        <f t="shared" ref="B159:B161" si="48">C159/39.37</f>
        <v>1.16840233680467</v>
      </c>
      <c r="C159" s="110">
        <v>46</v>
      </c>
      <c r="D159" s="21" t="s">
        <v>58</v>
      </c>
      <c r="E159" s="26" t="s">
        <v>28</v>
      </c>
      <c r="F159" s="26" t="s">
        <v>29</v>
      </c>
      <c r="G159" s="21">
        <v>14.16</v>
      </c>
      <c r="H159" s="21">
        <f t="shared" si="44"/>
        <v>169.92</v>
      </c>
      <c r="I159" s="21">
        <f t="shared" si="45"/>
        <v>188.75</v>
      </c>
      <c r="J159" s="166">
        <f t="shared" si="46"/>
        <v>198.24</v>
      </c>
      <c r="K159" s="192"/>
      <c r="L159" s="191"/>
      <c r="M159" s="21">
        <v>12.99</v>
      </c>
      <c r="N159" s="89">
        <f t="shared" si="47"/>
        <v>14.16</v>
      </c>
      <c r="O159" s="70">
        <f t="shared" si="41"/>
        <v>0.0900692840646651</v>
      </c>
      <c r="P159" s="25">
        <f t="shared" si="42"/>
        <v>188.7528</v>
      </c>
    </row>
    <row r="160" spans="1:16">
      <c r="A160" s="162" t="s">
        <v>24</v>
      </c>
      <c r="B160" s="21">
        <f t="shared" si="48"/>
        <v>1.16840233680467</v>
      </c>
      <c r="C160" s="110">
        <v>46</v>
      </c>
      <c r="D160" s="21" t="s">
        <v>58</v>
      </c>
      <c r="E160" s="26" t="s">
        <v>26</v>
      </c>
      <c r="F160" s="26" t="s">
        <v>29</v>
      </c>
      <c r="G160" s="21">
        <v>16.9</v>
      </c>
      <c r="H160" s="21">
        <f t="shared" si="44"/>
        <v>202.8</v>
      </c>
      <c r="I160" s="21">
        <f t="shared" si="45"/>
        <v>225.28</v>
      </c>
      <c r="J160" s="166">
        <f t="shared" si="46"/>
        <v>236.6</v>
      </c>
      <c r="K160" s="192"/>
      <c r="L160" s="191"/>
      <c r="M160" s="21">
        <v>15.5</v>
      </c>
      <c r="N160" s="89">
        <f t="shared" si="47"/>
        <v>16.9</v>
      </c>
      <c r="O160" s="70">
        <f t="shared" si="41"/>
        <v>0.0903225806451612</v>
      </c>
      <c r="P160" s="25">
        <f t="shared" si="42"/>
        <v>225.277</v>
      </c>
    </row>
    <row r="161" spans="1:16">
      <c r="A161" s="162" t="s">
        <v>24</v>
      </c>
      <c r="B161" s="21">
        <f t="shared" si="48"/>
        <v>1.16840233680467</v>
      </c>
      <c r="C161" s="110">
        <v>46</v>
      </c>
      <c r="D161" s="21" t="s">
        <v>58</v>
      </c>
      <c r="E161" s="26" t="s">
        <v>44</v>
      </c>
      <c r="F161" s="26" t="s">
        <v>29</v>
      </c>
      <c r="G161" s="21">
        <v>23.64</v>
      </c>
      <c r="H161" s="21">
        <f t="shared" si="44"/>
        <v>283.68</v>
      </c>
      <c r="I161" s="21">
        <f t="shared" si="45"/>
        <v>315.12</v>
      </c>
      <c r="J161" s="166">
        <f t="shared" si="46"/>
        <v>330.96</v>
      </c>
      <c r="K161" s="192"/>
      <c r="L161" s="191"/>
      <c r="M161" s="21">
        <v>21.69</v>
      </c>
      <c r="N161" s="89">
        <f t="shared" si="47"/>
        <v>23.64</v>
      </c>
      <c r="O161" s="70">
        <f t="shared" si="41"/>
        <v>0.0899031811894882</v>
      </c>
      <c r="P161" s="25">
        <f t="shared" si="42"/>
        <v>315.1212</v>
      </c>
    </row>
    <row r="162" spans="1:16">
      <c r="A162" s="162" t="s">
        <v>24</v>
      </c>
      <c r="B162" s="21">
        <f t="shared" ref="B162:B195" si="49">C162/39.37</f>
        <v>1.16840233680467</v>
      </c>
      <c r="C162" s="110">
        <v>46</v>
      </c>
      <c r="D162" s="21" t="s">
        <v>58</v>
      </c>
      <c r="E162" s="26" t="s">
        <v>31</v>
      </c>
      <c r="F162" s="26" t="s">
        <v>29</v>
      </c>
      <c r="G162" s="21">
        <v>27.9</v>
      </c>
      <c r="H162" s="21">
        <f t="shared" si="44"/>
        <v>334.8</v>
      </c>
      <c r="I162" s="21">
        <f t="shared" si="45"/>
        <v>371.91</v>
      </c>
      <c r="J162" s="166">
        <f t="shared" si="46"/>
        <v>390.6</v>
      </c>
      <c r="K162" s="192"/>
      <c r="L162" s="191"/>
      <c r="M162" s="21">
        <v>25.6</v>
      </c>
      <c r="N162" s="89">
        <f t="shared" si="47"/>
        <v>27.9</v>
      </c>
      <c r="O162" s="70">
        <f t="shared" si="41"/>
        <v>0.0898437499999999</v>
      </c>
      <c r="P162" s="25">
        <f t="shared" si="42"/>
        <v>371.907</v>
      </c>
    </row>
    <row r="163" spans="1:16">
      <c r="A163" s="162" t="s">
        <v>24</v>
      </c>
      <c r="B163" s="21">
        <f t="shared" si="49"/>
        <v>1.16840233680467</v>
      </c>
      <c r="C163" s="110">
        <v>46</v>
      </c>
      <c r="D163" s="21" t="s">
        <v>58</v>
      </c>
      <c r="E163" s="26" t="s">
        <v>59</v>
      </c>
      <c r="F163" s="26" t="s">
        <v>29</v>
      </c>
      <c r="G163" s="21">
        <v>62.74</v>
      </c>
      <c r="H163" s="21">
        <f t="shared" si="44"/>
        <v>752.88</v>
      </c>
      <c r="I163" s="21">
        <f t="shared" si="45"/>
        <v>836.32</v>
      </c>
      <c r="J163" s="166">
        <f t="shared" si="46"/>
        <v>878.36</v>
      </c>
      <c r="K163" s="192"/>
      <c r="L163" s="191"/>
      <c r="M163" s="21">
        <v>57.56</v>
      </c>
      <c r="N163" s="89">
        <f t="shared" si="47"/>
        <v>62.74</v>
      </c>
      <c r="O163" s="70">
        <f t="shared" si="41"/>
        <v>0.0899930507296734</v>
      </c>
      <c r="P163" s="25">
        <f t="shared" si="42"/>
        <v>836.3242</v>
      </c>
    </row>
    <row r="164" spans="1:16">
      <c r="A164" s="162" t="s">
        <v>24</v>
      </c>
      <c r="B164" s="21">
        <f t="shared" si="49"/>
        <v>1.19380238760478</v>
      </c>
      <c r="C164" s="110">
        <v>47</v>
      </c>
      <c r="D164" s="21" t="s">
        <v>58</v>
      </c>
      <c r="E164" s="26" t="s">
        <v>28</v>
      </c>
      <c r="F164" s="26" t="s">
        <v>29</v>
      </c>
      <c r="G164" s="21">
        <v>14.55</v>
      </c>
      <c r="H164" s="21">
        <f t="shared" si="44"/>
        <v>174.6</v>
      </c>
      <c r="I164" s="21">
        <f t="shared" si="45"/>
        <v>193.95</v>
      </c>
      <c r="J164" s="166">
        <f t="shared" si="46"/>
        <v>203.7</v>
      </c>
      <c r="K164" s="192"/>
      <c r="L164" s="191"/>
      <c r="M164" s="21">
        <v>13.35</v>
      </c>
      <c r="N164" s="89">
        <f t="shared" si="47"/>
        <v>14.55</v>
      </c>
      <c r="O164" s="70">
        <f t="shared" si="41"/>
        <v>0.0898876404494383</v>
      </c>
      <c r="P164" s="25">
        <f t="shared" si="42"/>
        <v>193.9515</v>
      </c>
    </row>
    <row r="165" spans="1:16">
      <c r="A165" s="162" t="s">
        <v>24</v>
      </c>
      <c r="B165" s="21">
        <f t="shared" si="49"/>
        <v>1.21920243840488</v>
      </c>
      <c r="C165" s="110">
        <v>48</v>
      </c>
      <c r="D165" s="21" t="s">
        <v>60</v>
      </c>
      <c r="E165" s="26" t="s">
        <v>28</v>
      </c>
      <c r="F165" s="26" t="s">
        <v>29</v>
      </c>
      <c r="G165" s="21">
        <v>14.61</v>
      </c>
      <c r="H165" s="21">
        <f t="shared" si="44"/>
        <v>175.32</v>
      </c>
      <c r="I165" s="21">
        <f t="shared" si="45"/>
        <v>194.75</v>
      </c>
      <c r="J165" s="166">
        <f t="shared" si="46"/>
        <v>204.54</v>
      </c>
      <c r="K165" s="192"/>
      <c r="L165" s="191"/>
      <c r="M165" s="21">
        <v>13.4</v>
      </c>
      <c r="N165" s="89">
        <f t="shared" si="47"/>
        <v>14.61</v>
      </c>
      <c r="O165" s="70">
        <f t="shared" si="41"/>
        <v>0.0902985074626865</v>
      </c>
      <c r="P165" s="25">
        <f t="shared" si="42"/>
        <v>194.7513</v>
      </c>
    </row>
    <row r="166" spans="1:16">
      <c r="A166" s="162" t="s">
        <v>24</v>
      </c>
      <c r="B166" s="21">
        <f t="shared" si="49"/>
        <v>1.21920243840488</v>
      </c>
      <c r="C166" s="110">
        <v>48</v>
      </c>
      <c r="D166" s="21" t="s">
        <v>60</v>
      </c>
      <c r="E166" s="26" t="s">
        <v>26</v>
      </c>
      <c r="F166" s="26" t="s">
        <v>29</v>
      </c>
      <c r="G166" s="21">
        <v>19.12</v>
      </c>
      <c r="H166" s="21">
        <f t="shared" si="44"/>
        <v>229.44</v>
      </c>
      <c r="I166" s="21">
        <f t="shared" si="45"/>
        <v>254.87</v>
      </c>
      <c r="J166" s="166">
        <f t="shared" si="46"/>
        <v>267.68</v>
      </c>
      <c r="K166" s="192"/>
      <c r="L166" s="191"/>
      <c r="M166" s="21">
        <v>17.54</v>
      </c>
      <c r="N166" s="89">
        <f t="shared" si="47"/>
        <v>19.12</v>
      </c>
      <c r="O166" s="70">
        <f t="shared" si="41"/>
        <v>0.0900798175598633</v>
      </c>
      <c r="P166" s="25">
        <f t="shared" si="42"/>
        <v>254.8696</v>
      </c>
    </row>
    <row r="167" spans="1:16">
      <c r="A167" s="162" t="s">
        <v>24</v>
      </c>
      <c r="B167" s="21">
        <f t="shared" si="49"/>
        <v>1.21920243840488</v>
      </c>
      <c r="C167" s="110">
        <v>48</v>
      </c>
      <c r="D167" s="21" t="s">
        <v>60</v>
      </c>
      <c r="E167" s="26" t="s">
        <v>31</v>
      </c>
      <c r="F167" s="26" t="s">
        <v>29</v>
      </c>
      <c r="G167" s="21">
        <v>28.83</v>
      </c>
      <c r="H167" s="21">
        <f t="shared" si="44"/>
        <v>345.96</v>
      </c>
      <c r="I167" s="21">
        <f t="shared" si="45"/>
        <v>384.3</v>
      </c>
      <c r="J167" s="166">
        <f t="shared" si="46"/>
        <v>403.62</v>
      </c>
      <c r="K167" s="192"/>
      <c r="L167" s="191"/>
      <c r="M167" s="21">
        <v>26.45</v>
      </c>
      <c r="N167" s="89">
        <f t="shared" si="47"/>
        <v>28.83</v>
      </c>
      <c r="O167" s="70">
        <f t="shared" si="41"/>
        <v>0.0899810964083175</v>
      </c>
      <c r="P167" s="25">
        <f t="shared" si="42"/>
        <v>384.3039</v>
      </c>
    </row>
    <row r="168" spans="1:16">
      <c r="A168" s="162" t="s">
        <v>24</v>
      </c>
      <c r="B168" s="21">
        <f t="shared" si="49"/>
        <v>1.27000254000508</v>
      </c>
      <c r="C168" s="110">
        <v>50</v>
      </c>
      <c r="D168" s="21" t="s">
        <v>60</v>
      </c>
      <c r="E168" s="26" t="s">
        <v>28</v>
      </c>
      <c r="F168" s="26" t="s">
        <v>29</v>
      </c>
      <c r="G168" s="21">
        <v>15.03</v>
      </c>
      <c r="H168" s="21">
        <f t="shared" si="44"/>
        <v>180.36</v>
      </c>
      <c r="I168" s="21">
        <f t="shared" si="45"/>
        <v>200.35</v>
      </c>
      <c r="J168" s="166">
        <f t="shared" si="46"/>
        <v>210.42</v>
      </c>
      <c r="K168" s="192"/>
      <c r="L168" s="191"/>
      <c r="M168" s="21">
        <v>13.79</v>
      </c>
      <c r="N168" s="89">
        <f t="shared" si="47"/>
        <v>15.03</v>
      </c>
      <c r="O168" s="70">
        <f t="shared" si="41"/>
        <v>0.0899202320522118</v>
      </c>
      <c r="P168" s="25">
        <f t="shared" si="42"/>
        <v>200.3499</v>
      </c>
    </row>
    <row r="169" spans="1:16">
      <c r="A169" s="162" t="s">
        <v>24</v>
      </c>
      <c r="B169" s="21">
        <f t="shared" si="49"/>
        <v>1.27000254000508</v>
      </c>
      <c r="C169" s="110">
        <v>50</v>
      </c>
      <c r="D169" s="21" t="s">
        <v>60</v>
      </c>
      <c r="E169" s="26" t="s">
        <v>26</v>
      </c>
      <c r="F169" s="26" t="s">
        <v>29</v>
      </c>
      <c r="G169" s="21">
        <v>19.13</v>
      </c>
      <c r="H169" s="21">
        <f t="shared" si="44"/>
        <v>229.56</v>
      </c>
      <c r="I169" s="21">
        <f t="shared" si="45"/>
        <v>255</v>
      </c>
      <c r="J169" s="166">
        <f t="shared" si="46"/>
        <v>267.82</v>
      </c>
      <c r="K169" s="192"/>
      <c r="L169" s="191"/>
      <c r="M169" s="21">
        <v>17.55</v>
      </c>
      <c r="N169" s="89">
        <f t="shared" si="47"/>
        <v>19.13</v>
      </c>
      <c r="O169" s="70">
        <f t="shared" si="41"/>
        <v>0.0900284900284899</v>
      </c>
      <c r="P169" s="25">
        <f t="shared" si="42"/>
        <v>255.0029</v>
      </c>
    </row>
    <row r="170" spans="1:16">
      <c r="A170" s="162" t="s">
        <v>24</v>
      </c>
      <c r="B170" s="21">
        <f t="shared" si="49"/>
        <v>1.27000254000508</v>
      </c>
      <c r="C170" s="110">
        <v>50</v>
      </c>
      <c r="D170" s="21" t="s">
        <v>60</v>
      </c>
      <c r="E170" s="26" t="s">
        <v>31</v>
      </c>
      <c r="F170" s="26" t="s">
        <v>29</v>
      </c>
      <c r="G170" s="21">
        <v>28.56</v>
      </c>
      <c r="H170" s="21">
        <f t="shared" si="44"/>
        <v>342.72</v>
      </c>
      <c r="I170" s="21">
        <f t="shared" si="45"/>
        <v>380.7</v>
      </c>
      <c r="J170" s="166">
        <f t="shared" si="46"/>
        <v>399.84</v>
      </c>
      <c r="K170" s="192"/>
      <c r="L170" s="191"/>
      <c r="M170" s="21">
        <v>26.2</v>
      </c>
      <c r="N170" s="89">
        <f t="shared" si="47"/>
        <v>28.56</v>
      </c>
      <c r="O170" s="70">
        <f t="shared" si="41"/>
        <v>0.0900763358778626</v>
      </c>
      <c r="P170" s="25">
        <f t="shared" si="42"/>
        <v>380.7048</v>
      </c>
    </row>
    <row r="171" spans="1:16">
      <c r="A171" s="162" t="s">
        <v>24</v>
      </c>
      <c r="B171" s="21">
        <f t="shared" si="49"/>
        <v>1.32080264160528</v>
      </c>
      <c r="C171" s="110">
        <v>52</v>
      </c>
      <c r="D171" s="21" t="s">
        <v>60</v>
      </c>
      <c r="E171" s="26" t="s">
        <v>28</v>
      </c>
      <c r="F171" s="26" t="s">
        <v>29</v>
      </c>
      <c r="G171" s="21">
        <v>15.26</v>
      </c>
      <c r="H171" s="21">
        <f t="shared" si="44"/>
        <v>183.12</v>
      </c>
      <c r="I171" s="21">
        <f t="shared" si="45"/>
        <v>203.42</v>
      </c>
      <c r="J171" s="166">
        <f t="shared" si="46"/>
        <v>213.64</v>
      </c>
      <c r="K171" s="192"/>
      <c r="L171" s="191"/>
      <c r="M171" s="21">
        <v>14</v>
      </c>
      <c r="N171" s="89">
        <f t="shared" si="47"/>
        <v>15.26</v>
      </c>
      <c r="O171" s="70">
        <f t="shared" si="41"/>
        <v>0.09</v>
      </c>
      <c r="P171" s="25">
        <f t="shared" si="42"/>
        <v>203.4158</v>
      </c>
    </row>
    <row r="172" spans="1:16">
      <c r="A172" s="162" t="s">
        <v>24</v>
      </c>
      <c r="B172" s="21">
        <f t="shared" si="49"/>
        <v>1.32080264160528</v>
      </c>
      <c r="C172" s="110">
        <v>52</v>
      </c>
      <c r="D172" s="21" t="s">
        <v>60</v>
      </c>
      <c r="E172" s="26" t="s">
        <v>26</v>
      </c>
      <c r="F172" s="26" t="s">
        <v>29</v>
      </c>
      <c r="G172" s="21">
        <v>18.05</v>
      </c>
      <c r="H172" s="21">
        <f t="shared" si="44"/>
        <v>216.6</v>
      </c>
      <c r="I172" s="21">
        <f t="shared" si="45"/>
        <v>240.61</v>
      </c>
      <c r="J172" s="166">
        <f t="shared" si="46"/>
        <v>252.7</v>
      </c>
      <c r="K172" s="192"/>
      <c r="L172" s="191"/>
      <c r="M172" s="21">
        <v>16.56</v>
      </c>
      <c r="N172" s="89">
        <f t="shared" si="47"/>
        <v>18.05</v>
      </c>
      <c r="O172" s="70">
        <f t="shared" ref="O172:O203" si="50">(N172-M172)/M172</f>
        <v>0.0899758454106281</v>
      </c>
      <c r="P172" s="25">
        <f t="shared" ref="P172:P203" si="51">N172*13.33</f>
        <v>240.6065</v>
      </c>
    </row>
    <row r="173" spans="1:16">
      <c r="A173" s="162" t="s">
        <v>24</v>
      </c>
      <c r="B173" s="21">
        <f t="shared" si="49"/>
        <v>1.32080264160528</v>
      </c>
      <c r="C173" s="110">
        <v>52</v>
      </c>
      <c r="D173" s="21" t="s">
        <v>60</v>
      </c>
      <c r="E173" s="26" t="s">
        <v>31</v>
      </c>
      <c r="F173" s="26" t="s">
        <v>29</v>
      </c>
      <c r="G173" s="21">
        <v>28.51</v>
      </c>
      <c r="H173" s="21">
        <f t="shared" si="44"/>
        <v>342.12</v>
      </c>
      <c r="I173" s="21">
        <f t="shared" si="45"/>
        <v>380.04</v>
      </c>
      <c r="J173" s="166">
        <f t="shared" si="46"/>
        <v>399.14</v>
      </c>
      <c r="K173" s="192"/>
      <c r="L173" s="191"/>
      <c r="M173" s="21">
        <v>26.16</v>
      </c>
      <c r="N173" s="89">
        <f t="shared" si="47"/>
        <v>28.51</v>
      </c>
      <c r="O173" s="70">
        <f t="shared" si="50"/>
        <v>0.0898318042813456</v>
      </c>
      <c r="P173" s="25">
        <f t="shared" si="51"/>
        <v>380.0383</v>
      </c>
    </row>
    <row r="174" spans="1:16">
      <c r="A174" s="162" t="s">
        <v>24</v>
      </c>
      <c r="B174" s="21">
        <f t="shared" si="49"/>
        <v>1.32080264160528</v>
      </c>
      <c r="C174" s="110">
        <v>52</v>
      </c>
      <c r="D174" s="21" t="s">
        <v>60</v>
      </c>
      <c r="E174" s="26" t="s">
        <v>34</v>
      </c>
      <c r="F174" s="26" t="s">
        <v>29</v>
      </c>
      <c r="G174" s="21">
        <v>42.85</v>
      </c>
      <c r="H174" s="21">
        <f t="shared" si="44"/>
        <v>514.2</v>
      </c>
      <c r="I174" s="21">
        <f t="shared" si="45"/>
        <v>571.19</v>
      </c>
      <c r="J174" s="166">
        <f t="shared" si="46"/>
        <v>599.9</v>
      </c>
      <c r="K174" s="192"/>
      <c r="L174" s="191"/>
      <c r="M174" s="21">
        <v>39.31</v>
      </c>
      <c r="N174" s="89">
        <f t="shared" si="47"/>
        <v>42.85</v>
      </c>
      <c r="O174" s="70">
        <f t="shared" si="50"/>
        <v>0.0900534215212414</v>
      </c>
      <c r="P174" s="25">
        <f t="shared" si="51"/>
        <v>571.1905</v>
      </c>
    </row>
    <row r="175" spans="1:16">
      <c r="A175" s="162" t="s">
        <v>24</v>
      </c>
      <c r="B175" s="21">
        <f t="shared" si="49"/>
        <v>1.32080264160528</v>
      </c>
      <c r="C175" s="110">
        <v>52</v>
      </c>
      <c r="D175" s="21" t="s">
        <v>60</v>
      </c>
      <c r="E175" s="26" t="s">
        <v>34</v>
      </c>
      <c r="F175" s="26" t="s">
        <v>27</v>
      </c>
      <c r="G175" s="21">
        <v>44.92</v>
      </c>
      <c r="H175" s="21">
        <f t="shared" si="44"/>
        <v>539.04</v>
      </c>
      <c r="I175" s="21">
        <f t="shared" si="45"/>
        <v>598.78</v>
      </c>
      <c r="J175" s="166">
        <f t="shared" si="46"/>
        <v>628.88</v>
      </c>
      <c r="K175" s="192"/>
      <c r="L175" s="191"/>
      <c r="M175" s="21">
        <v>41.21</v>
      </c>
      <c r="N175" s="89">
        <f t="shared" si="47"/>
        <v>44.92</v>
      </c>
      <c r="O175" s="70">
        <f t="shared" si="50"/>
        <v>0.0900266925503519</v>
      </c>
      <c r="P175" s="25">
        <f t="shared" si="51"/>
        <v>598.7836</v>
      </c>
    </row>
    <row r="176" spans="1:16">
      <c r="A176" s="162" t="s">
        <v>24</v>
      </c>
      <c r="B176" s="21">
        <f t="shared" si="49"/>
        <v>1.37160274320549</v>
      </c>
      <c r="C176" s="110">
        <v>54</v>
      </c>
      <c r="D176" s="21" t="s">
        <v>60</v>
      </c>
      <c r="E176" s="26" t="s">
        <v>28</v>
      </c>
      <c r="F176" s="26" t="s">
        <v>29</v>
      </c>
      <c r="G176" s="21">
        <v>15.65</v>
      </c>
      <c r="H176" s="21">
        <f t="shared" si="44"/>
        <v>187.8</v>
      </c>
      <c r="I176" s="21">
        <f t="shared" si="45"/>
        <v>208.61</v>
      </c>
      <c r="J176" s="166">
        <f t="shared" si="46"/>
        <v>219.1</v>
      </c>
      <c r="K176" s="192"/>
      <c r="L176" s="191"/>
      <c r="M176" s="21">
        <v>14.36</v>
      </c>
      <c r="N176" s="89">
        <f t="shared" si="47"/>
        <v>15.65</v>
      </c>
      <c r="O176" s="70">
        <f t="shared" si="50"/>
        <v>0.08983286908078</v>
      </c>
      <c r="P176" s="25">
        <f t="shared" si="51"/>
        <v>208.6145</v>
      </c>
    </row>
    <row r="177" spans="1:16">
      <c r="A177" s="162" t="s">
        <v>24</v>
      </c>
      <c r="B177" s="21">
        <f t="shared" si="49"/>
        <v>1.37160274320549</v>
      </c>
      <c r="C177" s="110">
        <v>54</v>
      </c>
      <c r="D177" s="21" t="s">
        <v>60</v>
      </c>
      <c r="E177" s="26" t="s">
        <v>26</v>
      </c>
      <c r="F177" s="26" t="s">
        <v>29</v>
      </c>
      <c r="G177" s="21">
        <v>18.57</v>
      </c>
      <c r="H177" s="21">
        <f t="shared" si="44"/>
        <v>222.84</v>
      </c>
      <c r="I177" s="21">
        <f t="shared" si="45"/>
        <v>247.54</v>
      </c>
      <c r="J177" s="166">
        <f t="shared" si="46"/>
        <v>259.98</v>
      </c>
      <c r="K177" s="192"/>
      <c r="L177" s="191"/>
      <c r="M177" s="21">
        <v>17.04</v>
      </c>
      <c r="N177" s="89">
        <f t="shared" si="47"/>
        <v>18.57</v>
      </c>
      <c r="O177" s="70">
        <f t="shared" si="50"/>
        <v>0.0897887323943663</v>
      </c>
      <c r="P177" s="25">
        <f t="shared" si="51"/>
        <v>247.5381</v>
      </c>
    </row>
    <row r="178" spans="1:16">
      <c r="A178" s="162" t="s">
        <v>24</v>
      </c>
      <c r="B178" s="21">
        <f t="shared" si="49"/>
        <v>1.37160274320549</v>
      </c>
      <c r="C178" s="110">
        <v>54</v>
      </c>
      <c r="D178" s="21" t="s">
        <v>60</v>
      </c>
      <c r="E178" s="26" t="s">
        <v>44</v>
      </c>
      <c r="F178" s="26" t="s">
        <v>29</v>
      </c>
      <c r="G178" s="21">
        <v>24.79</v>
      </c>
      <c r="H178" s="21">
        <f t="shared" si="44"/>
        <v>297.48</v>
      </c>
      <c r="I178" s="21">
        <f t="shared" si="45"/>
        <v>330.45</v>
      </c>
      <c r="J178" s="166">
        <f t="shared" si="46"/>
        <v>347.06</v>
      </c>
      <c r="K178" s="192"/>
      <c r="L178" s="191"/>
      <c r="M178" s="21">
        <v>22.74</v>
      </c>
      <c r="N178" s="89">
        <f t="shared" si="47"/>
        <v>24.79</v>
      </c>
      <c r="O178" s="70">
        <f t="shared" si="50"/>
        <v>0.0901495162708883</v>
      </c>
      <c r="P178" s="25">
        <f t="shared" si="51"/>
        <v>330.4507</v>
      </c>
    </row>
    <row r="179" spans="1:16">
      <c r="A179" s="162" t="s">
        <v>24</v>
      </c>
      <c r="B179" s="21">
        <f t="shared" si="49"/>
        <v>1.37160274320549</v>
      </c>
      <c r="C179" s="110">
        <v>54</v>
      </c>
      <c r="D179" s="21" t="s">
        <v>60</v>
      </c>
      <c r="E179" s="26" t="s">
        <v>31</v>
      </c>
      <c r="F179" s="26" t="s">
        <v>29</v>
      </c>
      <c r="G179" s="21">
        <v>29.18</v>
      </c>
      <c r="H179" s="21">
        <f t="shared" si="44"/>
        <v>350.16</v>
      </c>
      <c r="I179" s="21">
        <f t="shared" si="45"/>
        <v>388.97</v>
      </c>
      <c r="J179" s="166">
        <f t="shared" si="46"/>
        <v>408.52</v>
      </c>
      <c r="K179" s="192"/>
      <c r="L179" s="191"/>
      <c r="M179" s="21">
        <v>26.77</v>
      </c>
      <c r="N179" s="89">
        <f t="shared" si="47"/>
        <v>29.18</v>
      </c>
      <c r="O179" s="70">
        <f t="shared" si="50"/>
        <v>0.0900261486738887</v>
      </c>
      <c r="P179" s="25">
        <f t="shared" si="51"/>
        <v>388.9694</v>
      </c>
    </row>
    <row r="180" s="79" customFormat="1" spans="1:16">
      <c r="A180" s="162" t="s">
        <v>24</v>
      </c>
      <c r="B180" s="21">
        <f t="shared" si="49"/>
        <v>1.42240284480569</v>
      </c>
      <c r="C180" s="110">
        <v>56</v>
      </c>
      <c r="D180" s="21" t="s">
        <v>61</v>
      </c>
      <c r="E180" s="26" t="s">
        <v>28</v>
      </c>
      <c r="F180" s="26" t="s">
        <v>29</v>
      </c>
      <c r="G180" s="21">
        <v>15.32</v>
      </c>
      <c r="H180" s="21">
        <f t="shared" si="44"/>
        <v>183.84</v>
      </c>
      <c r="I180" s="21">
        <f t="shared" si="45"/>
        <v>204.22</v>
      </c>
      <c r="J180" s="166">
        <f t="shared" si="46"/>
        <v>214.48</v>
      </c>
      <c r="K180" s="192"/>
      <c r="L180" s="191"/>
      <c r="M180" s="21">
        <v>13.8</v>
      </c>
      <c r="N180" s="89">
        <f>ROUND(M180*1.11,2)</f>
        <v>15.32</v>
      </c>
      <c r="O180" s="70">
        <f t="shared" si="50"/>
        <v>0.110144927536232</v>
      </c>
      <c r="P180" s="25">
        <f t="shared" si="51"/>
        <v>204.2156</v>
      </c>
    </row>
    <row r="181" spans="1:16">
      <c r="A181" s="162" t="s">
        <v>24</v>
      </c>
      <c r="B181" s="21">
        <f t="shared" si="49"/>
        <v>1.42240284480569</v>
      </c>
      <c r="C181" s="110">
        <v>56</v>
      </c>
      <c r="D181" s="21" t="s">
        <v>61</v>
      </c>
      <c r="E181" s="26" t="s">
        <v>26</v>
      </c>
      <c r="F181" s="26" t="s">
        <v>29</v>
      </c>
      <c r="G181" s="21">
        <v>19.36</v>
      </c>
      <c r="H181" s="21">
        <f t="shared" si="44"/>
        <v>232.32</v>
      </c>
      <c r="I181" s="21">
        <f t="shared" si="45"/>
        <v>258.07</v>
      </c>
      <c r="J181" s="166">
        <f t="shared" si="46"/>
        <v>271.04</v>
      </c>
      <c r="K181" s="192"/>
      <c r="L181" s="191"/>
      <c r="M181" s="21">
        <v>17.76</v>
      </c>
      <c r="N181" s="89">
        <f t="shared" ref="N181:N223" si="52">ROUND(M181*1.09,2)</f>
        <v>19.36</v>
      </c>
      <c r="O181" s="70">
        <f t="shared" si="50"/>
        <v>0.09009009009009</v>
      </c>
      <c r="P181" s="25">
        <f t="shared" si="51"/>
        <v>258.0688</v>
      </c>
    </row>
    <row r="182" spans="1:16">
      <c r="A182" s="162" t="s">
        <v>24</v>
      </c>
      <c r="B182" s="21">
        <f t="shared" si="49"/>
        <v>1.42240284480569</v>
      </c>
      <c r="C182" s="110">
        <v>56</v>
      </c>
      <c r="D182" s="21" t="s">
        <v>61</v>
      </c>
      <c r="E182" s="26" t="s">
        <v>44</v>
      </c>
      <c r="F182" s="26" t="s">
        <v>29</v>
      </c>
      <c r="G182" s="21">
        <v>25.38</v>
      </c>
      <c r="H182" s="21">
        <f t="shared" si="44"/>
        <v>304.56</v>
      </c>
      <c r="I182" s="21">
        <f t="shared" si="45"/>
        <v>338.32</v>
      </c>
      <c r="J182" s="166">
        <f t="shared" si="46"/>
        <v>355.32</v>
      </c>
      <c r="K182" s="192"/>
      <c r="L182" s="191"/>
      <c r="M182" s="21">
        <v>23.28</v>
      </c>
      <c r="N182" s="89">
        <f t="shared" si="52"/>
        <v>25.38</v>
      </c>
      <c r="O182" s="70">
        <f t="shared" si="50"/>
        <v>0.0902061855670102</v>
      </c>
      <c r="P182" s="25">
        <f t="shared" si="51"/>
        <v>338.3154</v>
      </c>
    </row>
    <row r="183" spans="1:16">
      <c r="A183" s="162" t="s">
        <v>24</v>
      </c>
      <c r="B183" s="21">
        <f t="shared" ref="B183:B189" si="53">C183/39.37</f>
        <v>1.42240284480569</v>
      </c>
      <c r="C183" s="110">
        <v>56</v>
      </c>
      <c r="D183" s="21" t="s">
        <v>61</v>
      </c>
      <c r="E183" s="26" t="s">
        <v>31</v>
      </c>
      <c r="F183" s="26" t="s">
        <v>29</v>
      </c>
      <c r="G183" s="21">
        <v>29.88</v>
      </c>
      <c r="H183" s="21">
        <f t="shared" si="44"/>
        <v>358.56</v>
      </c>
      <c r="I183" s="21">
        <f t="shared" si="45"/>
        <v>398.3</v>
      </c>
      <c r="J183" s="166">
        <f t="shared" si="46"/>
        <v>418.32</v>
      </c>
      <c r="K183" s="192"/>
      <c r="L183" s="191"/>
      <c r="M183" s="21">
        <v>27.41</v>
      </c>
      <c r="N183" s="89">
        <f t="shared" si="52"/>
        <v>29.88</v>
      </c>
      <c r="O183" s="70">
        <f t="shared" si="50"/>
        <v>0.0901130974097044</v>
      </c>
      <c r="P183" s="25">
        <f t="shared" si="51"/>
        <v>398.3004</v>
      </c>
    </row>
    <row r="184" spans="1:16">
      <c r="A184" s="162" t="s">
        <v>24</v>
      </c>
      <c r="B184" s="21">
        <f t="shared" si="53"/>
        <v>1.44780289560579</v>
      </c>
      <c r="C184" s="110">
        <v>57</v>
      </c>
      <c r="D184" s="21" t="s">
        <v>61</v>
      </c>
      <c r="E184" s="26" t="s">
        <v>28</v>
      </c>
      <c r="F184" s="26" t="s">
        <v>29</v>
      </c>
      <c r="G184" s="21">
        <v>15.53</v>
      </c>
      <c r="H184" s="21">
        <f t="shared" si="44"/>
        <v>186.36</v>
      </c>
      <c r="I184" s="21">
        <f t="shared" si="45"/>
        <v>207.01</v>
      </c>
      <c r="J184" s="166">
        <f t="shared" si="46"/>
        <v>217.42</v>
      </c>
      <c r="K184" s="192"/>
      <c r="L184" s="191"/>
      <c r="M184" s="21">
        <v>14.25</v>
      </c>
      <c r="N184" s="89">
        <f t="shared" si="52"/>
        <v>15.53</v>
      </c>
      <c r="O184" s="70">
        <f t="shared" si="50"/>
        <v>0.0898245614035087</v>
      </c>
      <c r="P184" s="25">
        <f t="shared" si="51"/>
        <v>207.0149</v>
      </c>
    </row>
    <row r="185" spans="1:16">
      <c r="A185" s="162" t="s">
        <v>24</v>
      </c>
      <c r="B185" s="21">
        <f t="shared" si="53"/>
        <v>1.44780289560579</v>
      </c>
      <c r="C185" s="110">
        <v>57</v>
      </c>
      <c r="D185" s="21" t="s">
        <v>61</v>
      </c>
      <c r="E185" s="26" t="s">
        <v>26</v>
      </c>
      <c r="F185" s="26" t="s">
        <v>29</v>
      </c>
      <c r="G185" s="21">
        <v>20.03</v>
      </c>
      <c r="H185" s="21">
        <f t="shared" si="44"/>
        <v>240.36</v>
      </c>
      <c r="I185" s="21">
        <f t="shared" si="45"/>
        <v>267</v>
      </c>
      <c r="J185" s="166">
        <f t="shared" si="46"/>
        <v>280.42</v>
      </c>
      <c r="K185" s="192"/>
      <c r="L185" s="191"/>
      <c r="M185" s="21">
        <v>18.38</v>
      </c>
      <c r="N185" s="89">
        <f t="shared" si="52"/>
        <v>20.03</v>
      </c>
      <c r="O185" s="70">
        <f t="shared" si="50"/>
        <v>0.0897714907508162</v>
      </c>
      <c r="P185" s="25">
        <f t="shared" si="51"/>
        <v>266.9999</v>
      </c>
    </row>
    <row r="186" spans="1:16">
      <c r="A186" s="162" t="s">
        <v>24</v>
      </c>
      <c r="B186" s="21">
        <f t="shared" si="53"/>
        <v>1.44780289560579</v>
      </c>
      <c r="C186" s="110">
        <v>57</v>
      </c>
      <c r="D186" s="21" t="s">
        <v>61</v>
      </c>
      <c r="E186" s="26" t="s">
        <v>31</v>
      </c>
      <c r="F186" s="26" t="s">
        <v>29</v>
      </c>
      <c r="G186" s="21">
        <v>30.14</v>
      </c>
      <c r="H186" s="21">
        <f t="shared" si="44"/>
        <v>361.68</v>
      </c>
      <c r="I186" s="21">
        <f t="shared" si="45"/>
        <v>401.77</v>
      </c>
      <c r="J186" s="166">
        <f t="shared" si="46"/>
        <v>421.96</v>
      </c>
      <c r="K186" s="192"/>
      <c r="L186" s="191"/>
      <c r="M186" s="21">
        <v>27.65</v>
      </c>
      <c r="N186" s="89">
        <f t="shared" si="52"/>
        <v>30.14</v>
      </c>
      <c r="O186" s="70">
        <f t="shared" si="50"/>
        <v>0.0900542495479205</v>
      </c>
      <c r="P186" s="25">
        <f t="shared" si="51"/>
        <v>401.7662</v>
      </c>
    </row>
    <row r="187" spans="1:16">
      <c r="A187" s="162" t="s">
        <v>24</v>
      </c>
      <c r="B187" s="21">
        <f t="shared" si="53"/>
        <v>1.49860299720599</v>
      </c>
      <c r="C187" s="110">
        <v>59</v>
      </c>
      <c r="D187" s="21" t="s">
        <v>61</v>
      </c>
      <c r="E187" s="26" t="s">
        <v>28</v>
      </c>
      <c r="F187" s="26" t="s">
        <v>29</v>
      </c>
      <c r="G187" s="21">
        <v>17.12</v>
      </c>
      <c r="H187" s="21">
        <f t="shared" si="44"/>
        <v>205.44</v>
      </c>
      <c r="I187" s="21">
        <f t="shared" si="45"/>
        <v>228.21</v>
      </c>
      <c r="J187" s="166">
        <f t="shared" si="46"/>
        <v>239.68</v>
      </c>
      <c r="K187" s="192"/>
      <c r="L187" s="191"/>
      <c r="M187" s="21">
        <v>15.71</v>
      </c>
      <c r="N187" s="89">
        <f t="shared" si="52"/>
        <v>17.12</v>
      </c>
      <c r="O187" s="70">
        <f t="shared" si="50"/>
        <v>0.0897517504774029</v>
      </c>
      <c r="P187" s="25">
        <f t="shared" si="51"/>
        <v>228.2096</v>
      </c>
    </row>
    <row r="188" spans="1:16">
      <c r="A188" s="162" t="s">
        <v>24</v>
      </c>
      <c r="B188" s="21">
        <f t="shared" si="53"/>
        <v>1.49860299720599</v>
      </c>
      <c r="C188" s="110">
        <v>59</v>
      </c>
      <c r="D188" s="21" t="s">
        <v>61</v>
      </c>
      <c r="E188" s="26" t="s">
        <v>62</v>
      </c>
      <c r="F188" s="26" t="s">
        <v>29</v>
      </c>
      <c r="G188" s="21">
        <v>16.49</v>
      </c>
      <c r="H188" s="21">
        <f t="shared" si="44"/>
        <v>197.88</v>
      </c>
      <c r="I188" s="21">
        <f t="shared" si="45"/>
        <v>219.81</v>
      </c>
      <c r="J188" s="166">
        <f t="shared" si="46"/>
        <v>230.86</v>
      </c>
      <c r="K188" s="192"/>
      <c r="L188" s="191"/>
      <c r="M188" s="21">
        <v>15.13</v>
      </c>
      <c r="N188" s="89">
        <f t="shared" si="52"/>
        <v>16.49</v>
      </c>
      <c r="O188" s="70">
        <f t="shared" si="50"/>
        <v>0.089887640449438</v>
      </c>
      <c r="P188" s="25">
        <f t="shared" si="51"/>
        <v>219.8117</v>
      </c>
    </row>
    <row r="189" spans="1:16">
      <c r="A189" s="162" t="s">
        <v>24</v>
      </c>
      <c r="B189" s="21">
        <f t="shared" si="53"/>
        <v>1.49860299720599</v>
      </c>
      <c r="C189" s="110">
        <v>59</v>
      </c>
      <c r="D189" s="21" t="s">
        <v>61</v>
      </c>
      <c r="E189" s="26" t="s">
        <v>43</v>
      </c>
      <c r="F189" s="26" t="s">
        <v>29</v>
      </c>
      <c r="G189" s="21">
        <v>15.49</v>
      </c>
      <c r="H189" s="21">
        <f t="shared" si="44"/>
        <v>185.88</v>
      </c>
      <c r="I189" s="21">
        <f t="shared" si="45"/>
        <v>206.48</v>
      </c>
      <c r="J189" s="166">
        <f t="shared" si="46"/>
        <v>216.86</v>
      </c>
      <c r="K189" s="192"/>
      <c r="L189" s="191"/>
      <c r="M189" s="21">
        <v>14.21</v>
      </c>
      <c r="N189" s="89">
        <f t="shared" si="52"/>
        <v>15.49</v>
      </c>
      <c r="O189" s="70">
        <f t="shared" si="50"/>
        <v>0.0900774102744546</v>
      </c>
      <c r="P189" s="25">
        <f t="shared" si="51"/>
        <v>206.4817</v>
      </c>
    </row>
    <row r="190" spans="1:16">
      <c r="A190" s="162" t="s">
        <v>24</v>
      </c>
      <c r="B190" s="21">
        <f t="shared" ref="B190:B192" si="54">C190/39.37</f>
        <v>1.49860299720599</v>
      </c>
      <c r="C190" s="110">
        <v>59</v>
      </c>
      <c r="D190" s="21" t="s">
        <v>61</v>
      </c>
      <c r="E190" s="26" t="s">
        <v>30</v>
      </c>
      <c r="F190" s="26" t="s">
        <v>29</v>
      </c>
      <c r="G190" s="21">
        <v>19.42</v>
      </c>
      <c r="H190" s="21">
        <f t="shared" si="44"/>
        <v>233.04</v>
      </c>
      <c r="I190" s="21">
        <f t="shared" si="45"/>
        <v>258.87</v>
      </c>
      <c r="J190" s="166">
        <f t="shared" si="46"/>
        <v>271.88</v>
      </c>
      <c r="K190" s="192"/>
      <c r="L190" s="191"/>
      <c r="M190" s="21">
        <v>17.82</v>
      </c>
      <c r="N190" s="89">
        <f t="shared" si="52"/>
        <v>19.42</v>
      </c>
      <c r="O190" s="70">
        <f t="shared" si="50"/>
        <v>0.0897867564534232</v>
      </c>
      <c r="P190" s="25">
        <f t="shared" si="51"/>
        <v>258.8686</v>
      </c>
    </row>
    <row r="191" s="79" customFormat="1" spans="1:16">
      <c r="A191" s="162" t="s">
        <v>24</v>
      </c>
      <c r="B191" s="21">
        <f t="shared" si="54"/>
        <v>1.49860299720599</v>
      </c>
      <c r="C191" s="110">
        <v>59</v>
      </c>
      <c r="D191" s="21" t="s">
        <v>61</v>
      </c>
      <c r="E191" s="26" t="s">
        <v>26</v>
      </c>
      <c r="F191" s="26" t="s">
        <v>29</v>
      </c>
      <c r="G191" s="21">
        <v>20.24</v>
      </c>
      <c r="H191" s="21">
        <f t="shared" si="44"/>
        <v>242.88</v>
      </c>
      <c r="I191" s="21">
        <f t="shared" si="45"/>
        <v>269.8</v>
      </c>
      <c r="J191" s="166">
        <f t="shared" si="46"/>
        <v>283.36</v>
      </c>
      <c r="K191" s="192"/>
      <c r="L191" s="191"/>
      <c r="M191" s="21">
        <v>18.57</v>
      </c>
      <c r="N191" s="89">
        <f t="shared" si="52"/>
        <v>20.24</v>
      </c>
      <c r="O191" s="70">
        <f t="shared" si="50"/>
        <v>0.0899299946149703</v>
      </c>
      <c r="P191" s="25">
        <f t="shared" si="51"/>
        <v>269.7992</v>
      </c>
    </row>
    <row r="192" s="79" customFormat="1" spans="1:16">
      <c r="A192" s="162" t="s">
        <v>24</v>
      </c>
      <c r="B192" s="21">
        <f t="shared" si="54"/>
        <v>1.49860299720599</v>
      </c>
      <c r="C192" s="110">
        <v>59</v>
      </c>
      <c r="D192" s="21" t="s">
        <v>61</v>
      </c>
      <c r="E192" s="26" t="s">
        <v>63</v>
      </c>
      <c r="F192" s="26" t="s">
        <v>29</v>
      </c>
      <c r="G192" s="21">
        <v>24.97</v>
      </c>
      <c r="H192" s="21">
        <f t="shared" si="44"/>
        <v>299.64</v>
      </c>
      <c r="I192" s="21">
        <f t="shared" si="45"/>
        <v>332.85</v>
      </c>
      <c r="J192" s="166">
        <f t="shared" si="46"/>
        <v>349.58</v>
      </c>
      <c r="K192" s="192"/>
      <c r="L192" s="191"/>
      <c r="M192" s="21">
        <v>22.91</v>
      </c>
      <c r="N192" s="89">
        <f t="shared" si="52"/>
        <v>24.97</v>
      </c>
      <c r="O192" s="70">
        <f t="shared" si="50"/>
        <v>0.0899170667830641</v>
      </c>
      <c r="P192" s="25">
        <f t="shared" si="51"/>
        <v>332.8501</v>
      </c>
    </row>
    <row r="193" spans="1:16">
      <c r="A193" s="162" t="s">
        <v>24</v>
      </c>
      <c r="B193" s="21">
        <f t="shared" ref="B193:B209" si="55">C193/39.37</f>
        <v>1.49860299720599</v>
      </c>
      <c r="C193" s="110">
        <v>59</v>
      </c>
      <c r="D193" s="21" t="s">
        <v>61</v>
      </c>
      <c r="E193" s="26" t="s">
        <v>31</v>
      </c>
      <c r="F193" s="26" t="s">
        <v>29</v>
      </c>
      <c r="G193" s="21">
        <v>30.75</v>
      </c>
      <c r="H193" s="21">
        <f t="shared" si="44"/>
        <v>369</v>
      </c>
      <c r="I193" s="21">
        <f t="shared" si="45"/>
        <v>409.9</v>
      </c>
      <c r="J193" s="166">
        <f t="shared" si="46"/>
        <v>430.5</v>
      </c>
      <c r="K193" s="192"/>
      <c r="L193" s="191"/>
      <c r="M193" s="21">
        <v>28.21</v>
      </c>
      <c r="N193" s="89">
        <f t="shared" si="52"/>
        <v>30.75</v>
      </c>
      <c r="O193" s="70">
        <f t="shared" si="50"/>
        <v>0.0900389932647997</v>
      </c>
      <c r="P193" s="25">
        <f t="shared" si="51"/>
        <v>409.8975</v>
      </c>
    </row>
    <row r="194" spans="1:16">
      <c r="A194" s="162" t="s">
        <v>24</v>
      </c>
      <c r="B194" s="21">
        <f t="shared" si="55"/>
        <v>1.5494030988062</v>
      </c>
      <c r="C194" s="110">
        <v>61</v>
      </c>
      <c r="D194" s="21" t="s">
        <v>61</v>
      </c>
      <c r="E194" s="26" t="s">
        <v>26</v>
      </c>
      <c r="F194" s="26" t="s">
        <v>29</v>
      </c>
      <c r="G194" s="21">
        <v>20.85</v>
      </c>
      <c r="H194" s="21">
        <f t="shared" si="44"/>
        <v>250.2</v>
      </c>
      <c r="I194" s="21">
        <f t="shared" si="45"/>
        <v>277.93</v>
      </c>
      <c r="J194" s="166">
        <f t="shared" si="46"/>
        <v>291.9</v>
      </c>
      <c r="K194" s="192"/>
      <c r="L194" s="191"/>
      <c r="M194" s="21">
        <v>19.13</v>
      </c>
      <c r="N194" s="89">
        <f t="shared" si="52"/>
        <v>20.85</v>
      </c>
      <c r="O194" s="70">
        <f t="shared" si="50"/>
        <v>0.0899111343439625</v>
      </c>
      <c r="P194" s="25">
        <f t="shared" si="51"/>
        <v>277.9305</v>
      </c>
    </row>
    <row r="195" spans="1:16">
      <c r="A195" s="162" t="s">
        <v>24</v>
      </c>
      <c r="B195" s="21">
        <f t="shared" si="55"/>
        <v>1.5748031496063</v>
      </c>
      <c r="C195" s="110">
        <v>62</v>
      </c>
      <c r="D195" s="21" t="s">
        <v>61</v>
      </c>
      <c r="E195" s="26" t="s">
        <v>28</v>
      </c>
      <c r="F195" s="26" t="s">
        <v>29</v>
      </c>
      <c r="G195" s="21">
        <v>17.46</v>
      </c>
      <c r="H195" s="21">
        <f t="shared" si="44"/>
        <v>209.52</v>
      </c>
      <c r="I195" s="21">
        <f t="shared" si="45"/>
        <v>232.74</v>
      </c>
      <c r="J195" s="166">
        <f t="shared" si="46"/>
        <v>244.44</v>
      </c>
      <c r="K195" s="192"/>
      <c r="L195" s="191"/>
      <c r="M195" s="21">
        <v>16.02</v>
      </c>
      <c r="N195" s="89">
        <f t="shared" si="52"/>
        <v>17.46</v>
      </c>
      <c r="O195" s="70">
        <f t="shared" si="50"/>
        <v>0.0898876404494383</v>
      </c>
      <c r="P195" s="25">
        <f t="shared" si="51"/>
        <v>232.7418</v>
      </c>
    </row>
    <row r="196" spans="1:16">
      <c r="A196" s="162" t="s">
        <v>24</v>
      </c>
      <c r="B196" s="21">
        <f t="shared" si="55"/>
        <v>1.5748031496063</v>
      </c>
      <c r="C196" s="110">
        <v>62</v>
      </c>
      <c r="D196" s="21" t="s">
        <v>64</v>
      </c>
      <c r="E196" s="26" t="s">
        <v>30</v>
      </c>
      <c r="F196" s="26" t="s">
        <v>29</v>
      </c>
      <c r="G196" s="21">
        <v>19.96</v>
      </c>
      <c r="H196" s="21">
        <f t="shared" si="44"/>
        <v>239.52</v>
      </c>
      <c r="I196" s="21">
        <f t="shared" si="45"/>
        <v>266.07</v>
      </c>
      <c r="J196" s="166">
        <f t="shared" si="46"/>
        <v>279.44</v>
      </c>
      <c r="K196" s="192"/>
      <c r="L196" s="191"/>
      <c r="M196" s="21">
        <v>18.31</v>
      </c>
      <c r="N196" s="89">
        <f t="shared" si="52"/>
        <v>19.96</v>
      </c>
      <c r="O196" s="70">
        <f t="shared" si="50"/>
        <v>0.0901146914254507</v>
      </c>
      <c r="P196" s="25">
        <f t="shared" si="51"/>
        <v>266.0668</v>
      </c>
    </row>
    <row r="197" spans="1:16">
      <c r="A197" s="162" t="s">
        <v>24</v>
      </c>
      <c r="B197" s="21">
        <f t="shared" si="55"/>
        <v>1.5748031496063</v>
      </c>
      <c r="C197" s="110">
        <v>62</v>
      </c>
      <c r="D197" s="21" t="s">
        <v>64</v>
      </c>
      <c r="E197" s="26" t="s">
        <v>26</v>
      </c>
      <c r="F197" s="26" t="s">
        <v>29</v>
      </c>
      <c r="G197" s="21">
        <v>20.45</v>
      </c>
      <c r="H197" s="21">
        <f t="shared" si="44"/>
        <v>245.4</v>
      </c>
      <c r="I197" s="21">
        <f t="shared" si="45"/>
        <v>272.6</v>
      </c>
      <c r="J197" s="166">
        <f t="shared" si="46"/>
        <v>286.3</v>
      </c>
      <c r="K197" s="192"/>
      <c r="L197" s="191"/>
      <c r="M197" s="21">
        <v>18.76</v>
      </c>
      <c r="N197" s="89">
        <f t="shared" si="52"/>
        <v>20.45</v>
      </c>
      <c r="O197" s="70">
        <f t="shared" si="50"/>
        <v>0.0900852878464817</v>
      </c>
      <c r="P197" s="25">
        <f t="shared" si="51"/>
        <v>272.5985</v>
      </c>
    </row>
    <row r="198" spans="1:16">
      <c r="A198" s="162" t="s">
        <v>24</v>
      </c>
      <c r="B198" s="21">
        <f t="shared" si="55"/>
        <v>1.5748031496063</v>
      </c>
      <c r="C198" s="110">
        <v>62</v>
      </c>
      <c r="D198" s="21" t="s">
        <v>64</v>
      </c>
      <c r="E198" s="26" t="s">
        <v>31</v>
      </c>
      <c r="F198" s="26" t="s">
        <v>29</v>
      </c>
      <c r="G198" s="21">
        <v>31.73</v>
      </c>
      <c r="H198" s="21">
        <f t="shared" si="44"/>
        <v>380.76</v>
      </c>
      <c r="I198" s="21">
        <f t="shared" si="45"/>
        <v>422.96</v>
      </c>
      <c r="J198" s="166">
        <f t="shared" si="46"/>
        <v>444.22</v>
      </c>
      <c r="K198" s="192"/>
      <c r="L198" s="191"/>
      <c r="M198" s="21">
        <v>29.11</v>
      </c>
      <c r="N198" s="89">
        <f t="shared" si="52"/>
        <v>31.73</v>
      </c>
      <c r="O198" s="70">
        <f t="shared" si="50"/>
        <v>0.0900034352456201</v>
      </c>
      <c r="P198" s="25">
        <f t="shared" si="51"/>
        <v>422.9609</v>
      </c>
    </row>
    <row r="199" spans="1:16">
      <c r="A199" s="162" t="s">
        <v>24</v>
      </c>
      <c r="B199" s="21">
        <f t="shared" si="55"/>
        <v>1.6256032512065</v>
      </c>
      <c r="C199" s="110">
        <v>64</v>
      </c>
      <c r="D199" s="21" t="s">
        <v>64</v>
      </c>
      <c r="E199" s="26" t="s">
        <v>26</v>
      </c>
      <c r="F199" s="26" t="s">
        <v>29</v>
      </c>
      <c r="G199" s="21">
        <v>20.33</v>
      </c>
      <c r="H199" s="21">
        <f t="shared" si="44"/>
        <v>243.96</v>
      </c>
      <c r="I199" s="21">
        <f t="shared" si="45"/>
        <v>271</v>
      </c>
      <c r="J199" s="166">
        <f t="shared" si="46"/>
        <v>284.62</v>
      </c>
      <c r="K199" s="192"/>
      <c r="L199" s="191"/>
      <c r="M199" s="21">
        <v>18.65</v>
      </c>
      <c r="N199" s="89">
        <f t="shared" si="52"/>
        <v>20.33</v>
      </c>
      <c r="O199" s="70">
        <f t="shared" si="50"/>
        <v>0.0900804289544236</v>
      </c>
      <c r="P199" s="25">
        <f t="shared" si="51"/>
        <v>270.9989</v>
      </c>
    </row>
    <row r="200" spans="1:16">
      <c r="A200" s="162" t="s">
        <v>24</v>
      </c>
      <c r="B200" s="21">
        <f t="shared" si="55"/>
        <v>1.6510033020066</v>
      </c>
      <c r="C200" s="110">
        <v>65</v>
      </c>
      <c r="D200" s="21" t="s">
        <v>64</v>
      </c>
      <c r="E200" s="26" t="s">
        <v>28</v>
      </c>
      <c r="F200" s="26" t="s">
        <v>29</v>
      </c>
      <c r="G200" s="21">
        <v>17.23</v>
      </c>
      <c r="H200" s="21">
        <f t="shared" si="44"/>
        <v>206.76</v>
      </c>
      <c r="I200" s="21">
        <f t="shared" si="45"/>
        <v>229.68</v>
      </c>
      <c r="J200" s="166">
        <f t="shared" si="46"/>
        <v>241.22</v>
      </c>
      <c r="K200" s="192"/>
      <c r="L200" s="191"/>
      <c r="M200" s="21">
        <v>15.81</v>
      </c>
      <c r="N200" s="89">
        <f t="shared" si="52"/>
        <v>17.23</v>
      </c>
      <c r="O200" s="70">
        <f t="shared" si="50"/>
        <v>0.0898165717900063</v>
      </c>
      <c r="P200" s="25">
        <f t="shared" si="51"/>
        <v>229.6759</v>
      </c>
    </row>
    <row r="201" spans="1:16">
      <c r="A201" s="162" t="s">
        <v>24</v>
      </c>
      <c r="B201" s="21">
        <f t="shared" si="55"/>
        <v>1.70180340360681</v>
      </c>
      <c r="C201" s="110">
        <v>67</v>
      </c>
      <c r="D201" s="21" t="s">
        <v>64</v>
      </c>
      <c r="E201" s="26" t="s">
        <v>31</v>
      </c>
      <c r="F201" s="26" t="s">
        <v>29</v>
      </c>
      <c r="G201" s="21">
        <v>32.96</v>
      </c>
      <c r="H201" s="21">
        <f t="shared" si="44"/>
        <v>395.52</v>
      </c>
      <c r="I201" s="21">
        <f t="shared" si="45"/>
        <v>439.36</v>
      </c>
      <c r="J201" s="166">
        <f t="shared" si="46"/>
        <v>461.44</v>
      </c>
      <c r="K201" s="192"/>
      <c r="L201" s="191"/>
      <c r="M201" s="21">
        <v>30.24</v>
      </c>
      <c r="N201" s="89">
        <f t="shared" si="52"/>
        <v>32.96</v>
      </c>
      <c r="O201" s="70">
        <f t="shared" si="50"/>
        <v>0.08994708994709</v>
      </c>
      <c r="P201" s="25">
        <f t="shared" si="51"/>
        <v>439.3568</v>
      </c>
    </row>
    <row r="202" spans="1:16">
      <c r="A202" s="162" t="s">
        <v>24</v>
      </c>
      <c r="B202" s="21">
        <f t="shared" si="55"/>
        <v>1.72720345440691</v>
      </c>
      <c r="C202" s="110">
        <v>68</v>
      </c>
      <c r="D202" s="21" t="s">
        <v>64</v>
      </c>
      <c r="E202" s="26" t="s">
        <v>28</v>
      </c>
      <c r="F202" s="26" t="s">
        <v>29</v>
      </c>
      <c r="G202" s="21">
        <v>21.32</v>
      </c>
      <c r="H202" s="21">
        <f t="shared" si="44"/>
        <v>255.84</v>
      </c>
      <c r="I202" s="21">
        <f t="shared" si="45"/>
        <v>284.2</v>
      </c>
      <c r="J202" s="166">
        <f t="shared" si="46"/>
        <v>298.48</v>
      </c>
      <c r="K202" s="192"/>
      <c r="L202" s="191"/>
      <c r="M202" s="21">
        <v>19.56</v>
      </c>
      <c r="N202" s="89">
        <f t="shared" si="52"/>
        <v>21.32</v>
      </c>
      <c r="O202" s="70">
        <f t="shared" si="50"/>
        <v>0.0899795501022496</v>
      </c>
      <c r="P202" s="25">
        <f t="shared" si="51"/>
        <v>284.1956</v>
      </c>
    </row>
    <row r="203" spans="1:16">
      <c r="A203" s="162" t="s">
        <v>24</v>
      </c>
      <c r="B203" s="21">
        <f t="shared" si="55"/>
        <v>1.77800355600711</v>
      </c>
      <c r="C203" s="110">
        <v>70</v>
      </c>
      <c r="D203" s="21" t="s">
        <v>65</v>
      </c>
      <c r="E203" s="26" t="s">
        <v>44</v>
      </c>
      <c r="F203" s="26" t="s">
        <v>29</v>
      </c>
      <c r="G203" s="21">
        <v>31.7</v>
      </c>
      <c r="H203" s="21">
        <f t="shared" si="44"/>
        <v>380.4</v>
      </c>
      <c r="I203" s="21">
        <f t="shared" si="45"/>
        <v>422.56</v>
      </c>
      <c r="J203" s="166">
        <f t="shared" si="46"/>
        <v>443.8</v>
      </c>
      <c r="K203" s="192"/>
      <c r="L203" s="191"/>
      <c r="M203" s="21">
        <v>29.08</v>
      </c>
      <c r="N203" s="89">
        <f t="shared" si="52"/>
        <v>31.7</v>
      </c>
      <c r="O203" s="70">
        <f t="shared" si="50"/>
        <v>0.0900962861072903</v>
      </c>
      <c r="P203" s="25">
        <f t="shared" si="51"/>
        <v>422.561</v>
      </c>
    </row>
    <row r="204" spans="1:16">
      <c r="A204" s="162" t="s">
        <v>24</v>
      </c>
      <c r="B204" s="21">
        <f t="shared" si="55"/>
        <v>1.77800355600711</v>
      </c>
      <c r="C204" s="110">
        <v>70</v>
      </c>
      <c r="D204" s="21" t="s">
        <v>65</v>
      </c>
      <c r="E204" s="26" t="s">
        <v>31</v>
      </c>
      <c r="F204" s="26" t="s">
        <v>29</v>
      </c>
      <c r="G204" s="21">
        <v>34.61</v>
      </c>
      <c r="H204" s="21">
        <f t="shared" ref="H204:H209" si="56">ROUND(G204*12,2)</f>
        <v>415.32</v>
      </c>
      <c r="I204" s="21">
        <f t="shared" ref="I204:I209" si="57">ROUND(G204*13.33,2)</f>
        <v>461.35</v>
      </c>
      <c r="J204" s="166">
        <f t="shared" ref="J204:J209" si="58">ROUND(G204*14,2)</f>
        <v>484.54</v>
      </c>
      <c r="K204" s="192"/>
      <c r="L204" s="191"/>
      <c r="M204" s="21">
        <v>31.75</v>
      </c>
      <c r="N204" s="89">
        <f t="shared" si="52"/>
        <v>34.61</v>
      </c>
      <c r="O204" s="70">
        <f t="shared" ref="O204:O223" si="59">(N204-M204)/M204</f>
        <v>0.0900787401574803</v>
      </c>
      <c r="P204" s="25">
        <f t="shared" ref="P204:P223" si="60">N204*13.33</f>
        <v>461.3513</v>
      </c>
    </row>
    <row r="205" spans="1:16">
      <c r="A205" s="162" t="s">
        <v>24</v>
      </c>
      <c r="B205" s="21">
        <f t="shared" si="55"/>
        <v>1.82880365760732</v>
      </c>
      <c r="C205" s="110">
        <v>72</v>
      </c>
      <c r="D205" s="21" t="s">
        <v>65</v>
      </c>
      <c r="E205" s="26" t="s">
        <v>28</v>
      </c>
      <c r="F205" s="26" t="s">
        <v>29</v>
      </c>
      <c r="G205" s="21">
        <v>18.6</v>
      </c>
      <c r="H205" s="21">
        <f t="shared" si="56"/>
        <v>223.2</v>
      </c>
      <c r="I205" s="21">
        <f t="shared" si="57"/>
        <v>247.94</v>
      </c>
      <c r="J205" s="166">
        <f t="shared" si="58"/>
        <v>260.4</v>
      </c>
      <c r="K205" s="192"/>
      <c r="L205" s="191"/>
      <c r="M205" s="21">
        <v>17.06</v>
      </c>
      <c r="N205" s="89">
        <f t="shared" si="52"/>
        <v>18.6</v>
      </c>
      <c r="O205" s="70">
        <f t="shared" si="59"/>
        <v>0.090269636576788</v>
      </c>
      <c r="P205" s="25">
        <f t="shared" si="60"/>
        <v>247.938</v>
      </c>
    </row>
    <row r="206" spans="1:16">
      <c r="A206" s="162" t="s">
        <v>24</v>
      </c>
      <c r="B206" s="21">
        <f t="shared" si="55"/>
        <v>1.87960375920752</v>
      </c>
      <c r="C206" s="110">
        <v>74</v>
      </c>
      <c r="D206" s="21" t="s">
        <v>65</v>
      </c>
      <c r="E206" s="26" t="s">
        <v>28</v>
      </c>
      <c r="F206" s="26" t="s">
        <v>29</v>
      </c>
      <c r="G206" s="21">
        <v>18.6</v>
      </c>
      <c r="H206" s="21">
        <f t="shared" si="56"/>
        <v>223.2</v>
      </c>
      <c r="I206" s="21">
        <f t="shared" si="57"/>
        <v>247.94</v>
      </c>
      <c r="J206" s="166">
        <f t="shared" si="58"/>
        <v>260.4</v>
      </c>
      <c r="K206" s="192"/>
      <c r="L206" s="191"/>
      <c r="M206" s="21">
        <v>17.06</v>
      </c>
      <c r="N206" s="89">
        <f t="shared" si="52"/>
        <v>18.6</v>
      </c>
      <c r="O206" s="70">
        <f t="shared" si="59"/>
        <v>0.090269636576788</v>
      </c>
      <c r="P206" s="25">
        <f t="shared" si="60"/>
        <v>247.938</v>
      </c>
    </row>
    <row r="207" spans="1:16">
      <c r="A207" s="162" t="s">
        <v>24</v>
      </c>
      <c r="B207" s="21">
        <f t="shared" si="55"/>
        <v>1.87960375920752</v>
      </c>
      <c r="C207" s="110">
        <v>74</v>
      </c>
      <c r="D207" s="21" t="s">
        <v>65</v>
      </c>
      <c r="E207" s="26" t="s">
        <v>42</v>
      </c>
      <c r="F207" s="26" t="s">
        <v>29</v>
      </c>
      <c r="G207" s="21">
        <v>35.75</v>
      </c>
      <c r="H207" s="21">
        <f t="shared" si="56"/>
        <v>429</v>
      </c>
      <c r="I207" s="21">
        <f t="shared" si="57"/>
        <v>476.55</v>
      </c>
      <c r="J207" s="166">
        <f t="shared" si="58"/>
        <v>500.5</v>
      </c>
      <c r="K207" s="192"/>
      <c r="L207" s="191"/>
      <c r="M207" s="21">
        <v>32.8</v>
      </c>
      <c r="N207" s="89">
        <f t="shared" si="52"/>
        <v>35.75</v>
      </c>
      <c r="O207" s="70">
        <f t="shared" si="59"/>
        <v>0.089939024390244</v>
      </c>
      <c r="P207" s="25">
        <f t="shared" si="60"/>
        <v>476.5475</v>
      </c>
    </row>
    <row r="208" spans="1:16">
      <c r="A208" s="162" t="s">
        <v>24</v>
      </c>
      <c r="B208" s="21">
        <f t="shared" si="55"/>
        <v>1.87960375920752</v>
      </c>
      <c r="C208" s="110">
        <v>74</v>
      </c>
      <c r="D208" s="21" t="s">
        <v>65</v>
      </c>
      <c r="E208" s="26" t="s">
        <v>31</v>
      </c>
      <c r="F208" s="26" t="s">
        <v>29</v>
      </c>
      <c r="G208" s="21">
        <v>38.02</v>
      </c>
      <c r="H208" s="21">
        <f t="shared" si="56"/>
        <v>456.24</v>
      </c>
      <c r="I208" s="21">
        <f t="shared" si="57"/>
        <v>506.81</v>
      </c>
      <c r="J208" s="166">
        <f t="shared" si="58"/>
        <v>532.28</v>
      </c>
      <c r="K208" s="192"/>
      <c r="L208" s="191"/>
      <c r="M208" s="21">
        <v>34.88</v>
      </c>
      <c r="N208" s="89">
        <f t="shared" si="52"/>
        <v>38.02</v>
      </c>
      <c r="O208" s="70">
        <f t="shared" si="59"/>
        <v>0.0900229357798165</v>
      </c>
      <c r="P208" s="25">
        <f t="shared" si="60"/>
        <v>506.8066</v>
      </c>
    </row>
    <row r="209" spans="1:16">
      <c r="A209" s="162" t="s">
        <v>24</v>
      </c>
      <c r="B209" s="21">
        <f t="shared" si="55"/>
        <v>1.93040386080772</v>
      </c>
      <c r="C209" s="110">
        <v>76</v>
      </c>
      <c r="D209" s="21" t="s">
        <v>66</v>
      </c>
      <c r="E209" s="26" t="s">
        <v>28</v>
      </c>
      <c r="F209" s="26" t="s">
        <v>29</v>
      </c>
      <c r="G209" s="21">
        <v>21.89</v>
      </c>
      <c r="H209" s="21">
        <f t="shared" si="56"/>
        <v>262.68</v>
      </c>
      <c r="I209" s="21">
        <f t="shared" si="57"/>
        <v>291.79</v>
      </c>
      <c r="J209" s="166">
        <f t="shared" si="58"/>
        <v>306.46</v>
      </c>
      <c r="K209" s="192"/>
      <c r="L209" s="191"/>
      <c r="M209" s="21">
        <v>20.08</v>
      </c>
      <c r="N209" s="89">
        <f t="shared" si="52"/>
        <v>21.89</v>
      </c>
      <c r="O209" s="70">
        <f t="shared" si="59"/>
        <v>0.0901394422310758</v>
      </c>
      <c r="P209" s="25">
        <f t="shared" si="60"/>
        <v>291.7937</v>
      </c>
    </row>
    <row r="210" spans="1:16">
      <c r="A210" s="162" t="s">
        <v>24</v>
      </c>
      <c r="B210" s="21">
        <f t="shared" ref="B210:B223" si="61">C210/39.37</f>
        <v>2.03200406400813</v>
      </c>
      <c r="C210" s="110">
        <v>80</v>
      </c>
      <c r="D210" s="21" t="s">
        <v>66</v>
      </c>
      <c r="E210" s="26" t="s">
        <v>26</v>
      </c>
      <c r="F210" s="26" t="s">
        <v>29</v>
      </c>
      <c r="G210" s="21">
        <v>26.89</v>
      </c>
      <c r="H210" s="21">
        <f t="shared" ref="H210:H223" si="62">ROUND(G210*12,2)</f>
        <v>322.68</v>
      </c>
      <c r="I210" s="21">
        <f t="shared" ref="I210:I223" si="63">ROUND(G210*13.33,2)</f>
        <v>358.44</v>
      </c>
      <c r="J210" s="166">
        <f t="shared" ref="J210:J223" si="64">ROUND(G210*14,2)</f>
        <v>376.46</v>
      </c>
      <c r="K210" s="192"/>
      <c r="L210" s="191"/>
      <c r="M210" s="21">
        <v>24.67</v>
      </c>
      <c r="N210" s="89">
        <f t="shared" si="52"/>
        <v>26.89</v>
      </c>
      <c r="O210" s="70">
        <f t="shared" si="59"/>
        <v>0.0899878394811511</v>
      </c>
      <c r="P210" s="25">
        <f t="shared" si="60"/>
        <v>358.4437</v>
      </c>
    </row>
    <row r="211" spans="1:16">
      <c r="A211" s="162" t="s">
        <v>24</v>
      </c>
      <c r="B211" s="21">
        <f t="shared" si="61"/>
        <v>2.05740411480823</v>
      </c>
      <c r="C211" s="110">
        <v>81</v>
      </c>
      <c r="D211" s="21" t="s">
        <v>66</v>
      </c>
      <c r="E211" s="26" t="s">
        <v>26</v>
      </c>
      <c r="F211" s="26" t="s">
        <v>29</v>
      </c>
      <c r="G211" s="21">
        <v>27.02</v>
      </c>
      <c r="H211" s="21">
        <f t="shared" si="62"/>
        <v>324.24</v>
      </c>
      <c r="I211" s="21">
        <f t="shared" si="63"/>
        <v>360.18</v>
      </c>
      <c r="J211" s="166">
        <f t="shared" si="64"/>
        <v>378.28</v>
      </c>
      <c r="K211" s="192"/>
      <c r="L211" s="191"/>
      <c r="M211" s="21">
        <v>24.79</v>
      </c>
      <c r="N211" s="89">
        <f t="shared" si="52"/>
        <v>27.02</v>
      </c>
      <c r="O211" s="70">
        <f t="shared" si="59"/>
        <v>0.0899556272690601</v>
      </c>
      <c r="P211" s="25">
        <f t="shared" si="60"/>
        <v>360.1766</v>
      </c>
    </row>
    <row r="212" spans="1:16">
      <c r="A212" s="162" t="s">
        <v>24</v>
      </c>
      <c r="B212" s="21">
        <f t="shared" si="61"/>
        <v>2.13360426720853</v>
      </c>
      <c r="C212" s="110">
        <v>84</v>
      </c>
      <c r="D212" s="21" t="s">
        <v>66</v>
      </c>
      <c r="E212" s="26" t="s">
        <v>28</v>
      </c>
      <c r="F212" s="26" t="s">
        <v>29</v>
      </c>
      <c r="G212" s="21">
        <v>24.7</v>
      </c>
      <c r="H212" s="21">
        <f t="shared" si="62"/>
        <v>296.4</v>
      </c>
      <c r="I212" s="21">
        <f t="shared" si="63"/>
        <v>329.25</v>
      </c>
      <c r="J212" s="166">
        <f t="shared" si="64"/>
        <v>345.8</v>
      </c>
      <c r="K212" s="192"/>
      <c r="L212" s="191"/>
      <c r="M212" s="21">
        <v>22.66</v>
      </c>
      <c r="N212" s="89">
        <f t="shared" si="52"/>
        <v>24.7</v>
      </c>
      <c r="O212" s="70">
        <f t="shared" si="59"/>
        <v>0.0900264783759929</v>
      </c>
      <c r="P212" s="25">
        <f t="shared" si="60"/>
        <v>329.251</v>
      </c>
    </row>
    <row r="213" spans="1:16">
      <c r="A213" s="162" t="s">
        <v>24</v>
      </c>
      <c r="B213" s="21">
        <f t="shared" si="61"/>
        <v>2.18440436880874</v>
      </c>
      <c r="C213" s="110">
        <v>86</v>
      </c>
      <c r="D213" s="21" t="s">
        <v>67</v>
      </c>
      <c r="E213" s="26" t="s">
        <v>28</v>
      </c>
      <c r="F213" s="26" t="s">
        <v>29</v>
      </c>
      <c r="G213" s="21">
        <v>24.7</v>
      </c>
      <c r="H213" s="21">
        <f t="shared" si="62"/>
        <v>296.4</v>
      </c>
      <c r="I213" s="21">
        <f t="shared" si="63"/>
        <v>329.25</v>
      </c>
      <c r="J213" s="166">
        <f t="shared" si="64"/>
        <v>345.8</v>
      </c>
      <c r="K213" s="192"/>
      <c r="L213" s="191"/>
      <c r="M213" s="21">
        <v>22.66</v>
      </c>
      <c r="N213" s="89">
        <f t="shared" si="52"/>
        <v>24.7</v>
      </c>
      <c r="O213" s="70">
        <f t="shared" si="59"/>
        <v>0.0900264783759929</v>
      </c>
      <c r="P213" s="25">
        <f t="shared" si="60"/>
        <v>329.251</v>
      </c>
    </row>
    <row r="214" spans="1:16">
      <c r="A214" s="162" t="s">
        <v>24</v>
      </c>
      <c r="B214" s="21">
        <f t="shared" si="61"/>
        <v>2.18440436880874</v>
      </c>
      <c r="C214" s="110">
        <v>86</v>
      </c>
      <c r="D214" s="21" t="s">
        <v>67</v>
      </c>
      <c r="E214" s="26" t="s">
        <v>26</v>
      </c>
      <c r="F214" s="26" t="s">
        <v>29</v>
      </c>
      <c r="G214" s="21">
        <v>27.65</v>
      </c>
      <c r="H214" s="21">
        <f t="shared" si="62"/>
        <v>331.8</v>
      </c>
      <c r="I214" s="21">
        <f t="shared" si="63"/>
        <v>368.57</v>
      </c>
      <c r="J214" s="166">
        <f t="shared" si="64"/>
        <v>387.1</v>
      </c>
      <c r="K214" s="192"/>
      <c r="L214" s="191"/>
      <c r="M214" s="21">
        <v>25.37</v>
      </c>
      <c r="N214" s="89">
        <f t="shared" si="52"/>
        <v>27.65</v>
      </c>
      <c r="O214" s="70">
        <f t="shared" si="59"/>
        <v>0.0898699251083956</v>
      </c>
      <c r="P214" s="25">
        <f t="shared" si="60"/>
        <v>368.5745</v>
      </c>
    </row>
    <row r="215" spans="1:16">
      <c r="A215" s="162" t="s">
        <v>24</v>
      </c>
      <c r="B215" s="21">
        <f t="shared" si="61"/>
        <v>2.20980441960884</v>
      </c>
      <c r="C215" s="110">
        <v>87</v>
      </c>
      <c r="D215" s="21" t="s">
        <v>67</v>
      </c>
      <c r="E215" s="26" t="s">
        <v>26</v>
      </c>
      <c r="F215" s="26" t="s">
        <v>29</v>
      </c>
      <c r="G215" s="21">
        <v>26.51</v>
      </c>
      <c r="H215" s="21">
        <f t="shared" si="62"/>
        <v>318.12</v>
      </c>
      <c r="I215" s="21">
        <f t="shared" si="63"/>
        <v>353.38</v>
      </c>
      <c r="J215" s="166">
        <f t="shared" si="64"/>
        <v>371.14</v>
      </c>
      <c r="K215" s="192"/>
      <c r="L215" s="191"/>
      <c r="M215" s="21">
        <v>24.32</v>
      </c>
      <c r="N215" s="89">
        <f t="shared" si="52"/>
        <v>26.51</v>
      </c>
      <c r="O215" s="70">
        <f t="shared" si="59"/>
        <v>0.0900493421052632</v>
      </c>
      <c r="P215" s="25">
        <f t="shared" si="60"/>
        <v>353.3783</v>
      </c>
    </row>
    <row r="216" spans="1:16">
      <c r="A216" s="162" t="s">
        <v>24</v>
      </c>
      <c r="B216" s="21">
        <f t="shared" si="61"/>
        <v>2.20980441960884</v>
      </c>
      <c r="C216" s="110">
        <v>87</v>
      </c>
      <c r="D216" s="21" t="s">
        <v>67</v>
      </c>
      <c r="E216" s="26" t="s">
        <v>31</v>
      </c>
      <c r="F216" s="26" t="s">
        <v>29</v>
      </c>
      <c r="G216" s="21">
        <v>38.85</v>
      </c>
      <c r="H216" s="21">
        <f t="shared" si="62"/>
        <v>466.2</v>
      </c>
      <c r="I216" s="21">
        <f t="shared" si="63"/>
        <v>517.87</v>
      </c>
      <c r="J216" s="166">
        <f t="shared" si="64"/>
        <v>543.9</v>
      </c>
      <c r="K216" s="192"/>
      <c r="L216" s="191"/>
      <c r="M216" s="21">
        <v>35.64</v>
      </c>
      <c r="N216" s="89">
        <f t="shared" si="52"/>
        <v>38.85</v>
      </c>
      <c r="O216" s="70">
        <f t="shared" si="59"/>
        <v>0.0900673400673401</v>
      </c>
      <c r="P216" s="25">
        <f t="shared" si="60"/>
        <v>517.8705</v>
      </c>
    </row>
    <row r="217" spans="1:16">
      <c r="A217" s="162" t="s">
        <v>24</v>
      </c>
      <c r="B217" s="21">
        <f t="shared" si="61"/>
        <v>2.23520447040894</v>
      </c>
      <c r="C217" s="110">
        <v>88</v>
      </c>
      <c r="D217" s="21" t="s">
        <v>67</v>
      </c>
      <c r="E217" s="26" t="s">
        <v>28</v>
      </c>
      <c r="F217" s="26" t="s">
        <v>29</v>
      </c>
      <c r="G217" s="21">
        <v>26.18</v>
      </c>
      <c r="H217" s="21">
        <f t="shared" si="62"/>
        <v>314.16</v>
      </c>
      <c r="I217" s="21">
        <f t="shared" si="63"/>
        <v>348.98</v>
      </c>
      <c r="J217" s="166">
        <f t="shared" si="64"/>
        <v>366.52</v>
      </c>
      <c r="K217" s="192"/>
      <c r="L217" s="191"/>
      <c r="M217" s="21">
        <v>24.02</v>
      </c>
      <c r="N217" s="89">
        <f t="shared" si="52"/>
        <v>26.18</v>
      </c>
      <c r="O217" s="70">
        <f t="shared" si="59"/>
        <v>0.08992506244796</v>
      </c>
      <c r="P217" s="25">
        <f t="shared" si="60"/>
        <v>348.9794</v>
      </c>
    </row>
    <row r="218" spans="1:16">
      <c r="A218" s="162" t="s">
        <v>24</v>
      </c>
      <c r="B218" s="21">
        <f t="shared" si="61"/>
        <v>2.28600457200914</v>
      </c>
      <c r="C218" s="110">
        <v>90</v>
      </c>
      <c r="D218" s="21" t="s">
        <v>67</v>
      </c>
      <c r="E218" s="26" t="s">
        <v>28</v>
      </c>
      <c r="F218" s="26" t="s">
        <v>29</v>
      </c>
      <c r="G218" s="21">
        <v>28.68</v>
      </c>
      <c r="H218" s="21">
        <f t="shared" si="62"/>
        <v>344.16</v>
      </c>
      <c r="I218" s="21">
        <f t="shared" si="63"/>
        <v>382.3</v>
      </c>
      <c r="J218" s="166">
        <f t="shared" si="64"/>
        <v>401.52</v>
      </c>
      <c r="K218" s="192"/>
      <c r="L218" s="191"/>
      <c r="M218" s="21">
        <v>26.31</v>
      </c>
      <c r="N218" s="89">
        <f t="shared" si="52"/>
        <v>28.68</v>
      </c>
      <c r="O218" s="70">
        <f t="shared" si="59"/>
        <v>0.0900798175598632</v>
      </c>
      <c r="P218" s="25">
        <f t="shared" si="60"/>
        <v>382.3044</v>
      </c>
    </row>
    <row r="219" spans="1:16">
      <c r="A219" s="162" t="s">
        <v>24</v>
      </c>
      <c r="B219" s="21">
        <f t="shared" si="61"/>
        <v>2.33680467360935</v>
      </c>
      <c r="C219" s="110">
        <v>92</v>
      </c>
      <c r="D219" s="21" t="s">
        <v>68</v>
      </c>
      <c r="E219" s="26" t="s">
        <v>26</v>
      </c>
      <c r="F219" s="26" t="s">
        <v>29</v>
      </c>
      <c r="G219" s="21">
        <v>31.89</v>
      </c>
      <c r="H219" s="21">
        <f t="shared" si="62"/>
        <v>382.68</v>
      </c>
      <c r="I219" s="21">
        <f t="shared" si="63"/>
        <v>425.09</v>
      </c>
      <c r="J219" s="166">
        <f t="shared" si="64"/>
        <v>446.46</v>
      </c>
      <c r="K219" s="192"/>
      <c r="L219" s="191"/>
      <c r="M219" s="21">
        <v>29.26</v>
      </c>
      <c r="N219" s="89">
        <f t="shared" si="52"/>
        <v>31.89</v>
      </c>
      <c r="O219" s="70">
        <f t="shared" si="59"/>
        <v>0.0898838004101162</v>
      </c>
      <c r="P219" s="25">
        <f t="shared" si="60"/>
        <v>425.0937</v>
      </c>
    </row>
    <row r="220" spans="1:16">
      <c r="A220" s="162" t="s">
        <v>24</v>
      </c>
      <c r="B220" s="21">
        <f t="shared" si="61"/>
        <v>2.43840487680975</v>
      </c>
      <c r="C220" s="110">
        <v>96</v>
      </c>
      <c r="D220" s="21" t="s">
        <v>68</v>
      </c>
      <c r="E220" s="26" t="s">
        <v>26</v>
      </c>
      <c r="F220" s="26" t="s">
        <v>29</v>
      </c>
      <c r="G220" s="21">
        <v>33.69</v>
      </c>
      <c r="H220" s="21">
        <f t="shared" si="62"/>
        <v>404.28</v>
      </c>
      <c r="I220" s="21">
        <f t="shared" si="63"/>
        <v>449.09</v>
      </c>
      <c r="J220" s="166">
        <f t="shared" si="64"/>
        <v>471.66</v>
      </c>
      <c r="K220" s="192"/>
      <c r="L220" s="191"/>
      <c r="M220" s="21">
        <v>30.91</v>
      </c>
      <c r="N220" s="89">
        <f t="shared" si="52"/>
        <v>33.69</v>
      </c>
      <c r="O220" s="70">
        <f t="shared" si="59"/>
        <v>0.0899385312196699</v>
      </c>
      <c r="P220" s="25">
        <f t="shared" si="60"/>
        <v>449.0877</v>
      </c>
    </row>
    <row r="221" spans="1:16">
      <c r="A221" s="162" t="s">
        <v>24</v>
      </c>
      <c r="B221" s="21">
        <f t="shared" si="61"/>
        <v>2.74320548641097</v>
      </c>
      <c r="C221" s="110">
        <v>108</v>
      </c>
      <c r="D221" s="21" t="s">
        <v>69</v>
      </c>
      <c r="E221" s="26" t="s">
        <v>31</v>
      </c>
      <c r="F221" s="26" t="s">
        <v>29</v>
      </c>
      <c r="G221" s="21">
        <v>55.19</v>
      </c>
      <c r="H221" s="21">
        <f t="shared" si="62"/>
        <v>662.28</v>
      </c>
      <c r="I221" s="21">
        <f t="shared" si="63"/>
        <v>735.68</v>
      </c>
      <c r="J221" s="166">
        <f t="shared" si="64"/>
        <v>772.66</v>
      </c>
      <c r="K221" s="192"/>
      <c r="L221" s="191"/>
      <c r="M221" s="21">
        <v>50.63</v>
      </c>
      <c r="N221" s="89">
        <f t="shared" si="52"/>
        <v>55.19</v>
      </c>
      <c r="O221" s="70">
        <f t="shared" si="59"/>
        <v>0.0900651787477779</v>
      </c>
      <c r="P221" s="25">
        <f t="shared" si="60"/>
        <v>735.6827</v>
      </c>
    </row>
    <row r="222" ht="15.75" spans="1:16">
      <c r="A222" s="173" t="s">
        <v>24</v>
      </c>
      <c r="B222" s="176">
        <f t="shared" si="61"/>
        <v>2.79400558801118</v>
      </c>
      <c r="C222" s="175">
        <v>110</v>
      </c>
      <c r="D222" s="176" t="s">
        <v>69</v>
      </c>
      <c r="E222" s="177" t="s">
        <v>26</v>
      </c>
      <c r="F222" s="177" t="s">
        <v>29</v>
      </c>
      <c r="G222" s="176">
        <v>37.56</v>
      </c>
      <c r="H222" s="176">
        <f t="shared" si="62"/>
        <v>450.72</v>
      </c>
      <c r="I222" s="176">
        <f t="shared" si="63"/>
        <v>500.67</v>
      </c>
      <c r="J222" s="179">
        <f t="shared" si="64"/>
        <v>525.84</v>
      </c>
      <c r="K222" s="192"/>
      <c r="L222" s="191"/>
      <c r="M222" s="176">
        <v>34.46</v>
      </c>
      <c r="N222" s="89">
        <f t="shared" si="52"/>
        <v>37.56</v>
      </c>
      <c r="O222" s="70">
        <f t="shared" si="59"/>
        <v>0.089959373186303</v>
      </c>
      <c r="P222" s="25">
        <f t="shared" si="60"/>
        <v>500.6748</v>
      </c>
    </row>
    <row r="223" ht="15.75" spans="1:16">
      <c r="A223" s="173" t="s">
        <v>24</v>
      </c>
      <c r="B223" s="176">
        <f t="shared" si="61"/>
        <v>2.84480568961138</v>
      </c>
      <c r="C223" s="175">
        <v>112</v>
      </c>
      <c r="D223" s="176" t="s">
        <v>70</v>
      </c>
      <c r="E223" s="177" t="s">
        <v>28</v>
      </c>
      <c r="F223" s="177" t="s">
        <v>29</v>
      </c>
      <c r="G223" s="176">
        <v>32.56</v>
      </c>
      <c r="H223" s="176">
        <f t="shared" si="62"/>
        <v>390.72</v>
      </c>
      <c r="I223" s="176">
        <f t="shared" si="63"/>
        <v>434.02</v>
      </c>
      <c r="J223" s="179">
        <f t="shared" si="64"/>
        <v>455.84</v>
      </c>
      <c r="K223" s="91"/>
      <c r="L223" s="191"/>
      <c r="M223" s="176">
        <v>29.87</v>
      </c>
      <c r="N223" s="89">
        <f t="shared" si="52"/>
        <v>32.56</v>
      </c>
      <c r="O223" s="70">
        <f t="shared" si="59"/>
        <v>0.0900569132909274</v>
      </c>
      <c r="P223" s="25">
        <f t="shared" si="60"/>
        <v>434.0248</v>
      </c>
    </row>
    <row r="224" spans="1:16">
      <c r="A224" s="6" t="s">
        <v>71</v>
      </c>
      <c r="E224" s="181"/>
      <c r="F224" s="181"/>
      <c r="G224" s="181"/>
      <c r="M224" s="194"/>
      <c r="N224" s="89"/>
    </row>
    <row r="225" spans="1:14">
      <c r="A225" s="6" t="s">
        <v>72</v>
      </c>
      <c r="E225" s="181"/>
      <c r="F225" s="181"/>
      <c r="G225" s="181"/>
      <c r="M225" s="194"/>
      <c r="N225" s="89"/>
    </row>
    <row r="226" spans="1:14">
      <c r="A226" s="6" t="s">
        <v>73</v>
      </c>
      <c r="E226" s="181"/>
      <c r="F226" s="181"/>
      <c r="G226" s="181"/>
      <c r="M226" s="194"/>
      <c r="N226" s="89"/>
    </row>
    <row r="227" spans="1:14">
      <c r="A227" s="6" t="s">
        <v>74</v>
      </c>
      <c r="E227" s="181"/>
      <c r="F227" s="181"/>
      <c r="G227" s="181"/>
      <c r="M227" s="194"/>
      <c r="N227" s="89"/>
    </row>
    <row r="228" spans="1:14">
      <c r="A228" s="6" t="s">
        <v>75</v>
      </c>
      <c r="E228" s="181"/>
      <c r="F228" s="181"/>
      <c r="G228" s="181"/>
      <c r="M228" s="194"/>
      <c r="N228" s="89"/>
    </row>
    <row r="229" spans="1:14">
      <c r="A229" s="6" t="s">
        <v>76</v>
      </c>
      <c r="E229" s="181"/>
      <c r="F229" s="181"/>
      <c r="G229" s="181"/>
      <c r="M229" s="194"/>
      <c r="N229" s="89"/>
    </row>
    <row r="230" spans="1:14">
      <c r="A230" s="6"/>
      <c r="B230" s="46" t="s">
        <v>77</v>
      </c>
      <c r="M230" s="17"/>
      <c r="N230" s="89"/>
    </row>
  </sheetData>
  <autoFilter xmlns:etc="http://www.wps.cn/officeDocument/2017/etCustomData" ref="A9:P230" etc:filterBottomFollowUsedRange="0">
    <extLst/>
  </autoFilter>
  <pageMargins left="0.393055555555556" right="0.393055555555556" top="0.393055555555556" bottom="0.393055555555556" header="0" footer="0"/>
  <pageSetup paperSize="9" scale="106" orientation="landscape" horizontalDpi="600"/>
  <headerFooter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M46"/>
  <sheetViews>
    <sheetView zoomScale="80" zoomScaleNormal="80" topLeftCell="A5" workbookViewId="0">
      <pane ySplit="5" topLeftCell="A10" activePane="bottomLeft" state="frozen"/>
      <selection/>
      <selection pane="bottomLeft" activeCell="E20" sqref="E20"/>
    </sheetView>
  </sheetViews>
  <sheetFormatPr defaultColWidth="9" defaultRowHeight="15"/>
  <cols>
    <col min="1" max="1" width="9" style="41"/>
    <col min="2" max="2" width="15.25" style="41" customWidth="1"/>
    <col min="3" max="3" width="14.875" style="41" customWidth="1"/>
    <col min="4" max="4" width="11.875" style="41" customWidth="1"/>
    <col min="5" max="5" width="12.625" style="41" customWidth="1"/>
    <col min="6" max="8" width="14.1" style="41" customWidth="1"/>
    <col min="9" max="9" width="9" style="41"/>
    <col min="10" max="10" width="10.6666666666667" style="102" customWidth="1"/>
    <col min="11" max="11" width="10.4416666666667" style="183" customWidth="1"/>
    <col min="12" max="12" width="10.3" style="41"/>
    <col min="13" max="13" width="9.7" style="101" customWidth="1"/>
    <col min="14" max="16384" width="9" style="41"/>
  </cols>
  <sheetData>
    <row r="1" s="79" customFormat="1" ht="46" customHeight="1" spans="1:13">
      <c r="A1" s="105"/>
      <c r="B1" s="105"/>
      <c r="C1" s="105"/>
      <c r="D1" s="105"/>
      <c r="E1" s="105"/>
      <c r="F1" s="105"/>
      <c r="G1" s="105"/>
      <c r="H1" s="105"/>
      <c r="I1" s="79"/>
      <c r="J1" s="17"/>
      <c r="K1" s="89"/>
      <c r="L1" s="79"/>
      <c r="M1" s="46"/>
    </row>
    <row r="2" s="79" customFormat="1" ht="20" customHeight="1" spans="1:13">
      <c r="A2" s="79" t="s">
        <v>0</v>
      </c>
      <c r="B2" s="79"/>
      <c r="C2" s="79"/>
      <c r="D2" s="79"/>
      <c r="E2" s="79"/>
      <c r="F2" s="79"/>
      <c r="G2" s="79"/>
      <c r="H2" s="79"/>
      <c r="I2" s="79"/>
      <c r="J2" s="17"/>
      <c r="K2" s="89"/>
      <c r="L2" s="79"/>
      <c r="M2" s="46"/>
    </row>
    <row r="3" s="79" customFormat="1" spans="1:13">
      <c r="A3" s="79" t="s">
        <v>1</v>
      </c>
      <c r="B3" s="79"/>
      <c r="C3" s="79"/>
      <c r="D3" s="79"/>
      <c r="E3" s="79"/>
      <c r="F3" s="79"/>
      <c r="G3" s="79"/>
      <c r="H3" s="79"/>
      <c r="I3" s="79"/>
      <c r="J3" s="17"/>
      <c r="K3" s="89"/>
      <c r="L3" s="79"/>
      <c r="M3" s="46"/>
    </row>
    <row r="4" s="79" customFormat="1" spans="1:13">
      <c r="A4" s="6" t="s">
        <v>2</v>
      </c>
      <c r="B4" s="46"/>
      <c r="C4" s="46"/>
      <c r="D4" s="46"/>
      <c r="E4" s="52"/>
      <c r="F4" s="52"/>
      <c r="G4" s="9" t="s">
        <v>3</v>
      </c>
      <c r="H4" s="46"/>
      <c r="I4" s="79"/>
      <c r="J4" s="17"/>
      <c r="K4" s="89"/>
      <c r="L4" s="79"/>
      <c r="M4" s="46"/>
    </row>
    <row r="5" s="79" customFormat="1" spans="1:13">
      <c r="A5" s="6" t="s">
        <v>4</v>
      </c>
      <c r="B5" s="46"/>
      <c r="C5" s="46"/>
      <c r="D5" s="46"/>
      <c r="E5" s="52"/>
      <c r="F5" s="52"/>
      <c r="G5" s="79" t="s">
        <v>5</v>
      </c>
      <c r="H5" s="46"/>
      <c r="I5" s="79"/>
      <c r="J5" s="17"/>
      <c r="K5" s="89"/>
      <c r="L5" s="79"/>
      <c r="M5" s="46"/>
    </row>
    <row r="6" s="79" customFormat="1" spans="1:13">
      <c r="A6" s="6" t="s">
        <v>6</v>
      </c>
      <c r="B6" s="46"/>
      <c r="C6" s="46"/>
      <c r="D6" s="46"/>
      <c r="E6" s="52"/>
      <c r="F6" s="52"/>
      <c r="G6" s="9" t="s">
        <v>7</v>
      </c>
      <c r="H6" s="46"/>
      <c r="I6" s="79"/>
      <c r="J6" s="17"/>
      <c r="K6" s="89"/>
      <c r="L6" s="79"/>
      <c r="M6" s="46"/>
    </row>
    <row r="7" s="9" customFormat="1" ht="23.25" customHeight="1" spans="1:13">
      <c r="A7" s="156" t="s">
        <v>78</v>
      </c>
      <c r="B7" s="154"/>
      <c r="C7" s="46"/>
      <c r="D7" s="46"/>
      <c r="E7" s="52"/>
      <c r="F7" s="52"/>
      <c r="G7" s="76" t="s">
        <v>9</v>
      </c>
      <c r="H7" s="154"/>
      <c r="I7" s="9"/>
      <c r="J7" s="17"/>
      <c r="K7" s="118"/>
      <c r="L7" s="9"/>
      <c r="M7" s="17"/>
    </row>
    <row r="8" s="79" customFormat="1" ht="18" customHeight="1" spans="1:13">
      <c r="A8" s="123" t="s">
        <v>10</v>
      </c>
      <c r="B8" s="124" t="s">
        <v>79</v>
      </c>
      <c r="C8" s="124" t="s">
        <v>80</v>
      </c>
      <c r="D8" s="124" t="s">
        <v>81</v>
      </c>
      <c r="E8" s="124" t="s">
        <v>82</v>
      </c>
      <c r="F8" s="125" t="s">
        <v>83</v>
      </c>
      <c r="G8" s="126"/>
      <c r="H8" s="127"/>
      <c r="I8" s="79"/>
      <c r="J8" s="17"/>
      <c r="K8" s="89"/>
      <c r="L8" s="79"/>
      <c r="M8" s="46"/>
    </row>
    <row r="9" s="79" customFormat="1" ht="45" spans="1:13">
      <c r="A9" s="128" t="s">
        <v>84</v>
      </c>
      <c r="B9" s="30" t="s">
        <v>85</v>
      </c>
      <c r="C9" s="30" t="s">
        <v>86</v>
      </c>
      <c r="D9" s="30" t="s">
        <v>87</v>
      </c>
      <c r="E9" s="30" t="s">
        <v>88</v>
      </c>
      <c r="F9" s="30" t="s">
        <v>89</v>
      </c>
      <c r="G9" s="129" t="s">
        <v>90</v>
      </c>
      <c r="H9" s="130" t="s">
        <v>91</v>
      </c>
      <c r="I9" s="79"/>
      <c r="J9" s="15" t="s">
        <v>20</v>
      </c>
      <c r="K9" s="16" t="s">
        <v>92</v>
      </c>
      <c r="L9" s="17" t="s">
        <v>22</v>
      </c>
      <c r="M9" s="15" t="s">
        <v>93</v>
      </c>
    </row>
    <row r="10" s="79" customFormat="1" ht="18" customHeight="1" spans="1:13">
      <c r="A10" s="128" t="s">
        <v>94</v>
      </c>
      <c r="B10" s="30">
        <v>1080</v>
      </c>
      <c r="C10" s="33" t="s">
        <v>95</v>
      </c>
      <c r="D10" s="30">
        <v>300</v>
      </c>
      <c r="E10" s="31" t="s">
        <v>96</v>
      </c>
      <c r="F10" s="74">
        <v>1.758</v>
      </c>
      <c r="G10" s="131">
        <f>ROUND(H10/D10,2)</f>
        <v>23.07</v>
      </c>
      <c r="H10" s="132">
        <f t="shared" ref="H10:H23" si="0">ROUND(F10*3937,2)</f>
        <v>6921.25</v>
      </c>
      <c r="J10" s="74">
        <v>1.57</v>
      </c>
      <c r="K10" s="184">
        <f>ROUND(J10*1.12,3)</f>
        <v>1.758</v>
      </c>
      <c r="L10" s="114">
        <f t="shared" ref="L10:L21" si="1">K10/J10-1</f>
        <v>0.119745222929936</v>
      </c>
      <c r="M10" s="29">
        <f t="shared" ref="M10:M21" si="2">K10*3937/300</f>
        <v>23.07082</v>
      </c>
    </row>
    <row r="11" s="79" customFormat="1" ht="18" customHeight="1" spans="1:13">
      <c r="A11" s="128" t="s">
        <v>94</v>
      </c>
      <c r="B11" s="30">
        <v>1080</v>
      </c>
      <c r="C11" s="33" t="s">
        <v>97</v>
      </c>
      <c r="D11" s="30">
        <v>300</v>
      </c>
      <c r="E11" s="31" t="s">
        <v>96</v>
      </c>
      <c r="F11" s="74">
        <v>1.824</v>
      </c>
      <c r="G11" s="131">
        <f>ROUND(H11/D11,2)</f>
        <v>23.94</v>
      </c>
      <c r="H11" s="132">
        <f t="shared" si="0"/>
        <v>7181.09</v>
      </c>
      <c r="J11" s="74">
        <v>1.658</v>
      </c>
      <c r="K11" s="184">
        <f>ROUND(J11*1.1,3)</f>
        <v>1.824</v>
      </c>
      <c r="L11" s="114">
        <f t="shared" si="1"/>
        <v>0.100120627261761</v>
      </c>
      <c r="M11" s="29">
        <f t="shared" si="2"/>
        <v>23.93696</v>
      </c>
    </row>
    <row r="12" s="79" customFormat="1" ht="18" customHeight="1" spans="1:13">
      <c r="A12" s="128" t="s">
        <v>94</v>
      </c>
      <c r="B12" s="30">
        <v>1080</v>
      </c>
      <c r="C12" s="33" t="s">
        <v>98</v>
      </c>
      <c r="D12" s="30">
        <v>300</v>
      </c>
      <c r="E12" s="31" t="s">
        <v>96</v>
      </c>
      <c r="F12" s="74">
        <v>1.853</v>
      </c>
      <c r="G12" s="131">
        <f>ROUND(H12/D12,2)</f>
        <v>24.32</v>
      </c>
      <c r="H12" s="132">
        <f t="shared" si="0"/>
        <v>7295.26</v>
      </c>
      <c r="J12" s="74">
        <v>1.669</v>
      </c>
      <c r="K12" s="184">
        <f>ROUND(J12*1.11,3)</f>
        <v>1.853</v>
      </c>
      <c r="L12" s="114">
        <f t="shared" si="1"/>
        <v>0.110245656081486</v>
      </c>
      <c r="M12" s="29">
        <f t="shared" si="2"/>
        <v>24.3175366666667</v>
      </c>
    </row>
    <row r="13" s="79" customFormat="1" ht="18" customHeight="1" spans="1:13">
      <c r="A13" s="128" t="s">
        <v>94</v>
      </c>
      <c r="B13" s="30">
        <v>1080</v>
      </c>
      <c r="C13" s="33" t="s">
        <v>99</v>
      </c>
      <c r="D13" s="30">
        <v>300</v>
      </c>
      <c r="E13" s="31" t="s">
        <v>96</v>
      </c>
      <c r="F13" s="74">
        <v>1.92</v>
      </c>
      <c r="G13" s="131">
        <f>ROUND(H13/D13,2)</f>
        <v>25.2</v>
      </c>
      <c r="H13" s="132">
        <f t="shared" si="0"/>
        <v>7559.04</v>
      </c>
      <c r="J13" s="74">
        <v>1.745</v>
      </c>
      <c r="K13" s="184">
        <f>ROUND(J13*1.1,3)</f>
        <v>1.92</v>
      </c>
      <c r="L13" s="114">
        <f t="shared" si="1"/>
        <v>0.100286532951289</v>
      </c>
      <c r="M13" s="29">
        <f t="shared" si="2"/>
        <v>25.1968</v>
      </c>
    </row>
    <row r="14" s="79" customFormat="1" ht="18" customHeight="1" spans="1:13">
      <c r="A14" s="128" t="s">
        <v>94</v>
      </c>
      <c r="B14" s="30" t="s">
        <v>100</v>
      </c>
      <c r="C14" s="33" t="s">
        <v>101</v>
      </c>
      <c r="D14" s="30">
        <v>300</v>
      </c>
      <c r="E14" s="31" t="s">
        <v>96</v>
      </c>
      <c r="F14" s="74">
        <v>1.949</v>
      </c>
      <c r="G14" s="131">
        <f>ROUND(H14/D14,2)</f>
        <v>25.58</v>
      </c>
      <c r="H14" s="132">
        <f t="shared" si="0"/>
        <v>7673.21</v>
      </c>
      <c r="J14" s="74">
        <v>1.788</v>
      </c>
      <c r="K14" s="184">
        <f t="shared" ref="K14:K19" si="3">ROUND(J14*1.09,3)</f>
        <v>1.949</v>
      </c>
      <c r="L14" s="114">
        <f t="shared" si="1"/>
        <v>0.0900447427293065</v>
      </c>
      <c r="M14" s="29">
        <f t="shared" si="2"/>
        <v>25.5773766666667</v>
      </c>
    </row>
    <row r="15" s="79" customFormat="1" ht="18" customHeight="1" spans="1:13">
      <c r="A15" s="128" t="s">
        <v>94</v>
      </c>
      <c r="B15" s="30" t="s">
        <v>100</v>
      </c>
      <c r="C15" s="33" t="s">
        <v>102</v>
      </c>
      <c r="D15" s="30">
        <v>300</v>
      </c>
      <c r="E15" s="31" t="s">
        <v>96</v>
      </c>
      <c r="F15" s="74">
        <v>2.007</v>
      </c>
      <c r="G15" s="131">
        <f t="shared" ref="G15:G21" si="4">ROUND(H15/D15,2)</f>
        <v>26.34</v>
      </c>
      <c r="H15" s="132">
        <f t="shared" si="0"/>
        <v>7901.56</v>
      </c>
      <c r="J15" s="74">
        <v>1.841</v>
      </c>
      <c r="K15" s="184">
        <f t="shared" si="3"/>
        <v>2.007</v>
      </c>
      <c r="L15" s="114">
        <f t="shared" si="1"/>
        <v>0.0901683867463337</v>
      </c>
      <c r="M15" s="29">
        <f t="shared" si="2"/>
        <v>26.33853</v>
      </c>
    </row>
    <row r="16" s="79" customFormat="1" ht="18" customHeight="1" spans="1:13">
      <c r="A16" s="128" t="s">
        <v>94</v>
      </c>
      <c r="B16" s="30" t="s">
        <v>100</v>
      </c>
      <c r="C16" s="33" t="s">
        <v>103</v>
      </c>
      <c r="D16" s="30">
        <v>300</v>
      </c>
      <c r="E16" s="31" t="s">
        <v>96</v>
      </c>
      <c r="F16" s="74">
        <v>2.025</v>
      </c>
      <c r="G16" s="131">
        <f t="shared" si="4"/>
        <v>26.57</v>
      </c>
      <c r="H16" s="132">
        <f t="shared" si="0"/>
        <v>7972.43</v>
      </c>
      <c r="J16" s="74">
        <v>1.858</v>
      </c>
      <c r="K16" s="184">
        <f t="shared" si="3"/>
        <v>2.025</v>
      </c>
      <c r="L16" s="114">
        <f t="shared" si="1"/>
        <v>0.0898815931108718</v>
      </c>
      <c r="M16" s="29">
        <f t="shared" si="2"/>
        <v>26.57475</v>
      </c>
    </row>
    <row r="17" s="79" customFormat="1" ht="18" customHeight="1" spans="1:13">
      <c r="A17" s="128" t="s">
        <v>94</v>
      </c>
      <c r="B17" s="30">
        <v>106</v>
      </c>
      <c r="C17" s="33">
        <v>0.74</v>
      </c>
      <c r="D17" s="30">
        <v>300</v>
      </c>
      <c r="E17" s="31" t="s">
        <v>96</v>
      </c>
      <c r="F17" s="74">
        <v>2.129</v>
      </c>
      <c r="G17" s="131">
        <f t="shared" si="4"/>
        <v>27.94</v>
      </c>
      <c r="H17" s="132">
        <f t="shared" si="0"/>
        <v>8381.87</v>
      </c>
      <c r="J17" s="74">
        <v>1.953</v>
      </c>
      <c r="K17" s="184">
        <f t="shared" si="3"/>
        <v>2.129</v>
      </c>
      <c r="L17" s="114">
        <f t="shared" si="1"/>
        <v>0.0901177675371223</v>
      </c>
      <c r="M17" s="29">
        <f t="shared" si="2"/>
        <v>27.9395766666667</v>
      </c>
    </row>
    <row r="18" s="79" customFormat="1" ht="18" customHeight="1" spans="1:13">
      <c r="A18" s="128" t="s">
        <v>94</v>
      </c>
      <c r="B18" s="30">
        <v>106</v>
      </c>
      <c r="C18" s="33">
        <v>0.76</v>
      </c>
      <c r="D18" s="30">
        <v>300</v>
      </c>
      <c r="E18" s="31" t="s">
        <v>96</v>
      </c>
      <c r="F18" s="74">
        <v>2.189</v>
      </c>
      <c r="G18" s="131">
        <f t="shared" si="4"/>
        <v>28.73</v>
      </c>
      <c r="H18" s="132">
        <f t="shared" si="0"/>
        <v>8618.09</v>
      </c>
      <c r="J18" s="74">
        <v>2.008</v>
      </c>
      <c r="K18" s="184">
        <f t="shared" si="3"/>
        <v>2.189</v>
      </c>
      <c r="L18" s="114">
        <f t="shared" si="1"/>
        <v>0.0901394422310757</v>
      </c>
      <c r="M18" s="29">
        <f t="shared" si="2"/>
        <v>28.7269766666667</v>
      </c>
    </row>
    <row r="19" s="79" customFormat="1" ht="18" customHeight="1" spans="1:13">
      <c r="A19" s="128" t="s">
        <v>94</v>
      </c>
      <c r="B19" s="30">
        <v>106</v>
      </c>
      <c r="C19" s="33">
        <v>0.78</v>
      </c>
      <c r="D19" s="30">
        <v>300</v>
      </c>
      <c r="E19" s="31" t="s">
        <v>96</v>
      </c>
      <c r="F19" s="74">
        <v>2.3</v>
      </c>
      <c r="G19" s="131">
        <f t="shared" si="4"/>
        <v>30.18</v>
      </c>
      <c r="H19" s="132">
        <f t="shared" si="0"/>
        <v>9055.1</v>
      </c>
      <c r="J19" s="74">
        <v>2.11</v>
      </c>
      <c r="K19" s="184">
        <f t="shared" si="3"/>
        <v>2.3</v>
      </c>
      <c r="L19" s="114">
        <f t="shared" si="1"/>
        <v>0.0900473933649288</v>
      </c>
      <c r="M19" s="29">
        <f t="shared" si="2"/>
        <v>30.1836666666667</v>
      </c>
    </row>
    <row r="20" s="79" customFormat="1" ht="18" customHeight="1" spans="1:13">
      <c r="A20" s="128" t="s">
        <v>94</v>
      </c>
      <c r="B20" s="30">
        <v>1067</v>
      </c>
      <c r="C20" s="33">
        <v>0.7</v>
      </c>
      <c r="D20" s="30">
        <v>300</v>
      </c>
      <c r="E20" s="31" t="s">
        <v>96</v>
      </c>
      <c r="F20" s="74">
        <v>2.231</v>
      </c>
      <c r="G20" s="131">
        <f t="shared" si="4"/>
        <v>29.28</v>
      </c>
      <c r="H20" s="132">
        <f t="shared" si="0"/>
        <v>8783.45</v>
      </c>
      <c r="J20" s="74">
        <v>2.028</v>
      </c>
      <c r="K20" s="184">
        <f>ROUND(J20*1.1,3)</f>
        <v>2.231</v>
      </c>
      <c r="L20" s="114">
        <f t="shared" si="1"/>
        <v>0.100098619329388</v>
      </c>
      <c r="M20" s="29">
        <f t="shared" si="2"/>
        <v>29.2781566666667</v>
      </c>
    </row>
    <row r="21" s="79" customFormat="1" ht="18" customHeight="1" spans="1:13">
      <c r="A21" s="128" t="s">
        <v>94</v>
      </c>
      <c r="B21" s="30">
        <v>1067</v>
      </c>
      <c r="C21" s="33">
        <v>0.78</v>
      </c>
      <c r="D21" s="30">
        <v>300</v>
      </c>
      <c r="E21" s="31" t="s">
        <v>96</v>
      </c>
      <c r="F21" s="74">
        <v>2.354</v>
      </c>
      <c r="G21" s="131">
        <f t="shared" si="4"/>
        <v>30.89</v>
      </c>
      <c r="H21" s="132">
        <f t="shared" si="0"/>
        <v>9267.7</v>
      </c>
      <c r="J21" s="74">
        <v>2.14</v>
      </c>
      <c r="K21" s="184">
        <f>ROUND(J21*1.1,3)</f>
        <v>2.354</v>
      </c>
      <c r="L21" s="114">
        <f t="shared" si="1"/>
        <v>0.1</v>
      </c>
      <c r="M21" s="29">
        <f t="shared" si="2"/>
        <v>30.8923266666667</v>
      </c>
    </row>
    <row r="22" s="79" customFormat="1" ht="18" customHeight="1" spans="1:13">
      <c r="A22" s="128" t="s">
        <v>94</v>
      </c>
      <c r="B22" s="30">
        <v>2113</v>
      </c>
      <c r="C22" s="33">
        <v>0.59</v>
      </c>
      <c r="D22" s="30">
        <v>300</v>
      </c>
      <c r="E22" s="31" t="s">
        <v>96</v>
      </c>
      <c r="F22" s="74">
        <v>1.967</v>
      </c>
      <c r="G22" s="131">
        <f t="shared" ref="G22:G37" si="5">ROUND(H22/D22,2)</f>
        <v>25.81</v>
      </c>
      <c r="H22" s="132">
        <f t="shared" si="0"/>
        <v>7744.08</v>
      </c>
      <c r="J22" s="74">
        <v>1.788</v>
      </c>
      <c r="K22" s="184">
        <f>ROUND(J22*1.1,3)</f>
        <v>1.967</v>
      </c>
      <c r="L22" s="114">
        <f t="shared" ref="L22:L37" si="6">K22/J22-1</f>
        <v>0.100111856823266</v>
      </c>
      <c r="M22" s="29">
        <f t="shared" ref="M22:M37" si="7">K22*3937/300</f>
        <v>25.8135966666667</v>
      </c>
    </row>
    <row r="23" s="79" customFormat="1" ht="18" customHeight="1" spans="1:13">
      <c r="A23" s="128" t="s">
        <v>94</v>
      </c>
      <c r="B23" s="30">
        <v>2113</v>
      </c>
      <c r="C23" s="33">
        <v>0.62</v>
      </c>
      <c r="D23" s="30">
        <v>300</v>
      </c>
      <c r="E23" s="31" t="s">
        <v>96</v>
      </c>
      <c r="F23" s="74">
        <v>2.035</v>
      </c>
      <c r="G23" s="131">
        <f t="shared" si="5"/>
        <v>26.71</v>
      </c>
      <c r="H23" s="132">
        <f t="shared" si="0"/>
        <v>8011.8</v>
      </c>
      <c r="J23" s="74">
        <v>1.85</v>
      </c>
      <c r="K23" s="184">
        <f>ROUND(J23*1.1,3)</f>
        <v>2.035</v>
      </c>
      <c r="L23" s="114">
        <f t="shared" si="6"/>
        <v>0.1</v>
      </c>
      <c r="M23" s="29">
        <f t="shared" si="7"/>
        <v>26.7059833333333</v>
      </c>
    </row>
    <row r="24" s="79" customFormat="1" ht="18" customHeight="1" spans="1:13">
      <c r="A24" s="128" t="s">
        <v>94</v>
      </c>
      <c r="B24" s="30">
        <v>2116</v>
      </c>
      <c r="C24" s="33" t="s">
        <v>104</v>
      </c>
      <c r="D24" s="30">
        <v>200</v>
      </c>
      <c r="E24" s="31" t="s">
        <v>96</v>
      </c>
      <c r="F24" s="74">
        <v>1.749</v>
      </c>
      <c r="G24" s="131">
        <f t="shared" si="5"/>
        <v>22.95</v>
      </c>
      <c r="H24" s="132">
        <f>ROUND(F24*2624.7,2)</f>
        <v>4590.6</v>
      </c>
      <c r="J24" s="74">
        <v>1.59</v>
      </c>
      <c r="K24" s="184">
        <f>ROUND(J24*1.1,3)</f>
        <v>1.749</v>
      </c>
      <c r="L24" s="114">
        <f t="shared" si="6"/>
        <v>0.1</v>
      </c>
      <c r="M24" s="29">
        <f t="shared" si="7"/>
        <v>22.95271</v>
      </c>
    </row>
    <row r="25" s="79" customFormat="1" ht="18" customHeight="1" spans="1:13">
      <c r="A25" s="128" t="s">
        <v>94</v>
      </c>
      <c r="B25" s="30">
        <v>2116</v>
      </c>
      <c r="C25" s="33" t="s">
        <v>105</v>
      </c>
      <c r="D25" s="30">
        <v>200</v>
      </c>
      <c r="E25" s="31" t="s">
        <v>96</v>
      </c>
      <c r="F25" s="74">
        <v>1.798</v>
      </c>
      <c r="G25" s="131">
        <f t="shared" si="5"/>
        <v>23.6</v>
      </c>
      <c r="H25" s="132">
        <f>ROUND(F25*2624.7,2)</f>
        <v>4719.21</v>
      </c>
      <c r="J25" s="74">
        <v>1.605</v>
      </c>
      <c r="K25" s="184">
        <f>ROUND(J25*1.12,3)</f>
        <v>1.798</v>
      </c>
      <c r="L25" s="114">
        <f t="shared" si="6"/>
        <v>0.120249221183801</v>
      </c>
      <c r="M25" s="29">
        <f t="shared" si="7"/>
        <v>23.5957533333333</v>
      </c>
    </row>
    <row r="26" s="79" customFormat="1" ht="18" customHeight="1" spans="1:13">
      <c r="A26" s="128" t="s">
        <v>94</v>
      </c>
      <c r="B26" s="30">
        <v>2116</v>
      </c>
      <c r="C26" s="33" t="s">
        <v>102</v>
      </c>
      <c r="D26" s="30">
        <v>200</v>
      </c>
      <c r="E26" s="31" t="s">
        <v>96</v>
      </c>
      <c r="F26" s="74">
        <v>1.842</v>
      </c>
      <c r="G26" s="131">
        <f t="shared" si="5"/>
        <v>24.17</v>
      </c>
      <c r="H26" s="132">
        <f>ROUND(F26*2624.7,2)</f>
        <v>4834.7</v>
      </c>
      <c r="J26" s="74">
        <v>1.645</v>
      </c>
      <c r="K26" s="184">
        <f>ROUND(J26*1.12,3)</f>
        <v>1.842</v>
      </c>
      <c r="L26" s="114">
        <f t="shared" si="6"/>
        <v>0.119756838905775</v>
      </c>
      <c r="M26" s="29">
        <f t="shared" si="7"/>
        <v>24.17318</v>
      </c>
    </row>
    <row r="27" s="79" customFormat="1" ht="18" customHeight="1" spans="1:13">
      <c r="A27" s="128" t="s">
        <v>94</v>
      </c>
      <c r="B27" s="30">
        <v>2116</v>
      </c>
      <c r="C27" s="33" t="s">
        <v>103</v>
      </c>
      <c r="D27" s="30">
        <v>200</v>
      </c>
      <c r="E27" s="31" t="s">
        <v>96</v>
      </c>
      <c r="F27" s="74">
        <v>1.877</v>
      </c>
      <c r="G27" s="131">
        <f t="shared" si="5"/>
        <v>24.63</v>
      </c>
      <c r="H27" s="132">
        <f>ROUND(F27*2624.7,2)</f>
        <v>4926.56</v>
      </c>
      <c r="J27" s="74">
        <v>1.706</v>
      </c>
      <c r="K27" s="184">
        <f>ROUND(J27*1.1,3)</f>
        <v>1.877</v>
      </c>
      <c r="L27" s="114">
        <f t="shared" si="6"/>
        <v>0.100234466588511</v>
      </c>
      <c r="M27" s="29">
        <f t="shared" si="7"/>
        <v>24.6324966666667</v>
      </c>
    </row>
    <row r="28" s="79" customFormat="1" ht="18" customHeight="1" spans="1:13">
      <c r="A28" s="128" t="s">
        <v>94</v>
      </c>
      <c r="B28" s="30">
        <v>2116</v>
      </c>
      <c r="C28" s="33" t="s">
        <v>106</v>
      </c>
      <c r="D28" s="30">
        <v>200</v>
      </c>
      <c r="E28" s="31" t="s">
        <v>96</v>
      </c>
      <c r="F28" s="74">
        <v>1.922</v>
      </c>
      <c r="G28" s="131">
        <f t="shared" si="5"/>
        <v>25.22</v>
      </c>
      <c r="H28" s="132">
        <f>ROUND(F28*2624.7,2)</f>
        <v>5044.67</v>
      </c>
      <c r="J28" s="74">
        <v>1.747</v>
      </c>
      <c r="K28" s="184">
        <f>ROUND(J28*1.1,3)</f>
        <v>1.922</v>
      </c>
      <c r="L28" s="114">
        <f t="shared" si="6"/>
        <v>0.100171722953635</v>
      </c>
      <c r="M28" s="29">
        <f t="shared" si="7"/>
        <v>25.2230466666667</v>
      </c>
    </row>
    <row r="29" s="79" customFormat="1" ht="18" customHeight="1" spans="1:13">
      <c r="A29" s="128" t="s">
        <v>94</v>
      </c>
      <c r="B29" s="30">
        <v>1506</v>
      </c>
      <c r="C29" s="33" t="s">
        <v>107</v>
      </c>
      <c r="D29" s="30">
        <v>150</v>
      </c>
      <c r="E29" s="31" t="s">
        <v>96</v>
      </c>
      <c r="F29" s="74">
        <v>1.982</v>
      </c>
      <c r="G29" s="131">
        <f t="shared" si="5"/>
        <v>26.01</v>
      </c>
      <c r="H29" s="132">
        <f>ROUND(F29*1968.5,2)</f>
        <v>3901.57</v>
      </c>
      <c r="J29" s="74">
        <v>1.835</v>
      </c>
      <c r="K29" s="184">
        <f>ROUND(J29*1.08,3)</f>
        <v>1.982</v>
      </c>
      <c r="L29" s="114">
        <f t="shared" si="6"/>
        <v>0.080108991825613</v>
      </c>
      <c r="M29" s="29">
        <f t="shared" si="7"/>
        <v>26.0104466666667</v>
      </c>
    </row>
    <row r="30" s="79" customFormat="1" ht="18" customHeight="1" spans="1:13">
      <c r="A30" s="128" t="s">
        <v>94</v>
      </c>
      <c r="B30" s="30">
        <v>1506</v>
      </c>
      <c r="C30" s="33" t="s">
        <v>108</v>
      </c>
      <c r="D30" s="30">
        <v>150</v>
      </c>
      <c r="E30" s="31" t="s">
        <v>96</v>
      </c>
      <c r="F30" s="74">
        <v>1.993</v>
      </c>
      <c r="G30" s="131">
        <f t="shared" si="5"/>
        <v>26.15</v>
      </c>
      <c r="H30" s="132">
        <f t="shared" ref="H30:H37" si="8">ROUND(F30*1968.5,2)</f>
        <v>3923.22</v>
      </c>
      <c r="J30" s="74">
        <v>1.845</v>
      </c>
      <c r="K30" s="184">
        <f>ROUND(J30*1.08,3)</f>
        <v>1.993</v>
      </c>
      <c r="L30" s="114">
        <f t="shared" si="6"/>
        <v>0.0802168021680218</v>
      </c>
      <c r="M30" s="29">
        <f t="shared" si="7"/>
        <v>26.1548033333333</v>
      </c>
    </row>
    <row r="31" s="79" customFormat="1" ht="18" customHeight="1" spans="1:13">
      <c r="A31" s="128" t="s">
        <v>94</v>
      </c>
      <c r="B31" s="30">
        <v>1506</v>
      </c>
      <c r="C31" s="33" t="s">
        <v>109</v>
      </c>
      <c r="D31" s="30">
        <v>150</v>
      </c>
      <c r="E31" s="31" t="s">
        <v>110</v>
      </c>
      <c r="F31" s="74">
        <v>2.04</v>
      </c>
      <c r="G31" s="131">
        <f t="shared" si="5"/>
        <v>26.77</v>
      </c>
      <c r="H31" s="132">
        <f t="shared" si="8"/>
        <v>4015.74</v>
      </c>
      <c r="J31" s="74">
        <v>1.889</v>
      </c>
      <c r="K31" s="184">
        <f>ROUND(J31*1.08,3)</f>
        <v>2.04</v>
      </c>
      <c r="L31" s="114">
        <f t="shared" si="6"/>
        <v>0.0799364743250397</v>
      </c>
      <c r="M31" s="29">
        <f t="shared" si="7"/>
        <v>26.7716</v>
      </c>
    </row>
    <row r="32" s="79" customFormat="1" ht="18" customHeight="1" spans="1:13">
      <c r="A32" s="128" t="s">
        <v>94</v>
      </c>
      <c r="B32" s="30">
        <v>1506</v>
      </c>
      <c r="C32" s="33">
        <v>0.54</v>
      </c>
      <c r="D32" s="30">
        <v>150</v>
      </c>
      <c r="E32" s="31" t="s">
        <v>110</v>
      </c>
      <c r="F32" s="74">
        <v>2.075</v>
      </c>
      <c r="G32" s="131">
        <f t="shared" si="5"/>
        <v>27.23</v>
      </c>
      <c r="H32" s="132">
        <f t="shared" si="8"/>
        <v>4084.64</v>
      </c>
      <c r="J32" s="74">
        <v>1.921</v>
      </c>
      <c r="K32" s="184">
        <f>ROUND(J32*1.08,3)</f>
        <v>2.075</v>
      </c>
      <c r="L32" s="114">
        <f t="shared" si="6"/>
        <v>0.0801665799062989</v>
      </c>
      <c r="M32" s="29">
        <f t="shared" si="7"/>
        <v>27.2309166666667</v>
      </c>
    </row>
    <row r="33" s="79" customFormat="1" ht="18" customHeight="1" spans="1:13">
      <c r="A33" s="128" t="s">
        <v>94</v>
      </c>
      <c r="B33" s="30">
        <v>7628</v>
      </c>
      <c r="C33" s="33" t="s">
        <v>111</v>
      </c>
      <c r="D33" s="30">
        <v>150</v>
      </c>
      <c r="E33" s="31" t="s">
        <v>96</v>
      </c>
      <c r="F33" s="74">
        <v>1.808</v>
      </c>
      <c r="G33" s="131">
        <f t="shared" si="5"/>
        <v>23.73</v>
      </c>
      <c r="H33" s="132">
        <f t="shared" si="8"/>
        <v>3559.05</v>
      </c>
      <c r="J33" s="74">
        <v>1.644</v>
      </c>
      <c r="K33" s="184">
        <f>ROUND(J33*1.1,3)</f>
        <v>1.808</v>
      </c>
      <c r="L33" s="114">
        <f t="shared" si="6"/>
        <v>0.0997566909975669</v>
      </c>
      <c r="M33" s="29">
        <f t="shared" si="7"/>
        <v>23.7269866666667</v>
      </c>
    </row>
    <row r="34" s="79" customFormat="1" ht="18" customHeight="1" spans="1:13">
      <c r="A34" s="128" t="s">
        <v>94</v>
      </c>
      <c r="B34" s="30">
        <v>7628</v>
      </c>
      <c r="C34" s="33" t="s">
        <v>107</v>
      </c>
      <c r="D34" s="30">
        <v>150</v>
      </c>
      <c r="E34" s="31" t="s">
        <v>96</v>
      </c>
      <c r="F34" s="74">
        <v>1.836</v>
      </c>
      <c r="G34" s="131">
        <f t="shared" si="5"/>
        <v>24.09</v>
      </c>
      <c r="H34" s="132">
        <f t="shared" si="8"/>
        <v>3614.17</v>
      </c>
      <c r="J34" s="74">
        <v>1.669</v>
      </c>
      <c r="K34" s="184">
        <f>ROUND(J34*1.1,3)</f>
        <v>1.836</v>
      </c>
      <c r="L34" s="114">
        <f t="shared" si="6"/>
        <v>0.100059916117436</v>
      </c>
      <c r="M34" s="29">
        <f t="shared" si="7"/>
        <v>24.09444</v>
      </c>
    </row>
    <row r="35" s="79" customFormat="1" ht="18" customHeight="1" spans="1:13">
      <c r="A35" s="128" t="s">
        <v>94</v>
      </c>
      <c r="B35" s="30">
        <v>7628</v>
      </c>
      <c r="C35" s="33" t="s">
        <v>108</v>
      </c>
      <c r="D35" s="30">
        <v>150</v>
      </c>
      <c r="E35" s="31" t="s">
        <v>96</v>
      </c>
      <c r="F35" s="74">
        <v>1.869</v>
      </c>
      <c r="G35" s="131">
        <f t="shared" si="5"/>
        <v>24.53</v>
      </c>
      <c r="H35" s="132">
        <f t="shared" si="8"/>
        <v>3679.13</v>
      </c>
      <c r="J35" s="74">
        <v>1.699</v>
      </c>
      <c r="K35" s="184">
        <f>ROUND(J35*1.1,3)</f>
        <v>1.869</v>
      </c>
      <c r="L35" s="114">
        <f t="shared" si="6"/>
        <v>0.100058858151854</v>
      </c>
      <c r="M35" s="29">
        <f t="shared" si="7"/>
        <v>24.52751</v>
      </c>
    </row>
    <row r="36" s="79" customFormat="1" ht="18" customHeight="1" spans="1:13">
      <c r="A36" s="128" t="s">
        <v>94</v>
      </c>
      <c r="B36" s="30">
        <v>7628</v>
      </c>
      <c r="C36" s="33" t="s">
        <v>112</v>
      </c>
      <c r="D36" s="30">
        <v>150</v>
      </c>
      <c r="E36" s="31" t="s">
        <v>110</v>
      </c>
      <c r="F36" s="74">
        <v>1.884</v>
      </c>
      <c r="G36" s="131">
        <f t="shared" si="5"/>
        <v>24.72</v>
      </c>
      <c r="H36" s="132">
        <f t="shared" si="8"/>
        <v>3708.65</v>
      </c>
      <c r="J36" s="74">
        <v>1.713</v>
      </c>
      <c r="K36" s="184">
        <f>ROUND(J36*1.1,3)</f>
        <v>1.884</v>
      </c>
      <c r="L36" s="114">
        <f t="shared" si="6"/>
        <v>0.0998248686514884</v>
      </c>
      <c r="M36" s="29">
        <f t="shared" si="7"/>
        <v>24.72436</v>
      </c>
    </row>
    <row r="37" s="79" customFormat="1" ht="18" customHeight="1" spans="1:13">
      <c r="A37" s="133" t="s">
        <v>94</v>
      </c>
      <c r="B37" s="134">
        <v>7628</v>
      </c>
      <c r="C37" s="135" t="s">
        <v>113</v>
      </c>
      <c r="D37" s="134">
        <v>150</v>
      </c>
      <c r="E37" s="136" t="s">
        <v>110</v>
      </c>
      <c r="F37" s="137">
        <v>1.972</v>
      </c>
      <c r="G37" s="138">
        <f t="shared" si="5"/>
        <v>25.88</v>
      </c>
      <c r="H37" s="139">
        <f t="shared" si="8"/>
        <v>3881.88</v>
      </c>
      <c r="J37" s="137">
        <v>1.793</v>
      </c>
      <c r="K37" s="184">
        <f>ROUND(J37*1.1,3)</f>
        <v>1.972</v>
      </c>
      <c r="L37" s="114">
        <f t="shared" si="6"/>
        <v>0.0998326826547686</v>
      </c>
      <c r="M37" s="29">
        <f t="shared" si="7"/>
        <v>25.8792133333333</v>
      </c>
    </row>
    <row r="38" s="79" customFormat="1" spans="1:13">
      <c r="A38" s="152" t="s">
        <v>114</v>
      </c>
      <c r="B38" s="152"/>
      <c r="C38" s="152"/>
      <c r="D38" s="79"/>
      <c r="E38" s="79"/>
      <c r="F38" s="79"/>
      <c r="G38" s="79"/>
      <c r="H38" s="79"/>
      <c r="I38" s="79"/>
      <c r="J38" s="17"/>
      <c r="K38" s="184"/>
      <c r="L38" s="79"/>
      <c r="M38" s="46"/>
    </row>
    <row r="39" s="79" customFormat="1" spans="1:13">
      <c r="A39" s="6" t="s">
        <v>115</v>
      </c>
      <c r="B39" s="6"/>
      <c r="C39" s="6"/>
      <c r="D39" s="79"/>
      <c r="E39" s="79"/>
      <c r="F39" s="79"/>
      <c r="G39" s="79"/>
      <c r="H39" s="79"/>
      <c r="I39" s="79"/>
      <c r="J39" s="17"/>
      <c r="K39" s="184"/>
      <c r="L39" s="79"/>
      <c r="M39" s="46"/>
    </row>
    <row r="40" s="79" customFormat="1" spans="1:13">
      <c r="A40" s="79" t="s">
        <v>116</v>
      </c>
      <c r="J40" s="17"/>
      <c r="K40" s="89"/>
      <c r="L40" s="79"/>
      <c r="M40" s="46"/>
    </row>
    <row r="41" s="79" customFormat="1" spans="1:13">
      <c r="B41" s="79" t="s">
        <v>77</v>
      </c>
      <c r="C41" s="79"/>
      <c r="D41" s="79"/>
      <c r="E41" s="79"/>
      <c r="F41" s="79"/>
      <c r="G41" s="79"/>
      <c r="H41" s="79"/>
      <c r="I41" s="79"/>
      <c r="J41" s="17"/>
      <c r="K41" s="89"/>
      <c r="L41" s="79"/>
      <c r="M41" s="46"/>
    </row>
    <row r="42" s="79" customFormat="1" spans="1:13">
      <c r="J42" s="17"/>
      <c r="K42" s="89"/>
      <c r="L42" s="79"/>
      <c r="M42" s="46"/>
    </row>
    <row r="43" s="79" customFormat="1" spans="1:13">
      <c r="J43" s="17"/>
      <c r="K43" s="89"/>
      <c r="L43" s="79"/>
      <c r="M43" s="46"/>
    </row>
    <row r="44" s="79" customFormat="1" spans="1:13">
      <c r="J44" s="17"/>
      <c r="K44" s="89"/>
      <c r="L44" s="79"/>
      <c r="M44" s="46"/>
    </row>
    <row r="45" s="79" customFormat="1" spans="1:13">
      <c r="J45" s="17"/>
      <c r="K45" s="89"/>
      <c r="L45" s="79"/>
      <c r="M45" s="46"/>
    </row>
    <row r="46" s="79" customFormat="1" spans="1:13">
      <c r="J46" s="17"/>
      <c r="K46" s="89"/>
      <c r="L46" s="79"/>
      <c r="M46" s="46"/>
    </row>
  </sheetData>
  <autoFilter xmlns:etc="http://www.wps.cn/officeDocument/2017/etCustomData" ref="A9:M41" etc:filterBottomFollowUsedRange="0">
    <extLst/>
  </autoFilter>
  <mergeCells count="1">
    <mergeCell ref="F8:H8"/>
  </mergeCells>
  <pageMargins left="0.393055555555556" right="0.393055555555556" top="0.393055555555556" bottom="0.393055555555556" header="0" footer="0"/>
  <pageSetup paperSize="9" scale="78" orientation="landscape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4"/>
  <sheetViews>
    <sheetView zoomScale="80" zoomScaleNormal="80" workbookViewId="0">
      <pane ySplit="9" topLeftCell="A10" activePane="bottomLeft" state="frozen"/>
      <selection/>
      <selection pane="bottomLeft" activeCell="Q1" sqref="Q$1:X$1048576"/>
    </sheetView>
  </sheetViews>
  <sheetFormatPr defaultColWidth="9" defaultRowHeight="15"/>
  <cols>
    <col min="1" max="1" width="9.21666666666667" style="154" customWidth="1"/>
    <col min="2" max="2" width="6.66666666666667" style="47" customWidth="1"/>
    <col min="3" max="3" width="7" style="155" customWidth="1"/>
    <col min="4" max="4" width="15.5" style="154" customWidth="1"/>
    <col min="5" max="5" width="6.775" style="154" customWidth="1"/>
    <col min="6" max="6" width="6.75" style="154" customWidth="1"/>
    <col min="7" max="10" width="12.8833333333333" style="154" customWidth="1"/>
    <col min="11" max="11" width="9.8" style="41" customWidth="1"/>
    <col min="12" max="12" width="9" style="41"/>
    <col min="13" max="13" width="9" style="104"/>
    <col min="14" max="14" width="10.45" style="103" customWidth="1"/>
    <col min="15" max="15" width="5" style="102" customWidth="1"/>
    <col min="16" max="16" width="11.2" style="102"/>
    <col min="17" max="16384" width="9" style="41"/>
  </cols>
  <sheetData>
    <row r="1" s="46" customFormat="1" ht="47" customHeight="1" spans="1:16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46"/>
      <c r="L1" s="46"/>
      <c r="M1" s="17"/>
      <c r="N1" s="118"/>
      <c r="O1" s="17"/>
      <c r="P1" s="17"/>
    </row>
    <row r="2" s="46" customFormat="1" ht="12.75" customHeight="1" spans="1:16">
      <c r="A2" s="79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46"/>
      <c r="L2" s="46"/>
      <c r="M2" s="17"/>
      <c r="N2" s="118"/>
      <c r="O2" s="17"/>
      <c r="P2" s="17"/>
    </row>
    <row r="3" s="46" customFormat="1" ht="12.75" customHeight="1" spans="1:16">
      <c r="A3" s="79" t="s">
        <v>1</v>
      </c>
      <c r="B3" s="79"/>
      <c r="C3" s="79"/>
      <c r="D3" s="79"/>
      <c r="E3" s="79"/>
      <c r="F3" s="79"/>
      <c r="G3" s="79"/>
      <c r="H3" s="79"/>
      <c r="I3" s="79"/>
      <c r="J3" s="79"/>
      <c r="K3" s="46"/>
      <c r="L3" s="46"/>
      <c r="M3" s="17"/>
      <c r="N3" s="118"/>
      <c r="O3" s="17"/>
      <c r="P3" s="17"/>
    </row>
    <row r="4" s="46" customFormat="1" ht="12.75" customHeight="1" spans="1:16">
      <c r="E4" s="41"/>
      <c r="F4" s="46"/>
      <c r="G4" s="46"/>
      <c r="H4" s="46"/>
      <c r="I4" s="46"/>
      <c r="J4" s="46"/>
      <c r="K4" s="46"/>
      <c r="L4" s="46"/>
      <c r="M4" s="17"/>
      <c r="N4" s="118"/>
      <c r="O4" s="17"/>
      <c r="P4" s="17"/>
    </row>
    <row r="5" s="46" customFormat="1" customHeight="1" spans="1:16">
      <c r="A5" s="6" t="s">
        <v>2</v>
      </c>
      <c r="B5" s="46"/>
      <c r="C5" s="46"/>
      <c r="D5" s="46"/>
      <c r="E5" s="52"/>
      <c r="F5" s="52"/>
      <c r="G5" s="9" t="s">
        <v>3</v>
      </c>
      <c r="H5" s="46"/>
      <c r="I5" s="46"/>
      <c r="J5" s="46"/>
      <c r="K5" s="46"/>
      <c r="L5" s="46"/>
      <c r="M5" s="17"/>
      <c r="N5" s="118"/>
      <c r="O5" s="17"/>
      <c r="P5" s="17"/>
    </row>
    <row r="6" s="46" customFormat="1" customHeight="1" spans="1:16">
      <c r="A6" s="6" t="s">
        <v>4</v>
      </c>
      <c r="B6" s="46"/>
      <c r="C6" s="46"/>
      <c r="D6" s="46"/>
      <c r="E6" s="52"/>
      <c r="F6" s="52"/>
      <c r="G6" s="79" t="s">
        <v>5</v>
      </c>
      <c r="H6" s="46"/>
      <c r="I6" s="46"/>
      <c r="J6" s="46"/>
      <c r="K6" s="46"/>
      <c r="L6" s="46"/>
      <c r="M6" s="17"/>
      <c r="N6" s="118"/>
      <c r="O6" s="17"/>
      <c r="P6" s="17"/>
    </row>
    <row r="7" s="46" customFormat="1" customHeight="1" spans="1:16">
      <c r="A7" s="6" t="s">
        <v>6</v>
      </c>
      <c r="B7" s="46"/>
      <c r="C7" s="46"/>
      <c r="D7" s="46"/>
      <c r="E7" s="52"/>
      <c r="F7" s="52"/>
      <c r="G7" s="9" t="s">
        <v>7</v>
      </c>
      <c r="H7" s="46"/>
      <c r="I7" s="46"/>
      <c r="J7" s="46"/>
      <c r="K7" s="46"/>
      <c r="L7" s="46"/>
      <c r="M7" s="17"/>
      <c r="N7" s="118"/>
      <c r="O7" s="17"/>
      <c r="P7" s="17"/>
    </row>
    <row r="8" s="46" customFormat="1" customHeight="1" spans="1:16">
      <c r="A8" s="156" t="s">
        <v>117</v>
      </c>
      <c r="B8" s="154"/>
      <c r="C8" s="46"/>
      <c r="D8" s="46"/>
      <c r="E8" s="52"/>
      <c r="F8" s="52"/>
      <c r="G8" s="76" t="s">
        <v>9</v>
      </c>
      <c r="H8" s="154"/>
      <c r="I8" s="154"/>
      <c r="J8" s="154"/>
      <c r="K8" s="46"/>
      <c r="L8" s="46"/>
      <c r="M8" s="17"/>
      <c r="N8" s="118"/>
      <c r="O8" s="17"/>
      <c r="P8" s="17"/>
    </row>
    <row r="9" s="41" customFormat="1" ht="45" spans="1:16">
      <c r="A9" s="157" t="s">
        <v>10</v>
      </c>
      <c r="B9" s="158" t="s">
        <v>11</v>
      </c>
      <c r="C9" s="158" t="s">
        <v>12</v>
      </c>
      <c r="D9" s="159" t="s">
        <v>13</v>
      </c>
      <c r="E9" s="159" t="s">
        <v>14</v>
      </c>
      <c r="F9" s="159" t="s">
        <v>118</v>
      </c>
      <c r="G9" s="158" t="s">
        <v>16</v>
      </c>
      <c r="H9" s="159" t="s">
        <v>17</v>
      </c>
      <c r="I9" s="160" t="s">
        <v>18</v>
      </c>
      <c r="J9" s="161" t="s">
        <v>19</v>
      </c>
      <c r="K9" s="41"/>
      <c r="L9" s="41"/>
      <c r="M9" s="15" t="s">
        <v>20</v>
      </c>
      <c r="N9" s="16" t="s">
        <v>21</v>
      </c>
      <c r="O9" s="17" t="s">
        <v>22</v>
      </c>
      <c r="P9" s="15" t="s">
        <v>23</v>
      </c>
    </row>
    <row r="10" s="41" customFormat="1" spans="1:16">
      <c r="A10" s="162" t="s">
        <v>119</v>
      </c>
      <c r="B10" s="163">
        <f>C10/39.37</f>
        <v>0.063500127000254</v>
      </c>
      <c r="C10" s="164">
        <v>2.5</v>
      </c>
      <c r="D10" s="165" t="s">
        <v>120</v>
      </c>
      <c r="E10" s="165" t="s">
        <v>27</v>
      </c>
      <c r="F10" s="26" t="s">
        <v>31</v>
      </c>
      <c r="G10" s="164">
        <v>23.27</v>
      </c>
      <c r="H10" s="21">
        <f>ROUND(G10*12,2)</f>
        <v>279.24</v>
      </c>
      <c r="I10" s="21">
        <f>ROUND(G10*13.33,2)</f>
        <v>310.19</v>
      </c>
      <c r="J10" s="166">
        <f>ROUND(G10*14,2)</f>
        <v>325.78</v>
      </c>
      <c r="K10" s="59"/>
      <c r="L10" s="41"/>
      <c r="M10" s="164">
        <v>21.55</v>
      </c>
      <c r="N10" s="167">
        <f>ROUND(M10*1.08,2)</f>
        <v>23.27</v>
      </c>
      <c r="O10" s="108">
        <f t="shared" ref="O10:O25" si="0">(N10-M10)/M10</f>
        <v>0.079814385150812</v>
      </c>
      <c r="P10" s="109">
        <f>N10*13.33</f>
        <v>310.1891</v>
      </c>
    </row>
    <row r="11" s="41" customFormat="1" customHeight="1" spans="1:16">
      <c r="A11" s="162" t="s">
        <v>119</v>
      </c>
      <c r="B11" s="163">
        <f t="shared" ref="B11:B21" si="1">C11/39.37</f>
        <v>0.0762001524003048</v>
      </c>
      <c r="C11" s="110">
        <v>3</v>
      </c>
      <c r="D11" s="21" t="s">
        <v>121</v>
      </c>
      <c r="E11" s="21" t="s">
        <v>29</v>
      </c>
      <c r="F11" s="26" t="s">
        <v>28</v>
      </c>
      <c r="G11" s="168">
        <v>7.55</v>
      </c>
      <c r="H11" s="21">
        <f t="shared" ref="H11:H22" si="2">ROUND(G11*12,2)</f>
        <v>90.6</v>
      </c>
      <c r="I11" s="21">
        <f t="shared" ref="I11:I22" si="3">ROUND(G11*13.33,2)</f>
        <v>100.64</v>
      </c>
      <c r="J11" s="166">
        <f t="shared" ref="J11:J22" si="4">ROUND(G11*14,2)</f>
        <v>105.7</v>
      </c>
      <c r="M11" s="168">
        <v>6.86</v>
      </c>
      <c r="N11" s="167">
        <f t="shared" ref="N11:N42" si="5">ROUND(M11*1.1,2)</f>
        <v>7.55</v>
      </c>
      <c r="O11" s="108">
        <f t="shared" si="0"/>
        <v>0.100583090379009</v>
      </c>
      <c r="P11" s="109">
        <f>N11*13.33</f>
        <v>100.6415</v>
      </c>
    </row>
    <row r="12" s="79" customFormat="1" customHeight="1" spans="1:16">
      <c r="A12" s="162" t="s">
        <v>119</v>
      </c>
      <c r="B12" s="163">
        <f t="shared" si="1"/>
        <v>0.0762001524003048</v>
      </c>
      <c r="C12" s="110">
        <v>3</v>
      </c>
      <c r="D12" s="21" t="s">
        <v>121</v>
      </c>
      <c r="E12" s="21" t="s">
        <v>29</v>
      </c>
      <c r="F12" s="26" t="s">
        <v>26</v>
      </c>
      <c r="G12" s="168">
        <v>10.92</v>
      </c>
      <c r="H12" s="21">
        <f t="shared" si="2"/>
        <v>131.04</v>
      </c>
      <c r="I12" s="21">
        <f t="shared" si="3"/>
        <v>145.56</v>
      </c>
      <c r="J12" s="166">
        <f t="shared" si="4"/>
        <v>152.88</v>
      </c>
      <c r="M12" s="168">
        <v>9.93</v>
      </c>
      <c r="N12" s="167">
        <f t="shared" si="5"/>
        <v>10.92</v>
      </c>
      <c r="O12" s="108">
        <f t="shared" si="0"/>
        <v>0.0996978851963747</v>
      </c>
      <c r="P12" s="109">
        <f>N12*13.33</f>
        <v>145.5636</v>
      </c>
    </row>
    <row r="13" s="79" customFormat="1" customHeight="1" spans="1:16">
      <c r="A13" s="162" t="s">
        <v>119</v>
      </c>
      <c r="B13" s="163">
        <f t="shared" si="1"/>
        <v>0.0762001524003048</v>
      </c>
      <c r="C13" s="110">
        <v>3</v>
      </c>
      <c r="D13" s="21" t="s">
        <v>121</v>
      </c>
      <c r="E13" s="21" t="s">
        <v>29</v>
      </c>
      <c r="F13" s="26" t="s">
        <v>30</v>
      </c>
      <c r="G13" s="168">
        <v>10.14</v>
      </c>
      <c r="H13" s="21">
        <f t="shared" si="2"/>
        <v>121.68</v>
      </c>
      <c r="I13" s="21">
        <f t="shared" si="3"/>
        <v>135.17</v>
      </c>
      <c r="J13" s="166">
        <f t="shared" si="4"/>
        <v>141.96</v>
      </c>
      <c r="K13" s="114"/>
      <c r="L13" s="79"/>
      <c r="M13" s="168">
        <v>9.39</v>
      </c>
      <c r="N13" s="167">
        <f>ROUND(M13*1.08,2)</f>
        <v>10.14</v>
      </c>
      <c r="O13" s="108">
        <f t="shared" si="0"/>
        <v>0.0798722044728434</v>
      </c>
      <c r="P13" s="109">
        <f t="shared" ref="P13:P27" si="6">N13*13.33</f>
        <v>135.1662</v>
      </c>
    </row>
    <row r="14" s="79" customFormat="1" customHeight="1" spans="1:16">
      <c r="A14" s="162" t="s">
        <v>119</v>
      </c>
      <c r="B14" s="163">
        <f t="shared" si="1"/>
        <v>0.0762001524003048</v>
      </c>
      <c r="C14" s="110">
        <v>3</v>
      </c>
      <c r="D14" s="21" t="s">
        <v>121</v>
      </c>
      <c r="E14" s="21" t="s">
        <v>29</v>
      </c>
      <c r="F14" s="26" t="s">
        <v>122</v>
      </c>
      <c r="G14" s="168">
        <v>15.97</v>
      </c>
      <c r="H14" s="21">
        <f t="shared" si="2"/>
        <v>191.64</v>
      </c>
      <c r="I14" s="21">
        <f t="shared" si="3"/>
        <v>212.88</v>
      </c>
      <c r="J14" s="166">
        <f t="shared" si="4"/>
        <v>223.58</v>
      </c>
      <c r="K14" s="114"/>
      <c r="L14" s="79"/>
      <c r="M14" s="168">
        <v>14.52</v>
      </c>
      <c r="N14" s="167">
        <f t="shared" si="5"/>
        <v>15.97</v>
      </c>
      <c r="O14" s="108">
        <f t="shared" si="0"/>
        <v>0.0998622589531681</v>
      </c>
      <c r="P14" s="109">
        <f t="shared" si="6"/>
        <v>212.8801</v>
      </c>
    </row>
    <row r="15" s="79" customFormat="1" customHeight="1" spans="1:16">
      <c r="A15" s="162" t="s">
        <v>119</v>
      </c>
      <c r="B15" s="163">
        <f t="shared" si="1"/>
        <v>0.0762001524003048</v>
      </c>
      <c r="C15" s="110">
        <v>3</v>
      </c>
      <c r="D15" s="21" t="s">
        <v>121</v>
      </c>
      <c r="E15" s="21" t="s">
        <v>29</v>
      </c>
      <c r="F15" s="26" t="s">
        <v>31</v>
      </c>
      <c r="G15" s="168">
        <v>20.98</v>
      </c>
      <c r="H15" s="21">
        <f t="shared" si="2"/>
        <v>251.76</v>
      </c>
      <c r="I15" s="21">
        <f t="shared" si="3"/>
        <v>279.66</v>
      </c>
      <c r="J15" s="166">
        <f t="shared" si="4"/>
        <v>293.72</v>
      </c>
      <c r="M15" s="168">
        <v>19.07</v>
      </c>
      <c r="N15" s="167">
        <f t="shared" si="5"/>
        <v>20.98</v>
      </c>
      <c r="O15" s="108">
        <f t="shared" si="0"/>
        <v>0.100157315154693</v>
      </c>
      <c r="P15" s="109">
        <f t="shared" si="6"/>
        <v>279.6634</v>
      </c>
    </row>
    <row r="16" s="79" customFormat="1" customHeight="1" spans="1:16">
      <c r="A16" s="162" t="s">
        <v>119</v>
      </c>
      <c r="B16" s="163">
        <f t="shared" si="1"/>
        <v>0.0762001524003048</v>
      </c>
      <c r="C16" s="110">
        <v>3</v>
      </c>
      <c r="D16" s="21" t="s">
        <v>121</v>
      </c>
      <c r="E16" s="21" t="s">
        <v>27</v>
      </c>
      <c r="F16" s="26" t="s">
        <v>34</v>
      </c>
      <c r="G16" s="168">
        <v>33.34</v>
      </c>
      <c r="H16" s="21">
        <f t="shared" si="2"/>
        <v>400.08</v>
      </c>
      <c r="I16" s="21">
        <f t="shared" si="3"/>
        <v>444.42</v>
      </c>
      <c r="J16" s="166">
        <f t="shared" si="4"/>
        <v>466.76</v>
      </c>
      <c r="M16" s="168">
        <v>30.87</v>
      </c>
      <c r="N16" s="167">
        <f>ROUND(M16*1.08,2)</f>
        <v>33.34</v>
      </c>
      <c r="O16" s="108">
        <f t="shared" si="0"/>
        <v>0.0800129575639781</v>
      </c>
      <c r="P16" s="109">
        <f t="shared" si="6"/>
        <v>444.4222</v>
      </c>
    </row>
    <row r="17" s="79" customFormat="1" customHeight="1" spans="1:16">
      <c r="A17" s="162" t="s">
        <v>119</v>
      </c>
      <c r="B17" s="163">
        <f t="shared" si="1"/>
        <v>0.0889001778003556</v>
      </c>
      <c r="C17" s="110">
        <v>3.5</v>
      </c>
      <c r="D17" s="21" t="s">
        <v>123</v>
      </c>
      <c r="E17" s="21" t="s">
        <v>29</v>
      </c>
      <c r="F17" s="26" t="s">
        <v>28</v>
      </c>
      <c r="G17" s="168">
        <v>7.62</v>
      </c>
      <c r="H17" s="21">
        <f t="shared" si="2"/>
        <v>91.44</v>
      </c>
      <c r="I17" s="21">
        <f t="shared" si="3"/>
        <v>101.57</v>
      </c>
      <c r="J17" s="166">
        <f t="shared" si="4"/>
        <v>106.68</v>
      </c>
      <c r="M17" s="168">
        <v>6.93</v>
      </c>
      <c r="N17" s="167">
        <f t="shared" si="5"/>
        <v>7.62</v>
      </c>
      <c r="O17" s="108">
        <f t="shared" si="0"/>
        <v>0.0995670995670996</v>
      </c>
      <c r="P17" s="109">
        <f t="shared" si="6"/>
        <v>101.5746</v>
      </c>
    </row>
    <row r="18" s="79" customFormat="1" customHeight="1" spans="1:16">
      <c r="A18" s="162" t="s">
        <v>119</v>
      </c>
      <c r="B18" s="163">
        <f t="shared" si="1"/>
        <v>0.0889001778003556</v>
      </c>
      <c r="C18" s="110">
        <v>3.5</v>
      </c>
      <c r="D18" s="21" t="s">
        <v>123</v>
      </c>
      <c r="E18" s="21" t="s">
        <v>29</v>
      </c>
      <c r="F18" s="26" t="s">
        <v>26</v>
      </c>
      <c r="G18" s="168">
        <v>10.7</v>
      </c>
      <c r="H18" s="21">
        <f t="shared" si="2"/>
        <v>128.4</v>
      </c>
      <c r="I18" s="21">
        <f t="shared" si="3"/>
        <v>142.63</v>
      </c>
      <c r="J18" s="166">
        <f t="shared" si="4"/>
        <v>149.8</v>
      </c>
      <c r="M18" s="168">
        <v>9.73</v>
      </c>
      <c r="N18" s="167">
        <f t="shared" si="5"/>
        <v>10.7</v>
      </c>
      <c r="O18" s="108">
        <f t="shared" si="0"/>
        <v>0.0996916752312434</v>
      </c>
      <c r="P18" s="109">
        <f t="shared" si="6"/>
        <v>142.631</v>
      </c>
    </row>
    <row r="19" s="79" customFormat="1" customHeight="1" spans="1:16">
      <c r="A19" s="162" t="s">
        <v>119</v>
      </c>
      <c r="B19" s="163">
        <f t="shared" si="1"/>
        <v>0.0889001778003556</v>
      </c>
      <c r="C19" s="110">
        <v>3.5</v>
      </c>
      <c r="D19" s="21" t="s">
        <v>123</v>
      </c>
      <c r="E19" s="21" t="s">
        <v>29</v>
      </c>
      <c r="F19" s="26" t="s">
        <v>31</v>
      </c>
      <c r="G19" s="168">
        <v>20.95</v>
      </c>
      <c r="H19" s="21">
        <f t="shared" si="2"/>
        <v>251.4</v>
      </c>
      <c r="I19" s="21">
        <f t="shared" si="3"/>
        <v>279.26</v>
      </c>
      <c r="J19" s="166">
        <f t="shared" si="4"/>
        <v>293.3</v>
      </c>
      <c r="M19" s="168">
        <v>19.22</v>
      </c>
      <c r="N19" s="167">
        <f>ROUND(M19*1.09,2)</f>
        <v>20.95</v>
      </c>
      <c r="O19" s="108">
        <f t="shared" si="0"/>
        <v>0.0900104058272633</v>
      </c>
      <c r="P19" s="109">
        <f t="shared" si="6"/>
        <v>279.2635</v>
      </c>
    </row>
    <row r="20" s="79" customFormat="1" customHeight="1" spans="1:16">
      <c r="A20" s="162" t="s">
        <v>119</v>
      </c>
      <c r="B20" s="163">
        <f t="shared" si="1"/>
        <v>0.101600203200406</v>
      </c>
      <c r="C20" s="110">
        <v>4</v>
      </c>
      <c r="D20" s="21" t="s">
        <v>124</v>
      </c>
      <c r="E20" s="21" t="s">
        <v>29</v>
      </c>
      <c r="F20" s="26" t="s">
        <v>28</v>
      </c>
      <c r="G20" s="168">
        <v>7.69</v>
      </c>
      <c r="H20" s="21">
        <f t="shared" si="2"/>
        <v>92.28</v>
      </c>
      <c r="I20" s="21">
        <f t="shared" si="3"/>
        <v>102.51</v>
      </c>
      <c r="J20" s="166">
        <f t="shared" si="4"/>
        <v>107.66</v>
      </c>
      <c r="M20" s="168">
        <v>6.99</v>
      </c>
      <c r="N20" s="167">
        <f t="shared" si="5"/>
        <v>7.69</v>
      </c>
      <c r="O20" s="108">
        <f t="shared" si="0"/>
        <v>0.100143061516452</v>
      </c>
      <c r="P20" s="109">
        <f t="shared" si="6"/>
        <v>102.5077</v>
      </c>
    </row>
    <row r="21" s="79" customFormat="1" customHeight="1" spans="1:16">
      <c r="A21" s="162" t="s">
        <v>119</v>
      </c>
      <c r="B21" s="163">
        <f t="shared" si="1"/>
        <v>0.101600203200406</v>
      </c>
      <c r="C21" s="110">
        <v>4</v>
      </c>
      <c r="D21" s="21" t="s">
        <v>125</v>
      </c>
      <c r="E21" s="21" t="s">
        <v>29</v>
      </c>
      <c r="F21" s="26" t="s">
        <v>26</v>
      </c>
      <c r="G21" s="168">
        <v>10.76</v>
      </c>
      <c r="H21" s="21">
        <f t="shared" si="2"/>
        <v>129.12</v>
      </c>
      <c r="I21" s="21">
        <f t="shared" si="3"/>
        <v>143.43</v>
      </c>
      <c r="J21" s="166">
        <f t="shared" si="4"/>
        <v>150.64</v>
      </c>
      <c r="M21" s="168">
        <v>9.78</v>
      </c>
      <c r="N21" s="167">
        <f t="shared" si="5"/>
        <v>10.76</v>
      </c>
      <c r="O21" s="108">
        <f t="shared" si="0"/>
        <v>0.100204498977505</v>
      </c>
      <c r="P21" s="109">
        <f t="shared" si="6"/>
        <v>143.4308</v>
      </c>
    </row>
    <row r="22" s="79" customFormat="1" customHeight="1" spans="1:16">
      <c r="A22" s="162" t="s">
        <v>119</v>
      </c>
      <c r="B22" s="163">
        <f t="shared" ref="B22:B25" si="7">C22/39.37</f>
        <v>0.101600203200406</v>
      </c>
      <c r="C22" s="110">
        <v>4</v>
      </c>
      <c r="D22" s="21" t="s">
        <v>126</v>
      </c>
      <c r="E22" s="21" t="s">
        <v>29</v>
      </c>
      <c r="F22" s="26" t="s">
        <v>28</v>
      </c>
      <c r="G22" s="168">
        <v>7.19</v>
      </c>
      <c r="H22" s="21">
        <f t="shared" si="2"/>
        <v>86.28</v>
      </c>
      <c r="I22" s="21">
        <f t="shared" si="3"/>
        <v>95.84</v>
      </c>
      <c r="J22" s="166">
        <f t="shared" si="4"/>
        <v>100.66</v>
      </c>
      <c r="M22" s="168">
        <v>6.54</v>
      </c>
      <c r="N22" s="167">
        <f t="shared" si="5"/>
        <v>7.19</v>
      </c>
      <c r="O22" s="108">
        <f t="shared" si="0"/>
        <v>0.099388379204893</v>
      </c>
      <c r="P22" s="109">
        <f t="shared" si="6"/>
        <v>95.8427</v>
      </c>
    </row>
    <row r="23" spans="1:16">
      <c r="A23" s="162" t="s">
        <v>119</v>
      </c>
      <c r="B23" s="163">
        <f t="shared" si="7"/>
        <v>0.101600203200406</v>
      </c>
      <c r="C23" s="110">
        <v>4</v>
      </c>
      <c r="D23" s="21" t="s">
        <v>126</v>
      </c>
      <c r="E23" s="21" t="s">
        <v>29</v>
      </c>
      <c r="F23" s="26" t="s">
        <v>30</v>
      </c>
      <c r="G23" s="169">
        <v>10.14</v>
      </c>
      <c r="H23" s="21">
        <f t="shared" ref="H23:H25" si="8">ROUND(G23*12,2)</f>
        <v>121.68</v>
      </c>
      <c r="I23" s="21">
        <f t="shared" ref="I23:I25" si="9">ROUND(G23*13.33,2)</f>
        <v>135.17</v>
      </c>
      <c r="J23" s="166">
        <f t="shared" ref="J23:J25" si="10">ROUND(G23*14,2)</f>
        <v>141.96</v>
      </c>
      <c r="K23" s="59"/>
      <c r="M23" s="169">
        <v>9.39</v>
      </c>
      <c r="N23" s="167">
        <f>ROUND(M23*1.08,2)</f>
        <v>10.14</v>
      </c>
      <c r="O23" s="108">
        <f t="shared" si="0"/>
        <v>0.0798722044728434</v>
      </c>
      <c r="P23" s="109">
        <f t="shared" si="6"/>
        <v>135.1662</v>
      </c>
    </row>
    <row r="24" s="79" customFormat="1" customHeight="1" spans="1:16">
      <c r="A24" s="162" t="s">
        <v>119</v>
      </c>
      <c r="B24" s="163">
        <f t="shared" si="7"/>
        <v>0.101600203200406</v>
      </c>
      <c r="C24" s="110">
        <v>4</v>
      </c>
      <c r="D24" s="21" t="s">
        <v>126</v>
      </c>
      <c r="E24" s="21" t="s">
        <v>29</v>
      </c>
      <c r="F24" s="26" t="s">
        <v>26</v>
      </c>
      <c r="G24" s="168">
        <v>10.76</v>
      </c>
      <c r="H24" s="21">
        <f t="shared" si="8"/>
        <v>129.12</v>
      </c>
      <c r="I24" s="21">
        <f t="shared" si="9"/>
        <v>143.43</v>
      </c>
      <c r="J24" s="166">
        <f t="shared" si="10"/>
        <v>150.64</v>
      </c>
      <c r="M24" s="168">
        <v>9.78</v>
      </c>
      <c r="N24" s="167">
        <f t="shared" si="5"/>
        <v>10.76</v>
      </c>
      <c r="O24" s="108">
        <f t="shared" si="0"/>
        <v>0.100204498977505</v>
      </c>
      <c r="P24" s="109">
        <f t="shared" si="6"/>
        <v>143.4308</v>
      </c>
    </row>
    <row r="25" s="79" customFormat="1" customHeight="1" spans="1:16">
      <c r="A25" s="162" t="s">
        <v>119</v>
      </c>
      <c r="B25" s="163">
        <f t="shared" si="7"/>
        <v>0.101600203200406</v>
      </c>
      <c r="C25" s="110">
        <v>4</v>
      </c>
      <c r="D25" s="21" t="s">
        <v>126</v>
      </c>
      <c r="E25" s="21" t="s">
        <v>27</v>
      </c>
      <c r="F25" s="26" t="s">
        <v>26</v>
      </c>
      <c r="G25" s="168">
        <v>11.93</v>
      </c>
      <c r="H25" s="21">
        <f t="shared" si="8"/>
        <v>143.16</v>
      </c>
      <c r="I25" s="21">
        <f t="shared" si="9"/>
        <v>159.03</v>
      </c>
      <c r="J25" s="166">
        <f t="shared" si="10"/>
        <v>167.02</v>
      </c>
      <c r="K25" s="114"/>
      <c r="L25" s="79"/>
      <c r="M25" s="168">
        <v>11.05</v>
      </c>
      <c r="N25" s="167">
        <f>ROUND(M25*1.08,2)</f>
        <v>11.93</v>
      </c>
      <c r="O25" s="108">
        <f t="shared" si="0"/>
        <v>0.0796380090497737</v>
      </c>
      <c r="P25" s="109">
        <f t="shared" si="6"/>
        <v>159.0269</v>
      </c>
    </row>
    <row r="26" s="79" customFormat="1" customHeight="1" spans="1:16">
      <c r="A26" s="162" t="s">
        <v>119</v>
      </c>
      <c r="B26" s="163">
        <f t="shared" ref="B26:B34" si="11">C26/39.37</f>
        <v>0.101600203200406</v>
      </c>
      <c r="C26" s="110">
        <v>4</v>
      </c>
      <c r="D26" s="21" t="s">
        <v>126</v>
      </c>
      <c r="E26" s="21" t="s">
        <v>29</v>
      </c>
      <c r="F26" s="26" t="s">
        <v>31</v>
      </c>
      <c r="G26" s="168">
        <v>20.44</v>
      </c>
      <c r="H26" s="21">
        <f t="shared" ref="H26:H38" si="12">ROUND(G26*12,2)</f>
        <v>245.28</v>
      </c>
      <c r="I26" s="21">
        <f t="shared" ref="I26:I38" si="13">ROUND(G26*13.33,2)</f>
        <v>272.47</v>
      </c>
      <c r="J26" s="166">
        <f t="shared" ref="J26:J38" si="14">ROUND(G26*14,2)</f>
        <v>286.16</v>
      </c>
      <c r="M26" s="168">
        <v>18.58</v>
      </c>
      <c r="N26" s="167">
        <f t="shared" si="5"/>
        <v>20.44</v>
      </c>
      <c r="O26" s="108">
        <f t="shared" ref="O26:O44" si="15">(N26-M26)/M26</f>
        <v>0.10010764262648</v>
      </c>
      <c r="P26" s="109">
        <f t="shared" ref="P26:P38" si="16">N26*13.33</f>
        <v>272.4652</v>
      </c>
    </row>
    <row r="27" s="79" customFormat="1" customHeight="1" spans="1:16">
      <c r="A27" s="162" t="s">
        <v>119</v>
      </c>
      <c r="B27" s="163">
        <f t="shared" si="11"/>
        <v>0.101600203200406</v>
      </c>
      <c r="C27" s="110">
        <v>4</v>
      </c>
      <c r="D27" s="21" t="s">
        <v>127</v>
      </c>
      <c r="E27" s="21" t="s">
        <v>29</v>
      </c>
      <c r="F27" s="26" t="s">
        <v>28</v>
      </c>
      <c r="G27" s="168">
        <v>8.12</v>
      </c>
      <c r="H27" s="21">
        <f t="shared" si="12"/>
        <v>97.44</v>
      </c>
      <c r="I27" s="21">
        <f t="shared" si="13"/>
        <v>108.24</v>
      </c>
      <c r="J27" s="166">
        <f t="shared" si="14"/>
        <v>113.68</v>
      </c>
      <c r="M27" s="168">
        <v>7.38</v>
      </c>
      <c r="N27" s="167">
        <f t="shared" si="5"/>
        <v>8.12</v>
      </c>
      <c r="O27" s="108">
        <f t="shared" si="15"/>
        <v>0.100271002710027</v>
      </c>
      <c r="P27" s="109">
        <f t="shared" si="16"/>
        <v>108.2396</v>
      </c>
    </row>
    <row r="28" s="79" customFormat="1" customHeight="1" spans="1:16">
      <c r="A28" s="162" t="s">
        <v>119</v>
      </c>
      <c r="B28" s="163">
        <f t="shared" si="11"/>
        <v>0.101600203200406</v>
      </c>
      <c r="C28" s="110">
        <v>4</v>
      </c>
      <c r="D28" s="21" t="s">
        <v>127</v>
      </c>
      <c r="E28" s="21" t="s">
        <v>29</v>
      </c>
      <c r="F28" s="26" t="s">
        <v>34</v>
      </c>
      <c r="G28" s="168">
        <v>33.12</v>
      </c>
      <c r="H28" s="21">
        <f t="shared" si="12"/>
        <v>397.44</v>
      </c>
      <c r="I28" s="21">
        <f t="shared" si="13"/>
        <v>441.49</v>
      </c>
      <c r="J28" s="166">
        <f t="shared" si="14"/>
        <v>463.68</v>
      </c>
      <c r="M28" s="168">
        <v>30.67</v>
      </c>
      <c r="N28" s="167">
        <f>ROUND(M28*1.08,2)</f>
        <v>33.12</v>
      </c>
      <c r="O28" s="108">
        <f t="shared" si="15"/>
        <v>0.0798826214541896</v>
      </c>
      <c r="P28" s="109">
        <f t="shared" si="16"/>
        <v>441.4896</v>
      </c>
    </row>
    <row r="29" s="79" customFormat="1" customHeight="1" spans="1:16">
      <c r="A29" s="162" t="s">
        <v>119</v>
      </c>
      <c r="B29" s="163">
        <f t="shared" si="11"/>
        <v>0.114300228600457</v>
      </c>
      <c r="C29" s="110">
        <v>4.5</v>
      </c>
      <c r="D29" s="21" t="s">
        <v>126</v>
      </c>
      <c r="E29" s="21" t="s">
        <v>29</v>
      </c>
      <c r="F29" s="26" t="s">
        <v>28</v>
      </c>
      <c r="G29" s="168">
        <v>7.63</v>
      </c>
      <c r="H29" s="21">
        <f t="shared" si="12"/>
        <v>91.56</v>
      </c>
      <c r="I29" s="21">
        <f t="shared" si="13"/>
        <v>101.71</v>
      </c>
      <c r="J29" s="166">
        <f t="shared" si="14"/>
        <v>106.82</v>
      </c>
      <c r="M29" s="168">
        <v>6.94</v>
      </c>
      <c r="N29" s="167">
        <f t="shared" si="5"/>
        <v>7.63</v>
      </c>
      <c r="O29" s="108">
        <f t="shared" si="15"/>
        <v>0.0994236311239192</v>
      </c>
      <c r="P29" s="109">
        <f t="shared" si="16"/>
        <v>101.7079</v>
      </c>
    </row>
    <row r="30" s="79" customFormat="1" customHeight="1" spans="1:16">
      <c r="A30" s="162" t="s">
        <v>119</v>
      </c>
      <c r="B30" s="163">
        <f t="shared" si="11"/>
        <v>0.114300228600457</v>
      </c>
      <c r="C30" s="110">
        <v>4.5</v>
      </c>
      <c r="D30" s="21" t="s">
        <v>126</v>
      </c>
      <c r="E30" s="21" t="s">
        <v>29</v>
      </c>
      <c r="F30" s="26" t="s">
        <v>26</v>
      </c>
      <c r="G30" s="168">
        <v>10.76</v>
      </c>
      <c r="H30" s="21">
        <f t="shared" si="12"/>
        <v>129.12</v>
      </c>
      <c r="I30" s="21">
        <f t="shared" si="13"/>
        <v>143.43</v>
      </c>
      <c r="J30" s="166">
        <f t="shared" si="14"/>
        <v>150.64</v>
      </c>
      <c r="M30" s="168">
        <v>9.78</v>
      </c>
      <c r="N30" s="167">
        <f t="shared" si="5"/>
        <v>10.76</v>
      </c>
      <c r="O30" s="108">
        <f t="shared" si="15"/>
        <v>0.100204498977505</v>
      </c>
      <c r="P30" s="109">
        <f t="shared" si="16"/>
        <v>143.4308</v>
      </c>
    </row>
    <row r="31" s="79" customFormat="1" customHeight="1" spans="1:16">
      <c r="A31" s="162" t="s">
        <v>119</v>
      </c>
      <c r="B31" s="163">
        <f t="shared" si="11"/>
        <v>0.114300228600457</v>
      </c>
      <c r="C31" s="110">
        <v>4.5</v>
      </c>
      <c r="D31" s="21" t="s">
        <v>126</v>
      </c>
      <c r="E31" s="21" t="s">
        <v>29</v>
      </c>
      <c r="F31" s="26" t="s">
        <v>31</v>
      </c>
      <c r="G31" s="168">
        <v>20.44</v>
      </c>
      <c r="H31" s="21">
        <f t="shared" si="12"/>
        <v>245.28</v>
      </c>
      <c r="I31" s="21">
        <f t="shared" si="13"/>
        <v>272.47</v>
      </c>
      <c r="J31" s="166">
        <f t="shared" si="14"/>
        <v>286.16</v>
      </c>
      <c r="M31" s="168">
        <v>18.58</v>
      </c>
      <c r="N31" s="167">
        <f t="shared" si="5"/>
        <v>20.44</v>
      </c>
      <c r="O31" s="108">
        <f t="shared" si="15"/>
        <v>0.10010764262648</v>
      </c>
      <c r="P31" s="109">
        <f t="shared" si="16"/>
        <v>272.4652</v>
      </c>
    </row>
    <row r="32" s="79" customFormat="1" customHeight="1" spans="1:16">
      <c r="A32" s="162" t="s">
        <v>119</v>
      </c>
      <c r="B32" s="163">
        <f t="shared" si="11"/>
        <v>0.127000254000508</v>
      </c>
      <c r="C32" s="110">
        <v>5</v>
      </c>
      <c r="D32" s="21" t="s">
        <v>126</v>
      </c>
      <c r="E32" s="21" t="s">
        <v>29</v>
      </c>
      <c r="F32" s="26" t="s">
        <v>28</v>
      </c>
      <c r="G32" s="168">
        <v>7.67</v>
      </c>
      <c r="H32" s="21">
        <f t="shared" si="12"/>
        <v>92.04</v>
      </c>
      <c r="I32" s="21">
        <f t="shared" si="13"/>
        <v>102.24</v>
      </c>
      <c r="J32" s="166">
        <f t="shared" si="14"/>
        <v>107.38</v>
      </c>
      <c r="M32" s="168">
        <v>6.97</v>
      </c>
      <c r="N32" s="167">
        <f t="shared" si="5"/>
        <v>7.67</v>
      </c>
      <c r="O32" s="108">
        <f t="shared" si="15"/>
        <v>0.100430416068867</v>
      </c>
      <c r="P32" s="109">
        <f t="shared" si="16"/>
        <v>102.2411</v>
      </c>
    </row>
    <row r="33" s="79" customFormat="1" customHeight="1" spans="1:16">
      <c r="A33" s="162" t="s">
        <v>119</v>
      </c>
      <c r="B33" s="163">
        <f t="shared" si="11"/>
        <v>0.127000254000508</v>
      </c>
      <c r="C33" s="110">
        <v>5</v>
      </c>
      <c r="D33" s="21" t="s">
        <v>126</v>
      </c>
      <c r="E33" s="21" t="s">
        <v>29</v>
      </c>
      <c r="F33" s="26" t="s">
        <v>30</v>
      </c>
      <c r="G33" s="168">
        <v>9.54</v>
      </c>
      <c r="H33" s="21">
        <f t="shared" si="12"/>
        <v>114.48</v>
      </c>
      <c r="I33" s="21">
        <f t="shared" si="13"/>
        <v>127.17</v>
      </c>
      <c r="J33" s="166">
        <f t="shared" si="14"/>
        <v>133.56</v>
      </c>
      <c r="M33" s="168">
        <v>8.67</v>
      </c>
      <c r="N33" s="167">
        <f t="shared" si="5"/>
        <v>9.54</v>
      </c>
      <c r="O33" s="108">
        <f t="shared" si="15"/>
        <v>0.100346020761246</v>
      </c>
      <c r="P33" s="109">
        <f t="shared" si="16"/>
        <v>127.1682</v>
      </c>
    </row>
    <row r="34" s="79" customFormat="1" customHeight="1" spans="1:16">
      <c r="A34" s="162" t="s">
        <v>119</v>
      </c>
      <c r="B34" s="163">
        <f t="shared" si="11"/>
        <v>0.127000254000508</v>
      </c>
      <c r="C34" s="110">
        <v>5</v>
      </c>
      <c r="D34" s="21" t="s">
        <v>126</v>
      </c>
      <c r="E34" s="21" t="s">
        <v>29</v>
      </c>
      <c r="F34" s="26" t="s">
        <v>26</v>
      </c>
      <c r="G34" s="168">
        <v>10.95</v>
      </c>
      <c r="H34" s="21">
        <f t="shared" si="12"/>
        <v>131.4</v>
      </c>
      <c r="I34" s="21">
        <f t="shared" si="13"/>
        <v>145.96</v>
      </c>
      <c r="J34" s="166">
        <f t="shared" si="14"/>
        <v>153.3</v>
      </c>
      <c r="M34" s="168">
        <v>9.95</v>
      </c>
      <c r="N34" s="167">
        <f t="shared" si="5"/>
        <v>10.95</v>
      </c>
      <c r="O34" s="108">
        <f t="shared" si="15"/>
        <v>0.100502512562814</v>
      </c>
      <c r="P34" s="109">
        <f t="shared" si="16"/>
        <v>145.9635</v>
      </c>
    </row>
    <row r="35" s="79" customFormat="1" customHeight="1" spans="1:16">
      <c r="A35" s="162" t="s">
        <v>119</v>
      </c>
      <c r="B35" s="163">
        <f t="shared" ref="B35:B42" si="17">C35/39.37</f>
        <v>0.127000254000508</v>
      </c>
      <c r="C35" s="110">
        <v>5</v>
      </c>
      <c r="D35" s="21" t="s">
        <v>126</v>
      </c>
      <c r="E35" s="21" t="s">
        <v>29</v>
      </c>
      <c r="F35" s="26" t="s">
        <v>31</v>
      </c>
      <c r="G35" s="168">
        <v>20.91</v>
      </c>
      <c r="H35" s="21">
        <f t="shared" si="12"/>
        <v>250.92</v>
      </c>
      <c r="I35" s="21">
        <f t="shared" si="13"/>
        <v>278.73</v>
      </c>
      <c r="J35" s="166">
        <f t="shared" si="14"/>
        <v>292.74</v>
      </c>
      <c r="M35" s="168">
        <v>19.01</v>
      </c>
      <c r="N35" s="167">
        <f t="shared" si="5"/>
        <v>20.91</v>
      </c>
      <c r="O35" s="108">
        <f t="shared" si="15"/>
        <v>0.0999473961073119</v>
      </c>
      <c r="P35" s="109">
        <f t="shared" si="16"/>
        <v>278.7303</v>
      </c>
    </row>
    <row r="36" s="79" customFormat="1" customHeight="1" spans="1:16">
      <c r="A36" s="162" t="s">
        <v>119</v>
      </c>
      <c r="B36" s="163">
        <f t="shared" si="17"/>
        <v>0.127000254000508</v>
      </c>
      <c r="C36" s="110">
        <v>5</v>
      </c>
      <c r="D36" s="21" t="s">
        <v>128</v>
      </c>
      <c r="E36" s="21" t="s">
        <v>29</v>
      </c>
      <c r="F36" s="26" t="s">
        <v>26</v>
      </c>
      <c r="G36" s="168">
        <v>11.75</v>
      </c>
      <c r="H36" s="21">
        <f t="shared" si="12"/>
        <v>141</v>
      </c>
      <c r="I36" s="21">
        <f t="shared" si="13"/>
        <v>156.63</v>
      </c>
      <c r="J36" s="166">
        <f t="shared" si="14"/>
        <v>164.5</v>
      </c>
      <c r="M36" s="168">
        <v>10.68</v>
      </c>
      <c r="N36" s="167">
        <f t="shared" si="5"/>
        <v>11.75</v>
      </c>
      <c r="O36" s="108">
        <f t="shared" si="15"/>
        <v>0.100187265917603</v>
      </c>
      <c r="P36" s="109">
        <f t="shared" si="16"/>
        <v>156.6275</v>
      </c>
    </row>
    <row r="37" s="79" customFormat="1" customHeight="1" spans="1:16">
      <c r="A37" s="162" t="s">
        <v>119</v>
      </c>
      <c r="B37" s="163">
        <f t="shared" si="17"/>
        <v>0.15240030480061</v>
      </c>
      <c r="C37" s="110">
        <v>6</v>
      </c>
      <c r="D37" s="21" t="s">
        <v>129</v>
      </c>
      <c r="E37" s="21" t="s">
        <v>29</v>
      </c>
      <c r="F37" s="26" t="s">
        <v>28</v>
      </c>
      <c r="G37" s="168">
        <v>7.73</v>
      </c>
      <c r="H37" s="21">
        <f t="shared" si="12"/>
        <v>92.76</v>
      </c>
      <c r="I37" s="21">
        <f t="shared" si="13"/>
        <v>103.04</v>
      </c>
      <c r="J37" s="166">
        <f t="shared" si="14"/>
        <v>108.22</v>
      </c>
      <c r="M37" s="168">
        <v>7.03</v>
      </c>
      <c r="N37" s="167">
        <f t="shared" si="5"/>
        <v>7.73</v>
      </c>
      <c r="O37" s="108">
        <f t="shared" si="15"/>
        <v>0.0995732574679943</v>
      </c>
      <c r="P37" s="109">
        <f t="shared" si="16"/>
        <v>103.0409</v>
      </c>
    </row>
    <row r="38" s="79" customFormat="1" customHeight="1" spans="1:16">
      <c r="A38" s="162" t="s">
        <v>119</v>
      </c>
      <c r="B38" s="163">
        <f t="shared" si="17"/>
        <v>0.15240030480061</v>
      </c>
      <c r="C38" s="110">
        <v>6</v>
      </c>
      <c r="D38" s="21" t="s">
        <v>129</v>
      </c>
      <c r="E38" s="21" t="s">
        <v>29</v>
      </c>
      <c r="F38" s="26" t="s">
        <v>30</v>
      </c>
      <c r="G38" s="168">
        <v>10</v>
      </c>
      <c r="H38" s="21">
        <f t="shared" si="12"/>
        <v>120</v>
      </c>
      <c r="I38" s="21">
        <f t="shared" si="13"/>
        <v>133.3</v>
      </c>
      <c r="J38" s="166">
        <f t="shared" si="14"/>
        <v>140</v>
      </c>
      <c r="M38" s="168">
        <v>9.26</v>
      </c>
      <c r="N38" s="167">
        <f>ROUND(M38*1.08,2)</f>
        <v>10</v>
      </c>
      <c r="O38" s="108">
        <f t="shared" si="15"/>
        <v>0.0799136069114471</v>
      </c>
      <c r="P38" s="109">
        <f t="shared" si="16"/>
        <v>133.3</v>
      </c>
    </row>
    <row r="39" s="79" customFormat="1" customHeight="1" spans="1:16">
      <c r="A39" s="162" t="s">
        <v>119</v>
      </c>
      <c r="B39" s="163">
        <f t="shared" si="17"/>
        <v>0.15240030480061</v>
      </c>
      <c r="C39" s="110">
        <v>6</v>
      </c>
      <c r="D39" s="21" t="s">
        <v>129</v>
      </c>
      <c r="E39" s="21" t="s">
        <v>29</v>
      </c>
      <c r="F39" s="26" t="s">
        <v>26</v>
      </c>
      <c r="G39" s="168">
        <v>10.88</v>
      </c>
      <c r="H39" s="21">
        <f t="shared" ref="H39:H61" si="18">ROUND(G39*12,2)</f>
        <v>130.56</v>
      </c>
      <c r="I39" s="21">
        <f t="shared" ref="I39:I61" si="19">ROUND(G39*13.33,2)</f>
        <v>145.03</v>
      </c>
      <c r="J39" s="166">
        <f t="shared" ref="J39:J61" si="20">ROUND(G39*14,2)</f>
        <v>152.32</v>
      </c>
      <c r="M39" s="168">
        <v>9.89</v>
      </c>
      <c r="N39" s="167">
        <f t="shared" si="5"/>
        <v>10.88</v>
      </c>
      <c r="O39" s="108">
        <f t="shared" ref="O39:O48" si="21">(N39-M39)/M39</f>
        <v>0.10010111223458</v>
      </c>
      <c r="P39" s="109">
        <f t="shared" ref="P39:P62" si="22">N39*13.33</f>
        <v>145.0304</v>
      </c>
    </row>
    <row r="40" s="79" customFormat="1" customHeight="1" spans="1:16">
      <c r="A40" s="162" t="s">
        <v>119</v>
      </c>
      <c r="B40" s="163">
        <f t="shared" si="17"/>
        <v>0.15240030480061</v>
      </c>
      <c r="C40" s="110">
        <v>6</v>
      </c>
      <c r="D40" s="21" t="s">
        <v>129</v>
      </c>
      <c r="E40" s="21" t="s">
        <v>29</v>
      </c>
      <c r="F40" s="26" t="s">
        <v>31</v>
      </c>
      <c r="G40" s="168">
        <v>20.98</v>
      </c>
      <c r="H40" s="21">
        <f t="shared" si="18"/>
        <v>251.76</v>
      </c>
      <c r="I40" s="21">
        <f t="shared" si="19"/>
        <v>279.66</v>
      </c>
      <c r="J40" s="166">
        <f t="shared" si="20"/>
        <v>293.72</v>
      </c>
      <c r="M40" s="168">
        <v>19.25</v>
      </c>
      <c r="N40" s="167">
        <f>ROUND(M40*1.09,2)</f>
        <v>20.98</v>
      </c>
      <c r="O40" s="108">
        <f t="shared" si="21"/>
        <v>0.0898701298701299</v>
      </c>
      <c r="P40" s="109">
        <f t="shared" si="22"/>
        <v>279.6634</v>
      </c>
    </row>
    <row r="41" s="79" customFormat="1" customHeight="1" spans="1:16">
      <c r="A41" s="162" t="s">
        <v>119</v>
      </c>
      <c r="B41" s="163">
        <f t="shared" si="17"/>
        <v>0.15240030480061</v>
      </c>
      <c r="C41" s="110">
        <v>6</v>
      </c>
      <c r="D41" s="21" t="s">
        <v>128</v>
      </c>
      <c r="E41" s="21" t="s">
        <v>29</v>
      </c>
      <c r="F41" s="26" t="s">
        <v>26</v>
      </c>
      <c r="G41" s="168">
        <v>14.27</v>
      </c>
      <c r="H41" s="21">
        <f t="shared" si="18"/>
        <v>171.24</v>
      </c>
      <c r="I41" s="21">
        <f t="shared" si="19"/>
        <v>190.22</v>
      </c>
      <c r="J41" s="166">
        <f t="shared" si="20"/>
        <v>199.78</v>
      </c>
      <c r="K41" s="114"/>
      <c r="L41" s="79"/>
      <c r="M41" s="168">
        <v>13.21</v>
      </c>
      <c r="N41" s="167">
        <f>ROUND(M41*1.08,2)</f>
        <v>14.27</v>
      </c>
      <c r="O41" s="108">
        <f t="shared" si="21"/>
        <v>0.0802422407267221</v>
      </c>
      <c r="P41" s="109">
        <f t="shared" si="22"/>
        <v>190.2191</v>
      </c>
    </row>
    <row r="42" s="79" customFormat="1" customHeight="1" spans="1:16">
      <c r="A42" s="162" t="s">
        <v>119</v>
      </c>
      <c r="B42" s="163">
        <f t="shared" si="17"/>
        <v>0.15240030480061</v>
      </c>
      <c r="C42" s="110">
        <v>6</v>
      </c>
      <c r="D42" s="21" t="s">
        <v>128</v>
      </c>
      <c r="E42" s="21" t="s">
        <v>29</v>
      </c>
      <c r="F42" s="26" t="s">
        <v>34</v>
      </c>
      <c r="G42" s="168">
        <v>34.18</v>
      </c>
      <c r="H42" s="21">
        <f t="shared" si="18"/>
        <v>410.16</v>
      </c>
      <c r="I42" s="21">
        <f t="shared" si="19"/>
        <v>455.62</v>
      </c>
      <c r="J42" s="166">
        <f t="shared" si="20"/>
        <v>478.52</v>
      </c>
      <c r="M42" s="168">
        <v>31.65</v>
      </c>
      <c r="N42" s="167">
        <f>ROUND(M42*1.08,2)</f>
        <v>34.18</v>
      </c>
      <c r="O42" s="108">
        <f t="shared" si="21"/>
        <v>0.0799368088467615</v>
      </c>
      <c r="P42" s="109">
        <f t="shared" si="22"/>
        <v>455.6194</v>
      </c>
    </row>
    <row r="43" s="79" customFormat="1" customHeight="1" spans="1:16">
      <c r="A43" s="162" t="s">
        <v>119</v>
      </c>
      <c r="B43" s="163">
        <f t="shared" ref="B43:B48" si="23">C43/39.37</f>
        <v>0.177800355600711</v>
      </c>
      <c r="C43" s="110">
        <v>7</v>
      </c>
      <c r="D43" s="21" t="s">
        <v>130</v>
      </c>
      <c r="E43" s="21" t="s">
        <v>29</v>
      </c>
      <c r="F43" s="26" t="s">
        <v>28</v>
      </c>
      <c r="G43" s="168">
        <v>7.81</v>
      </c>
      <c r="H43" s="21">
        <f t="shared" si="18"/>
        <v>93.72</v>
      </c>
      <c r="I43" s="21">
        <f t="shared" si="19"/>
        <v>104.11</v>
      </c>
      <c r="J43" s="166">
        <f t="shared" si="20"/>
        <v>109.34</v>
      </c>
      <c r="M43" s="168">
        <v>7.1</v>
      </c>
      <c r="N43" s="167">
        <f t="shared" ref="N43:N74" si="24">ROUND(M43*1.1,2)</f>
        <v>7.81</v>
      </c>
      <c r="O43" s="108">
        <f t="shared" si="21"/>
        <v>0.1</v>
      </c>
      <c r="P43" s="109">
        <f t="shared" si="22"/>
        <v>104.1073</v>
      </c>
    </row>
    <row r="44" s="79" customFormat="1" customHeight="1" spans="1:16">
      <c r="A44" s="162" t="s">
        <v>119</v>
      </c>
      <c r="B44" s="163">
        <f t="shared" si="23"/>
        <v>0.177800355600711</v>
      </c>
      <c r="C44" s="110">
        <v>7</v>
      </c>
      <c r="D44" s="21" t="s">
        <v>130</v>
      </c>
      <c r="E44" s="21" t="s">
        <v>29</v>
      </c>
      <c r="F44" s="26" t="s">
        <v>26</v>
      </c>
      <c r="G44" s="168">
        <v>10.63</v>
      </c>
      <c r="H44" s="21">
        <f t="shared" si="18"/>
        <v>127.56</v>
      </c>
      <c r="I44" s="21">
        <f t="shared" si="19"/>
        <v>141.7</v>
      </c>
      <c r="J44" s="166">
        <f t="shared" si="20"/>
        <v>148.82</v>
      </c>
      <c r="M44" s="168">
        <v>9.66</v>
      </c>
      <c r="N44" s="167">
        <f t="shared" si="24"/>
        <v>10.63</v>
      </c>
      <c r="O44" s="108">
        <f t="shared" si="21"/>
        <v>0.100414078674948</v>
      </c>
      <c r="P44" s="109">
        <f t="shared" si="22"/>
        <v>141.6979</v>
      </c>
    </row>
    <row r="45" s="79" customFormat="1" customHeight="1" spans="1:16">
      <c r="A45" s="162" t="s">
        <v>119</v>
      </c>
      <c r="B45" s="163">
        <f t="shared" si="23"/>
        <v>0.177800355600711</v>
      </c>
      <c r="C45" s="110">
        <v>7</v>
      </c>
      <c r="D45" s="21" t="s">
        <v>130</v>
      </c>
      <c r="E45" s="21" t="s">
        <v>29</v>
      </c>
      <c r="F45" s="26" t="s">
        <v>31</v>
      </c>
      <c r="G45" s="168">
        <v>20.75</v>
      </c>
      <c r="H45" s="21">
        <f t="shared" si="18"/>
        <v>249</v>
      </c>
      <c r="I45" s="21">
        <f t="shared" si="19"/>
        <v>276.6</v>
      </c>
      <c r="J45" s="166">
        <f t="shared" si="20"/>
        <v>290.5</v>
      </c>
      <c r="M45" s="168">
        <v>18.86</v>
      </c>
      <c r="N45" s="167">
        <f t="shared" si="24"/>
        <v>20.75</v>
      </c>
      <c r="O45" s="108">
        <f t="shared" si="21"/>
        <v>0.100212089077413</v>
      </c>
      <c r="P45" s="109">
        <f t="shared" si="22"/>
        <v>276.5975</v>
      </c>
    </row>
    <row r="46" s="79" customFormat="1" customHeight="1" spans="1:16">
      <c r="A46" s="162" t="s">
        <v>119</v>
      </c>
      <c r="B46" s="163">
        <f t="shared" si="23"/>
        <v>0.203200406400813</v>
      </c>
      <c r="C46" s="110">
        <v>8</v>
      </c>
      <c r="D46" s="21" t="s">
        <v>130</v>
      </c>
      <c r="E46" s="21" t="s">
        <v>29</v>
      </c>
      <c r="F46" s="26" t="s">
        <v>28</v>
      </c>
      <c r="G46" s="168">
        <v>7.88</v>
      </c>
      <c r="H46" s="21">
        <f t="shared" si="18"/>
        <v>94.56</v>
      </c>
      <c r="I46" s="21">
        <f t="shared" si="19"/>
        <v>105.04</v>
      </c>
      <c r="J46" s="166">
        <f t="shared" si="20"/>
        <v>110.32</v>
      </c>
      <c r="M46" s="168">
        <v>7.16</v>
      </c>
      <c r="N46" s="167">
        <f t="shared" si="24"/>
        <v>7.88</v>
      </c>
      <c r="O46" s="108">
        <f t="shared" si="21"/>
        <v>0.100558659217877</v>
      </c>
      <c r="P46" s="109">
        <f t="shared" si="22"/>
        <v>105.0404</v>
      </c>
    </row>
    <row r="47" s="79" customFormat="1" customHeight="1" spans="1:16">
      <c r="A47" s="162" t="s">
        <v>119</v>
      </c>
      <c r="B47" s="163">
        <f t="shared" si="23"/>
        <v>0.203200406400813</v>
      </c>
      <c r="C47" s="110">
        <v>8</v>
      </c>
      <c r="D47" s="21" t="s">
        <v>130</v>
      </c>
      <c r="E47" s="21" t="s">
        <v>29</v>
      </c>
      <c r="F47" s="26" t="s">
        <v>26</v>
      </c>
      <c r="G47" s="168">
        <v>10.65</v>
      </c>
      <c r="H47" s="21">
        <f t="shared" si="18"/>
        <v>127.8</v>
      </c>
      <c r="I47" s="21">
        <f t="shared" si="19"/>
        <v>141.96</v>
      </c>
      <c r="J47" s="166">
        <f t="shared" si="20"/>
        <v>149.1</v>
      </c>
      <c r="M47" s="168">
        <v>9.68</v>
      </c>
      <c r="N47" s="167">
        <f t="shared" si="24"/>
        <v>10.65</v>
      </c>
      <c r="O47" s="108">
        <f t="shared" si="21"/>
        <v>0.100206611570248</v>
      </c>
      <c r="P47" s="109">
        <f t="shared" si="22"/>
        <v>141.9645</v>
      </c>
    </row>
    <row r="48" s="79" customFormat="1" customHeight="1" spans="1:16">
      <c r="A48" s="162" t="s">
        <v>119</v>
      </c>
      <c r="B48" s="163">
        <f t="shared" si="23"/>
        <v>0.203200406400813</v>
      </c>
      <c r="C48" s="110">
        <v>8</v>
      </c>
      <c r="D48" s="21" t="s">
        <v>130</v>
      </c>
      <c r="E48" s="21" t="s">
        <v>29</v>
      </c>
      <c r="F48" s="26" t="s">
        <v>42</v>
      </c>
      <c r="G48" s="168">
        <v>17.23</v>
      </c>
      <c r="H48" s="21">
        <f t="shared" si="18"/>
        <v>206.76</v>
      </c>
      <c r="I48" s="21">
        <f t="shared" si="19"/>
        <v>229.68</v>
      </c>
      <c r="J48" s="166">
        <f t="shared" si="20"/>
        <v>241.22</v>
      </c>
      <c r="M48" s="168">
        <v>15.95</v>
      </c>
      <c r="N48" s="167">
        <f>ROUND(M48*1.08,2)</f>
        <v>17.23</v>
      </c>
      <c r="O48" s="108">
        <f t="shared" si="21"/>
        <v>0.0802507836990596</v>
      </c>
      <c r="P48" s="109">
        <f t="shared" si="22"/>
        <v>229.6759</v>
      </c>
    </row>
    <row r="49" s="79" customFormat="1" customHeight="1" spans="1:16">
      <c r="A49" s="162" t="s">
        <v>119</v>
      </c>
      <c r="B49" s="163">
        <f t="shared" ref="B49:B61" si="25">C49/39.37</f>
        <v>0.203200406400813</v>
      </c>
      <c r="C49" s="110">
        <v>8</v>
      </c>
      <c r="D49" s="21" t="s">
        <v>130</v>
      </c>
      <c r="E49" s="21" t="s">
        <v>29</v>
      </c>
      <c r="F49" s="26" t="s">
        <v>31</v>
      </c>
      <c r="G49" s="168">
        <v>20.77</v>
      </c>
      <c r="H49" s="21">
        <f t="shared" si="18"/>
        <v>249.24</v>
      </c>
      <c r="I49" s="21">
        <f t="shared" si="19"/>
        <v>276.86</v>
      </c>
      <c r="J49" s="166">
        <f t="shared" si="20"/>
        <v>290.78</v>
      </c>
      <c r="M49" s="168">
        <v>18.88</v>
      </c>
      <c r="N49" s="167">
        <f>ROUND(M49*1.1,2)</f>
        <v>20.77</v>
      </c>
      <c r="O49" s="108">
        <f t="shared" ref="O49:O78" si="26">(N49-M49)/M49</f>
        <v>0.10010593220339</v>
      </c>
      <c r="P49" s="109">
        <f t="shared" ref="P49:P67" si="27">N49*13.33</f>
        <v>276.8641</v>
      </c>
    </row>
    <row r="50" s="79" customFormat="1" customHeight="1" spans="1:16">
      <c r="A50" s="162" t="s">
        <v>119</v>
      </c>
      <c r="B50" s="163">
        <f t="shared" si="25"/>
        <v>0.203200406400813</v>
      </c>
      <c r="C50" s="110">
        <v>8</v>
      </c>
      <c r="D50" s="21" t="s">
        <v>130</v>
      </c>
      <c r="E50" s="21" t="s">
        <v>29</v>
      </c>
      <c r="F50" s="26" t="s">
        <v>34</v>
      </c>
      <c r="G50" s="168">
        <v>31.64</v>
      </c>
      <c r="H50" s="21">
        <f t="shared" si="18"/>
        <v>379.68</v>
      </c>
      <c r="I50" s="21">
        <f t="shared" si="19"/>
        <v>421.76</v>
      </c>
      <c r="J50" s="166">
        <f t="shared" si="20"/>
        <v>442.96</v>
      </c>
      <c r="M50" s="168">
        <v>29.3</v>
      </c>
      <c r="N50" s="167">
        <f>ROUND(M50*1.08,2)</f>
        <v>31.64</v>
      </c>
      <c r="O50" s="108">
        <f t="shared" si="26"/>
        <v>0.0798634812286689</v>
      </c>
      <c r="P50" s="109">
        <f t="shared" si="27"/>
        <v>421.7612</v>
      </c>
    </row>
    <row r="51" s="79" customFormat="1" customHeight="1" spans="1:16">
      <c r="A51" s="162" t="s">
        <v>119</v>
      </c>
      <c r="B51" s="163">
        <f t="shared" si="25"/>
        <v>0.203200406400813</v>
      </c>
      <c r="C51" s="110">
        <v>8</v>
      </c>
      <c r="D51" s="21" t="s">
        <v>131</v>
      </c>
      <c r="E51" s="21" t="s">
        <v>29</v>
      </c>
      <c r="F51" s="26" t="s">
        <v>26</v>
      </c>
      <c r="G51" s="168">
        <v>11.9</v>
      </c>
      <c r="H51" s="21">
        <f t="shared" si="18"/>
        <v>142.8</v>
      </c>
      <c r="I51" s="21">
        <f t="shared" si="19"/>
        <v>158.63</v>
      </c>
      <c r="J51" s="166">
        <f t="shared" si="20"/>
        <v>166.6</v>
      </c>
      <c r="M51" s="168">
        <v>10.82</v>
      </c>
      <c r="N51" s="167">
        <f t="shared" si="24"/>
        <v>11.9</v>
      </c>
      <c r="O51" s="108">
        <f t="shared" si="26"/>
        <v>0.099815157116451</v>
      </c>
      <c r="P51" s="109">
        <f t="shared" si="27"/>
        <v>158.627</v>
      </c>
    </row>
    <row r="52" s="79" customFormat="1" customHeight="1" spans="1:16">
      <c r="A52" s="162" t="s">
        <v>119</v>
      </c>
      <c r="B52" s="163">
        <f t="shared" si="25"/>
        <v>0.203200406400813</v>
      </c>
      <c r="C52" s="110">
        <v>8</v>
      </c>
      <c r="D52" s="21" t="s">
        <v>132</v>
      </c>
      <c r="E52" s="21" t="s">
        <v>29</v>
      </c>
      <c r="F52" s="26" t="s">
        <v>26</v>
      </c>
      <c r="G52" s="168">
        <v>12.05</v>
      </c>
      <c r="H52" s="21">
        <f t="shared" si="18"/>
        <v>144.6</v>
      </c>
      <c r="I52" s="21">
        <f t="shared" si="19"/>
        <v>160.63</v>
      </c>
      <c r="J52" s="166">
        <f t="shared" si="20"/>
        <v>168.7</v>
      </c>
      <c r="M52" s="168">
        <v>10.95</v>
      </c>
      <c r="N52" s="167">
        <f t="shared" si="24"/>
        <v>12.05</v>
      </c>
      <c r="O52" s="108">
        <f t="shared" si="26"/>
        <v>0.100456621004566</v>
      </c>
      <c r="P52" s="109">
        <f t="shared" si="27"/>
        <v>160.6265</v>
      </c>
    </row>
    <row r="53" s="79" customFormat="1" customHeight="1" spans="1:16">
      <c r="A53" s="162" t="s">
        <v>119</v>
      </c>
      <c r="B53" s="163">
        <f t="shared" si="25"/>
        <v>0.203200406400813</v>
      </c>
      <c r="C53" s="110">
        <v>8</v>
      </c>
      <c r="D53" s="21" t="s">
        <v>133</v>
      </c>
      <c r="E53" s="21" t="s">
        <v>29</v>
      </c>
      <c r="F53" s="26" t="s">
        <v>34</v>
      </c>
      <c r="G53" s="168">
        <v>33.9</v>
      </c>
      <c r="H53" s="21">
        <f t="shared" si="18"/>
        <v>406.8</v>
      </c>
      <c r="I53" s="21">
        <f t="shared" si="19"/>
        <v>451.89</v>
      </c>
      <c r="J53" s="166">
        <f t="shared" si="20"/>
        <v>474.6</v>
      </c>
      <c r="M53" s="168">
        <v>30.82</v>
      </c>
      <c r="N53" s="167">
        <f t="shared" si="24"/>
        <v>33.9</v>
      </c>
      <c r="O53" s="108">
        <f t="shared" si="26"/>
        <v>0.0999351070733289</v>
      </c>
      <c r="P53" s="109">
        <f t="shared" si="27"/>
        <v>451.887</v>
      </c>
    </row>
    <row r="54" s="153" customFormat="1" customHeight="1" spans="1:16">
      <c r="A54" s="162" t="s">
        <v>119</v>
      </c>
      <c r="B54" s="163">
        <f t="shared" si="25"/>
        <v>0.228600457200914</v>
      </c>
      <c r="C54" s="110">
        <v>9</v>
      </c>
      <c r="D54" s="21" t="s">
        <v>131</v>
      </c>
      <c r="E54" s="21" t="s">
        <v>29</v>
      </c>
      <c r="F54" s="26" t="s">
        <v>28</v>
      </c>
      <c r="G54" s="168">
        <v>8.9</v>
      </c>
      <c r="H54" s="21">
        <f t="shared" si="18"/>
        <v>106.8</v>
      </c>
      <c r="I54" s="21">
        <f t="shared" si="19"/>
        <v>118.64</v>
      </c>
      <c r="J54" s="166">
        <f t="shared" si="20"/>
        <v>124.6</v>
      </c>
      <c r="M54" s="168">
        <v>8.09</v>
      </c>
      <c r="N54" s="167">
        <f t="shared" si="24"/>
        <v>8.9</v>
      </c>
      <c r="O54" s="108">
        <f t="shared" si="26"/>
        <v>0.100123609394314</v>
      </c>
      <c r="P54" s="109">
        <f t="shared" si="27"/>
        <v>118.637</v>
      </c>
    </row>
    <row r="55" s="153" customFormat="1" customHeight="1" spans="1:16">
      <c r="A55" s="162" t="s">
        <v>119</v>
      </c>
      <c r="B55" s="163">
        <f t="shared" si="25"/>
        <v>0.228600457200914</v>
      </c>
      <c r="C55" s="110">
        <v>9</v>
      </c>
      <c r="D55" s="21" t="s">
        <v>131</v>
      </c>
      <c r="E55" s="21" t="s">
        <v>29</v>
      </c>
      <c r="F55" s="26" t="s">
        <v>26</v>
      </c>
      <c r="G55" s="168">
        <v>12.05</v>
      </c>
      <c r="H55" s="21">
        <f t="shared" si="18"/>
        <v>144.6</v>
      </c>
      <c r="I55" s="21">
        <f t="shared" si="19"/>
        <v>160.63</v>
      </c>
      <c r="J55" s="166">
        <f t="shared" si="20"/>
        <v>168.7</v>
      </c>
      <c r="M55" s="168">
        <v>10.95</v>
      </c>
      <c r="N55" s="167">
        <f t="shared" si="24"/>
        <v>12.05</v>
      </c>
      <c r="O55" s="108">
        <f t="shared" si="26"/>
        <v>0.100456621004566</v>
      </c>
      <c r="P55" s="109">
        <f t="shared" si="27"/>
        <v>160.6265</v>
      </c>
    </row>
    <row r="56" s="153" customFormat="1" customHeight="1" spans="1:16">
      <c r="A56" s="162" t="s">
        <v>119</v>
      </c>
      <c r="B56" s="163">
        <f t="shared" si="25"/>
        <v>0.228600457200914</v>
      </c>
      <c r="C56" s="110">
        <v>9</v>
      </c>
      <c r="D56" s="21" t="s">
        <v>131</v>
      </c>
      <c r="E56" s="21" t="s">
        <v>29</v>
      </c>
      <c r="F56" s="26" t="s">
        <v>31</v>
      </c>
      <c r="G56" s="168">
        <v>21.03</v>
      </c>
      <c r="H56" s="21">
        <f t="shared" si="18"/>
        <v>252.36</v>
      </c>
      <c r="I56" s="21">
        <f t="shared" si="19"/>
        <v>280.33</v>
      </c>
      <c r="J56" s="166">
        <f t="shared" si="20"/>
        <v>294.42</v>
      </c>
      <c r="M56" s="168">
        <v>19.12</v>
      </c>
      <c r="N56" s="167">
        <f t="shared" si="24"/>
        <v>21.03</v>
      </c>
      <c r="O56" s="108">
        <f t="shared" si="26"/>
        <v>0.0998953974895398</v>
      </c>
      <c r="P56" s="109">
        <f t="shared" si="27"/>
        <v>280.3299</v>
      </c>
    </row>
    <row r="57" s="153" customFormat="1" customHeight="1" spans="1:16">
      <c r="A57" s="162" t="s">
        <v>119</v>
      </c>
      <c r="B57" s="163">
        <f t="shared" si="25"/>
        <v>0.254000508001016</v>
      </c>
      <c r="C57" s="110">
        <v>10</v>
      </c>
      <c r="D57" s="21" t="s">
        <v>131</v>
      </c>
      <c r="E57" s="21" t="s">
        <v>29</v>
      </c>
      <c r="F57" s="26" t="s">
        <v>28</v>
      </c>
      <c r="G57" s="168">
        <v>8.97</v>
      </c>
      <c r="H57" s="21">
        <f t="shared" si="18"/>
        <v>107.64</v>
      </c>
      <c r="I57" s="21">
        <f t="shared" si="19"/>
        <v>119.57</v>
      </c>
      <c r="J57" s="166">
        <f t="shared" si="20"/>
        <v>125.58</v>
      </c>
      <c r="M57" s="168">
        <v>8.15</v>
      </c>
      <c r="N57" s="167">
        <f t="shared" si="24"/>
        <v>8.97</v>
      </c>
      <c r="O57" s="108">
        <f t="shared" si="26"/>
        <v>0.100613496932515</v>
      </c>
      <c r="P57" s="109">
        <f t="shared" si="27"/>
        <v>119.5701</v>
      </c>
    </row>
    <row r="58" s="153" customFormat="1" customHeight="1" spans="1:16">
      <c r="A58" s="162" t="s">
        <v>119</v>
      </c>
      <c r="B58" s="163">
        <f t="shared" si="25"/>
        <v>0.254000508001016</v>
      </c>
      <c r="C58" s="110">
        <v>10</v>
      </c>
      <c r="D58" s="21" t="s">
        <v>131</v>
      </c>
      <c r="E58" s="21" t="s">
        <v>29</v>
      </c>
      <c r="F58" s="26" t="s">
        <v>26</v>
      </c>
      <c r="G58" s="168">
        <v>12.23</v>
      </c>
      <c r="H58" s="21">
        <f t="shared" si="18"/>
        <v>146.76</v>
      </c>
      <c r="I58" s="21">
        <f t="shared" si="19"/>
        <v>163.03</v>
      </c>
      <c r="J58" s="166">
        <f t="shared" si="20"/>
        <v>171.22</v>
      </c>
      <c r="M58" s="168">
        <v>11.12</v>
      </c>
      <c r="N58" s="167">
        <f t="shared" si="24"/>
        <v>12.23</v>
      </c>
      <c r="O58" s="108">
        <f t="shared" si="26"/>
        <v>0.0998201438848922</v>
      </c>
      <c r="P58" s="109">
        <f t="shared" si="27"/>
        <v>163.0259</v>
      </c>
    </row>
    <row r="59" s="153" customFormat="1" customHeight="1" spans="1:16">
      <c r="A59" s="162" t="s">
        <v>119</v>
      </c>
      <c r="B59" s="163">
        <f t="shared" si="25"/>
        <v>0.254000508001016</v>
      </c>
      <c r="C59" s="110">
        <v>10</v>
      </c>
      <c r="D59" s="21" t="s">
        <v>131</v>
      </c>
      <c r="E59" s="21" t="s">
        <v>29</v>
      </c>
      <c r="F59" s="26" t="s">
        <v>42</v>
      </c>
      <c r="G59" s="168">
        <v>17.78</v>
      </c>
      <c r="H59" s="21">
        <f t="shared" si="18"/>
        <v>213.36</v>
      </c>
      <c r="I59" s="21">
        <f t="shared" si="19"/>
        <v>237.01</v>
      </c>
      <c r="J59" s="166">
        <f t="shared" si="20"/>
        <v>248.92</v>
      </c>
      <c r="M59" s="168">
        <v>16.16</v>
      </c>
      <c r="N59" s="167">
        <f t="shared" si="24"/>
        <v>17.78</v>
      </c>
      <c r="O59" s="108">
        <f t="shared" si="26"/>
        <v>0.100247524752475</v>
      </c>
      <c r="P59" s="109">
        <f t="shared" si="27"/>
        <v>237.0074</v>
      </c>
    </row>
    <row r="60" s="153" customFormat="1" customHeight="1" spans="1:16">
      <c r="A60" s="162" t="s">
        <v>119</v>
      </c>
      <c r="B60" s="163">
        <f t="shared" si="25"/>
        <v>0.254000508001016</v>
      </c>
      <c r="C60" s="110">
        <v>10</v>
      </c>
      <c r="D60" s="21" t="s">
        <v>131</v>
      </c>
      <c r="E60" s="21" t="s">
        <v>29</v>
      </c>
      <c r="F60" s="26" t="s">
        <v>31</v>
      </c>
      <c r="G60" s="168">
        <v>21.38</v>
      </c>
      <c r="H60" s="21">
        <f t="shared" si="18"/>
        <v>256.56</v>
      </c>
      <c r="I60" s="21">
        <f t="shared" si="19"/>
        <v>285</v>
      </c>
      <c r="J60" s="166">
        <f t="shared" si="20"/>
        <v>299.32</v>
      </c>
      <c r="M60" s="168">
        <v>19.44</v>
      </c>
      <c r="N60" s="167">
        <f t="shared" si="24"/>
        <v>21.38</v>
      </c>
      <c r="O60" s="108">
        <f t="shared" si="26"/>
        <v>0.0997942386831275</v>
      </c>
      <c r="P60" s="109">
        <f t="shared" si="27"/>
        <v>284.9954</v>
      </c>
    </row>
    <row r="61" s="153" customFormat="1" customHeight="1" spans="1:16">
      <c r="A61" s="162" t="s">
        <v>119</v>
      </c>
      <c r="B61" s="163">
        <f t="shared" si="25"/>
        <v>0.254000508001016</v>
      </c>
      <c r="C61" s="110">
        <v>10</v>
      </c>
      <c r="D61" s="21" t="s">
        <v>134</v>
      </c>
      <c r="E61" s="21" t="s">
        <v>29</v>
      </c>
      <c r="F61" s="26" t="s">
        <v>31</v>
      </c>
      <c r="G61" s="168">
        <v>23.39</v>
      </c>
      <c r="H61" s="21">
        <f t="shared" si="18"/>
        <v>280.68</v>
      </c>
      <c r="I61" s="21">
        <f t="shared" si="19"/>
        <v>311.79</v>
      </c>
      <c r="J61" s="166">
        <f t="shared" si="20"/>
        <v>327.46</v>
      </c>
      <c r="M61" s="168">
        <v>21.46</v>
      </c>
      <c r="N61" s="167">
        <f>ROUND(M61*1.09,2)</f>
        <v>23.39</v>
      </c>
      <c r="O61" s="108">
        <f t="shared" si="26"/>
        <v>0.0899347623485554</v>
      </c>
      <c r="P61" s="109">
        <f t="shared" si="27"/>
        <v>311.7887</v>
      </c>
    </row>
    <row r="62" s="153" customFormat="1" customHeight="1" spans="1:16">
      <c r="A62" s="162" t="s">
        <v>119</v>
      </c>
      <c r="B62" s="163">
        <f t="shared" ref="B62:B72" si="28">C62/39.37</f>
        <v>0.304800609601219</v>
      </c>
      <c r="C62" s="110">
        <v>12</v>
      </c>
      <c r="D62" s="21" t="s">
        <v>135</v>
      </c>
      <c r="E62" s="21" t="s">
        <v>29</v>
      </c>
      <c r="F62" s="26" t="s">
        <v>28</v>
      </c>
      <c r="G62" s="168">
        <v>9.08</v>
      </c>
      <c r="H62" s="21">
        <f t="shared" ref="H62:H67" si="29">ROUND(G62*12,2)</f>
        <v>108.96</v>
      </c>
      <c r="I62" s="21">
        <f t="shared" ref="I62:I67" si="30">ROUND(G62*13.33,2)</f>
        <v>121.04</v>
      </c>
      <c r="J62" s="166">
        <f t="shared" ref="J62:J67" si="31">ROUND(G62*14,2)</f>
        <v>127.12</v>
      </c>
      <c r="M62" s="168">
        <v>8.25</v>
      </c>
      <c r="N62" s="167">
        <f t="shared" si="24"/>
        <v>9.08</v>
      </c>
      <c r="O62" s="108">
        <f t="shared" si="26"/>
        <v>0.100606060606061</v>
      </c>
      <c r="P62" s="109">
        <f t="shared" si="27"/>
        <v>121.0364</v>
      </c>
    </row>
    <row r="63" s="153" customFormat="1" customHeight="1" spans="1:16">
      <c r="A63" s="162" t="s">
        <v>119</v>
      </c>
      <c r="B63" s="163">
        <f t="shared" si="28"/>
        <v>0.304800609601219</v>
      </c>
      <c r="C63" s="110">
        <v>12</v>
      </c>
      <c r="D63" s="21" t="s">
        <v>135</v>
      </c>
      <c r="E63" s="21" t="s">
        <v>29</v>
      </c>
      <c r="F63" s="26" t="s">
        <v>26</v>
      </c>
      <c r="G63" s="168">
        <v>12.42</v>
      </c>
      <c r="H63" s="21">
        <f t="shared" si="29"/>
        <v>149.04</v>
      </c>
      <c r="I63" s="21">
        <f t="shared" si="30"/>
        <v>165.56</v>
      </c>
      <c r="J63" s="166">
        <f t="shared" si="31"/>
        <v>173.88</v>
      </c>
      <c r="M63" s="168">
        <v>11.29</v>
      </c>
      <c r="N63" s="167">
        <f t="shared" si="24"/>
        <v>12.42</v>
      </c>
      <c r="O63" s="108">
        <f t="shared" si="26"/>
        <v>0.100088573959256</v>
      </c>
      <c r="P63" s="109">
        <f t="shared" si="27"/>
        <v>165.5586</v>
      </c>
    </row>
    <row r="64" s="153" customFormat="1" customHeight="1" spans="1:16">
      <c r="A64" s="162" t="s">
        <v>119</v>
      </c>
      <c r="B64" s="163">
        <f t="shared" si="28"/>
        <v>0.304800609601219</v>
      </c>
      <c r="C64" s="110">
        <v>12</v>
      </c>
      <c r="D64" s="21" t="s">
        <v>135</v>
      </c>
      <c r="E64" s="21" t="s">
        <v>29</v>
      </c>
      <c r="F64" s="26" t="s">
        <v>31</v>
      </c>
      <c r="G64" s="168">
        <v>21.31</v>
      </c>
      <c r="H64" s="21">
        <f t="shared" si="29"/>
        <v>255.72</v>
      </c>
      <c r="I64" s="21">
        <f t="shared" si="30"/>
        <v>284.06</v>
      </c>
      <c r="J64" s="166">
        <f t="shared" si="31"/>
        <v>298.34</v>
      </c>
      <c r="M64" s="168">
        <v>19.55</v>
      </c>
      <c r="N64" s="167">
        <f>ROUND(M64*1.09,2)</f>
        <v>21.31</v>
      </c>
      <c r="O64" s="108">
        <f t="shared" si="26"/>
        <v>0.0900255754475702</v>
      </c>
      <c r="P64" s="109">
        <f t="shared" si="27"/>
        <v>284.0623</v>
      </c>
    </row>
    <row r="65" s="153" customFormat="1" customHeight="1" spans="1:16">
      <c r="A65" s="162" t="s">
        <v>119</v>
      </c>
      <c r="B65" s="163">
        <f t="shared" si="28"/>
        <v>0.304800609601219</v>
      </c>
      <c r="C65" s="110">
        <v>12</v>
      </c>
      <c r="D65" s="21" t="s">
        <v>136</v>
      </c>
      <c r="E65" s="21" t="s">
        <v>29</v>
      </c>
      <c r="F65" s="26" t="s">
        <v>26</v>
      </c>
      <c r="G65" s="168">
        <v>15.26</v>
      </c>
      <c r="H65" s="21">
        <f t="shared" si="29"/>
        <v>183.12</v>
      </c>
      <c r="I65" s="21">
        <f t="shared" si="30"/>
        <v>203.42</v>
      </c>
      <c r="J65" s="166">
        <f t="shared" si="31"/>
        <v>213.64</v>
      </c>
      <c r="K65" s="170"/>
      <c r="L65" s="170"/>
      <c r="M65" s="168">
        <v>13.87</v>
      </c>
      <c r="N65" s="167">
        <f t="shared" si="24"/>
        <v>15.26</v>
      </c>
      <c r="O65" s="108">
        <f t="shared" si="26"/>
        <v>0.100216294160058</v>
      </c>
      <c r="P65" s="109">
        <f t="shared" si="27"/>
        <v>203.4158</v>
      </c>
    </row>
    <row r="66" s="153" customFormat="1" customHeight="1" spans="1:16">
      <c r="A66" s="162" t="s">
        <v>119</v>
      </c>
      <c r="B66" s="163">
        <f t="shared" si="28"/>
        <v>0.355600711201422</v>
      </c>
      <c r="C66" s="110">
        <v>14</v>
      </c>
      <c r="D66" s="21" t="s">
        <v>137</v>
      </c>
      <c r="E66" s="21" t="s">
        <v>29</v>
      </c>
      <c r="F66" s="26" t="s">
        <v>28</v>
      </c>
      <c r="G66" s="168">
        <v>8.9</v>
      </c>
      <c r="H66" s="21">
        <f t="shared" si="29"/>
        <v>106.8</v>
      </c>
      <c r="I66" s="21">
        <f t="shared" si="30"/>
        <v>118.64</v>
      </c>
      <c r="J66" s="166">
        <f t="shared" si="31"/>
        <v>124.6</v>
      </c>
      <c r="M66" s="168">
        <v>8.09</v>
      </c>
      <c r="N66" s="167">
        <f t="shared" si="24"/>
        <v>8.9</v>
      </c>
      <c r="O66" s="108">
        <f t="shared" si="26"/>
        <v>0.100123609394314</v>
      </c>
      <c r="P66" s="109">
        <f t="shared" si="27"/>
        <v>118.637</v>
      </c>
    </row>
    <row r="67" s="153" customFormat="1" customHeight="1" spans="1:16">
      <c r="A67" s="162" t="s">
        <v>119</v>
      </c>
      <c r="B67" s="163">
        <f t="shared" si="28"/>
        <v>0.355600711201422</v>
      </c>
      <c r="C67" s="110">
        <v>14</v>
      </c>
      <c r="D67" s="21" t="s">
        <v>137</v>
      </c>
      <c r="E67" s="21" t="s">
        <v>29</v>
      </c>
      <c r="F67" s="26" t="s">
        <v>30</v>
      </c>
      <c r="G67" s="168">
        <v>11.22</v>
      </c>
      <c r="H67" s="21">
        <f t="shared" si="29"/>
        <v>134.64</v>
      </c>
      <c r="I67" s="21">
        <f t="shared" si="30"/>
        <v>149.56</v>
      </c>
      <c r="J67" s="166">
        <f t="shared" si="31"/>
        <v>157.08</v>
      </c>
      <c r="K67" s="170"/>
      <c r="L67" s="153"/>
      <c r="M67" s="168">
        <v>10.39</v>
      </c>
      <c r="N67" s="167">
        <f>ROUND(M67*1.08,2)</f>
        <v>11.22</v>
      </c>
      <c r="O67" s="108">
        <f t="shared" si="26"/>
        <v>0.0798845043310876</v>
      </c>
      <c r="P67" s="109">
        <f t="shared" si="27"/>
        <v>149.5626</v>
      </c>
    </row>
    <row r="68" s="153" customFormat="1" customHeight="1" spans="1:16">
      <c r="A68" s="162" t="s">
        <v>119</v>
      </c>
      <c r="B68" s="163">
        <f t="shared" si="28"/>
        <v>0.355600711201422</v>
      </c>
      <c r="C68" s="110">
        <v>14</v>
      </c>
      <c r="D68" s="21" t="s">
        <v>137</v>
      </c>
      <c r="E68" s="21" t="s">
        <v>29</v>
      </c>
      <c r="F68" s="26" t="s">
        <v>26</v>
      </c>
      <c r="G68" s="168">
        <v>12.31</v>
      </c>
      <c r="H68" s="21">
        <f t="shared" ref="H68:H87" si="32">ROUND(G68*12,2)</f>
        <v>147.72</v>
      </c>
      <c r="I68" s="21">
        <f t="shared" ref="I68:I87" si="33">ROUND(G68*13.33,2)</f>
        <v>164.09</v>
      </c>
      <c r="J68" s="166">
        <f t="shared" ref="J68:J87" si="34">ROUND(G68*14,2)</f>
        <v>172.34</v>
      </c>
      <c r="M68" s="168">
        <v>11.19</v>
      </c>
      <c r="N68" s="167">
        <f t="shared" si="24"/>
        <v>12.31</v>
      </c>
      <c r="O68" s="108">
        <f t="shared" ref="O68:O79" si="35">(N68-M68)/M68</f>
        <v>0.100089365504915</v>
      </c>
      <c r="P68" s="109">
        <f t="shared" ref="P68:P104" si="36">N68*13.33</f>
        <v>164.0923</v>
      </c>
    </row>
    <row r="69" s="153" customFormat="1" customHeight="1" spans="1:16">
      <c r="A69" s="162" t="s">
        <v>119</v>
      </c>
      <c r="B69" s="163">
        <f t="shared" si="28"/>
        <v>0.355600711201422</v>
      </c>
      <c r="C69" s="110">
        <v>14</v>
      </c>
      <c r="D69" s="21" t="s">
        <v>137</v>
      </c>
      <c r="E69" s="21" t="s">
        <v>29</v>
      </c>
      <c r="F69" s="26" t="s">
        <v>42</v>
      </c>
      <c r="G69" s="168">
        <v>17.81</v>
      </c>
      <c r="H69" s="21">
        <f t="shared" si="32"/>
        <v>213.72</v>
      </c>
      <c r="I69" s="21">
        <f t="shared" si="33"/>
        <v>237.41</v>
      </c>
      <c r="J69" s="166">
        <f t="shared" si="34"/>
        <v>249.34</v>
      </c>
      <c r="M69" s="168">
        <v>16.19</v>
      </c>
      <c r="N69" s="167">
        <f t="shared" si="24"/>
        <v>17.81</v>
      </c>
      <c r="O69" s="108">
        <f t="shared" si="35"/>
        <v>0.100061766522545</v>
      </c>
      <c r="P69" s="109">
        <f t="shared" si="36"/>
        <v>237.4073</v>
      </c>
    </row>
    <row r="70" s="153" customFormat="1" customHeight="1" spans="1:16">
      <c r="A70" s="162" t="s">
        <v>119</v>
      </c>
      <c r="B70" s="163">
        <f t="shared" si="28"/>
        <v>0.355600711201422</v>
      </c>
      <c r="C70" s="110">
        <v>14</v>
      </c>
      <c r="D70" s="21" t="s">
        <v>137</v>
      </c>
      <c r="E70" s="21" t="s">
        <v>29</v>
      </c>
      <c r="F70" s="26" t="s">
        <v>31</v>
      </c>
      <c r="G70" s="168">
        <v>22.29</v>
      </c>
      <c r="H70" s="21">
        <f t="shared" si="32"/>
        <v>267.48</v>
      </c>
      <c r="I70" s="21">
        <f t="shared" si="33"/>
        <v>297.13</v>
      </c>
      <c r="J70" s="166">
        <f t="shared" si="34"/>
        <v>312.06</v>
      </c>
      <c r="M70" s="168">
        <v>20.26</v>
      </c>
      <c r="N70" s="167">
        <f t="shared" si="24"/>
        <v>22.29</v>
      </c>
      <c r="O70" s="108">
        <f t="shared" si="35"/>
        <v>0.100197433366239</v>
      </c>
      <c r="P70" s="109">
        <f t="shared" si="36"/>
        <v>297.1257</v>
      </c>
    </row>
    <row r="71" s="153" customFormat="1" customHeight="1" spans="1:16">
      <c r="A71" s="162" t="s">
        <v>119</v>
      </c>
      <c r="B71" s="163">
        <f t="shared" si="28"/>
        <v>0.381000762001524</v>
      </c>
      <c r="C71" s="110">
        <v>15</v>
      </c>
      <c r="D71" s="21" t="s">
        <v>137</v>
      </c>
      <c r="E71" s="21" t="s">
        <v>29</v>
      </c>
      <c r="F71" s="21" t="s">
        <v>28</v>
      </c>
      <c r="G71" s="168">
        <v>8.9</v>
      </c>
      <c r="H71" s="21">
        <f t="shared" si="32"/>
        <v>106.8</v>
      </c>
      <c r="I71" s="21">
        <f t="shared" si="33"/>
        <v>118.64</v>
      </c>
      <c r="J71" s="166">
        <f t="shared" si="34"/>
        <v>124.6</v>
      </c>
      <c r="M71" s="168">
        <v>8.09</v>
      </c>
      <c r="N71" s="167">
        <f t="shared" si="24"/>
        <v>8.9</v>
      </c>
      <c r="O71" s="108">
        <f t="shared" si="35"/>
        <v>0.100123609394314</v>
      </c>
      <c r="P71" s="109">
        <f t="shared" si="36"/>
        <v>118.637</v>
      </c>
    </row>
    <row r="72" s="79" customFormat="1" customHeight="1" spans="1:16">
      <c r="A72" s="162" t="s">
        <v>119</v>
      </c>
      <c r="B72" s="163">
        <f t="shared" si="28"/>
        <v>0.406400812801626</v>
      </c>
      <c r="C72" s="110">
        <v>16</v>
      </c>
      <c r="D72" s="21" t="s">
        <v>137</v>
      </c>
      <c r="E72" s="21" t="s">
        <v>29</v>
      </c>
      <c r="F72" s="26" t="s">
        <v>28</v>
      </c>
      <c r="G72" s="168">
        <v>8.9</v>
      </c>
      <c r="H72" s="21">
        <f t="shared" si="32"/>
        <v>106.8</v>
      </c>
      <c r="I72" s="21">
        <f t="shared" si="33"/>
        <v>118.64</v>
      </c>
      <c r="J72" s="166">
        <f t="shared" si="34"/>
        <v>124.6</v>
      </c>
      <c r="M72" s="168">
        <v>8.09</v>
      </c>
      <c r="N72" s="167">
        <f t="shared" si="24"/>
        <v>8.9</v>
      </c>
      <c r="O72" s="108">
        <f t="shared" si="35"/>
        <v>0.100123609394314</v>
      </c>
      <c r="P72" s="109">
        <f t="shared" si="36"/>
        <v>118.637</v>
      </c>
    </row>
    <row r="73" s="79" customFormat="1" customHeight="1" spans="1:16">
      <c r="A73" s="162" t="s">
        <v>119</v>
      </c>
      <c r="B73" s="163">
        <f t="shared" ref="B73:B87" si="37">C73/39.37</f>
        <v>0.406400812801626</v>
      </c>
      <c r="C73" s="110">
        <v>16</v>
      </c>
      <c r="D73" s="21" t="s">
        <v>137</v>
      </c>
      <c r="E73" s="21" t="s">
        <v>29</v>
      </c>
      <c r="F73" s="26" t="s">
        <v>26</v>
      </c>
      <c r="G73" s="168">
        <v>12.77</v>
      </c>
      <c r="H73" s="21">
        <f t="shared" si="32"/>
        <v>153.24</v>
      </c>
      <c r="I73" s="21">
        <f t="shared" si="33"/>
        <v>170.22</v>
      </c>
      <c r="J73" s="166">
        <f t="shared" si="34"/>
        <v>178.78</v>
      </c>
      <c r="M73" s="168">
        <v>11.61</v>
      </c>
      <c r="N73" s="167">
        <f t="shared" si="24"/>
        <v>12.77</v>
      </c>
      <c r="O73" s="108">
        <f t="shared" si="35"/>
        <v>0.0999138673557278</v>
      </c>
      <c r="P73" s="109">
        <f t="shared" si="36"/>
        <v>170.2241</v>
      </c>
    </row>
    <row r="74" s="79" customFormat="1" customHeight="1" spans="1:16">
      <c r="A74" s="162" t="s">
        <v>119</v>
      </c>
      <c r="B74" s="163">
        <f t="shared" si="37"/>
        <v>0.406400812801626</v>
      </c>
      <c r="C74" s="110">
        <v>16</v>
      </c>
      <c r="D74" s="21" t="s">
        <v>137</v>
      </c>
      <c r="E74" s="21" t="s">
        <v>29</v>
      </c>
      <c r="F74" s="26" t="s">
        <v>44</v>
      </c>
      <c r="G74" s="168">
        <v>18.48</v>
      </c>
      <c r="H74" s="21">
        <f t="shared" si="32"/>
        <v>221.76</v>
      </c>
      <c r="I74" s="21">
        <f t="shared" si="33"/>
        <v>246.34</v>
      </c>
      <c r="J74" s="166">
        <f t="shared" si="34"/>
        <v>258.72</v>
      </c>
      <c r="M74" s="168">
        <v>16.95</v>
      </c>
      <c r="N74" s="167">
        <f>ROUND(M74*1.09,2)</f>
        <v>18.48</v>
      </c>
      <c r="O74" s="108">
        <f t="shared" si="35"/>
        <v>0.0902654867256638</v>
      </c>
      <c r="P74" s="109">
        <f t="shared" si="36"/>
        <v>246.3384</v>
      </c>
    </row>
    <row r="75" s="79" customFormat="1" customHeight="1" spans="1:16">
      <c r="A75" s="162" t="s">
        <v>119</v>
      </c>
      <c r="B75" s="163">
        <f t="shared" si="37"/>
        <v>0.406400812801626</v>
      </c>
      <c r="C75" s="110">
        <v>16</v>
      </c>
      <c r="D75" s="21" t="s">
        <v>137</v>
      </c>
      <c r="E75" s="21" t="s">
        <v>29</v>
      </c>
      <c r="F75" s="26" t="s">
        <v>31</v>
      </c>
      <c r="G75" s="168">
        <v>22.19</v>
      </c>
      <c r="H75" s="21">
        <f t="shared" si="32"/>
        <v>266.28</v>
      </c>
      <c r="I75" s="21">
        <f t="shared" si="33"/>
        <v>295.79</v>
      </c>
      <c r="J75" s="166">
        <f t="shared" si="34"/>
        <v>310.66</v>
      </c>
      <c r="M75" s="168">
        <v>20.36</v>
      </c>
      <c r="N75" s="167">
        <f>ROUND(M75*1.09,2)</f>
        <v>22.19</v>
      </c>
      <c r="O75" s="108">
        <f t="shared" si="35"/>
        <v>0.0898821218074657</v>
      </c>
      <c r="P75" s="109">
        <f t="shared" si="36"/>
        <v>295.7927</v>
      </c>
    </row>
    <row r="76" s="79" customFormat="1" customHeight="1" spans="1:16">
      <c r="A76" s="162" t="s">
        <v>119</v>
      </c>
      <c r="B76" s="163">
        <f t="shared" si="37"/>
        <v>0.457200914401829</v>
      </c>
      <c r="C76" s="110">
        <v>18</v>
      </c>
      <c r="D76" s="21" t="s">
        <v>138</v>
      </c>
      <c r="E76" s="21" t="s">
        <v>29</v>
      </c>
      <c r="F76" s="26" t="s">
        <v>28</v>
      </c>
      <c r="G76" s="168">
        <v>9.98</v>
      </c>
      <c r="H76" s="21">
        <f t="shared" si="32"/>
        <v>119.76</v>
      </c>
      <c r="I76" s="21">
        <f t="shared" si="33"/>
        <v>133.03</v>
      </c>
      <c r="J76" s="166">
        <f t="shared" si="34"/>
        <v>139.72</v>
      </c>
      <c r="M76" s="168">
        <v>9.07</v>
      </c>
      <c r="N76" s="167">
        <f t="shared" ref="N75:N106" si="38">ROUND(M76*1.1,2)</f>
        <v>9.98</v>
      </c>
      <c r="O76" s="108">
        <f t="shared" si="35"/>
        <v>0.100330760749724</v>
      </c>
      <c r="P76" s="109">
        <f t="shared" si="36"/>
        <v>133.0334</v>
      </c>
    </row>
    <row r="77" s="79" customFormat="1" customHeight="1" spans="1:16">
      <c r="A77" s="162" t="s">
        <v>119</v>
      </c>
      <c r="B77" s="163">
        <f t="shared" si="37"/>
        <v>0.457200914401829</v>
      </c>
      <c r="C77" s="110">
        <v>18</v>
      </c>
      <c r="D77" s="21" t="s">
        <v>138</v>
      </c>
      <c r="E77" s="21" t="s">
        <v>29</v>
      </c>
      <c r="F77" s="26" t="s">
        <v>26</v>
      </c>
      <c r="G77" s="168">
        <v>13.35</v>
      </c>
      <c r="H77" s="21">
        <f t="shared" si="32"/>
        <v>160.2</v>
      </c>
      <c r="I77" s="21">
        <f t="shared" si="33"/>
        <v>177.96</v>
      </c>
      <c r="J77" s="166">
        <f t="shared" si="34"/>
        <v>186.9</v>
      </c>
      <c r="M77" s="168">
        <v>12.14</v>
      </c>
      <c r="N77" s="167">
        <f t="shared" si="38"/>
        <v>13.35</v>
      </c>
      <c r="O77" s="108">
        <f t="shared" si="35"/>
        <v>0.0996705107084019</v>
      </c>
      <c r="P77" s="109">
        <f t="shared" si="36"/>
        <v>177.9555</v>
      </c>
    </row>
    <row r="78" s="79" customFormat="1" customHeight="1" spans="1:16">
      <c r="A78" s="162" t="s">
        <v>119</v>
      </c>
      <c r="B78" s="163">
        <f t="shared" si="37"/>
        <v>0.457200914401829</v>
      </c>
      <c r="C78" s="110">
        <v>18</v>
      </c>
      <c r="D78" s="21" t="s">
        <v>138</v>
      </c>
      <c r="E78" s="21" t="s">
        <v>29</v>
      </c>
      <c r="F78" s="26" t="s">
        <v>44</v>
      </c>
      <c r="G78" s="168">
        <v>20.1</v>
      </c>
      <c r="H78" s="21">
        <f t="shared" si="32"/>
        <v>241.2</v>
      </c>
      <c r="I78" s="21">
        <f t="shared" si="33"/>
        <v>267.93</v>
      </c>
      <c r="J78" s="166">
        <f t="shared" si="34"/>
        <v>281.4</v>
      </c>
      <c r="M78" s="168">
        <v>18.44</v>
      </c>
      <c r="N78" s="167">
        <f>ROUND(M78*1.09,2)</f>
        <v>20.1</v>
      </c>
      <c r="O78" s="108">
        <f t="shared" si="35"/>
        <v>0.0900216919739696</v>
      </c>
      <c r="P78" s="109">
        <f t="shared" si="36"/>
        <v>267.933</v>
      </c>
    </row>
    <row r="79" s="79" customFormat="1" customHeight="1" spans="1:16">
      <c r="A79" s="162" t="s">
        <v>119</v>
      </c>
      <c r="B79" s="163">
        <f t="shared" si="37"/>
        <v>0.457200914401829</v>
      </c>
      <c r="C79" s="110">
        <v>18</v>
      </c>
      <c r="D79" s="21" t="s">
        <v>138</v>
      </c>
      <c r="E79" s="21" t="s">
        <v>29</v>
      </c>
      <c r="F79" s="26" t="s">
        <v>31</v>
      </c>
      <c r="G79" s="168">
        <v>23.9</v>
      </c>
      <c r="H79" s="21">
        <f t="shared" si="32"/>
        <v>286.8</v>
      </c>
      <c r="I79" s="21">
        <f t="shared" si="33"/>
        <v>318.59</v>
      </c>
      <c r="J79" s="166">
        <f t="shared" si="34"/>
        <v>334.6</v>
      </c>
      <c r="M79" s="168">
        <v>21.93</v>
      </c>
      <c r="N79" s="167">
        <f>ROUND(M79*1.09,2)</f>
        <v>23.9</v>
      </c>
      <c r="O79" s="108">
        <f t="shared" si="35"/>
        <v>0.0898312813497491</v>
      </c>
      <c r="P79" s="109">
        <f t="shared" si="36"/>
        <v>318.587</v>
      </c>
    </row>
    <row r="80" s="79" customFormat="1" customHeight="1" spans="1:16">
      <c r="A80" s="162" t="s">
        <v>119</v>
      </c>
      <c r="B80" s="163">
        <f t="shared" si="37"/>
        <v>0.457200914401829</v>
      </c>
      <c r="C80" s="110">
        <v>18</v>
      </c>
      <c r="D80" s="21" t="s">
        <v>138</v>
      </c>
      <c r="E80" s="21" t="s">
        <v>29</v>
      </c>
      <c r="F80" s="26" t="s">
        <v>34</v>
      </c>
      <c r="G80" s="168">
        <v>32.73</v>
      </c>
      <c r="H80" s="21">
        <f t="shared" si="32"/>
        <v>392.76</v>
      </c>
      <c r="I80" s="21">
        <f t="shared" si="33"/>
        <v>436.29</v>
      </c>
      <c r="J80" s="166">
        <f t="shared" si="34"/>
        <v>458.22</v>
      </c>
      <c r="M80" s="168">
        <v>30.03</v>
      </c>
      <c r="N80" s="167">
        <f>ROUND(M80*1.09,2)</f>
        <v>32.73</v>
      </c>
      <c r="O80" s="108">
        <f t="shared" ref="O80:O111" si="39">(N80-M80)/M80</f>
        <v>0.0899100899100898</v>
      </c>
      <c r="P80" s="109">
        <f t="shared" si="36"/>
        <v>436.2909</v>
      </c>
    </row>
    <row r="81" s="79" customFormat="1" customHeight="1" spans="1:16">
      <c r="A81" s="162" t="s">
        <v>119</v>
      </c>
      <c r="B81" s="163">
        <f t="shared" si="37"/>
        <v>0.508001016002032</v>
      </c>
      <c r="C81" s="110">
        <v>20</v>
      </c>
      <c r="D81" s="21" t="s">
        <v>139</v>
      </c>
      <c r="E81" s="21" t="s">
        <v>29</v>
      </c>
      <c r="F81" s="26" t="s">
        <v>28</v>
      </c>
      <c r="G81" s="168">
        <v>10.16</v>
      </c>
      <c r="H81" s="21">
        <f t="shared" si="32"/>
        <v>121.92</v>
      </c>
      <c r="I81" s="21">
        <f t="shared" si="33"/>
        <v>135.43</v>
      </c>
      <c r="J81" s="166">
        <f t="shared" si="34"/>
        <v>142.24</v>
      </c>
      <c r="M81" s="168">
        <v>9.24</v>
      </c>
      <c r="N81" s="167">
        <f t="shared" si="38"/>
        <v>10.16</v>
      </c>
      <c r="O81" s="108">
        <f t="shared" si="39"/>
        <v>0.0995670995670996</v>
      </c>
      <c r="P81" s="109">
        <f t="shared" si="36"/>
        <v>135.4328</v>
      </c>
    </row>
    <row r="82" customHeight="1" spans="1:16">
      <c r="A82" s="162" t="s">
        <v>119</v>
      </c>
      <c r="B82" s="163">
        <f t="shared" si="37"/>
        <v>0.508001016002032</v>
      </c>
      <c r="C82" s="110">
        <v>20</v>
      </c>
      <c r="D82" s="21" t="s">
        <v>139</v>
      </c>
      <c r="E82" s="21" t="s">
        <v>29</v>
      </c>
      <c r="F82" s="26" t="s">
        <v>26</v>
      </c>
      <c r="G82" s="168">
        <v>13.85</v>
      </c>
      <c r="H82" s="21">
        <f t="shared" si="32"/>
        <v>166.2</v>
      </c>
      <c r="I82" s="21">
        <f t="shared" si="33"/>
        <v>184.62</v>
      </c>
      <c r="J82" s="166">
        <f t="shared" si="34"/>
        <v>193.9</v>
      </c>
      <c r="M82" s="168">
        <v>12.59</v>
      </c>
      <c r="N82" s="167">
        <f t="shared" si="38"/>
        <v>13.85</v>
      </c>
      <c r="O82" s="108">
        <f t="shared" si="39"/>
        <v>0.100079428117554</v>
      </c>
      <c r="P82" s="109">
        <f t="shared" si="36"/>
        <v>184.6205</v>
      </c>
    </row>
    <row r="83" customHeight="1" spans="1:16">
      <c r="A83" s="162" t="s">
        <v>119</v>
      </c>
      <c r="B83" s="163">
        <f t="shared" si="37"/>
        <v>0.508001016002032</v>
      </c>
      <c r="C83" s="110">
        <v>20</v>
      </c>
      <c r="D83" s="21" t="s">
        <v>139</v>
      </c>
      <c r="E83" s="21" t="s">
        <v>29</v>
      </c>
      <c r="F83" s="26" t="s">
        <v>31</v>
      </c>
      <c r="G83" s="168">
        <v>24.14</v>
      </c>
      <c r="H83" s="21">
        <f t="shared" si="32"/>
        <v>289.68</v>
      </c>
      <c r="I83" s="21">
        <f t="shared" si="33"/>
        <v>321.79</v>
      </c>
      <c r="J83" s="166">
        <f t="shared" si="34"/>
        <v>337.96</v>
      </c>
      <c r="M83" s="168">
        <v>22.15</v>
      </c>
      <c r="N83" s="167">
        <f>ROUND(M83*1.09,2)</f>
        <v>24.14</v>
      </c>
      <c r="O83" s="108">
        <f t="shared" si="39"/>
        <v>0.089841986455982</v>
      </c>
      <c r="P83" s="109">
        <f t="shared" si="36"/>
        <v>321.7862</v>
      </c>
    </row>
    <row r="84" customHeight="1" spans="1:16">
      <c r="A84" s="162" t="s">
        <v>119</v>
      </c>
      <c r="B84" s="163">
        <f t="shared" si="37"/>
        <v>0.533401066802134</v>
      </c>
      <c r="C84" s="110">
        <v>21</v>
      </c>
      <c r="D84" s="21" t="s">
        <v>140</v>
      </c>
      <c r="E84" s="21" t="s">
        <v>29</v>
      </c>
      <c r="F84" s="26" t="s">
        <v>28</v>
      </c>
      <c r="G84" s="168">
        <v>10.22</v>
      </c>
      <c r="H84" s="21">
        <f t="shared" si="32"/>
        <v>122.64</v>
      </c>
      <c r="I84" s="21">
        <f t="shared" si="33"/>
        <v>136.23</v>
      </c>
      <c r="J84" s="166">
        <f t="shared" si="34"/>
        <v>143.08</v>
      </c>
      <c r="M84" s="168">
        <v>9.29</v>
      </c>
      <c r="N84" s="167">
        <f t="shared" si="38"/>
        <v>10.22</v>
      </c>
      <c r="O84" s="108">
        <f t="shared" si="39"/>
        <v>0.10010764262648</v>
      </c>
      <c r="P84" s="109">
        <f t="shared" si="36"/>
        <v>136.2326</v>
      </c>
    </row>
    <row r="85" customHeight="1" spans="1:16">
      <c r="A85" s="162" t="s">
        <v>119</v>
      </c>
      <c r="B85" s="163">
        <f t="shared" si="37"/>
        <v>0.533401066802134</v>
      </c>
      <c r="C85" s="110">
        <v>21</v>
      </c>
      <c r="D85" s="21" t="s">
        <v>140</v>
      </c>
      <c r="E85" s="21" t="s">
        <v>29</v>
      </c>
      <c r="F85" s="26" t="s">
        <v>26</v>
      </c>
      <c r="G85" s="168">
        <v>14.31</v>
      </c>
      <c r="H85" s="21">
        <f t="shared" si="32"/>
        <v>171.72</v>
      </c>
      <c r="I85" s="21">
        <f t="shared" si="33"/>
        <v>190.75</v>
      </c>
      <c r="J85" s="166">
        <f t="shared" si="34"/>
        <v>200.34</v>
      </c>
      <c r="M85" s="168">
        <v>13.01</v>
      </c>
      <c r="N85" s="167">
        <f t="shared" si="38"/>
        <v>14.31</v>
      </c>
      <c r="O85" s="108">
        <f t="shared" si="39"/>
        <v>0.099923136049193</v>
      </c>
      <c r="P85" s="109">
        <f t="shared" si="36"/>
        <v>190.7523</v>
      </c>
    </row>
    <row r="86" customHeight="1" spans="1:16">
      <c r="A86" s="162" t="s">
        <v>119</v>
      </c>
      <c r="B86" s="163">
        <f t="shared" si="37"/>
        <v>0.533401066802134</v>
      </c>
      <c r="C86" s="110">
        <v>21</v>
      </c>
      <c r="D86" s="21" t="s">
        <v>140</v>
      </c>
      <c r="E86" s="21" t="s">
        <v>29</v>
      </c>
      <c r="F86" s="26" t="s">
        <v>31</v>
      </c>
      <c r="G86" s="168">
        <v>23.87</v>
      </c>
      <c r="H86" s="21">
        <f t="shared" si="32"/>
        <v>286.44</v>
      </c>
      <c r="I86" s="21">
        <f t="shared" si="33"/>
        <v>318.19</v>
      </c>
      <c r="J86" s="166">
        <f t="shared" si="34"/>
        <v>334.18</v>
      </c>
      <c r="M86" s="168">
        <v>21.9</v>
      </c>
      <c r="N86" s="167">
        <f>ROUND(M86*1.09,2)</f>
        <v>23.87</v>
      </c>
      <c r="O86" s="108">
        <f t="shared" si="39"/>
        <v>0.0899543378995435</v>
      </c>
      <c r="P86" s="109">
        <f t="shared" si="36"/>
        <v>318.1871</v>
      </c>
    </row>
    <row r="87" customHeight="1" spans="1:16">
      <c r="A87" s="162" t="s">
        <v>119</v>
      </c>
      <c r="B87" s="163">
        <f t="shared" si="37"/>
        <v>0.558801117602235</v>
      </c>
      <c r="C87" s="110">
        <v>22</v>
      </c>
      <c r="D87" s="21" t="s">
        <v>140</v>
      </c>
      <c r="E87" s="21" t="s">
        <v>29</v>
      </c>
      <c r="F87" s="26" t="s">
        <v>28</v>
      </c>
      <c r="G87" s="168">
        <v>10.08</v>
      </c>
      <c r="H87" s="21">
        <f t="shared" si="32"/>
        <v>120.96</v>
      </c>
      <c r="I87" s="21">
        <f t="shared" si="33"/>
        <v>134.37</v>
      </c>
      <c r="J87" s="166">
        <f t="shared" si="34"/>
        <v>141.12</v>
      </c>
      <c r="M87" s="168">
        <v>9.16</v>
      </c>
      <c r="N87" s="167">
        <f t="shared" si="38"/>
        <v>10.08</v>
      </c>
      <c r="O87" s="108">
        <f t="shared" si="39"/>
        <v>0.100436681222707</v>
      </c>
      <c r="P87" s="109">
        <f t="shared" si="36"/>
        <v>134.3664</v>
      </c>
    </row>
    <row r="88" customHeight="1" spans="1:16">
      <c r="A88" s="162" t="s">
        <v>119</v>
      </c>
      <c r="B88" s="163">
        <f t="shared" ref="B88:B93" si="40">C88/39.37</f>
        <v>0.558801117602235</v>
      </c>
      <c r="C88" s="110">
        <v>22</v>
      </c>
      <c r="D88" s="21" t="s">
        <v>140</v>
      </c>
      <c r="E88" s="21" t="s">
        <v>29</v>
      </c>
      <c r="F88" s="26" t="s">
        <v>26</v>
      </c>
      <c r="G88" s="168">
        <v>13.41</v>
      </c>
      <c r="H88" s="21">
        <f t="shared" ref="H88:H93" si="41">ROUND(G88*12,2)</f>
        <v>160.92</v>
      </c>
      <c r="I88" s="21">
        <f t="shared" ref="I88:I93" si="42">ROUND(G88*13.33,2)</f>
        <v>178.76</v>
      </c>
      <c r="J88" s="166">
        <f t="shared" ref="J88:J93" si="43">ROUND(G88*14,2)</f>
        <v>187.74</v>
      </c>
      <c r="M88" s="168">
        <v>12.19</v>
      </c>
      <c r="N88" s="167">
        <f t="shared" si="38"/>
        <v>13.41</v>
      </c>
      <c r="O88" s="108">
        <f t="shared" si="39"/>
        <v>0.100082034454471</v>
      </c>
      <c r="P88" s="109">
        <f t="shared" si="36"/>
        <v>178.7553</v>
      </c>
    </row>
    <row r="89" customHeight="1" spans="1:16">
      <c r="A89" s="162" t="s">
        <v>119</v>
      </c>
      <c r="B89" s="163">
        <f t="shared" si="40"/>
        <v>0.558801117602235</v>
      </c>
      <c r="C89" s="110">
        <v>22</v>
      </c>
      <c r="D89" s="21" t="s">
        <v>140</v>
      </c>
      <c r="E89" s="21" t="s">
        <v>29</v>
      </c>
      <c r="F89" s="26" t="s">
        <v>31</v>
      </c>
      <c r="G89" s="168">
        <v>24.13</v>
      </c>
      <c r="H89" s="21">
        <f t="shared" si="41"/>
        <v>289.56</v>
      </c>
      <c r="I89" s="21">
        <f t="shared" si="42"/>
        <v>321.65</v>
      </c>
      <c r="J89" s="166">
        <f t="shared" si="43"/>
        <v>337.82</v>
      </c>
      <c r="M89" s="168">
        <v>22.14</v>
      </c>
      <c r="N89" s="167">
        <f>ROUND(M89*1.09,2)</f>
        <v>24.13</v>
      </c>
      <c r="O89" s="108">
        <f t="shared" si="39"/>
        <v>0.0898825654923215</v>
      </c>
      <c r="P89" s="109">
        <f t="shared" si="36"/>
        <v>321.6529</v>
      </c>
    </row>
    <row r="90" customHeight="1" spans="1:16">
      <c r="A90" s="162" t="s">
        <v>119</v>
      </c>
      <c r="B90" s="163">
        <f t="shared" si="40"/>
        <v>0.609601219202438</v>
      </c>
      <c r="C90" s="110">
        <v>24</v>
      </c>
      <c r="D90" s="21" t="s">
        <v>140</v>
      </c>
      <c r="E90" s="21" t="s">
        <v>29</v>
      </c>
      <c r="F90" s="26" t="s">
        <v>28</v>
      </c>
      <c r="G90" s="168">
        <v>10.52</v>
      </c>
      <c r="H90" s="21">
        <f t="shared" si="41"/>
        <v>126.24</v>
      </c>
      <c r="I90" s="21">
        <f t="shared" si="42"/>
        <v>140.23</v>
      </c>
      <c r="J90" s="166">
        <f t="shared" si="43"/>
        <v>147.28</v>
      </c>
      <c r="M90" s="168">
        <v>9.56</v>
      </c>
      <c r="N90" s="167">
        <f t="shared" si="38"/>
        <v>10.52</v>
      </c>
      <c r="O90" s="108">
        <f t="shared" si="39"/>
        <v>0.100418410041841</v>
      </c>
      <c r="P90" s="109">
        <f t="shared" si="36"/>
        <v>140.2316</v>
      </c>
    </row>
    <row r="91" s="41" customFormat="1" customHeight="1" spans="1:16">
      <c r="A91" s="162" t="s">
        <v>119</v>
      </c>
      <c r="B91" s="163">
        <f t="shared" si="40"/>
        <v>0.609601219202438</v>
      </c>
      <c r="C91" s="110">
        <v>24</v>
      </c>
      <c r="D91" s="21" t="s">
        <v>140</v>
      </c>
      <c r="E91" s="21" t="s">
        <v>29</v>
      </c>
      <c r="F91" s="26" t="s">
        <v>26</v>
      </c>
      <c r="G91" s="168">
        <v>13.78</v>
      </c>
      <c r="H91" s="21">
        <f t="shared" si="41"/>
        <v>165.36</v>
      </c>
      <c r="I91" s="21">
        <f t="shared" si="42"/>
        <v>183.69</v>
      </c>
      <c r="J91" s="166">
        <f t="shared" si="43"/>
        <v>192.92</v>
      </c>
      <c r="M91" s="168">
        <v>12.53</v>
      </c>
      <c r="N91" s="167">
        <f t="shared" si="38"/>
        <v>13.78</v>
      </c>
      <c r="O91" s="108">
        <f t="shared" si="39"/>
        <v>0.0997605746209098</v>
      </c>
      <c r="P91" s="109">
        <f t="shared" si="36"/>
        <v>183.6874</v>
      </c>
    </row>
    <row r="92" customHeight="1" spans="1:16">
      <c r="A92" s="162" t="s">
        <v>119</v>
      </c>
      <c r="B92" s="163">
        <f t="shared" si="40"/>
        <v>0.609601219202438</v>
      </c>
      <c r="C92" s="110">
        <v>24</v>
      </c>
      <c r="D92" s="21" t="s">
        <v>140</v>
      </c>
      <c r="E92" s="21" t="s">
        <v>29</v>
      </c>
      <c r="F92" s="26" t="s">
        <v>31</v>
      </c>
      <c r="G92" s="168">
        <v>24.31</v>
      </c>
      <c r="H92" s="21">
        <f t="shared" si="41"/>
        <v>291.72</v>
      </c>
      <c r="I92" s="21">
        <f t="shared" si="42"/>
        <v>324.05</v>
      </c>
      <c r="J92" s="166">
        <f t="shared" si="43"/>
        <v>340.34</v>
      </c>
      <c r="M92" s="168">
        <v>22.3</v>
      </c>
      <c r="N92" s="167">
        <f>ROUND(M92*1.09,2)</f>
        <v>24.31</v>
      </c>
      <c r="O92" s="108">
        <f t="shared" si="39"/>
        <v>0.090134529147982</v>
      </c>
      <c r="P92" s="109">
        <f t="shared" si="36"/>
        <v>324.0523</v>
      </c>
    </row>
    <row r="93" customHeight="1" spans="1:16">
      <c r="A93" s="162" t="s">
        <v>119</v>
      </c>
      <c r="B93" s="163">
        <f t="shared" si="40"/>
        <v>0.609601219202438</v>
      </c>
      <c r="C93" s="110">
        <v>24</v>
      </c>
      <c r="D93" s="21" t="s">
        <v>140</v>
      </c>
      <c r="E93" s="21" t="s">
        <v>29</v>
      </c>
      <c r="F93" s="26" t="s">
        <v>141</v>
      </c>
      <c r="G93" s="168">
        <v>33.67</v>
      </c>
      <c r="H93" s="21">
        <f t="shared" si="41"/>
        <v>404.04</v>
      </c>
      <c r="I93" s="21">
        <f t="shared" si="42"/>
        <v>448.82</v>
      </c>
      <c r="J93" s="166">
        <f t="shared" si="43"/>
        <v>471.38</v>
      </c>
      <c r="M93" s="168">
        <v>30.89</v>
      </c>
      <c r="N93" s="167">
        <f>ROUND(M93*1.09,2)</f>
        <v>33.67</v>
      </c>
      <c r="O93" s="108">
        <f t="shared" si="39"/>
        <v>0.0899967627063775</v>
      </c>
      <c r="P93" s="109">
        <f t="shared" si="36"/>
        <v>448.8211</v>
      </c>
    </row>
    <row r="94" customHeight="1" spans="1:16">
      <c r="A94" s="162" t="s">
        <v>119</v>
      </c>
      <c r="B94" s="163">
        <f t="shared" ref="B94:B114" si="44">C94/39.37</f>
        <v>0.660401320802642</v>
      </c>
      <c r="C94" s="110">
        <v>26</v>
      </c>
      <c r="D94" s="21" t="s">
        <v>142</v>
      </c>
      <c r="E94" s="21" t="s">
        <v>29</v>
      </c>
      <c r="F94" s="26" t="s">
        <v>28</v>
      </c>
      <c r="G94" s="168">
        <v>10.89</v>
      </c>
      <c r="H94" s="21">
        <f t="shared" ref="H94:H114" si="45">ROUND(G94*12,2)</f>
        <v>130.68</v>
      </c>
      <c r="I94" s="21">
        <f t="shared" ref="I94:I114" si="46">ROUND(G94*13.33,2)</f>
        <v>145.16</v>
      </c>
      <c r="J94" s="166">
        <f t="shared" ref="J94:J114" si="47">ROUND(G94*14,2)</f>
        <v>152.46</v>
      </c>
      <c r="M94" s="168">
        <v>9.9</v>
      </c>
      <c r="N94" s="167">
        <f t="shared" si="38"/>
        <v>10.89</v>
      </c>
      <c r="O94" s="108">
        <f t="shared" si="39"/>
        <v>0.1</v>
      </c>
      <c r="P94" s="109">
        <f t="shared" si="36"/>
        <v>145.1637</v>
      </c>
    </row>
    <row r="95" customHeight="1" spans="1:16">
      <c r="A95" s="162" t="s">
        <v>119</v>
      </c>
      <c r="B95" s="163">
        <f t="shared" si="44"/>
        <v>0.660401320802642</v>
      </c>
      <c r="C95" s="110">
        <v>26</v>
      </c>
      <c r="D95" s="21" t="s">
        <v>142</v>
      </c>
      <c r="E95" s="21" t="s">
        <v>29</v>
      </c>
      <c r="F95" s="26" t="s">
        <v>26</v>
      </c>
      <c r="G95" s="168">
        <v>15.38</v>
      </c>
      <c r="H95" s="21">
        <f t="shared" si="45"/>
        <v>184.56</v>
      </c>
      <c r="I95" s="21">
        <f t="shared" si="46"/>
        <v>205.02</v>
      </c>
      <c r="J95" s="166">
        <f t="shared" si="47"/>
        <v>215.32</v>
      </c>
      <c r="M95" s="168">
        <v>13.98</v>
      </c>
      <c r="N95" s="167">
        <f t="shared" si="38"/>
        <v>15.38</v>
      </c>
      <c r="O95" s="108">
        <f t="shared" si="39"/>
        <v>0.100143061516452</v>
      </c>
      <c r="P95" s="109">
        <f t="shared" si="36"/>
        <v>205.0154</v>
      </c>
    </row>
    <row r="96" customHeight="1" spans="1:16">
      <c r="A96" s="162" t="s">
        <v>119</v>
      </c>
      <c r="B96" s="163">
        <f t="shared" si="44"/>
        <v>0.660401320802642</v>
      </c>
      <c r="C96" s="110">
        <v>26</v>
      </c>
      <c r="D96" s="21" t="s">
        <v>142</v>
      </c>
      <c r="E96" s="21" t="s">
        <v>29</v>
      </c>
      <c r="F96" s="26" t="s">
        <v>31</v>
      </c>
      <c r="G96" s="168">
        <v>25.24</v>
      </c>
      <c r="H96" s="21">
        <f t="shared" si="45"/>
        <v>302.88</v>
      </c>
      <c r="I96" s="21">
        <f t="shared" si="46"/>
        <v>336.45</v>
      </c>
      <c r="J96" s="166">
        <f t="shared" si="47"/>
        <v>353.36</v>
      </c>
      <c r="M96" s="168">
        <v>23.16</v>
      </c>
      <c r="N96" s="167">
        <f>ROUND(M96*1.09,2)</f>
        <v>25.24</v>
      </c>
      <c r="O96" s="108">
        <f t="shared" si="39"/>
        <v>0.0898100172711571</v>
      </c>
      <c r="P96" s="109">
        <f t="shared" si="36"/>
        <v>336.4492</v>
      </c>
    </row>
    <row r="97" customHeight="1" spans="1:16">
      <c r="A97" s="162" t="s">
        <v>119</v>
      </c>
      <c r="B97" s="163">
        <f t="shared" si="44"/>
        <v>0.711201422402845</v>
      </c>
      <c r="C97" s="110">
        <v>28</v>
      </c>
      <c r="D97" s="21" t="s">
        <v>143</v>
      </c>
      <c r="E97" s="21" t="s">
        <v>29</v>
      </c>
      <c r="F97" s="26" t="s">
        <v>28</v>
      </c>
      <c r="G97" s="168">
        <v>11.67</v>
      </c>
      <c r="H97" s="21">
        <f t="shared" si="45"/>
        <v>140.04</v>
      </c>
      <c r="I97" s="21">
        <f t="shared" si="46"/>
        <v>155.56</v>
      </c>
      <c r="J97" s="166">
        <f t="shared" si="47"/>
        <v>163.38</v>
      </c>
      <c r="M97" s="168">
        <v>10.61</v>
      </c>
      <c r="N97" s="167">
        <f t="shared" si="38"/>
        <v>11.67</v>
      </c>
      <c r="O97" s="108">
        <f t="shared" si="39"/>
        <v>0.0999057492931198</v>
      </c>
      <c r="P97" s="109">
        <f t="shared" si="36"/>
        <v>155.5611</v>
      </c>
    </row>
    <row r="98" s="41" customFormat="1" customHeight="1" spans="1:16">
      <c r="A98" s="162" t="s">
        <v>119</v>
      </c>
      <c r="B98" s="163">
        <f t="shared" si="44"/>
        <v>0.711201422402845</v>
      </c>
      <c r="C98" s="110">
        <v>28</v>
      </c>
      <c r="D98" s="21" t="s">
        <v>143</v>
      </c>
      <c r="E98" s="21" t="s">
        <v>29</v>
      </c>
      <c r="F98" s="26" t="s">
        <v>26</v>
      </c>
      <c r="G98" s="168">
        <v>14.29</v>
      </c>
      <c r="H98" s="21">
        <f t="shared" si="45"/>
        <v>171.48</v>
      </c>
      <c r="I98" s="21">
        <f t="shared" si="46"/>
        <v>190.49</v>
      </c>
      <c r="J98" s="166">
        <f t="shared" si="47"/>
        <v>200.06</v>
      </c>
      <c r="M98" s="168">
        <v>12.99</v>
      </c>
      <c r="N98" s="167">
        <f t="shared" si="38"/>
        <v>14.29</v>
      </c>
      <c r="O98" s="108">
        <f t="shared" si="39"/>
        <v>0.100076982294072</v>
      </c>
      <c r="P98" s="109">
        <f t="shared" si="36"/>
        <v>190.4857</v>
      </c>
    </row>
    <row r="99" customHeight="1" spans="1:16">
      <c r="A99" s="162" t="s">
        <v>119</v>
      </c>
      <c r="B99" s="163">
        <f t="shared" si="44"/>
        <v>0.711201422402845</v>
      </c>
      <c r="C99" s="110">
        <v>28</v>
      </c>
      <c r="D99" s="21" t="s">
        <v>143</v>
      </c>
      <c r="E99" s="21" t="s">
        <v>29</v>
      </c>
      <c r="F99" s="26" t="s">
        <v>31</v>
      </c>
      <c r="G99" s="168">
        <v>23.93</v>
      </c>
      <c r="H99" s="21">
        <f t="shared" si="45"/>
        <v>287.16</v>
      </c>
      <c r="I99" s="21">
        <f t="shared" si="46"/>
        <v>318.99</v>
      </c>
      <c r="J99" s="166">
        <f t="shared" si="47"/>
        <v>335.02</v>
      </c>
      <c r="M99" s="168">
        <v>21.95</v>
      </c>
      <c r="N99" s="167">
        <f>ROUND(M99*1.09,2)</f>
        <v>23.93</v>
      </c>
      <c r="O99" s="108">
        <f t="shared" si="39"/>
        <v>0.0902050113895217</v>
      </c>
      <c r="P99" s="109">
        <f t="shared" si="36"/>
        <v>318.9869</v>
      </c>
    </row>
    <row r="100" customHeight="1" spans="1:16">
      <c r="A100" s="162" t="s">
        <v>119</v>
      </c>
      <c r="B100" s="163">
        <f t="shared" si="44"/>
        <v>0.711201422402845</v>
      </c>
      <c r="C100" s="110">
        <v>28</v>
      </c>
      <c r="D100" s="21" t="s">
        <v>143</v>
      </c>
      <c r="E100" s="21" t="s">
        <v>29</v>
      </c>
      <c r="F100" s="26" t="s">
        <v>59</v>
      </c>
      <c r="G100" s="168">
        <v>51.55</v>
      </c>
      <c r="H100" s="21">
        <f t="shared" si="45"/>
        <v>618.6</v>
      </c>
      <c r="I100" s="21">
        <f t="shared" si="46"/>
        <v>687.16</v>
      </c>
      <c r="J100" s="166">
        <f t="shared" si="47"/>
        <v>721.7</v>
      </c>
      <c r="M100" s="168">
        <v>47.29</v>
      </c>
      <c r="N100" s="167">
        <f>ROUND(M100*1.09,2)</f>
        <v>51.55</v>
      </c>
      <c r="O100" s="108">
        <f t="shared" si="39"/>
        <v>0.0900824698667794</v>
      </c>
      <c r="P100" s="109">
        <f t="shared" si="36"/>
        <v>687.1615</v>
      </c>
    </row>
    <row r="101" customHeight="1" spans="1:16">
      <c r="A101" s="162" t="s">
        <v>119</v>
      </c>
      <c r="B101" s="163">
        <f t="shared" si="44"/>
        <v>0.762001524003048</v>
      </c>
      <c r="C101" s="110">
        <v>30</v>
      </c>
      <c r="D101" s="21" t="s">
        <v>143</v>
      </c>
      <c r="E101" s="21" t="s">
        <v>29</v>
      </c>
      <c r="F101" s="26" t="s">
        <v>28</v>
      </c>
      <c r="G101" s="168">
        <v>11.62</v>
      </c>
      <c r="H101" s="21">
        <f t="shared" si="45"/>
        <v>139.44</v>
      </c>
      <c r="I101" s="21">
        <f t="shared" si="46"/>
        <v>154.89</v>
      </c>
      <c r="J101" s="166">
        <f t="shared" si="47"/>
        <v>162.68</v>
      </c>
      <c r="M101" s="168">
        <v>10.56</v>
      </c>
      <c r="N101" s="167">
        <f t="shared" si="38"/>
        <v>11.62</v>
      </c>
      <c r="O101" s="108">
        <f t="shared" si="39"/>
        <v>0.100378787878788</v>
      </c>
      <c r="P101" s="109">
        <f t="shared" si="36"/>
        <v>154.8946</v>
      </c>
    </row>
    <row r="102" customHeight="1" spans="1:16">
      <c r="A102" s="162" t="s">
        <v>119</v>
      </c>
      <c r="B102" s="163">
        <f t="shared" si="44"/>
        <v>0.762001524003048</v>
      </c>
      <c r="C102" s="110">
        <v>30</v>
      </c>
      <c r="D102" s="21" t="s">
        <v>143</v>
      </c>
      <c r="E102" s="21" t="s">
        <v>29</v>
      </c>
      <c r="F102" s="26" t="s">
        <v>26</v>
      </c>
      <c r="G102" s="168">
        <v>14.98</v>
      </c>
      <c r="H102" s="21">
        <f t="shared" si="45"/>
        <v>179.76</v>
      </c>
      <c r="I102" s="21">
        <f t="shared" si="46"/>
        <v>199.68</v>
      </c>
      <c r="J102" s="166">
        <f t="shared" si="47"/>
        <v>209.72</v>
      </c>
      <c r="M102" s="168">
        <v>13.62</v>
      </c>
      <c r="N102" s="167">
        <f t="shared" si="38"/>
        <v>14.98</v>
      </c>
      <c r="O102" s="108">
        <f t="shared" si="39"/>
        <v>0.0998531571218797</v>
      </c>
      <c r="P102" s="109">
        <f t="shared" si="36"/>
        <v>199.6834</v>
      </c>
    </row>
    <row r="103" customHeight="1" spans="1:16">
      <c r="A103" s="162" t="s">
        <v>119</v>
      </c>
      <c r="B103" s="163">
        <f t="shared" si="44"/>
        <v>0.762001524003048</v>
      </c>
      <c r="C103" s="110">
        <v>30</v>
      </c>
      <c r="D103" s="21" t="s">
        <v>143</v>
      </c>
      <c r="E103" s="21" t="s">
        <v>29</v>
      </c>
      <c r="F103" s="26" t="s">
        <v>31</v>
      </c>
      <c r="G103" s="168">
        <v>24.85</v>
      </c>
      <c r="H103" s="21">
        <f t="shared" si="45"/>
        <v>298.2</v>
      </c>
      <c r="I103" s="21">
        <f t="shared" si="46"/>
        <v>331.25</v>
      </c>
      <c r="J103" s="166">
        <f t="shared" si="47"/>
        <v>347.9</v>
      </c>
      <c r="M103" s="168">
        <v>22.8</v>
      </c>
      <c r="N103" s="167">
        <f>ROUND(M103*1.09,2)</f>
        <v>24.85</v>
      </c>
      <c r="O103" s="108">
        <f t="shared" si="39"/>
        <v>0.0899122807017544</v>
      </c>
      <c r="P103" s="109">
        <f t="shared" si="36"/>
        <v>331.2505</v>
      </c>
    </row>
    <row r="104" customHeight="1" spans="1:16">
      <c r="A104" s="162" t="s">
        <v>119</v>
      </c>
      <c r="B104" s="163">
        <f t="shared" si="44"/>
        <v>0.78740157480315</v>
      </c>
      <c r="C104" s="110">
        <v>31</v>
      </c>
      <c r="D104" s="21" t="s">
        <v>143</v>
      </c>
      <c r="E104" s="21" t="s">
        <v>29</v>
      </c>
      <c r="F104" s="26" t="s">
        <v>26</v>
      </c>
      <c r="G104" s="168">
        <v>15.79</v>
      </c>
      <c r="H104" s="21">
        <f t="shared" si="45"/>
        <v>189.48</v>
      </c>
      <c r="I104" s="21">
        <f t="shared" si="46"/>
        <v>210.48</v>
      </c>
      <c r="J104" s="166">
        <f t="shared" si="47"/>
        <v>221.06</v>
      </c>
      <c r="K104" s="171"/>
      <c r="M104" s="168">
        <v>14.62</v>
      </c>
      <c r="N104" s="167">
        <f>ROUND(M104*1.08,2)</f>
        <v>15.79</v>
      </c>
      <c r="O104" s="108">
        <f t="shared" si="39"/>
        <v>0.0800273597811218</v>
      </c>
      <c r="P104" s="109">
        <f t="shared" si="36"/>
        <v>210.4807</v>
      </c>
    </row>
    <row r="105" customHeight="1" spans="1:16">
      <c r="A105" s="162" t="s">
        <v>119</v>
      </c>
      <c r="B105" s="163">
        <f t="shared" si="44"/>
        <v>0.812801625603251</v>
      </c>
      <c r="C105" s="110">
        <v>32</v>
      </c>
      <c r="D105" s="21" t="s">
        <v>143</v>
      </c>
      <c r="E105" s="21" t="s">
        <v>29</v>
      </c>
      <c r="F105" s="26" t="s">
        <v>28</v>
      </c>
      <c r="G105" s="168">
        <v>11.77</v>
      </c>
      <c r="H105" s="21">
        <f t="shared" si="45"/>
        <v>141.24</v>
      </c>
      <c r="I105" s="21">
        <f t="shared" si="46"/>
        <v>156.89</v>
      </c>
      <c r="J105" s="166">
        <f t="shared" si="47"/>
        <v>164.78</v>
      </c>
      <c r="M105" s="168">
        <v>10.7</v>
      </c>
      <c r="N105" s="167">
        <f t="shared" si="38"/>
        <v>11.77</v>
      </c>
      <c r="O105" s="108">
        <f t="shared" ref="O105:O112" si="48">(N105-M105)/M105</f>
        <v>0.1</v>
      </c>
      <c r="P105" s="109">
        <f t="shared" ref="P105:P134" si="49">N105*13.33</f>
        <v>156.8941</v>
      </c>
    </row>
    <row r="106" customHeight="1" spans="1:16">
      <c r="A106" s="162" t="s">
        <v>119</v>
      </c>
      <c r="B106" s="163">
        <f t="shared" si="44"/>
        <v>0.812801625603251</v>
      </c>
      <c r="C106" s="110">
        <v>32</v>
      </c>
      <c r="D106" s="21" t="s">
        <v>143</v>
      </c>
      <c r="E106" s="21" t="s">
        <v>29</v>
      </c>
      <c r="F106" s="26" t="s">
        <v>26</v>
      </c>
      <c r="G106" s="168">
        <v>15.39</v>
      </c>
      <c r="H106" s="21">
        <f t="shared" si="45"/>
        <v>184.68</v>
      </c>
      <c r="I106" s="21">
        <f t="shared" si="46"/>
        <v>205.15</v>
      </c>
      <c r="J106" s="166">
        <f t="shared" si="47"/>
        <v>215.46</v>
      </c>
      <c r="M106" s="168">
        <v>13.99</v>
      </c>
      <c r="N106" s="167">
        <f t="shared" si="38"/>
        <v>15.39</v>
      </c>
      <c r="O106" s="108">
        <f t="shared" si="48"/>
        <v>0.100071479628306</v>
      </c>
      <c r="P106" s="109">
        <f t="shared" si="49"/>
        <v>205.1487</v>
      </c>
    </row>
    <row r="107" customHeight="1" spans="1:16">
      <c r="A107" s="162" t="s">
        <v>119</v>
      </c>
      <c r="B107" s="163">
        <f t="shared" si="44"/>
        <v>0.812801625603251</v>
      </c>
      <c r="C107" s="110">
        <v>32</v>
      </c>
      <c r="D107" s="21" t="s">
        <v>143</v>
      </c>
      <c r="E107" s="21" t="s">
        <v>29</v>
      </c>
      <c r="F107" s="26" t="s">
        <v>31</v>
      </c>
      <c r="G107" s="168">
        <v>25.32</v>
      </c>
      <c r="H107" s="21">
        <f t="shared" si="45"/>
        <v>303.84</v>
      </c>
      <c r="I107" s="21">
        <f t="shared" si="46"/>
        <v>337.52</v>
      </c>
      <c r="J107" s="166">
        <f t="shared" si="47"/>
        <v>354.48</v>
      </c>
      <c r="M107" s="168">
        <v>23.23</v>
      </c>
      <c r="N107" s="167">
        <f>ROUND(M107*1.09,2)</f>
        <v>25.32</v>
      </c>
      <c r="O107" s="108">
        <f t="shared" si="48"/>
        <v>0.0899698665518726</v>
      </c>
      <c r="P107" s="109">
        <f t="shared" si="49"/>
        <v>337.5156</v>
      </c>
    </row>
    <row r="108" customHeight="1" spans="1:16">
      <c r="A108" s="162" t="s">
        <v>119</v>
      </c>
      <c r="B108" s="163">
        <f t="shared" si="44"/>
        <v>0.812801625603251</v>
      </c>
      <c r="C108" s="110">
        <v>32</v>
      </c>
      <c r="D108" s="21" t="s">
        <v>143</v>
      </c>
      <c r="E108" s="21" t="s">
        <v>29</v>
      </c>
      <c r="F108" s="26" t="s">
        <v>59</v>
      </c>
      <c r="G108" s="168">
        <v>53.09</v>
      </c>
      <c r="H108" s="21">
        <f t="shared" si="45"/>
        <v>637.08</v>
      </c>
      <c r="I108" s="21">
        <f t="shared" si="46"/>
        <v>707.69</v>
      </c>
      <c r="J108" s="166">
        <f t="shared" si="47"/>
        <v>743.26</v>
      </c>
      <c r="M108" s="168">
        <v>48.71</v>
      </c>
      <c r="N108" s="167">
        <f>ROUND(M108*1.09,2)</f>
        <v>53.09</v>
      </c>
      <c r="O108" s="108">
        <f t="shared" si="48"/>
        <v>0.0899199343050709</v>
      </c>
      <c r="P108" s="109">
        <f t="shared" si="49"/>
        <v>707.6897</v>
      </c>
    </row>
    <row r="109" customHeight="1" spans="1:16">
      <c r="A109" s="162" t="s">
        <v>119</v>
      </c>
      <c r="B109" s="163">
        <f t="shared" si="44"/>
        <v>0.863601727203455</v>
      </c>
      <c r="C109" s="110">
        <v>34</v>
      </c>
      <c r="D109" s="21" t="s">
        <v>144</v>
      </c>
      <c r="E109" s="21" t="s">
        <v>29</v>
      </c>
      <c r="F109" s="26" t="s">
        <v>28</v>
      </c>
      <c r="G109" s="168">
        <v>12.79</v>
      </c>
      <c r="H109" s="21">
        <f t="shared" si="45"/>
        <v>153.48</v>
      </c>
      <c r="I109" s="21">
        <f t="shared" si="46"/>
        <v>170.49</v>
      </c>
      <c r="J109" s="166">
        <f t="shared" si="47"/>
        <v>179.06</v>
      </c>
      <c r="M109" s="168">
        <v>11.63</v>
      </c>
      <c r="N109" s="167">
        <f t="shared" ref="N107:N138" si="50">ROUND(M109*1.1,2)</f>
        <v>12.79</v>
      </c>
      <c r="O109" s="108">
        <f t="shared" si="48"/>
        <v>0.0997420464316422</v>
      </c>
      <c r="P109" s="109">
        <f t="shared" si="49"/>
        <v>170.4907</v>
      </c>
    </row>
    <row r="110" customHeight="1" spans="1:16">
      <c r="A110" s="162" t="s">
        <v>119</v>
      </c>
      <c r="B110" s="163">
        <f t="shared" si="44"/>
        <v>0.863601727203455</v>
      </c>
      <c r="C110" s="110">
        <v>34</v>
      </c>
      <c r="D110" s="21" t="s">
        <v>144</v>
      </c>
      <c r="E110" s="21" t="s">
        <v>29</v>
      </c>
      <c r="F110" s="26" t="s">
        <v>26</v>
      </c>
      <c r="G110" s="168">
        <v>16.78</v>
      </c>
      <c r="H110" s="21">
        <f t="shared" si="45"/>
        <v>201.36</v>
      </c>
      <c r="I110" s="21">
        <f t="shared" si="46"/>
        <v>223.68</v>
      </c>
      <c r="J110" s="166">
        <f t="shared" si="47"/>
        <v>234.92</v>
      </c>
      <c r="M110" s="168">
        <v>15.25</v>
      </c>
      <c r="N110" s="167">
        <f t="shared" si="50"/>
        <v>16.78</v>
      </c>
      <c r="O110" s="108">
        <f t="shared" si="48"/>
        <v>0.100327868852459</v>
      </c>
      <c r="P110" s="109">
        <f t="shared" si="49"/>
        <v>223.6774</v>
      </c>
    </row>
    <row r="111" customHeight="1" spans="1:16">
      <c r="A111" s="162" t="s">
        <v>119</v>
      </c>
      <c r="B111" s="163">
        <f t="shared" si="44"/>
        <v>0.863601727203455</v>
      </c>
      <c r="C111" s="110">
        <v>34</v>
      </c>
      <c r="D111" s="21" t="s">
        <v>144</v>
      </c>
      <c r="E111" s="21" t="s">
        <v>29</v>
      </c>
      <c r="F111" s="26" t="s">
        <v>31</v>
      </c>
      <c r="G111" s="168">
        <v>26.99</v>
      </c>
      <c r="H111" s="21">
        <f t="shared" si="45"/>
        <v>323.88</v>
      </c>
      <c r="I111" s="21">
        <f t="shared" si="46"/>
        <v>359.78</v>
      </c>
      <c r="J111" s="166">
        <f t="shared" si="47"/>
        <v>377.86</v>
      </c>
      <c r="M111" s="168">
        <v>24.76</v>
      </c>
      <c r="N111" s="167">
        <f>ROUND(M111*1.09,2)</f>
        <v>26.99</v>
      </c>
      <c r="O111" s="108">
        <f t="shared" si="48"/>
        <v>0.0900646203554118</v>
      </c>
      <c r="P111" s="109">
        <f t="shared" si="49"/>
        <v>359.7767</v>
      </c>
    </row>
    <row r="112" customHeight="1" spans="1:16">
      <c r="A112" s="162" t="s">
        <v>119</v>
      </c>
      <c r="B112" s="163">
        <f t="shared" si="44"/>
        <v>0.914401828803658</v>
      </c>
      <c r="C112" s="110">
        <v>36</v>
      </c>
      <c r="D112" s="21" t="s">
        <v>145</v>
      </c>
      <c r="E112" s="21" t="s">
        <v>29</v>
      </c>
      <c r="F112" s="26" t="s">
        <v>28</v>
      </c>
      <c r="G112" s="168">
        <v>13.21</v>
      </c>
      <c r="H112" s="21">
        <f t="shared" si="45"/>
        <v>158.52</v>
      </c>
      <c r="I112" s="21">
        <f t="shared" si="46"/>
        <v>176.09</v>
      </c>
      <c r="J112" s="166">
        <f t="shared" si="47"/>
        <v>184.94</v>
      </c>
      <c r="M112" s="168">
        <v>12.01</v>
      </c>
      <c r="N112" s="167">
        <f t="shared" si="50"/>
        <v>13.21</v>
      </c>
      <c r="O112" s="108">
        <f t="shared" si="48"/>
        <v>0.099916736053289</v>
      </c>
      <c r="P112" s="109">
        <f t="shared" si="49"/>
        <v>176.0893</v>
      </c>
    </row>
    <row r="113" customHeight="1" spans="1:16">
      <c r="A113" s="162" t="s">
        <v>119</v>
      </c>
      <c r="B113" s="163">
        <f t="shared" si="44"/>
        <v>0.914401828803658</v>
      </c>
      <c r="C113" s="110">
        <v>36</v>
      </c>
      <c r="D113" s="21" t="s">
        <v>145</v>
      </c>
      <c r="E113" s="21" t="s">
        <v>29</v>
      </c>
      <c r="F113" s="26" t="s">
        <v>26</v>
      </c>
      <c r="G113" s="168">
        <v>15.9</v>
      </c>
      <c r="H113" s="21">
        <f t="shared" si="45"/>
        <v>190.8</v>
      </c>
      <c r="I113" s="21">
        <f t="shared" si="46"/>
        <v>211.95</v>
      </c>
      <c r="J113" s="166">
        <f t="shared" si="47"/>
        <v>222.6</v>
      </c>
      <c r="M113" s="168">
        <v>14.45</v>
      </c>
      <c r="N113" s="167">
        <f t="shared" si="50"/>
        <v>15.9</v>
      </c>
      <c r="O113" s="108">
        <f t="shared" ref="O113:O144" si="51">(N113-M113)/M113</f>
        <v>0.100346020761246</v>
      </c>
      <c r="P113" s="109">
        <f t="shared" si="49"/>
        <v>211.947</v>
      </c>
    </row>
    <row r="114" customHeight="1" spans="1:16">
      <c r="A114" s="162" t="s">
        <v>119</v>
      </c>
      <c r="B114" s="163">
        <f t="shared" si="44"/>
        <v>0.914401828803658</v>
      </c>
      <c r="C114" s="110">
        <v>36</v>
      </c>
      <c r="D114" s="21" t="s">
        <v>145</v>
      </c>
      <c r="E114" s="21" t="s">
        <v>29</v>
      </c>
      <c r="F114" s="26" t="s">
        <v>44</v>
      </c>
      <c r="G114" s="168">
        <v>22.24</v>
      </c>
      <c r="H114" s="21">
        <f t="shared" si="45"/>
        <v>266.88</v>
      </c>
      <c r="I114" s="21">
        <f t="shared" si="46"/>
        <v>296.46</v>
      </c>
      <c r="J114" s="166">
        <f t="shared" si="47"/>
        <v>311.36</v>
      </c>
      <c r="M114" s="168">
        <v>20.4</v>
      </c>
      <c r="N114" s="167">
        <f>ROUND(M114*1.09,2)</f>
        <v>22.24</v>
      </c>
      <c r="O114" s="108">
        <f t="shared" si="51"/>
        <v>0.0901960784313725</v>
      </c>
      <c r="P114" s="109">
        <f t="shared" si="49"/>
        <v>296.4592</v>
      </c>
    </row>
    <row r="115" customHeight="1" spans="1:16">
      <c r="A115" s="162" t="s">
        <v>119</v>
      </c>
      <c r="B115" s="163">
        <f t="shared" ref="B115:B120" si="52">C115/39.37</f>
        <v>0.914401828803658</v>
      </c>
      <c r="C115" s="110">
        <v>36</v>
      </c>
      <c r="D115" s="21" t="s">
        <v>145</v>
      </c>
      <c r="E115" s="21" t="s">
        <v>29</v>
      </c>
      <c r="F115" s="26" t="s">
        <v>31</v>
      </c>
      <c r="G115" s="168">
        <v>27.04</v>
      </c>
      <c r="H115" s="21">
        <f t="shared" ref="H115:H135" si="53">ROUND(G115*12,2)</f>
        <v>324.48</v>
      </c>
      <c r="I115" s="21">
        <f t="shared" ref="I115:I135" si="54">ROUND(G115*13.33,2)</f>
        <v>360.44</v>
      </c>
      <c r="J115" s="166">
        <f t="shared" ref="J115:J135" si="55">ROUND(G115*14,2)</f>
        <v>378.56</v>
      </c>
      <c r="M115" s="168">
        <v>24.81</v>
      </c>
      <c r="N115" s="167">
        <f>ROUND(M115*1.09,2)</f>
        <v>27.04</v>
      </c>
      <c r="O115" s="108">
        <f t="shared" si="51"/>
        <v>0.0898831116485288</v>
      </c>
      <c r="P115" s="109">
        <f t="shared" si="49"/>
        <v>360.4432</v>
      </c>
    </row>
    <row r="116" customHeight="1" spans="1:16">
      <c r="A116" s="162" t="s">
        <v>119</v>
      </c>
      <c r="B116" s="163">
        <f t="shared" si="52"/>
        <v>0.965201930403861</v>
      </c>
      <c r="C116" s="110">
        <v>38</v>
      </c>
      <c r="D116" s="21" t="s">
        <v>145</v>
      </c>
      <c r="E116" s="21" t="s">
        <v>29</v>
      </c>
      <c r="F116" s="26" t="s">
        <v>28</v>
      </c>
      <c r="G116" s="168">
        <v>13.21</v>
      </c>
      <c r="H116" s="21">
        <f t="shared" si="53"/>
        <v>158.52</v>
      </c>
      <c r="I116" s="21">
        <f t="shared" si="54"/>
        <v>176.09</v>
      </c>
      <c r="J116" s="166">
        <f t="shared" si="55"/>
        <v>184.94</v>
      </c>
      <c r="M116" s="168">
        <v>12.01</v>
      </c>
      <c r="N116" s="167">
        <f t="shared" si="50"/>
        <v>13.21</v>
      </c>
      <c r="O116" s="108">
        <f t="shared" si="51"/>
        <v>0.099916736053289</v>
      </c>
      <c r="P116" s="109">
        <f t="shared" si="49"/>
        <v>176.0893</v>
      </c>
    </row>
    <row r="117" customHeight="1" spans="1:16">
      <c r="A117" s="162" t="s">
        <v>119</v>
      </c>
      <c r="B117" s="163">
        <f t="shared" si="52"/>
        <v>0.965201930403861</v>
      </c>
      <c r="C117" s="110">
        <v>38</v>
      </c>
      <c r="D117" s="21" t="s">
        <v>145</v>
      </c>
      <c r="E117" s="21" t="s">
        <v>29</v>
      </c>
      <c r="F117" s="26" t="s">
        <v>26</v>
      </c>
      <c r="G117" s="168">
        <v>16.2</v>
      </c>
      <c r="H117" s="21">
        <f t="shared" si="53"/>
        <v>194.4</v>
      </c>
      <c r="I117" s="21">
        <f t="shared" si="54"/>
        <v>215.95</v>
      </c>
      <c r="J117" s="166">
        <f t="shared" si="55"/>
        <v>226.8</v>
      </c>
      <c r="M117" s="168">
        <v>14.73</v>
      </c>
      <c r="N117" s="167">
        <f t="shared" si="50"/>
        <v>16.2</v>
      </c>
      <c r="O117" s="108">
        <f t="shared" si="51"/>
        <v>0.0997963340122199</v>
      </c>
      <c r="P117" s="109">
        <f t="shared" si="49"/>
        <v>215.946</v>
      </c>
    </row>
    <row r="118" customHeight="1" spans="1:16">
      <c r="A118" s="162" t="s">
        <v>119</v>
      </c>
      <c r="B118" s="163">
        <f t="shared" si="52"/>
        <v>0.965201930403861</v>
      </c>
      <c r="C118" s="110">
        <v>38</v>
      </c>
      <c r="D118" s="21" t="s">
        <v>145</v>
      </c>
      <c r="E118" s="21" t="s">
        <v>29</v>
      </c>
      <c r="F118" s="26" t="s">
        <v>31</v>
      </c>
      <c r="G118" s="168">
        <v>27.34</v>
      </c>
      <c r="H118" s="21">
        <f t="shared" si="53"/>
        <v>328.08</v>
      </c>
      <c r="I118" s="21">
        <f t="shared" si="54"/>
        <v>364.44</v>
      </c>
      <c r="J118" s="166">
        <f t="shared" si="55"/>
        <v>382.76</v>
      </c>
      <c r="M118" s="168">
        <v>25.08</v>
      </c>
      <c r="N118" s="167">
        <f>ROUND(M118*1.09,2)</f>
        <v>27.34</v>
      </c>
      <c r="O118" s="108">
        <f t="shared" si="51"/>
        <v>0.0901116427432218</v>
      </c>
      <c r="P118" s="109">
        <f t="shared" si="49"/>
        <v>364.4422</v>
      </c>
    </row>
    <row r="119" customHeight="1" spans="1:16">
      <c r="A119" s="162" t="s">
        <v>119</v>
      </c>
      <c r="B119" s="172">
        <f t="shared" si="52"/>
        <v>0.990601981203962</v>
      </c>
      <c r="C119" s="110">
        <v>39</v>
      </c>
      <c r="D119" s="21" t="s">
        <v>145</v>
      </c>
      <c r="E119" s="21" t="s">
        <v>29</v>
      </c>
      <c r="F119" s="26" t="s">
        <v>28</v>
      </c>
      <c r="G119" s="168">
        <v>12.98</v>
      </c>
      <c r="H119" s="21">
        <f t="shared" si="53"/>
        <v>155.76</v>
      </c>
      <c r="I119" s="21">
        <f t="shared" si="54"/>
        <v>173.02</v>
      </c>
      <c r="J119" s="166">
        <f t="shared" si="55"/>
        <v>181.72</v>
      </c>
      <c r="M119" s="168">
        <v>11.8</v>
      </c>
      <c r="N119" s="167">
        <f t="shared" si="50"/>
        <v>12.98</v>
      </c>
      <c r="O119" s="108">
        <f t="shared" si="51"/>
        <v>0.1</v>
      </c>
      <c r="P119" s="109">
        <f t="shared" si="49"/>
        <v>173.0234</v>
      </c>
    </row>
    <row r="120" customHeight="1" spans="1:16">
      <c r="A120" s="162" t="s">
        <v>119</v>
      </c>
      <c r="B120" s="172">
        <f t="shared" si="52"/>
        <v>0.990601981203962</v>
      </c>
      <c r="C120" s="110">
        <v>39</v>
      </c>
      <c r="D120" s="21" t="s">
        <v>145</v>
      </c>
      <c r="E120" s="21" t="s">
        <v>27</v>
      </c>
      <c r="F120" s="26" t="s">
        <v>26</v>
      </c>
      <c r="G120" s="168">
        <v>17.61</v>
      </c>
      <c r="H120" s="21">
        <f t="shared" si="53"/>
        <v>211.32</v>
      </c>
      <c r="I120" s="21">
        <f t="shared" si="54"/>
        <v>234.74</v>
      </c>
      <c r="J120" s="166">
        <f t="shared" si="55"/>
        <v>246.54</v>
      </c>
      <c r="M120" s="168">
        <v>16.01</v>
      </c>
      <c r="N120" s="167">
        <f t="shared" si="50"/>
        <v>17.61</v>
      </c>
      <c r="O120" s="108">
        <f t="shared" si="51"/>
        <v>0.099937539038101</v>
      </c>
      <c r="P120" s="109">
        <f t="shared" si="49"/>
        <v>234.7413</v>
      </c>
    </row>
    <row r="121" customHeight="1" spans="1:16">
      <c r="A121" s="162" t="s">
        <v>119</v>
      </c>
      <c r="B121" s="172">
        <f t="shared" ref="B121:B140" si="56">C121/39.37</f>
        <v>0.990601981203962</v>
      </c>
      <c r="C121" s="110">
        <v>39</v>
      </c>
      <c r="D121" s="21" t="s">
        <v>145</v>
      </c>
      <c r="E121" s="21" t="s">
        <v>29</v>
      </c>
      <c r="F121" s="26" t="s">
        <v>26</v>
      </c>
      <c r="G121" s="168">
        <v>15.71</v>
      </c>
      <c r="H121" s="21">
        <f t="shared" si="53"/>
        <v>188.52</v>
      </c>
      <c r="I121" s="21">
        <f t="shared" si="54"/>
        <v>209.41</v>
      </c>
      <c r="J121" s="166">
        <f t="shared" si="55"/>
        <v>219.94</v>
      </c>
      <c r="M121" s="168">
        <v>14.28</v>
      </c>
      <c r="N121" s="167">
        <f t="shared" si="50"/>
        <v>15.71</v>
      </c>
      <c r="O121" s="108">
        <f t="shared" si="51"/>
        <v>0.100140056022409</v>
      </c>
      <c r="P121" s="109">
        <f t="shared" si="49"/>
        <v>209.4143</v>
      </c>
    </row>
    <row r="122" customHeight="1" spans="1:16">
      <c r="A122" s="162" t="s">
        <v>119</v>
      </c>
      <c r="B122" s="172">
        <f t="shared" si="56"/>
        <v>1.04140208280417</v>
      </c>
      <c r="C122" s="110">
        <v>41</v>
      </c>
      <c r="D122" s="21" t="s">
        <v>146</v>
      </c>
      <c r="E122" s="21" t="s">
        <v>29</v>
      </c>
      <c r="F122" s="26" t="s">
        <v>28</v>
      </c>
      <c r="G122" s="168">
        <v>14.94</v>
      </c>
      <c r="H122" s="21">
        <f t="shared" si="53"/>
        <v>179.28</v>
      </c>
      <c r="I122" s="21">
        <f t="shared" si="54"/>
        <v>199.15</v>
      </c>
      <c r="J122" s="166">
        <f t="shared" si="55"/>
        <v>209.16</v>
      </c>
      <c r="M122" s="168">
        <v>13.58</v>
      </c>
      <c r="N122" s="167">
        <f t="shared" si="50"/>
        <v>14.94</v>
      </c>
      <c r="O122" s="108">
        <f t="shared" si="51"/>
        <v>0.100147275405007</v>
      </c>
      <c r="P122" s="109">
        <f t="shared" si="49"/>
        <v>199.1502</v>
      </c>
    </row>
    <row r="123" customHeight="1" spans="1:16">
      <c r="A123" s="162" t="s">
        <v>119</v>
      </c>
      <c r="B123" s="172">
        <f t="shared" si="56"/>
        <v>1.04140208280417</v>
      </c>
      <c r="C123" s="110">
        <v>41</v>
      </c>
      <c r="D123" s="21" t="s">
        <v>146</v>
      </c>
      <c r="E123" s="21" t="s">
        <v>29</v>
      </c>
      <c r="F123" s="26" t="s">
        <v>26</v>
      </c>
      <c r="G123" s="168">
        <v>17.95</v>
      </c>
      <c r="H123" s="21">
        <f t="shared" si="53"/>
        <v>215.4</v>
      </c>
      <c r="I123" s="21">
        <f t="shared" si="54"/>
        <v>239.27</v>
      </c>
      <c r="J123" s="166">
        <f t="shared" si="55"/>
        <v>251.3</v>
      </c>
      <c r="M123" s="168">
        <v>16.32</v>
      </c>
      <c r="N123" s="167">
        <f t="shared" si="50"/>
        <v>17.95</v>
      </c>
      <c r="O123" s="108">
        <f t="shared" si="51"/>
        <v>0.0998774509803921</v>
      </c>
      <c r="P123" s="109">
        <f t="shared" si="49"/>
        <v>239.2735</v>
      </c>
    </row>
    <row r="124" customHeight="1" spans="1:16">
      <c r="A124" s="162" t="s">
        <v>119</v>
      </c>
      <c r="B124" s="172">
        <f t="shared" si="56"/>
        <v>1.04140208280417</v>
      </c>
      <c r="C124" s="110">
        <v>41</v>
      </c>
      <c r="D124" s="21" t="s">
        <v>146</v>
      </c>
      <c r="E124" s="21" t="s">
        <v>29</v>
      </c>
      <c r="F124" s="26" t="s">
        <v>31</v>
      </c>
      <c r="G124" s="168">
        <v>28.23</v>
      </c>
      <c r="H124" s="21">
        <f t="shared" si="53"/>
        <v>338.76</v>
      </c>
      <c r="I124" s="21">
        <f t="shared" si="54"/>
        <v>376.31</v>
      </c>
      <c r="J124" s="166">
        <f t="shared" si="55"/>
        <v>395.22</v>
      </c>
      <c r="M124" s="168">
        <v>25.9</v>
      </c>
      <c r="N124" s="167">
        <f>ROUND(M124*1.09,2)</f>
        <v>28.23</v>
      </c>
      <c r="O124" s="108">
        <f t="shared" si="51"/>
        <v>0.08996138996139</v>
      </c>
      <c r="P124" s="109">
        <f t="shared" si="49"/>
        <v>376.3059</v>
      </c>
    </row>
    <row r="125" customHeight="1" spans="1:16">
      <c r="A125" s="162" t="s">
        <v>119</v>
      </c>
      <c r="B125" s="172">
        <f t="shared" si="56"/>
        <v>1.09220218440437</v>
      </c>
      <c r="C125" s="110">
        <v>43</v>
      </c>
      <c r="D125" s="21" t="s">
        <v>146</v>
      </c>
      <c r="E125" s="21" t="s">
        <v>29</v>
      </c>
      <c r="F125" s="26" t="s">
        <v>28</v>
      </c>
      <c r="G125" s="168">
        <v>15.21</v>
      </c>
      <c r="H125" s="21">
        <f t="shared" si="53"/>
        <v>182.52</v>
      </c>
      <c r="I125" s="21">
        <f t="shared" si="54"/>
        <v>202.75</v>
      </c>
      <c r="J125" s="166">
        <f t="shared" si="55"/>
        <v>212.94</v>
      </c>
      <c r="M125" s="168">
        <v>13.83</v>
      </c>
      <c r="N125" s="167">
        <f t="shared" si="50"/>
        <v>15.21</v>
      </c>
      <c r="O125" s="108">
        <f t="shared" si="51"/>
        <v>0.0997830802603037</v>
      </c>
      <c r="P125" s="109">
        <f t="shared" si="49"/>
        <v>202.7493</v>
      </c>
    </row>
    <row r="126" customHeight="1" spans="1:16">
      <c r="A126" s="162" t="s">
        <v>119</v>
      </c>
      <c r="B126" s="172">
        <f t="shared" si="56"/>
        <v>1.09220218440437</v>
      </c>
      <c r="C126" s="110">
        <v>43</v>
      </c>
      <c r="D126" s="21" t="s">
        <v>146</v>
      </c>
      <c r="E126" s="21" t="s">
        <v>29</v>
      </c>
      <c r="F126" s="26" t="s">
        <v>26</v>
      </c>
      <c r="G126" s="168">
        <v>18.24</v>
      </c>
      <c r="H126" s="21">
        <f t="shared" si="53"/>
        <v>218.88</v>
      </c>
      <c r="I126" s="21">
        <f t="shared" si="54"/>
        <v>243.14</v>
      </c>
      <c r="J126" s="166">
        <f t="shared" si="55"/>
        <v>255.36</v>
      </c>
      <c r="M126" s="168">
        <v>16.58</v>
      </c>
      <c r="N126" s="167">
        <f t="shared" si="50"/>
        <v>18.24</v>
      </c>
      <c r="O126" s="108">
        <f t="shared" si="51"/>
        <v>0.100120627261761</v>
      </c>
      <c r="P126" s="109">
        <f t="shared" si="49"/>
        <v>243.1392</v>
      </c>
    </row>
    <row r="127" customHeight="1" spans="1:16">
      <c r="A127" s="162" t="s">
        <v>119</v>
      </c>
      <c r="B127" s="172">
        <f t="shared" si="56"/>
        <v>1.09220218440437</v>
      </c>
      <c r="C127" s="110">
        <v>43</v>
      </c>
      <c r="D127" s="21" t="s">
        <v>146</v>
      </c>
      <c r="E127" s="21" t="s">
        <v>29</v>
      </c>
      <c r="F127" s="26" t="s">
        <v>31</v>
      </c>
      <c r="G127" s="168">
        <v>28.29</v>
      </c>
      <c r="H127" s="21">
        <f t="shared" si="53"/>
        <v>339.48</v>
      </c>
      <c r="I127" s="21">
        <f t="shared" si="54"/>
        <v>377.11</v>
      </c>
      <c r="J127" s="166">
        <f t="shared" si="55"/>
        <v>396.06</v>
      </c>
      <c r="M127" s="168">
        <v>25.95</v>
      </c>
      <c r="N127" s="167">
        <f>ROUND(M127*1.09,2)</f>
        <v>28.29</v>
      </c>
      <c r="O127" s="108">
        <f t="shared" si="51"/>
        <v>0.0901734104046243</v>
      </c>
      <c r="P127" s="109">
        <f t="shared" si="49"/>
        <v>377.1057</v>
      </c>
    </row>
    <row r="128" customHeight="1" spans="1:16">
      <c r="A128" s="162" t="s">
        <v>119</v>
      </c>
      <c r="B128" s="172">
        <f t="shared" si="56"/>
        <v>1.11760223520447</v>
      </c>
      <c r="C128" s="110">
        <v>44</v>
      </c>
      <c r="D128" s="21" t="s">
        <v>146</v>
      </c>
      <c r="E128" s="21" t="s">
        <v>29</v>
      </c>
      <c r="F128" s="26" t="s">
        <v>28</v>
      </c>
      <c r="G128" s="168">
        <v>15.21</v>
      </c>
      <c r="H128" s="21">
        <f t="shared" si="53"/>
        <v>182.52</v>
      </c>
      <c r="I128" s="21">
        <f t="shared" si="54"/>
        <v>202.75</v>
      </c>
      <c r="J128" s="166">
        <f t="shared" si="55"/>
        <v>212.94</v>
      </c>
      <c r="M128" s="168">
        <v>13.83</v>
      </c>
      <c r="N128" s="167">
        <f t="shared" si="50"/>
        <v>15.21</v>
      </c>
      <c r="O128" s="108">
        <f t="shared" si="51"/>
        <v>0.0997830802603037</v>
      </c>
      <c r="P128" s="109">
        <f t="shared" si="49"/>
        <v>202.7493</v>
      </c>
    </row>
    <row r="129" customHeight="1" spans="1:16">
      <c r="A129" s="162" t="s">
        <v>119</v>
      </c>
      <c r="B129" s="172">
        <f t="shared" si="56"/>
        <v>1.11760223520447</v>
      </c>
      <c r="C129" s="110">
        <v>44</v>
      </c>
      <c r="D129" s="21" t="s">
        <v>146</v>
      </c>
      <c r="E129" s="21" t="s">
        <v>29</v>
      </c>
      <c r="F129" s="26" t="s">
        <v>26</v>
      </c>
      <c r="G129" s="168">
        <v>18.24</v>
      </c>
      <c r="H129" s="21">
        <f t="shared" si="53"/>
        <v>218.88</v>
      </c>
      <c r="I129" s="21">
        <f t="shared" si="54"/>
        <v>243.14</v>
      </c>
      <c r="J129" s="166">
        <f t="shared" si="55"/>
        <v>255.36</v>
      </c>
      <c r="M129" s="168">
        <v>16.58</v>
      </c>
      <c r="N129" s="167">
        <f t="shared" si="50"/>
        <v>18.24</v>
      </c>
      <c r="O129" s="108">
        <f t="shared" si="51"/>
        <v>0.100120627261761</v>
      </c>
      <c r="P129" s="109">
        <f t="shared" si="49"/>
        <v>243.1392</v>
      </c>
    </row>
    <row r="130" customHeight="1" spans="1:16">
      <c r="A130" s="162" t="s">
        <v>119</v>
      </c>
      <c r="B130" s="172">
        <f t="shared" si="56"/>
        <v>1.11760223520447</v>
      </c>
      <c r="C130" s="110">
        <v>44</v>
      </c>
      <c r="D130" s="21" t="s">
        <v>146</v>
      </c>
      <c r="E130" s="21" t="s">
        <v>29</v>
      </c>
      <c r="F130" s="26" t="s">
        <v>31</v>
      </c>
      <c r="G130" s="168">
        <v>28.73</v>
      </c>
      <c r="H130" s="21">
        <f t="shared" si="53"/>
        <v>344.76</v>
      </c>
      <c r="I130" s="21">
        <f t="shared" si="54"/>
        <v>382.97</v>
      </c>
      <c r="J130" s="166">
        <f t="shared" si="55"/>
        <v>402.22</v>
      </c>
      <c r="M130" s="168">
        <v>26.36</v>
      </c>
      <c r="N130" s="167">
        <f>ROUND(M130*1.09,2)</f>
        <v>28.73</v>
      </c>
      <c r="O130" s="108">
        <f t="shared" si="51"/>
        <v>0.0899089529590289</v>
      </c>
      <c r="P130" s="109">
        <f t="shared" si="49"/>
        <v>382.9709</v>
      </c>
    </row>
    <row r="131" customHeight="1" spans="1:16">
      <c r="A131" s="162" t="s">
        <v>119</v>
      </c>
      <c r="B131" s="172">
        <f t="shared" si="56"/>
        <v>1.16840233680467</v>
      </c>
      <c r="C131" s="110">
        <v>46</v>
      </c>
      <c r="D131" s="21" t="s">
        <v>146</v>
      </c>
      <c r="E131" s="21" t="s">
        <v>29</v>
      </c>
      <c r="F131" s="26" t="s">
        <v>28</v>
      </c>
      <c r="G131" s="168">
        <v>15.21</v>
      </c>
      <c r="H131" s="21">
        <f t="shared" si="53"/>
        <v>182.52</v>
      </c>
      <c r="I131" s="21">
        <f t="shared" si="54"/>
        <v>202.75</v>
      </c>
      <c r="J131" s="166">
        <f t="shared" si="55"/>
        <v>212.94</v>
      </c>
      <c r="M131" s="168">
        <v>13.83</v>
      </c>
      <c r="N131" s="167">
        <f t="shared" si="50"/>
        <v>15.21</v>
      </c>
      <c r="O131" s="108">
        <f t="shared" si="51"/>
        <v>0.0997830802603037</v>
      </c>
      <c r="P131" s="109">
        <f t="shared" si="49"/>
        <v>202.7493</v>
      </c>
    </row>
    <row r="132" customHeight="1" spans="1:16">
      <c r="A132" s="162" t="s">
        <v>119</v>
      </c>
      <c r="B132" s="172">
        <f t="shared" si="56"/>
        <v>1.16840233680467</v>
      </c>
      <c r="C132" s="110">
        <v>46</v>
      </c>
      <c r="D132" s="21" t="s">
        <v>146</v>
      </c>
      <c r="E132" s="21" t="s">
        <v>29</v>
      </c>
      <c r="F132" s="26" t="s">
        <v>26</v>
      </c>
      <c r="G132" s="168">
        <v>18.3</v>
      </c>
      <c r="H132" s="21">
        <f t="shared" si="53"/>
        <v>219.6</v>
      </c>
      <c r="I132" s="21">
        <f t="shared" si="54"/>
        <v>243.94</v>
      </c>
      <c r="J132" s="166">
        <f t="shared" si="55"/>
        <v>256.2</v>
      </c>
      <c r="M132" s="168">
        <v>16.64</v>
      </c>
      <c r="N132" s="167">
        <f t="shared" si="50"/>
        <v>18.3</v>
      </c>
      <c r="O132" s="108">
        <f t="shared" si="51"/>
        <v>0.0997596153846154</v>
      </c>
      <c r="P132" s="109">
        <f t="shared" si="49"/>
        <v>243.939</v>
      </c>
    </row>
    <row r="133" customHeight="1" spans="1:16">
      <c r="A133" s="162" t="s">
        <v>119</v>
      </c>
      <c r="B133" s="172">
        <f t="shared" si="56"/>
        <v>1.16840233680467</v>
      </c>
      <c r="C133" s="110">
        <v>46</v>
      </c>
      <c r="D133" s="21" t="s">
        <v>146</v>
      </c>
      <c r="E133" s="21" t="s">
        <v>29</v>
      </c>
      <c r="F133" s="26" t="s">
        <v>31</v>
      </c>
      <c r="G133" s="168">
        <v>28.98</v>
      </c>
      <c r="H133" s="21">
        <f t="shared" si="53"/>
        <v>347.76</v>
      </c>
      <c r="I133" s="21">
        <f t="shared" si="54"/>
        <v>386.3</v>
      </c>
      <c r="J133" s="166">
        <f t="shared" si="55"/>
        <v>405.72</v>
      </c>
      <c r="M133" s="168">
        <v>26.59</v>
      </c>
      <c r="N133" s="167">
        <f>ROUND(M133*1.09,2)</f>
        <v>28.98</v>
      </c>
      <c r="O133" s="108">
        <f t="shared" si="51"/>
        <v>0.0898834148176006</v>
      </c>
      <c r="P133" s="109">
        <f t="shared" si="49"/>
        <v>386.3034</v>
      </c>
    </row>
    <row r="134" customHeight="1" spans="1:16">
      <c r="A134" s="162" t="s">
        <v>119</v>
      </c>
      <c r="B134" s="172">
        <f t="shared" si="56"/>
        <v>1.19380238760478</v>
      </c>
      <c r="C134" s="110">
        <v>47</v>
      </c>
      <c r="D134" s="21" t="s">
        <v>146</v>
      </c>
      <c r="E134" s="21" t="s">
        <v>29</v>
      </c>
      <c r="F134" s="26" t="s">
        <v>28</v>
      </c>
      <c r="G134" s="168">
        <v>16.35</v>
      </c>
      <c r="H134" s="21">
        <f t="shared" si="53"/>
        <v>196.2</v>
      </c>
      <c r="I134" s="21">
        <f t="shared" si="54"/>
        <v>217.95</v>
      </c>
      <c r="J134" s="166">
        <f t="shared" si="55"/>
        <v>228.9</v>
      </c>
      <c r="M134" s="168">
        <v>14.86</v>
      </c>
      <c r="N134" s="167">
        <f t="shared" si="50"/>
        <v>16.35</v>
      </c>
      <c r="O134" s="108">
        <f t="shared" si="51"/>
        <v>0.100269179004038</v>
      </c>
      <c r="P134" s="109">
        <f t="shared" si="49"/>
        <v>217.9455</v>
      </c>
    </row>
    <row r="135" customHeight="1" spans="1:16">
      <c r="A135" s="162" t="s">
        <v>119</v>
      </c>
      <c r="B135" s="172">
        <f t="shared" si="56"/>
        <v>1.21920243840488</v>
      </c>
      <c r="C135" s="110">
        <v>48</v>
      </c>
      <c r="D135" s="21" t="s">
        <v>147</v>
      </c>
      <c r="E135" s="21" t="s">
        <v>29</v>
      </c>
      <c r="F135" s="26" t="s">
        <v>28</v>
      </c>
      <c r="G135" s="168">
        <v>16.9</v>
      </c>
      <c r="H135" s="21">
        <f t="shared" si="53"/>
        <v>202.8</v>
      </c>
      <c r="I135" s="21">
        <f t="shared" si="54"/>
        <v>225.28</v>
      </c>
      <c r="J135" s="166">
        <f t="shared" si="55"/>
        <v>236.6</v>
      </c>
      <c r="M135" s="168">
        <v>15.36</v>
      </c>
      <c r="N135" s="167">
        <f t="shared" si="50"/>
        <v>16.9</v>
      </c>
      <c r="O135" s="108">
        <f t="shared" si="51"/>
        <v>0.100260416666667</v>
      </c>
      <c r="P135" s="109">
        <f t="shared" ref="P135:P168" si="57">N135*13.33</f>
        <v>225.277</v>
      </c>
    </row>
    <row r="136" customHeight="1" spans="1:16">
      <c r="A136" s="162" t="s">
        <v>119</v>
      </c>
      <c r="B136" s="172">
        <f t="shared" si="56"/>
        <v>1.21920243840488</v>
      </c>
      <c r="C136" s="110">
        <v>48</v>
      </c>
      <c r="D136" s="21" t="s">
        <v>147</v>
      </c>
      <c r="E136" s="21" t="s">
        <v>29</v>
      </c>
      <c r="F136" s="26" t="s">
        <v>26</v>
      </c>
      <c r="G136" s="168">
        <v>18.87</v>
      </c>
      <c r="H136" s="21">
        <f t="shared" ref="H136:H168" si="58">ROUND(G136*12,2)</f>
        <v>226.44</v>
      </c>
      <c r="I136" s="21">
        <f t="shared" ref="I136:I168" si="59">ROUND(G136*13.33,2)</f>
        <v>251.54</v>
      </c>
      <c r="J136" s="166">
        <f t="shared" ref="J136:J168" si="60">ROUND(G136*14,2)</f>
        <v>264.18</v>
      </c>
      <c r="M136" s="168">
        <v>17.15</v>
      </c>
      <c r="N136" s="167">
        <f t="shared" si="50"/>
        <v>18.87</v>
      </c>
      <c r="O136" s="108">
        <f t="shared" si="51"/>
        <v>0.100291545189505</v>
      </c>
      <c r="P136" s="109">
        <f t="shared" si="57"/>
        <v>251.5371</v>
      </c>
    </row>
    <row r="137" customHeight="1" spans="1:16">
      <c r="A137" s="162" t="s">
        <v>119</v>
      </c>
      <c r="B137" s="172">
        <f t="shared" si="56"/>
        <v>1.21920243840488</v>
      </c>
      <c r="C137" s="110">
        <v>48</v>
      </c>
      <c r="D137" s="21" t="s">
        <v>147</v>
      </c>
      <c r="E137" s="21" t="s">
        <v>29</v>
      </c>
      <c r="F137" s="26" t="s">
        <v>31</v>
      </c>
      <c r="G137" s="168">
        <v>30.73</v>
      </c>
      <c r="H137" s="21">
        <f t="shared" si="58"/>
        <v>368.76</v>
      </c>
      <c r="I137" s="21">
        <f t="shared" si="59"/>
        <v>409.63</v>
      </c>
      <c r="J137" s="166">
        <f t="shared" si="60"/>
        <v>430.22</v>
      </c>
      <c r="M137" s="168">
        <v>28.19</v>
      </c>
      <c r="N137" s="167">
        <f>ROUND(M137*1.09,2)</f>
        <v>30.73</v>
      </c>
      <c r="O137" s="108">
        <f t="shared" si="51"/>
        <v>0.0901028733593472</v>
      </c>
      <c r="P137" s="109">
        <f t="shared" si="57"/>
        <v>409.6309</v>
      </c>
    </row>
    <row r="138" customHeight="1" spans="1:16">
      <c r="A138" s="162" t="s">
        <v>119</v>
      </c>
      <c r="B138" s="172">
        <f t="shared" si="56"/>
        <v>1.27000254000508</v>
      </c>
      <c r="C138" s="110">
        <v>50</v>
      </c>
      <c r="D138" s="21" t="s">
        <v>147</v>
      </c>
      <c r="E138" s="21" t="s">
        <v>29</v>
      </c>
      <c r="F138" s="26" t="s">
        <v>28</v>
      </c>
      <c r="G138" s="168">
        <v>16.9</v>
      </c>
      <c r="H138" s="21">
        <f t="shared" si="58"/>
        <v>202.8</v>
      </c>
      <c r="I138" s="21">
        <f t="shared" si="59"/>
        <v>225.28</v>
      </c>
      <c r="J138" s="166">
        <f t="shared" si="60"/>
        <v>236.6</v>
      </c>
      <c r="M138" s="168">
        <v>15.36</v>
      </c>
      <c r="N138" s="167">
        <f t="shared" si="50"/>
        <v>16.9</v>
      </c>
      <c r="O138" s="108">
        <f t="shared" si="51"/>
        <v>0.100260416666667</v>
      </c>
      <c r="P138" s="109">
        <f t="shared" si="57"/>
        <v>225.277</v>
      </c>
    </row>
    <row r="139" customHeight="1" spans="1:16">
      <c r="A139" s="162" t="s">
        <v>119</v>
      </c>
      <c r="B139" s="172">
        <f t="shared" si="56"/>
        <v>1.27000254000508</v>
      </c>
      <c r="C139" s="110">
        <v>50</v>
      </c>
      <c r="D139" s="21" t="s">
        <v>147</v>
      </c>
      <c r="E139" s="21" t="s">
        <v>29</v>
      </c>
      <c r="F139" s="26" t="s">
        <v>26</v>
      </c>
      <c r="G139" s="168">
        <v>20.28</v>
      </c>
      <c r="H139" s="21">
        <f t="shared" si="58"/>
        <v>243.36</v>
      </c>
      <c r="I139" s="21">
        <f t="shared" si="59"/>
        <v>270.33</v>
      </c>
      <c r="J139" s="166">
        <f t="shared" si="60"/>
        <v>283.92</v>
      </c>
      <c r="M139" s="168">
        <v>18.44</v>
      </c>
      <c r="N139" s="167">
        <f t="shared" ref="N139:N168" si="61">ROUND(M139*1.1,2)</f>
        <v>20.28</v>
      </c>
      <c r="O139" s="108">
        <f t="shared" si="51"/>
        <v>0.0997830802603037</v>
      </c>
      <c r="P139" s="109">
        <f t="shared" si="57"/>
        <v>270.3324</v>
      </c>
    </row>
    <row r="140" customHeight="1" spans="1:16">
      <c r="A140" s="162" t="s">
        <v>119</v>
      </c>
      <c r="B140" s="172">
        <f t="shared" si="56"/>
        <v>1.27000254000508</v>
      </c>
      <c r="C140" s="110">
        <v>50</v>
      </c>
      <c r="D140" s="21" t="s">
        <v>147</v>
      </c>
      <c r="E140" s="21" t="s">
        <v>29</v>
      </c>
      <c r="F140" s="26" t="s">
        <v>31</v>
      </c>
      <c r="G140" s="168">
        <v>30.63</v>
      </c>
      <c r="H140" s="21">
        <f t="shared" si="58"/>
        <v>367.56</v>
      </c>
      <c r="I140" s="21">
        <f t="shared" si="59"/>
        <v>408.3</v>
      </c>
      <c r="J140" s="166">
        <f t="shared" si="60"/>
        <v>428.82</v>
      </c>
      <c r="M140" s="168">
        <v>28.1</v>
      </c>
      <c r="N140" s="167">
        <f>ROUND(M140*1.09,2)</f>
        <v>30.63</v>
      </c>
      <c r="O140" s="108">
        <f t="shared" si="51"/>
        <v>0.090035587188612</v>
      </c>
      <c r="P140" s="109">
        <f t="shared" si="57"/>
        <v>408.2979</v>
      </c>
    </row>
    <row r="141" customHeight="1" spans="1:16">
      <c r="A141" s="162" t="s">
        <v>119</v>
      </c>
      <c r="B141" s="172">
        <f t="shared" ref="B141:B146" si="62">C141/39.37</f>
        <v>1.32080264160528</v>
      </c>
      <c r="C141" s="110">
        <v>52</v>
      </c>
      <c r="D141" s="21" t="s">
        <v>147</v>
      </c>
      <c r="E141" s="21" t="s">
        <v>29</v>
      </c>
      <c r="F141" s="26" t="s">
        <v>28</v>
      </c>
      <c r="G141" s="168">
        <v>16.9</v>
      </c>
      <c r="H141" s="21">
        <f t="shared" si="58"/>
        <v>202.8</v>
      </c>
      <c r="I141" s="21">
        <f t="shared" si="59"/>
        <v>225.28</v>
      </c>
      <c r="J141" s="166">
        <f t="shared" si="60"/>
        <v>236.6</v>
      </c>
      <c r="M141" s="168">
        <v>15.36</v>
      </c>
      <c r="N141" s="167">
        <f t="shared" si="61"/>
        <v>16.9</v>
      </c>
      <c r="O141" s="108">
        <f t="shared" si="51"/>
        <v>0.100260416666667</v>
      </c>
      <c r="P141" s="109">
        <f t="shared" si="57"/>
        <v>225.277</v>
      </c>
    </row>
    <row r="142" customHeight="1" spans="1:16">
      <c r="A142" s="162" t="s">
        <v>119</v>
      </c>
      <c r="B142" s="172">
        <f t="shared" si="62"/>
        <v>1.32080264160528</v>
      </c>
      <c r="C142" s="110">
        <v>52</v>
      </c>
      <c r="D142" s="21" t="s">
        <v>147</v>
      </c>
      <c r="E142" s="21" t="s">
        <v>29</v>
      </c>
      <c r="F142" s="26" t="s">
        <v>26</v>
      </c>
      <c r="G142" s="168">
        <v>20.75</v>
      </c>
      <c r="H142" s="21">
        <f t="shared" si="58"/>
        <v>249</v>
      </c>
      <c r="I142" s="21">
        <f t="shared" si="59"/>
        <v>276.6</v>
      </c>
      <c r="J142" s="166">
        <f t="shared" si="60"/>
        <v>290.5</v>
      </c>
      <c r="M142" s="168">
        <v>18.86</v>
      </c>
      <c r="N142" s="167">
        <f t="shared" si="61"/>
        <v>20.75</v>
      </c>
      <c r="O142" s="108">
        <f t="shared" si="51"/>
        <v>0.100212089077413</v>
      </c>
      <c r="P142" s="109">
        <f t="shared" si="57"/>
        <v>276.5975</v>
      </c>
    </row>
    <row r="143" customHeight="1" spans="1:16">
      <c r="A143" s="162" t="s">
        <v>119</v>
      </c>
      <c r="B143" s="172">
        <f t="shared" si="62"/>
        <v>1.32080264160528</v>
      </c>
      <c r="C143" s="110">
        <v>52</v>
      </c>
      <c r="D143" s="21" t="s">
        <v>147</v>
      </c>
      <c r="E143" s="21" t="s">
        <v>29</v>
      </c>
      <c r="F143" s="26" t="s">
        <v>31</v>
      </c>
      <c r="G143" s="168">
        <v>31.36</v>
      </c>
      <c r="H143" s="21">
        <f t="shared" si="58"/>
        <v>376.32</v>
      </c>
      <c r="I143" s="21">
        <f t="shared" si="59"/>
        <v>418.03</v>
      </c>
      <c r="J143" s="166">
        <f t="shared" si="60"/>
        <v>439.04</v>
      </c>
      <c r="M143" s="168">
        <v>28.77</v>
      </c>
      <c r="N143" s="167">
        <f>ROUND(M143*1.09,2)</f>
        <v>31.36</v>
      </c>
      <c r="O143" s="108">
        <f t="shared" si="51"/>
        <v>0.0900243309002433</v>
      </c>
      <c r="P143" s="109">
        <f t="shared" si="57"/>
        <v>418.0288</v>
      </c>
    </row>
    <row r="144" customHeight="1" spans="1:16">
      <c r="A144" s="162" t="s">
        <v>119</v>
      </c>
      <c r="B144" s="172">
        <f t="shared" si="62"/>
        <v>1.37160274320549</v>
      </c>
      <c r="C144" s="110">
        <v>54</v>
      </c>
      <c r="D144" s="21" t="s">
        <v>147</v>
      </c>
      <c r="E144" s="21" t="s">
        <v>29</v>
      </c>
      <c r="F144" s="26" t="s">
        <v>28</v>
      </c>
      <c r="G144" s="168">
        <v>16.9</v>
      </c>
      <c r="H144" s="21">
        <f t="shared" si="58"/>
        <v>202.8</v>
      </c>
      <c r="I144" s="21">
        <f t="shared" si="59"/>
        <v>225.28</v>
      </c>
      <c r="J144" s="166">
        <f t="shared" si="60"/>
        <v>236.6</v>
      </c>
      <c r="M144" s="168">
        <v>15.36</v>
      </c>
      <c r="N144" s="167">
        <f t="shared" si="61"/>
        <v>16.9</v>
      </c>
      <c r="O144" s="108">
        <f t="shared" si="51"/>
        <v>0.100260416666667</v>
      </c>
      <c r="P144" s="109">
        <f t="shared" si="57"/>
        <v>225.277</v>
      </c>
    </row>
    <row r="145" customHeight="1" spans="1:16">
      <c r="A145" s="162" t="s">
        <v>119</v>
      </c>
      <c r="B145" s="172">
        <f t="shared" si="62"/>
        <v>1.37160274320549</v>
      </c>
      <c r="C145" s="110">
        <v>54</v>
      </c>
      <c r="D145" s="21" t="s">
        <v>147</v>
      </c>
      <c r="E145" s="21" t="s">
        <v>29</v>
      </c>
      <c r="F145" s="26" t="s">
        <v>26</v>
      </c>
      <c r="G145" s="168">
        <v>21.1</v>
      </c>
      <c r="H145" s="21">
        <f t="shared" si="58"/>
        <v>253.2</v>
      </c>
      <c r="I145" s="21">
        <f t="shared" si="59"/>
        <v>281.26</v>
      </c>
      <c r="J145" s="166">
        <f t="shared" si="60"/>
        <v>295.4</v>
      </c>
      <c r="M145" s="168">
        <v>19.18</v>
      </c>
      <c r="N145" s="167">
        <f t="shared" si="61"/>
        <v>21.1</v>
      </c>
      <c r="O145" s="108">
        <f t="shared" ref="O145:O168" si="63">(N145-M145)/M145</f>
        <v>0.100104275286757</v>
      </c>
      <c r="P145" s="109">
        <f t="shared" si="57"/>
        <v>281.263</v>
      </c>
    </row>
    <row r="146" customHeight="1" spans="1:16">
      <c r="A146" s="162" t="s">
        <v>119</v>
      </c>
      <c r="B146" s="172">
        <f t="shared" si="62"/>
        <v>1.37160274320549</v>
      </c>
      <c r="C146" s="110">
        <v>54</v>
      </c>
      <c r="D146" s="21" t="s">
        <v>147</v>
      </c>
      <c r="E146" s="21" t="s">
        <v>29</v>
      </c>
      <c r="F146" s="26" t="s">
        <v>44</v>
      </c>
      <c r="G146" s="168">
        <v>26.55</v>
      </c>
      <c r="H146" s="21">
        <f t="shared" si="58"/>
        <v>318.6</v>
      </c>
      <c r="I146" s="21">
        <f t="shared" si="59"/>
        <v>353.91</v>
      </c>
      <c r="J146" s="166">
        <f t="shared" si="60"/>
        <v>371.7</v>
      </c>
      <c r="M146" s="168">
        <v>24.36</v>
      </c>
      <c r="N146" s="167">
        <f>ROUND(M146*1.09,2)</f>
        <v>26.55</v>
      </c>
      <c r="O146" s="108">
        <f t="shared" si="63"/>
        <v>0.0899014778325124</v>
      </c>
      <c r="P146" s="109">
        <f t="shared" si="57"/>
        <v>353.9115</v>
      </c>
    </row>
    <row r="147" customHeight="1" spans="1:16">
      <c r="A147" s="162" t="s">
        <v>119</v>
      </c>
      <c r="B147" s="172">
        <f t="shared" ref="B147:B150" si="64">C147/39.37</f>
        <v>1.37160274320549</v>
      </c>
      <c r="C147" s="110">
        <v>54</v>
      </c>
      <c r="D147" s="21" t="s">
        <v>147</v>
      </c>
      <c r="E147" s="21" t="s">
        <v>29</v>
      </c>
      <c r="F147" s="26" t="s">
        <v>31</v>
      </c>
      <c r="G147" s="168">
        <v>31.47</v>
      </c>
      <c r="H147" s="21">
        <f t="shared" si="58"/>
        <v>377.64</v>
      </c>
      <c r="I147" s="21">
        <f t="shared" si="59"/>
        <v>419.5</v>
      </c>
      <c r="J147" s="166">
        <f t="shared" si="60"/>
        <v>440.58</v>
      </c>
      <c r="M147" s="168">
        <v>28.87</v>
      </c>
      <c r="N147" s="167">
        <f>ROUND(M147*1.09,2)</f>
        <v>31.47</v>
      </c>
      <c r="O147" s="108">
        <f t="shared" si="63"/>
        <v>0.0900588846553515</v>
      </c>
      <c r="P147" s="109">
        <f t="shared" si="57"/>
        <v>419.4951</v>
      </c>
    </row>
    <row r="148" customHeight="1" spans="1:16">
      <c r="A148" s="162" t="s">
        <v>119</v>
      </c>
      <c r="B148" s="172">
        <f t="shared" si="64"/>
        <v>1.42240284480569</v>
      </c>
      <c r="C148" s="110">
        <v>56</v>
      </c>
      <c r="D148" s="21" t="s">
        <v>148</v>
      </c>
      <c r="E148" s="21" t="s">
        <v>29</v>
      </c>
      <c r="F148" s="26" t="s">
        <v>28</v>
      </c>
      <c r="G148" s="168">
        <v>14.72</v>
      </c>
      <c r="H148" s="21">
        <f t="shared" si="58"/>
        <v>176.64</v>
      </c>
      <c r="I148" s="21">
        <f t="shared" si="59"/>
        <v>196.22</v>
      </c>
      <c r="J148" s="166">
        <f t="shared" si="60"/>
        <v>206.08</v>
      </c>
      <c r="M148" s="168">
        <v>13.38</v>
      </c>
      <c r="N148" s="167">
        <f t="shared" si="61"/>
        <v>14.72</v>
      </c>
      <c r="O148" s="108">
        <f t="shared" si="63"/>
        <v>0.100149476831091</v>
      </c>
      <c r="P148" s="109">
        <f t="shared" si="57"/>
        <v>196.2176</v>
      </c>
    </row>
    <row r="149" customHeight="1" spans="1:16">
      <c r="A149" s="162" t="s">
        <v>119</v>
      </c>
      <c r="B149" s="172">
        <f t="shared" si="64"/>
        <v>1.42240284480569</v>
      </c>
      <c r="C149" s="110">
        <v>56</v>
      </c>
      <c r="D149" s="21" t="s">
        <v>148</v>
      </c>
      <c r="E149" s="21" t="s">
        <v>29</v>
      </c>
      <c r="F149" s="26" t="s">
        <v>26</v>
      </c>
      <c r="G149" s="168">
        <v>21.12</v>
      </c>
      <c r="H149" s="21">
        <f t="shared" si="58"/>
        <v>253.44</v>
      </c>
      <c r="I149" s="21">
        <f t="shared" si="59"/>
        <v>281.53</v>
      </c>
      <c r="J149" s="166">
        <f t="shared" si="60"/>
        <v>295.68</v>
      </c>
      <c r="M149" s="168">
        <v>19.2</v>
      </c>
      <c r="N149" s="167">
        <f t="shared" si="61"/>
        <v>21.12</v>
      </c>
      <c r="O149" s="108">
        <f t="shared" si="63"/>
        <v>0.1</v>
      </c>
      <c r="P149" s="109">
        <f t="shared" si="57"/>
        <v>281.5296</v>
      </c>
    </row>
    <row r="150" customHeight="1" spans="1:16">
      <c r="A150" s="162" t="s">
        <v>119</v>
      </c>
      <c r="B150" s="172">
        <f t="shared" si="64"/>
        <v>1.42240284480569</v>
      </c>
      <c r="C150" s="110">
        <v>56</v>
      </c>
      <c r="D150" s="21" t="s">
        <v>148</v>
      </c>
      <c r="E150" s="21" t="s">
        <v>29</v>
      </c>
      <c r="F150" s="26" t="s">
        <v>44</v>
      </c>
      <c r="G150" s="168">
        <v>26.92</v>
      </c>
      <c r="H150" s="21">
        <f t="shared" si="58"/>
        <v>323.04</v>
      </c>
      <c r="I150" s="21">
        <f t="shared" si="59"/>
        <v>358.84</v>
      </c>
      <c r="J150" s="166">
        <f t="shared" si="60"/>
        <v>376.88</v>
      </c>
      <c r="M150" s="168">
        <v>24.7</v>
      </c>
      <c r="N150" s="167">
        <f>ROUND(M150*1.09,2)</f>
        <v>26.92</v>
      </c>
      <c r="O150" s="108">
        <f t="shared" si="63"/>
        <v>0.0898785425101216</v>
      </c>
      <c r="P150" s="109">
        <f t="shared" si="57"/>
        <v>358.8436</v>
      </c>
    </row>
    <row r="151" customHeight="1" spans="1:16">
      <c r="A151" s="162" t="s">
        <v>119</v>
      </c>
      <c r="B151" s="172">
        <f t="shared" ref="B151:B168" si="65">C151/39.37</f>
        <v>1.42240284480569</v>
      </c>
      <c r="C151" s="110">
        <v>56</v>
      </c>
      <c r="D151" s="21" t="s">
        <v>148</v>
      </c>
      <c r="E151" s="21" t="s">
        <v>29</v>
      </c>
      <c r="F151" s="26" t="s">
        <v>31</v>
      </c>
      <c r="G151" s="168">
        <v>30.69</v>
      </c>
      <c r="H151" s="21">
        <f t="shared" si="58"/>
        <v>368.28</v>
      </c>
      <c r="I151" s="21">
        <f t="shared" si="59"/>
        <v>409.1</v>
      </c>
      <c r="J151" s="166">
        <f t="shared" si="60"/>
        <v>429.66</v>
      </c>
      <c r="M151" s="168">
        <v>28.16</v>
      </c>
      <c r="N151" s="167">
        <f>ROUND(M151*1.09,2)</f>
        <v>30.69</v>
      </c>
      <c r="O151" s="108">
        <f t="shared" si="63"/>
        <v>0.08984375</v>
      </c>
      <c r="P151" s="109">
        <f t="shared" si="57"/>
        <v>409.0977</v>
      </c>
    </row>
    <row r="152" customHeight="1" spans="1:16">
      <c r="A152" s="162" t="s">
        <v>119</v>
      </c>
      <c r="B152" s="172">
        <f t="shared" si="65"/>
        <v>1.44780289560579</v>
      </c>
      <c r="C152" s="110">
        <v>57</v>
      </c>
      <c r="D152" s="21" t="s">
        <v>148</v>
      </c>
      <c r="E152" s="21" t="s">
        <v>29</v>
      </c>
      <c r="F152" s="26" t="s">
        <v>28</v>
      </c>
      <c r="G152" s="168">
        <v>18.39</v>
      </c>
      <c r="H152" s="21">
        <f t="shared" si="58"/>
        <v>220.68</v>
      </c>
      <c r="I152" s="21">
        <f t="shared" si="59"/>
        <v>245.14</v>
      </c>
      <c r="J152" s="166">
        <f t="shared" si="60"/>
        <v>257.46</v>
      </c>
      <c r="M152" s="168">
        <v>16.72</v>
      </c>
      <c r="N152" s="167">
        <f t="shared" si="61"/>
        <v>18.39</v>
      </c>
      <c r="O152" s="108">
        <f t="shared" si="63"/>
        <v>0.0998803827751197</v>
      </c>
      <c r="P152" s="109">
        <f t="shared" si="57"/>
        <v>245.1387</v>
      </c>
    </row>
    <row r="153" customHeight="1" spans="1:16">
      <c r="A153" s="162" t="s">
        <v>119</v>
      </c>
      <c r="B153" s="172">
        <f t="shared" si="65"/>
        <v>1.44780289560579</v>
      </c>
      <c r="C153" s="110">
        <v>57</v>
      </c>
      <c r="D153" s="21" t="s">
        <v>148</v>
      </c>
      <c r="E153" s="21" t="s">
        <v>29</v>
      </c>
      <c r="F153" s="26" t="s">
        <v>26</v>
      </c>
      <c r="G153" s="168">
        <v>21.56</v>
      </c>
      <c r="H153" s="21">
        <f t="shared" si="58"/>
        <v>258.72</v>
      </c>
      <c r="I153" s="21">
        <f t="shared" si="59"/>
        <v>287.39</v>
      </c>
      <c r="J153" s="166">
        <f t="shared" si="60"/>
        <v>301.84</v>
      </c>
      <c r="M153" s="168">
        <v>19.6</v>
      </c>
      <c r="N153" s="167">
        <f t="shared" si="61"/>
        <v>21.56</v>
      </c>
      <c r="O153" s="108">
        <f t="shared" si="63"/>
        <v>0.0999999999999999</v>
      </c>
      <c r="P153" s="109">
        <f t="shared" si="57"/>
        <v>287.3948</v>
      </c>
    </row>
    <row r="154" customHeight="1" spans="1:16">
      <c r="A154" s="162" t="s">
        <v>119</v>
      </c>
      <c r="B154" s="172">
        <f t="shared" si="65"/>
        <v>1.44780289560579</v>
      </c>
      <c r="C154" s="110">
        <v>57</v>
      </c>
      <c r="D154" s="21" t="s">
        <v>148</v>
      </c>
      <c r="E154" s="21" t="s">
        <v>29</v>
      </c>
      <c r="F154" s="26" t="s">
        <v>31</v>
      </c>
      <c r="G154" s="168">
        <v>31</v>
      </c>
      <c r="H154" s="21">
        <f t="shared" si="58"/>
        <v>372</v>
      </c>
      <c r="I154" s="21">
        <f t="shared" si="59"/>
        <v>413.23</v>
      </c>
      <c r="J154" s="166">
        <f t="shared" si="60"/>
        <v>434</v>
      </c>
      <c r="M154" s="168">
        <v>28.44</v>
      </c>
      <c r="N154" s="167">
        <f>ROUND(M154*1.09,2)</f>
        <v>31</v>
      </c>
      <c r="O154" s="108">
        <f t="shared" si="63"/>
        <v>0.0900140646976089</v>
      </c>
      <c r="P154" s="109">
        <f t="shared" si="57"/>
        <v>413.23</v>
      </c>
    </row>
    <row r="155" customHeight="1" spans="1:16">
      <c r="A155" s="162" t="s">
        <v>119</v>
      </c>
      <c r="B155" s="172">
        <f t="shared" si="65"/>
        <v>1.49860299720599</v>
      </c>
      <c r="C155" s="110">
        <v>59</v>
      </c>
      <c r="D155" s="21" t="s">
        <v>148</v>
      </c>
      <c r="E155" s="21" t="s">
        <v>29</v>
      </c>
      <c r="F155" s="26" t="s">
        <v>28</v>
      </c>
      <c r="G155" s="168">
        <v>19.84</v>
      </c>
      <c r="H155" s="21">
        <f t="shared" si="58"/>
        <v>238.08</v>
      </c>
      <c r="I155" s="21">
        <f t="shared" si="59"/>
        <v>264.47</v>
      </c>
      <c r="J155" s="166">
        <f t="shared" si="60"/>
        <v>277.76</v>
      </c>
      <c r="M155" s="168">
        <v>18.04</v>
      </c>
      <c r="N155" s="167">
        <f t="shared" si="61"/>
        <v>19.84</v>
      </c>
      <c r="O155" s="108">
        <f t="shared" si="63"/>
        <v>0.0997782705099779</v>
      </c>
      <c r="P155" s="109">
        <f t="shared" si="57"/>
        <v>264.4672</v>
      </c>
    </row>
    <row r="156" customHeight="1" spans="1:16">
      <c r="A156" s="162" t="s">
        <v>119</v>
      </c>
      <c r="B156" s="172">
        <f t="shared" si="65"/>
        <v>1.49860299720599</v>
      </c>
      <c r="C156" s="110">
        <v>59</v>
      </c>
      <c r="D156" s="21" t="s">
        <v>148</v>
      </c>
      <c r="E156" s="21" t="s">
        <v>29</v>
      </c>
      <c r="F156" s="26" t="s">
        <v>26</v>
      </c>
      <c r="G156" s="168">
        <v>22.18</v>
      </c>
      <c r="H156" s="21">
        <f t="shared" si="58"/>
        <v>266.16</v>
      </c>
      <c r="I156" s="21">
        <f t="shared" si="59"/>
        <v>295.66</v>
      </c>
      <c r="J156" s="166">
        <f t="shared" si="60"/>
        <v>310.52</v>
      </c>
      <c r="M156" s="168">
        <v>20.16</v>
      </c>
      <c r="N156" s="167">
        <f t="shared" si="61"/>
        <v>22.18</v>
      </c>
      <c r="O156" s="108">
        <f t="shared" si="63"/>
        <v>0.100198412698413</v>
      </c>
      <c r="P156" s="109">
        <f t="shared" si="57"/>
        <v>295.6594</v>
      </c>
    </row>
    <row r="157" customHeight="1" spans="1:16">
      <c r="A157" s="162" t="s">
        <v>119</v>
      </c>
      <c r="B157" s="172">
        <f t="shared" si="65"/>
        <v>1.49860299720599</v>
      </c>
      <c r="C157" s="110">
        <v>59</v>
      </c>
      <c r="D157" s="21" t="s">
        <v>148</v>
      </c>
      <c r="E157" s="21" t="s">
        <v>29</v>
      </c>
      <c r="F157" s="26" t="s">
        <v>31</v>
      </c>
      <c r="G157" s="168">
        <v>32.34</v>
      </c>
      <c r="H157" s="21">
        <f t="shared" si="58"/>
        <v>388.08</v>
      </c>
      <c r="I157" s="21">
        <f t="shared" si="59"/>
        <v>431.09</v>
      </c>
      <c r="J157" s="166">
        <f t="shared" si="60"/>
        <v>452.76</v>
      </c>
      <c r="M157" s="168">
        <v>29.67</v>
      </c>
      <c r="N157" s="167">
        <f>ROUND(M157*1.09,2)</f>
        <v>32.34</v>
      </c>
      <c r="O157" s="108">
        <f t="shared" si="63"/>
        <v>0.089989888776542</v>
      </c>
      <c r="P157" s="109">
        <f t="shared" si="57"/>
        <v>431.0922</v>
      </c>
    </row>
    <row r="158" customHeight="1" spans="1:16">
      <c r="A158" s="162" t="s">
        <v>119</v>
      </c>
      <c r="B158" s="172">
        <f t="shared" si="65"/>
        <v>1.5494030988062</v>
      </c>
      <c r="C158" s="110">
        <v>61</v>
      </c>
      <c r="D158" s="21" t="s">
        <v>148</v>
      </c>
      <c r="E158" s="21" t="s">
        <v>29</v>
      </c>
      <c r="F158" s="26" t="s">
        <v>26</v>
      </c>
      <c r="G158" s="168">
        <v>21.96</v>
      </c>
      <c r="H158" s="21">
        <f t="shared" si="58"/>
        <v>263.52</v>
      </c>
      <c r="I158" s="21">
        <f t="shared" si="59"/>
        <v>292.73</v>
      </c>
      <c r="J158" s="166">
        <f t="shared" si="60"/>
        <v>307.44</v>
      </c>
      <c r="M158" s="168">
        <v>19.96</v>
      </c>
      <c r="N158" s="167">
        <f t="shared" si="61"/>
        <v>21.96</v>
      </c>
      <c r="O158" s="108">
        <f t="shared" si="63"/>
        <v>0.100200400801603</v>
      </c>
      <c r="P158" s="109">
        <f t="shared" si="57"/>
        <v>292.7268</v>
      </c>
    </row>
    <row r="159" customHeight="1" spans="1:16">
      <c r="A159" s="162" t="s">
        <v>119</v>
      </c>
      <c r="B159" s="172">
        <f t="shared" si="65"/>
        <v>1.5748031496063</v>
      </c>
      <c r="C159" s="110">
        <v>62</v>
      </c>
      <c r="D159" s="21" t="s">
        <v>148</v>
      </c>
      <c r="E159" s="21" t="s">
        <v>29</v>
      </c>
      <c r="F159" s="26" t="s">
        <v>28</v>
      </c>
      <c r="G159" s="168">
        <v>19.95</v>
      </c>
      <c r="H159" s="21">
        <f t="shared" si="58"/>
        <v>239.4</v>
      </c>
      <c r="I159" s="21">
        <f t="shared" si="59"/>
        <v>265.93</v>
      </c>
      <c r="J159" s="166">
        <f t="shared" si="60"/>
        <v>279.3</v>
      </c>
      <c r="M159" s="168">
        <v>18.14</v>
      </c>
      <c r="N159" s="167">
        <f t="shared" si="61"/>
        <v>19.95</v>
      </c>
      <c r="O159" s="108">
        <f t="shared" si="63"/>
        <v>0.099779492833517</v>
      </c>
      <c r="P159" s="109">
        <f t="shared" si="57"/>
        <v>265.9335</v>
      </c>
    </row>
    <row r="160" customHeight="1" spans="1:16">
      <c r="A160" s="162" t="s">
        <v>119</v>
      </c>
      <c r="B160" s="172">
        <f t="shared" si="65"/>
        <v>1.5748031496063</v>
      </c>
      <c r="C160" s="110">
        <v>62</v>
      </c>
      <c r="D160" s="21" t="s">
        <v>148</v>
      </c>
      <c r="E160" s="21" t="s">
        <v>29</v>
      </c>
      <c r="F160" s="26" t="s">
        <v>26</v>
      </c>
      <c r="G160" s="168">
        <v>23.11</v>
      </c>
      <c r="H160" s="21">
        <f t="shared" si="58"/>
        <v>277.32</v>
      </c>
      <c r="I160" s="21">
        <f t="shared" si="59"/>
        <v>308.06</v>
      </c>
      <c r="J160" s="166">
        <f t="shared" si="60"/>
        <v>323.54</v>
      </c>
      <c r="M160" s="168">
        <v>21.01</v>
      </c>
      <c r="N160" s="167">
        <f t="shared" si="61"/>
        <v>23.11</v>
      </c>
      <c r="O160" s="108">
        <f t="shared" si="63"/>
        <v>0.099952403617325</v>
      </c>
      <c r="P160" s="109">
        <f t="shared" si="57"/>
        <v>308.0563</v>
      </c>
    </row>
    <row r="161" customHeight="1" spans="1:16">
      <c r="A161" s="162" t="s">
        <v>119</v>
      </c>
      <c r="B161" s="172">
        <f t="shared" si="65"/>
        <v>1.5748031496063</v>
      </c>
      <c r="C161" s="110">
        <v>62</v>
      </c>
      <c r="D161" s="21" t="s">
        <v>148</v>
      </c>
      <c r="E161" s="21" t="s">
        <v>29</v>
      </c>
      <c r="F161" s="26" t="s">
        <v>31</v>
      </c>
      <c r="G161" s="168">
        <v>32.92</v>
      </c>
      <c r="H161" s="21">
        <f t="shared" si="58"/>
        <v>395.04</v>
      </c>
      <c r="I161" s="21">
        <f t="shared" si="59"/>
        <v>438.82</v>
      </c>
      <c r="J161" s="166">
        <f t="shared" si="60"/>
        <v>460.88</v>
      </c>
      <c r="M161" s="168">
        <v>30.2</v>
      </c>
      <c r="N161" s="167">
        <f>ROUND(M161*1.09,2)</f>
        <v>32.92</v>
      </c>
      <c r="O161" s="108">
        <f t="shared" si="63"/>
        <v>0.090066225165563</v>
      </c>
      <c r="P161" s="109">
        <f t="shared" si="57"/>
        <v>438.8236</v>
      </c>
    </row>
    <row r="162" s="41" customFormat="1" customHeight="1" spans="1:16">
      <c r="A162" s="162" t="s">
        <v>119</v>
      </c>
      <c r="B162" s="172">
        <f t="shared" si="65"/>
        <v>1.6510033020066</v>
      </c>
      <c r="C162" s="110">
        <v>65</v>
      </c>
      <c r="D162" s="21" t="s">
        <v>149</v>
      </c>
      <c r="E162" s="21" t="s">
        <v>29</v>
      </c>
      <c r="F162" s="26" t="s">
        <v>28</v>
      </c>
      <c r="G162" s="168">
        <v>22.47</v>
      </c>
      <c r="H162" s="21">
        <f t="shared" si="58"/>
        <v>269.64</v>
      </c>
      <c r="I162" s="21">
        <f t="shared" si="59"/>
        <v>299.53</v>
      </c>
      <c r="J162" s="166">
        <f t="shared" si="60"/>
        <v>314.58</v>
      </c>
      <c r="M162" s="168">
        <v>20.43</v>
      </c>
      <c r="N162" s="167">
        <f t="shared" si="61"/>
        <v>22.47</v>
      </c>
      <c r="O162" s="108">
        <f t="shared" si="63"/>
        <v>0.0998531571218795</v>
      </c>
      <c r="P162" s="109">
        <f t="shared" si="57"/>
        <v>299.5251</v>
      </c>
    </row>
    <row r="163" customHeight="1" spans="1:16">
      <c r="A163" s="162" t="s">
        <v>119</v>
      </c>
      <c r="B163" s="172">
        <f t="shared" si="65"/>
        <v>1.6510033020066</v>
      </c>
      <c r="C163" s="110">
        <v>65</v>
      </c>
      <c r="D163" s="21" t="s">
        <v>149</v>
      </c>
      <c r="E163" s="21" t="s">
        <v>29</v>
      </c>
      <c r="F163" s="26" t="s">
        <v>26</v>
      </c>
      <c r="G163" s="168">
        <v>24.77</v>
      </c>
      <c r="H163" s="21">
        <f t="shared" si="58"/>
        <v>297.24</v>
      </c>
      <c r="I163" s="21">
        <f t="shared" si="59"/>
        <v>330.18</v>
      </c>
      <c r="J163" s="166">
        <f t="shared" si="60"/>
        <v>346.78</v>
      </c>
      <c r="M163" s="168">
        <v>22.52</v>
      </c>
      <c r="N163" s="167">
        <f t="shared" si="61"/>
        <v>24.77</v>
      </c>
      <c r="O163" s="108">
        <f t="shared" si="63"/>
        <v>0.099911190053286</v>
      </c>
      <c r="P163" s="109">
        <f t="shared" si="57"/>
        <v>330.1841</v>
      </c>
    </row>
    <row r="164" customHeight="1" spans="1:16">
      <c r="A164" s="162" t="s">
        <v>119</v>
      </c>
      <c r="B164" s="172">
        <f t="shared" si="65"/>
        <v>1.6510033020066</v>
      </c>
      <c r="C164" s="110">
        <v>65</v>
      </c>
      <c r="D164" s="21" t="s">
        <v>149</v>
      </c>
      <c r="E164" s="21" t="s">
        <v>29</v>
      </c>
      <c r="F164" s="26" t="s">
        <v>31</v>
      </c>
      <c r="G164" s="168">
        <v>36.11</v>
      </c>
      <c r="H164" s="21">
        <f t="shared" si="58"/>
        <v>433.32</v>
      </c>
      <c r="I164" s="21">
        <f t="shared" si="59"/>
        <v>481.35</v>
      </c>
      <c r="J164" s="166">
        <f t="shared" si="60"/>
        <v>505.54</v>
      </c>
      <c r="M164" s="168">
        <v>33.13</v>
      </c>
      <c r="N164" s="167">
        <f>ROUND(M164*1.09,2)</f>
        <v>36.11</v>
      </c>
      <c r="O164" s="108">
        <f t="shared" si="63"/>
        <v>0.0899486869906428</v>
      </c>
      <c r="P164" s="109">
        <f t="shared" si="57"/>
        <v>481.3463</v>
      </c>
    </row>
    <row r="165" s="1" customFormat="1" customHeight="1" spans="1:16">
      <c r="A165" s="162" t="s">
        <v>119</v>
      </c>
      <c r="B165" s="172">
        <f t="shared" si="65"/>
        <v>1.72720345440691</v>
      </c>
      <c r="C165" s="110">
        <v>68</v>
      </c>
      <c r="D165" s="21" t="s">
        <v>149</v>
      </c>
      <c r="E165" s="21" t="s">
        <v>29</v>
      </c>
      <c r="F165" s="26" t="s">
        <v>31</v>
      </c>
      <c r="G165" s="168">
        <v>38.35</v>
      </c>
      <c r="H165" s="21">
        <f t="shared" si="58"/>
        <v>460.2</v>
      </c>
      <c r="I165" s="21">
        <f t="shared" si="59"/>
        <v>511.21</v>
      </c>
      <c r="J165" s="166">
        <f t="shared" si="60"/>
        <v>536.9</v>
      </c>
      <c r="K165" s="59"/>
      <c r="L165" s="41"/>
      <c r="M165" s="168">
        <v>35.18</v>
      </c>
      <c r="N165" s="167">
        <f>ROUND(M165*1.09,2)</f>
        <v>38.35</v>
      </c>
      <c r="O165" s="108">
        <f t="shared" si="63"/>
        <v>0.0901080159181354</v>
      </c>
      <c r="P165" s="109">
        <f t="shared" si="57"/>
        <v>511.2055</v>
      </c>
    </row>
    <row r="166" s="1" customFormat="1" customHeight="1" spans="1:16">
      <c r="A166" s="162" t="s">
        <v>119</v>
      </c>
      <c r="B166" s="172">
        <f t="shared" si="65"/>
        <v>1.77800355600711</v>
      </c>
      <c r="C166" s="110">
        <v>70</v>
      </c>
      <c r="D166" s="21" t="s">
        <v>150</v>
      </c>
      <c r="E166" s="21" t="s">
        <v>29</v>
      </c>
      <c r="F166" s="26" t="s">
        <v>44</v>
      </c>
      <c r="G166" s="168">
        <v>34</v>
      </c>
      <c r="H166" s="21">
        <f t="shared" si="58"/>
        <v>408</v>
      </c>
      <c r="I166" s="21">
        <f t="shared" si="59"/>
        <v>453.22</v>
      </c>
      <c r="J166" s="166">
        <f t="shared" si="60"/>
        <v>476</v>
      </c>
      <c r="K166" s="22"/>
      <c r="L166" s="1"/>
      <c r="M166" s="168">
        <v>31.19</v>
      </c>
      <c r="N166" s="167">
        <f>ROUND(M166*1.09,2)</f>
        <v>34</v>
      </c>
      <c r="O166" s="108">
        <f t="shared" si="63"/>
        <v>0.090092978518756</v>
      </c>
      <c r="P166" s="109">
        <f t="shared" si="57"/>
        <v>453.22</v>
      </c>
    </row>
    <row r="167" s="154" customFormat="1" ht="14.25" customHeight="1" spans="1:16">
      <c r="A167" s="173" t="s">
        <v>119</v>
      </c>
      <c r="B167" s="174">
        <f t="shared" si="65"/>
        <v>1.82880365760732</v>
      </c>
      <c r="C167" s="175">
        <v>72</v>
      </c>
      <c r="D167" s="176" t="s">
        <v>150</v>
      </c>
      <c r="E167" s="176" t="s">
        <v>29</v>
      </c>
      <c r="F167" s="177" t="s">
        <v>28</v>
      </c>
      <c r="G167" s="178">
        <v>24.27</v>
      </c>
      <c r="H167" s="176">
        <f t="shared" si="58"/>
        <v>291.24</v>
      </c>
      <c r="I167" s="176">
        <f t="shared" si="59"/>
        <v>323.52</v>
      </c>
      <c r="J167" s="179">
        <f t="shared" si="60"/>
        <v>339.78</v>
      </c>
      <c r="M167" s="178">
        <v>22.06</v>
      </c>
      <c r="N167" s="167">
        <f t="shared" si="61"/>
        <v>24.27</v>
      </c>
      <c r="O167" s="108">
        <f t="shared" si="63"/>
        <v>0.100181323662738</v>
      </c>
      <c r="P167" s="109">
        <f t="shared" si="57"/>
        <v>323.5191</v>
      </c>
    </row>
    <row r="168" s="154" customFormat="1" ht="14.25" customHeight="1" spans="1:16">
      <c r="A168" s="173" t="s">
        <v>119</v>
      </c>
      <c r="B168" s="174">
        <f t="shared" si="65"/>
        <v>1.82880365760732</v>
      </c>
      <c r="C168" s="175">
        <v>72</v>
      </c>
      <c r="D168" s="176" t="s">
        <v>150</v>
      </c>
      <c r="E168" s="176" t="s">
        <v>29</v>
      </c>
      <c r="F168" s="177" t="s">
        <v>26</v>
      </c>
      <c r="G168" s="178">
        <v>29.72</v>
      </c>
      <c r="H168" s="176">
        <f t="shared" si="58"/>
        <v>356.64</v>
      </c>
      <c r="I168" s="176">
        <f t="shared" si="59"/>
        <v>396.17</v>
      </c>
      <c r="J168" s="179">
        <f t="shared" si="60"/>
        <v>416.08</v>
      </c>
      <c r="K168" s="180"/>
      <c r="L168" s="154"/>
      <c r="M168" s="178">
        <v>27.52</v>
      </c>
      <c r="N168" s="167">
        <f>ROUND(M168*1.08,2)</f>
        <v>29.72</v>
      </c>
      <c r="O168" s="108">
        <f t="shared" si="63"/>
        <v>0.0799418604651163</v>
      </c>
      <c r="P168" s="109">
        <f t="shared" si="57"/>
        <v>396.1676</v>
      </c>
    </row>
    <row r="169" s="154" customFormat="1" ht="14.25" customHeight="1" spans="1:16">
      <c r="A169" s="6" t="s">
        <v>71</v>
      </c>
      <c r="B169" s="6"/>
      <c r="C169" s="79"/>
      <c r="D169" s="46"/>
      <c r="E169" s="46"/>
      <c r="F169" s="181"/>
      <c r="G169" s="181"/>
      <c r="H169" s="154"/>
      <c r="I169" s="154"/>
      <c r="J169" s="154"/>
      <c r="K169" s="154"/>
      <c r="L169" s="154"/>
      <c r="M169" s="182"/>
      <c r="N169" s="167"/>
      <c r="O169" s="182"/>
      <c r="P169" s="182"/>
    </row>
    <row r="170" s="154" customFormat="1" ht="14.25" customHeight="1" spans="1:16">
      <c r="A170" s="6" t="s">
        <v>72</v>
      </c>
      <c r="B170" s="6"/>
      <c r="C170" s="79"/>
      <c r="D170" s="46"/>
      <c r="E170" s="46"/>
      <c r="F170" s="181"/>
      <c r="G170" s="181"/>
      <c r="H170" s="154"/>
      <c r="I170" s="154"/>
      <c r="J170" s="154"/>
      <c r="K170" s="154"/>
      <c r="L170" s="154"/>
      <c r="M170" s="182"/>
      <c r="N170" s="167"/>
      <c r="O170" s="182"/>
      <c r="P170" s="182"/>
    </row>
    <row r="171" s="154" customFormat="1" ht="14.25" customHeight="1" spans="1:16">
      <c r="A171" s="6" t="s">
        <v>73</v>
      </c>
      <c r="B171" s="6"/>
      <c r="C171" s="79"/>
      <c r="D171" s="46"/>
      <c r="E171" s="46"/>
      <c r="F171" s="181"/>
      <c r="G171" s="181"/>
      <c r="H171" s="154"/>
      <c r="I171" s="154"/>
      <c r="J171" s="154"/>
      <c r="K171" s="154"/>
      <c r="L171" s="154"/>
      <c r="M171" s="182"/>
      <c r="N171" s="167"/>
      <c r="O171" s="182"/>
      <c r="P171" s="182"/>
    </row>
    <row r="172" s="154" customFormat="1" ht="14.25" customHeight="1" spans="1:16">
      <c r="A172" s="6" t="s">
        <v>74</v>
      </c>
      <c r="B172" s="6"/>
      <c r="C172" s="79"/>
      <c r="D172" s="46"/>
      <c r="E172" s="46"/>
      <c r="F172" s="181"/>
      <c r="G172" s="181"/>
      <c r="H172" s="154"/>
      <c r="I172" s="154"/>
      <c r="J172" s="154"/>
      <c r="K172" s="154"/>
      <c r="L172" s="154"/>
      <c r="M172" s="182"/>
      <c r="N172" s="167"/>
      <c r="O172" s="182"/>
      <c r="P172" s="182"/>
    </row>
    <row r="173" s="154" customFormat="1" ht="14.25" customHeight="1" spans="1:16">
      <c r="A173" s="6" t="s">
        <v>75</v>
      </c>
      <c r="B173" s="6"/>
      <c r="C173" s="79"/>
      <c r="D173" s="46"/>
      <c r="E173" s="46"/>
      <c r="F173" s="181"/>
      <c r="G173" s="181"/>
      <c r="H173" s="154"/>
      <c r="I173" s="154"/>
      <c r="J173" s="154"/>
      <c r="K173" s="154"/>
      <c r="L173" s="154"/>
      <c r="M173" s="182"/>
      <c r="N173" s="167"/>
      <c r="O173" s="182"/>
      <c r="P173" s="182"/>
    </row>
    <row r="174" s="154" customFormat="1" ht="14.25" customHeight="1" spans="1:16">
      <c r="A174" s="6"/>
      <c r="B174" s="47" t="s">
        <v>151</v>
      </c>
      <c r="C174" s="79"/>
      <c r="D174" s="46"/>
      <c r="E174" s="46"/>
      <c r="F174" s="46"/>
      <c r="G174" s="46"/>
      <c r="H174" s="154"/>
      <c r="I174" s="154"/>
      <c r="J174" s="154"/>
      <c r="K174" s="154"/>
      <c r="L174" s="154"/>
      <c r="M174" s="182"/>
      <c r="N174" s="167"/>
      <c r="O174" s="182"/>
      <c r="P174" s="182"/>
    </row>
  </sheetData>
  <autoFilter xmlns:etc="http://www.wps.cn/officeDocument/2017/etCustomData" ref="A9:P174" etc:filterBottomFollowUsedRange="0">
    <extLst/>
  </autoFilter>
  <sortState ref="A12:J134">
    <sortCondition ref="C12:C134"/>
  </sortState>
  <pageMargins left="0.393055555555556" right="0.393055555555556" top="0.393055555555556" bottom="0.393055555555556" header="0" footer="0"/>
  <pageSetup paperSize="9" scale="106" orientation="landscape" horizontalDpi="600"/>
  <headerFooter>
    <oddFooter>&amp;C第 &amp;P 页，共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IA43"/>
  <sheetViews>
    <sheetView zoomScale="80" zoomScaleNormal="80" workbookViewId="0">
      <pane ySplit="10" topLeftCell="A11" activePane="bottomLeft" state="frozen"/>
      <selection/>
      <selection pane="bottomLeft" activeCell="O1" sqref="O$1:R$1048576"/>
    </sheetView>
  </sheetViews>
  <sheetFormatPr defaultColWidth="9" defaultRowHeight="15"/>
  <cols>
    <col min="1" max="1" width="9" style="41"/>
    <col min="2" max="2" width="15.25" style="41" customWidth="1"/>
    <col min="3" max="3" width="14.875" style="41" customWidth="1"/>
    <col min="4" max="4" width="11.875" style="41" customWidth="1"/>
    <col min="5" max="5" width="12.625" style="41" customWidth="1"/>
    <col min="6" max="9" width="13.5583333333333" style="41" customWidth="1"/>
    <col min="10" max="10" width="9" style="41"/>
    <col min="11" max="11" width="9" style="104"/>
    <col min="12" max="12" width="12.8" style="103"/>
    <col min="13" max="14" width="12.8" style="102"/>
    <col min="15" max="16384" width="9" style="41"/>
  </cols>
  <sheetData>
    <row r="1" s="41" customFormat="1" ht="51" customHeight="1" spans="1:235">
      <c r="A1" s="105"/>
      <c r="B1" s="105"/>
      <c r="C1" s="140"/>
      <c r="D1" s="140"/>
      <c r="E1" s="140"/>
      <c r="F1" s="140"/>
      <c r="G1" s="140"/>
      <c r="H1" s="140"/>
      <c r="I1" s="140"/>
      <c r="J1" s="79"/>
      <c r="K1" s="9"/>
      <c r="L1" s="118"/>
      <c r="M1" s="17"/>
      <c r="N1" s="17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79"/>
      <c r="CF1" s="79"/>
      <c r="CG1" s="79"/>
      <c r="CH1" s="79"/>
      <c r="CI1" s="79"/>
      <c r="CJ1" s="79"/>
      <c r="CK1" s="79"/>
      <c r="CL1" s="79"/>
      <c r="CM1" s="79"/>
      <c r="CN1" s="79"/>
      <c r="CO1" s="79"/>
      <c r="CP1" s="79"/>
      <c r="CQ1" s="79"/>
      <c r="CR1" s="79"/>
      <c r="CS1" s="79"/>
      <c r="CT1" s="79"/>
      <c r="CU1" s="79"/>
      <c r="CV1" s="79"/>
      <c r="CW1" s="79"/>
      <c r="CX1" s="79"/>
      <c r="CY1" s="79"/>
      <c r="CZ1" s="79"/>
      <c r="DA1" s="79"/>
      <c r="DB1" s="79"/>
      <c r="DC1" s="79"/>
      <c r="DD1" s="79"/>
      <c r="DE1" s="79"/>
      <c r="DF1" s="79"/>
      <c r="DG1" s="79"/>
      <c r="DH1" s="79"/>
      <c r="DI1" s="79"/>
      <c r="DJ1" s="79"/>
      <c r="DK1" s="79"/>
      <c r="DL1" s="79"/>
      <c r="DM1" s="79"/>
      <c r="DN1" s="79"/>
      <c r="DO1" s="79"/>
      <c r="DP1" s="79"/>
      <c r="DQ1" s="79"/>
      <c r="DR1" s="79"/>
      <c r="DS1" s="79"/>
      <c r="DT1" s="79"/>
      <c r="DU1" s="79"/>
      <c r="DV1" s="79"/>
      <c r="DW1" s="79"/>
      <c r="DX1" s="79"/>
      <c r="DY1" s="79"/>
      <c r="DZ1" s="79"/>
      <c r="EA1" s="79"/>
      <c r="EB1" s="79"/>
      <c r="EC1" s="79"/>
      <c r="ED1" s="79"/>
      <c r="EE1" s="79"/>
      <c r="EF1" s="79"/>
      <c r="EG1" s="79"/>
      <c r="EH1" s="79"/>
      <c r="EI1" s="79"/>
      <c r="EJ1" s="79"/>
      <c r="EK1" s="79"/>
      <c r="EL1" s="79"/>
      <c r="EM1" s="79"/>
      <c r="EN1" s="79"/>
      <c r="EO1" s="79"/>
      <c r="EP1" s="79"/>
      <c r="EQ1" s="79"/>
      <c r="ER1" s="79"/>
      <c r="ES1" s="79"/>
      <c r="ET1" s="79"/>
      <c r="EU1" s="79"/>
      <c r="EV1" s="79"/>
      <c r="EW1" s="79"/>
      <c r="EX1" s="79"/>
      <c r="EY1" s="79"/>
      <c r="EZ1" s="79"/>
      <c r="FA1" s="79"/>
      <c r="FB1" s="79"/>
      <c r="FC1" s="79"/>
      <c r="FD1" s="79"/>
      <c r="FE1" s="79"/>
      <c r="FF1" s="79"/>
      <c r="FG1" s="79"/>
      <c r="FH1" s="79"/>
      <c r="FI1" s="79"/>
      <c r="FJ1" s="79"/>
      <c r="FK1" s="79"/>
      <c r="FL1" s="79"/>
      <c r="FM1" s="79"/>
      <c r="FN1" s="79"/>
      <c r="FO1" s="79"/>
      <c r="FP1" s="79"/>
      <c r="FQ1" s="79"/>
      <c r="FR1" s="79"/>
      <c r="FS1" s="79"/>
      <c r="FT1" s="79"/>
      <c r="FU1" s="79"/>
      <c r="FV1" s="79"/>
      <c r="FW1" s="79"/>
      <c r="FX1" s="79"/>
      <c r="FY1" s="79"/>
      <c r="FZ1" s="79"/>
      <c r="GA1" s="79"/>
      <c r="GB1" s="79"/>
      <c r="GC1" s="79"/>
      <c r="GD1" s="79"/>
      <c r="GE1" s="79"/>
      <c r="GF1" s="79"/>
      <c r="GG1" s="79"/>
      <c r="GH1" s="79"/>
      <c r="GI1" s="79"/>
      <c r="GJ1" s="79"/>
      <c r="GK1" s="79"/>
      <c r="GL1" s="79"/>
      <c r="GM1" s="79"/>
      <c r="GN1" s="79"/>
      <c r="GO1" s="79"/>
      <c r="GP1" s="79"/>
      <c r="GQ1" s="79"/>
      <c r="GR1" s="79"/>
      <c r="GS1" s="79"/>
      <c r="GT1" s="79"/>
      <c r="GU1" s="79"/>
      <c r="GV1" s="79"/>
      <c r="GW1" s="79"/>
      <c r="GX1" s="79"/>
      <c r="GY1" s="79"/>
      <c r="GZ1" s="79"/>
      <c r="HA1" s="79"/>
      <c r="HB1" s="79"/>
      <c r="HC1" s="79"/>
      <c r="HD1" s="79"/>
      <c r="HE1" s="79"/>
      <c r="HF1" s="79"/>
      <c r="HG1" s="79"/>
      <c r="HH1" s="79"/>
      <c r="HI1" s="79"/>
      <c r="HJ1" s="79"/>
      <c r="HK1" s="79"/>
      <c r="HL1" s="79"/>
      <c r="HO1" s="79"/>
      <c r="HP1" s="79"/>
      <c r="HQ1" s="79"/>
      <c r="HR1" s="79"/>
      <c r="HS1" s="79"/>
      <c r="HT1" s="79"/>
      <c r="HU1" s="79"/>
      <c r="HV1" s="79"/>
      <c r="HW1" s="79"/>
      <c r="HX1" s="79"/>
      <c r="HY1" s="79"/>
      <c r="HZ1" s="79"/>
      <c r="IA1" s="79"/>
    </row>
    <row r="2" s="41" customFormat="1" spans="1:235">
      <c r="A2" s="79" t="s">
        <v>152</v>
      </c>
      <c r="B2" s="79"/>
      <c r="C2" s="79"/>
      <c r="D2" s="79"/>
      <c r="E2" s="79"/>
      <c r="F2" s="79"/>
      <c r="G2" s="79"/>
      <c r="H2" s="79"/>
      <c r="I2" s="79"/>
      <c r="J2" s="79"/>
      <c r="K2" s="9"/>
      <c r="L2" s="118"/>
      <c r="M2" s="17"/>
      <c r="N2" s="17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9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9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  <c r="HZ2" s="79"/>
      <c r="IA2" s="79"/>
    </row>
    <row r="3" s="41" customFormat="1" spans="1:235">
      <c r="A3" s="79" t="s">
        <v>1</v>
      </c>
      <c r="B3" s="79"/>
      <c r="C3" s="79"/>
      <c r="D3" s="79"/>
      <c r="E3" s="79"/>
      <c r="F3" s="79"/>
      <c r="G3" s="79"/>
      <c r="H3" s="79"/>
      <c r="I3" s="79"/>
      <c r="J3" s="79"/>
      <c r="K3" s="9"/>
      <c r="L3" s="118"/>
      <c r="M3" s="17"/>
      <c r="N3" s="17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79"/>
      <c r="CN3" s="79"/>
      <c r="CO3" s="79"/>
      <c r="CP3" s="79"/>
      <c r="CQ3" s="79"/>
      <c r="CR3" s="79"/>
      <c r="CS3" s="79"/>
      <c r="CT3" s="79"/>
      <c r="CU3" s="79"/>
      <c r="CV3" s="79"/>
      <c r="CW3" s="79"/>
      <c r="CX3" s="79"/>
      <c r="CY3" s="79"/>
      <c r="CZ3" s="79"/>
      <c r="DA3" s="79"/>
      <c r="DB3" s="79"/>
      <c r="DC3" s="79"/>
      <c r="DD3" s="79"/>
      <c r="DE3" s="79"/>
      <c r="DF3" s="79"/>
      <c r="DG3" s="79"/>
      <c r="DH3" s="79"/>
      <c r="DI3" s="79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79"/>
      <c r="EB3" s="79"/>
      <c r="EC3" s="79"/>
      <c r="ED3" s="79"/>
      <c r="EE3" s="79"/>
      <c r="EF3" s="79"/>
      <c r="EG3" s="79"/>
      <c r="EH3" s="79"/>
      <c r="EI3" s="79"/>
      <c r="EJ3" s="79"/>
      <c r="EK3" s="79"/>
      <c r="EL3" s="79"/>
      <c r="EM3" s="79"/>
      <c r="EN3" s="79"/>
      <c r="EO3" s="79"/>
      <c r="EP3" s="79"/>
      <c r="EQ3" s="79"/>
      <c r="ER3" s="79"/>
      <c r="ES3" s="79"/>
      <c r="ET3" s="79"/>
      <c r="EU3" s="79"/>
      <c r="EV3" s="79"/>
      <c r="EW3" s="79"/>
      <c r="EX3" s="79"/>
      <c r="EY3" s="79"/>
      <c r="EZ3" s="79"/>
      <c r="FA3" s="79"/>
      <c r="FB3" s="79"/>
      <c r="FC3" s="79"/>
      <c r="FD3" s="79"/>
      <c r="FE3" s="79"/>
      <c r="FF3" s="79"/>
      <c r="FG3" s="79"/>
      <c r="FH3" s="79"/>
      <c r="FI3" s="79"/>
      <c r="FJ3" s="79"/>
      <c r="FK3" s="79"/>
      <c r="FL3" s="79"/>
      <c r="FM3" s="79"/>
      <c r="FN3" s="79"/>
      <c r="FO3" s="79"/>
      <c r="FP3" s="79"/>
      <c r="FQ3" s="79"/>
      <c r="FR3" s="79"/>
      <c r="FS3" s="79"/>
      <c r="FT3" s="79"/>
      <c r="FU3" s="79"/>
      <c r="FV3" s="79"/>
      <c r="FW3" s="79"/>
      <c r="FX3" s="79"/>
      <c r="FY3" s="79"/>
      <c r="FZ3" s="79"/>
      <c r="GA3" s="79"/>
      <c r="GB3" s="79"/>
      <c r="GC3" s="79"/>
      <c r="GD3" s="79"/>
      <c r="GE3" s="79"/>
      <c r="GF3" s="79"/>
      <c r="GG3" s="79"/>
      <c r="GH3" s="79"/>
      <c r="GI3" s="79"/>
      <c r="GJ3" s="79"/>
      <c r="GK3" s="79"/>
      <c r="GL3" s="79"/>
      <c r="GM3" s="79"/>
      <c r="GN3" s="79"/>
      <c r="GO3" s="79"/>
      <c r="GP3" s="79"/>
      <c r="GQ3" s="79"/>
      <c r="GR3" s="79"/>
      <c r="GS3" s="79"/>
      <c r="GT3" s="79"/>
      <c r="GU3" s="79"/>
      <c r="GV3" s="79"/>
      <c r="GW3" s="79"/>
      <c r="GX3" s="79"/>
      <c r="GY3" s="79"/>
      <c r="GZ3" s="79"/>
      <c r="HA3" s="79"/>
      <c r="HB3" s="79"/>
      <c r="HC3" s="79"/>
      <c r="HD3" s="79"/>
      <c r="HE3" s="79"/>
      <c r="HF3" s="79"/>
      <c r="HG3" s="79"/>
      <c r="HH3" s="79"/>
      <c r="HI3" s="79"/>
      <c r="HJ3" s="79"/>
      <c r="HK3" s="79"/>
      <c r="HL3" s="79"/>
      <c r="HO3" s="79"/>
      <c r="HP3" s="79"/>
      <c r="HQ3" s="79"/>
      <c r="HR3" s="79"/>
      <c r="HS3" s="79"/>
      <c r="HT3" s="79"/>
      <c r="HU3" s="79"/>
      <c r="HV3" s="79"/>
      <c r="HW3" s="79"/>
      <c r="HX3" s="79"/>
      <c r="HY3" s="79"/>
      <c r="HZ3" s="79"/>
      <c r="IA3" s="79"/>
    </row>
    <row r="4" s="41" customFormat="1" spans="1:235">
      <c r="A4" s="79"/>
      <c r="B4" s="79"/>
      <c r="C4" s="79"/>
      <c r="D4" s="79"/>
      <c r="E4" s="79"/>
      <c r="F4" s="79"/>
      <c r="G4" s="79"/>
      <c r="H4" s="79"/>
      <c r="I4" s="79"/>
      <c r="J4" s="79"/>
      <c r="K4" s="9"/>
      <c r="L4" s="118"/>
      <c r="M4" s="17"/>
      <c r="N4" s="17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  <c r="CS4" s="79"/>
      <c r="CT4" s="79"/>
      <c r="CU4" s="79"/>
      <c r="CV4" s="79"/>
      <c r="CW4" s="79"/>
      <c r="CX4" s="79"/>
      <c r="CY4" s="79"/>
      <c r="CZ4" s="79"/>
      <c r="DA4" s="79"/>
      <c r="DB4" s="79"/>
      <c r="DC4" s="79"/>
      <c r="DD4" s="79"/>
      <c r="DE4" s="79"/>
      <c r="DF4" s="79"/>
      <c r="DG4" s="79"/>
      <c r="DH4" s="79"/>
      <c r="DI4" s="79"/>
      <c r="DJ4" s="79"/>
      <c r="DK4" s="79"/>
      <c r="DL4" s="79"/>
      <c r="DM4" s="79"/>
      <c r="DN4" s="79"/>
      <c r="DO4" s="79"/>
      <c r="DP4" s="79"/>
      <c r="DQ4" s="79"/>
      <c r="DR4" s="79"/>
      <c r="DS4" s="79"/>
      <c r="DT4" s="79"/>
      <c r="DU4" s="79"/>
      <c r="DV4" s="79"/>
      <c r="DW4" s="79"/>
      <c r="DX4" s="79"/>
      <c r="DY4" s="79"/>
      <c r="DZ4" s="79"/>
      <c r="EA4" s="79"/>
      <c r="EB4" s="79"/>
      <c r="EC4" s="79"/>
      <c r="ED4" s="79"/>
      <c r="EE4" s="79"/>
      <c r="EF4" s="79"/>
      <c r="EG4" s="79"/>
      <c r="EH4" s="79"/>
      <c r="EI4" s="79"/>
      <c r="EJ4" s="79"/>
      <c r="EK4" s="79"/>
      <c r="EL4" s="79"/>
      <c r="EM4" s="79"/>
      <c r="EN4" s="79"/>
      <c r="EO4" s="79"/>
      <c r="EP4" s="79"/>
      <c r="EQ4" s="79"/>
      <c r="ER4" s="79"/>
      <c r="ES4" s="79"/>
      <c r="ET4" s="79"/>
      <c r="EU4" s="79"/>
      <c r="EV4" s="79"/>
      <c r="EW4" s="79"/>
      <c r="EX4" s="79"/>
      <c r="EY4" s="79"/>
      <c r="EZ4" s="79"/>
      <c r="FA4" s="79"/>
      <c r="FB4" s="79"/>
      <c r="FC4" s="79"/>
      <c r="FD4" s="79"/>
      <c r="FE4" s="79"/>
      <c r="FF4" s="79"/>
      <c r="FG4" s="79"/>
      <c r="FH4" s="79"/>
      <c r="FI4" s="79"/>
      <c r="FJ4" s="79"/>
      <c r="FK4" s="79"/>
      <c r="FL4" s="79"/>
      <c r="FM4" s="79"/>
      <c r="FN4" s="79"/>
      <c r="FO4" s="79"/>
      <c r="FP4" s="79"/>
      <c r="FQ4" s="79"/>
      <c r="FR4" s="79"/>
      <c r="FS4" s="79"/>
      <c r="FT4" s="79"/>
      <c r="FU4" s="79"/>
      <c r="FV4" s="79"/>
      <c r="FW4" s="79"/>
      <c r="FX4" s="79"/>
      <c r="FY4" s="79"/>
      <c r="FZ4" s="79"/>
      <c r="GA4" s="79"/>
      <c r="GB4" s="79"/>
      <c r="GC4" s="79"/>
      <c r="GD4" s="79"/>
      <c r="GE4" s="79"/>
      <c r="GF4" s="79"/>
      <c r="GG4" s="79"/>
      <c r="GH4" s="79"/>
      <c r="GI4" s="79"/>
      <c r="GJ4" s="79"/>
      <c r="GK4" s="79"/>
      <c r="GL4" s="79"/>
      <c r="GM4" s="79"/>
      <c r="GN4" s="79"/>
      <c r="GO4" s="79"/>
      <c r="GP4" s="79"/>
      <c r="GQ4" s="79"/>
      <c r="GR4" s="79"/>
      <c r="GS4" s="79"/>
      <c r="GT4" s="79"/>
      <c r="GU4" s="79"/>
      <c r="GV4" s="79"/>
      <c r="GW4" s="79"/>
      <c r="GX4" s="79"/>
      <c r="GY4" s="79"/>
      <c r="GZ4" s="79"/>
      <c r="HA4" s="79"/>
      <c r="HB4" s="79"/>
      <c r="HC4" s="79"/>
      <c r="HD4" s="79"/>
      <c r="HE4" s="79"/>
      <c r="HF4" s="79"/>
      <c r="HG4" s="79"/>
      <c r="HH4" s="79"/>
      <c r="HI4" s="79"/>
      <c r="HJ4" s="79"/>
      <c r="HK4" s="79"/>
      <c r="HL4" s="79"/>
      <c r="HO4" s="79"/>
      <c r="HP4" s="79"/>
      <c r="HQ4" s="79"/>
      <c r="HR4" s="79"/>
      <c r="HS4" s="79"/>
      <c r="HT4" s="79"/>
      <c r="HU4" s="79"/>
      <c r="HV4" s="79"/>
      <c r="HW4" s="79"/>
      <c r="HX4" s="79"/>
      <c r="HY4" s="79"/>
      <c r="HZ4" s="79"/>
      <c r="IA4" s="79"/>
    </row>
    <row r="5" s="79" customFormat="1" spans="1:235">
      <c r="A5" s="79" t="s">
        <v>153</v>
      </c>
      <c r="B5" s="79" t="s">
        <v>154</v>
      </c>
      <c r="C5" s="9"/>
      <c r="D5" s="9"/>
      <c r="E5" s="9"/>
      <c r="F5" s="79"/>
      <c r="G5" s="9" t="s">
        <v>3</v>
      </c>
      <c r="H5" s="79"/>
      <c r="K5" s="9"/>
      <c r="L5" s="118"/>
      <c r="M5" s="17"/>
      <c r="N5" s="17"/>
      <c r="HL5" s="41"/>
      <c r="HM5" s="41"/>
    </row>
    <row r="6" s="79" customFormat="1" spans="1:235">
      <c r="A6" s="6" t="s">
        <v>4</v>
      </c>
      <c r="B6" s="46"/>
      <c r="C6" s="46"/>
      <c r="D6" s="46"/>
      <c r="E6" s="52"/>
      <c r="F6" s="52"/>
      <c r="G6" s="79" t="s">
        <v>5</v>
      </c>
      <c r="H6" s="46"/>
      <c r="I6" s="46"/>
      <c r="K6" s="9"/>
      <c r="L6" s="118"/>
      <c r="M6" s="17"/>
      <c r="N6" s="17"/>
      <c r="HL6" s="41"/>
      <c r="HM6" s="41"/>
    </row>
    <row r="7" s="79" customFormat="1" spans="1:235">
      <c r="A7" s="6" t="s">
        <v>6</v>
      </c>
      <c r="B7" s="46"/>
      <c r="C7" s="46"/>
      <c r="D7" s="46"/>
      <c r="E7" s="52"/>
      <c r="F7" s="52"/>
      <c r="G7" s="9" t="s">
        <v>7</v>
      </c>
      <c r="H7" s="46"/>
      <c r="I7" s="46"/>
      <c r="K7" s="9"/>
      <c r="L7" s="118"/>
      <c r="M7" s="17"/>
      <c r="N7" s="17"/>
      <c r="HL7" s="41"/>
      <c r="HM7" s="41"/>
    </row>
    <row r="8" s="9" customFormat="1" ht="23.25" customHeight="1" spans="1:235">
      <c r="A8" s="120" t="s">
        <v>155</v>
      </c>
      <c r="B8" s="120"/>
      <c r="C8" s="9"/>
      <c r="D8" s="9"/>
      <c r="E8" s="9"/>
      <c r="F8" s="141"/>
      <c r="G8" s="76" t="s">
        <v>9</v>
      </c>
      <c r="H8" s="9"/>
      <c r="L8" s="118"/>
      <c r="M8" s="17"/>
      <c r="N8" s="17"/>
    </row>
    <row r="9" s="79" customFormat="1" ht="18" customHeight="1" spans="1:235">
      <c r="A9" s="123" t="s">
        <v>10</v>
      </c>
      <c r="B9" s="124" t="s">
        <v>79</v>
      </c>
      <c r="C9" s="124" t="s">
        <v>80</v>
      </c>
      <c r="D9" s="124" t="s">
        <v>81</v>
      </c>
      <c r="E9" s="124" t="s">
        <v>82</v>
      </c>
      <c r="F9" s="125" t="s">
        <v>156</v>
      </c>
      <c r="G9" s="126"/>
      <c r="H9" s="127"/>
      <c r="I9" s="142"/>
      <c r="J9" s="143"/>
      <c r="K9" s="144"/>
      <c r="L9" s="145"/>
      <c r="M9" s="146"/>
      <c r="N9" s="146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  <c r="BD9" s="143"/>
      <c r="BE9" s="143"/>
      <c r="BF9" s="143"/>
      <c r="BG9" s="143"/>
      <c r="BH9" s="143"/>
      <c r="BI9" s="143"/>
      <c r="BJ9" s="143"/>
      <c r="BK9" s="143"/>
      <c r="BL9" s="143"/>
      <c r="BM9" s="143"/>
      <c r="BN9" s="143"/>
      <c r="BO9" s="143"/>
      <c r="BP9" s="143"/>
      <c r="BQ9" s="143"/>
      <c r="BR9" s="143"/>
      <c r="BS9" s="143"/>
      <c r="BT9" s="143"/>
      <c r="BU9" s="143"/>
      <c r="BV9" s="143"/>
      <c r="BW9" s="143"/>
      <c r="BX9" s="143"/>
      <c r="BY9" s="143"/>
      <c r="BZ9" s="143"/>
      <c r="CA9" s="143"/>
      <c r="CB9" s="143"/>
      <c r="CC9" s="143"/>
      <c r="CD9" s="143"/>
      <c r="CE9" s="143"/>
      <c r="CF9" s="143"/>
      <c r="CG9" s="143"/>
      <c r="CH9" s="143"/>
      <c r="CI9" s="143"/>
      <c r="CJ9" s="143"/>
      <c r="CK9" s="143"/>
      <c r="CL9" s="143"/>
      <c r="CM9" s="143"/>
      <c r="CN9" s="143"/>
      <c r="CO9" s="143"/>
      <c r="CP9" s="143"/>
      <c r="CQ9" s="143"/>
      <c r="CR9" s="143"/>
      <c r="CS9" s="143"/>
      <c r="CT9" s="143"/>
      <c r="CU9" s="143"/>
      <c r="CV9" s="143"/>
      <c r="CW9" s="143"/>
      <c r="CX9" s="143"/>
      <c r="CY9" s="143"/>
      <c r="CZ9" s="143"/>
      <c r="DA9" s="143"/>
      <c r="DB9" s="143"/>
      <c r="DC9" s="143"/>
      <c r="DD9" s="143"/>
      <c r="DE9" s="143"/>
      <c r="DF9" s="143"/>
      <c r="DG9" s="143"/>
      <c r="DH9" s="143"/>
      <c r="DI9" s="143"/>
      <c r="DJ9" s="143"/>
      <c r="DK9" s="143"/>
      <c r="DL9" s="143"/>
      <c r="DM9" s="143"/>
      <c r="DN9" s="143"/>
      <c r="DO9" s="143"/>
      <c r="DP9" s="143"/>
      <c r="DQ9" s="143"/>
      <c r="DR9" s="143"/>
      <c r="DS9" s="143"/>
      <c r="DT9" s="143"/>
      <c r="DU9" s="143"/>
      <c r="DV9" s="143"/>
      <c r="DW9" s="143"/>
      <c r="DX9" s="143"/>
      <c r="DY9" s="143"/>
      <c r="DZ9" s="143"/>
      <c r="EA9" s="143"/>
      <c r="EB9" s="143"/>
      <c r="EC9" s="143"/>
      <c r="ED9" s="143"/>
      <c r="EE9" s="143"/>
      <c r="EF9" s="143"/>
      <c r="EG9" s="143"/>
      <c r="EH9" s="143"/>
      <c r="EI9" s="143"/>
      <c r="EJ9" s="143"/>
      <c r="EK9" s="143"/>
      <c r="EL9" s="143"/>
      <c r="EM9" s="143"/>
      <c r="EN9" s="143"/>
      <c r="EO9" s="143"/>
      <c r="EP9" s="143"/>
      <c r="EQ9" s="143"/>
      <c r="ER9" s="143"/>
      <c r="ES9" s="143"/>
      <c r="ET9" s="143"/>
      <c r="EU9" s="143"/>
      <c r="EV9" s="143"/>
      <c r="EW9" s="143"/>
      <c r="EX9" s="143"/>
      <c r="EY9" s="143"/>
      <c r="EZ9" s="143"/>
      <c r="FA9" s="143"/>
      <c r="FB9" s="143"/>
      <c r="FC9" s="143"/>
      <c r="FD9" s="143"/>
      <c r="FE9" s="143"/>
      <c r="FF9" s="143"/>
      <c r="FG9" s="143"/>
      <c r="FH9" s="143"/>
      <c r="FI9" s="143"/>
      <c r="FJ9" s="143"/>
      <c r="FK9" s="143"/>
      <c r="FL9" s="143"/>
      <c r="FM9" s="143"/>
      <c r="FN9" s="143"/>
      <c r="FO9" s="143"/>
      <c r="FP9" s="143"/>
      <c r="FQ9" s="143"/>
      <c r="FR9" s="143"/>
      <c r="FS9" s="143"/>
      <c r="FT9" s="143"/>
      <c r="FU9" s="143"/>
      <c r="FV9" s="143"/>
      <c r="FW9" s="143"/>
      <c r="FX9" s="143"/>
      <c r="FY9" s="143"/>
      <c r="FZ9" s="143"/>
      <c r="GA9" s="143"/>
      <c r="GB9" s="143"/>
      <c r="GC9" s="143"/>
      <c r="GD9" s="143"/>
      <c r="GE9" s="143"/>
      <c r="GF9" s="143"/>
      <c r="GG9" s="143"/>
      <c r="GH9" s="143"/>
      <c r="GI9" s="143"/>
      <c r="GJ9" s="143"/>
      <c r="GK9" s="143"/>
      <c r="GL9" s="143"/>
      <c r="GM9" s="143"/>
      <c r="GN9" s="143"/>
      <c r="GO9" s="143"/>
      <c r="GP9" s="143"/>
      <c r="GQ9" s="143"/>
      <c r="GR9" s="143"/>
      <c r="GS9" s="143"/>
      <c r="GT9" s="143"/>
      <c r="GU9" s="143"/>
      <c r="GV9" s="143"/>
      <c r="GW9" s="143"/>
      <c r="GX9" s="143"/>
      <c r="GY9" s="143"/>
      <c r="GZ9" s="143"/>
      <c r="HA9" s="143"/>
      <c r="HB9" s="143"/>
      <c r="HC9" s="143"/>
      <c r="HD9" s="143"/>
      <c r="HE9" s="143"/>
      <c r="HF9" s="143"/>
      <c r="HG9" s="143"/>
      <c r="HH9" s="143"/>
      <c r="HI9" s="143"/>
      <c r="HJ9" s="143"/>
      <c r="HK9" s="143"/>
    </row>
    <row r="10" s="79" customFormat="1" ht="46" customHeight="1" spans="1:235">
      <c r="A10" s="128" t="s">
        <v>84</v>
      </c>
      <c r="B10" s="30" t="s">
        <v>85</v>
      </c>
      <c r="C10" s="30" t="s">
        <v>86</v>
      </c>
      <c r="D10" s="30" t="s">
        <v>87</v>
      </c>
      <c r="E10" s="30" t="s">
        <v>88</v>
      </c>
      <c r="F10" s="30" t="s">
        <v>89</v>
      </c>
      <c r="G10" s="129" t="s">
        <v>90</v>
      </c>
      <c r="H10" s="130" t="s">
        <v>91</v>
      </c>
      <c r="I10" s="142"/>
      <c r="J10" s="143"/>
      <c r="K10" s="15" t="s">
        <v>20</v>
      </c>
      <c r="L10" s="16" t="s">
        <v>92</v>
      </c>
      <c r="M10" s="17" t="s">
        <v>22</v>
      </c>
      <c r="N10" s="15" t="s">
        <v>93</v>
      </c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143"/>
      <c r="BN10" s="143"/>
      <c r="BO10" s="143"/>
      <c r="BP10" s="143"/>
      <c r="BQ10" s="143"/>
      <c r="BR10" s="143"/>
      <c r="BS10" s="143"/>
      <c r="BT10" s="143"/>
      <c r="BU10" s="143"/>
      <c r="BV10" s="143"/>
      <c r="BW10" s="143"/>
      <c r="BX10" s="143"/>
      <c r="BY10" s="143"/>
      <c r="BZ10" s="143"/>
      <c r="CA10" s="143"/>
      <c r="CB10" s="143"/>
      <c r="CC10" s="143"/>
      <c r="CD10" s="143"/>
      <c r="CE10" s="143"/>
      <c r="CF10" s="143"/>
      <c r="CG10" s="143"/>
      <c r="CH10" s="143"/>
      <c r="CI10" s="143"/>
      <c r="CJ10" s="143"/>
      <c r="CK10" s="143"/>
      <c r="CL10" s="143"/>
      <c r="CM10" s="143"/>
      <c r="CN10" s="143"/>
      <c r="CO10" s="143"/>
      <c r="CP10" s="143"/>
      <c r="CQ10" s="143"/>
      <c r="CR10" s="143"/>
      <c r="CS10" s="143"/>
      <c r="CT10" s="143"/>
      <c r="CU10" s="143"/>
      <c r="CV10" s="143"/>
      <c r="CW10" s="143"/>
      <c r="CX10" s="143"/>
      <c r="CY10" s="143"/>
      <c r="CZ10" s="143"/>
      <c r="DA10" s="143"/>
      <c r="DB10" s="143"/>
      <c r="DC10" s="143"/>
      <c r="DD10" s="143"/>
      <c r="DE10" s="143"/>
      <c r="DF10" s="143"/>
      <c r="DG10" s="143"/>
      <c r="DH10" s="143"/>
      <c r="DI10" s="143"/>
      <c r="DJ10" s="143"/>
      <c r="DK10" s="143"/>
      <c r="DL10" s="143"/>
      <c r="DM10" s="143"/>
      <c r="DN10" s="143"/>
      <c r="DO10" s="143"/>
      <c r="DP10" s="143"/>
      <c r="DQ10" s="143"/>
      <c r="DR10" s="143"/>
      <c r="DS10" s="143"/>
      <c r="DT10" s="143"/>
      <c r="DU10" s="143"/>
      <c r="DV10" s="143"/>
      <c r="DW10" s="143"/>
      <c r="DX10" s="143"/>
      <c r="DY10" s="143"/>
      <c r="DZ10" s="143"/>
      <c r="EA10" s="143"/>
      <c r="EB10" s="143"/>
      <c r="EC10" s="143"/>
      <c r="ED10" s="143"/>
      <c r="EE10" s="143"/>
      <c r="EF10" s="143"/>
      <c r="EG10" s="143"/>
      <c r="EH10" s="143"/>
      <c r="EI10" s="143"/>
      <c r="EJ10" s="143"/>
      <c r="EK10" s="143"/>
      <c r="EL10" s="143"/>
      <c r="EM10" s="143"/>
      <c r="EN10" s="143"/>
      <c r="EO10" s="143"/>
      <c r="EP10" s="143"/>
      <c r="EQ10" s="143"/>
      <c r="ER10" s="143"/>
      <c r="ES10" s="143"/>
      <c r="ET10" s="143"/>
      <c r="EU10" s="143"/>
      <c r="EV10" s="143"/>
      <c r="EW10" s="143"/>
      <c r="EX10" s="143"/>
      <c r="EY10" s="143"/>
      <c r="EZ10" s="143"/>
      <c r="FA10" s="143"/>
      <c r="FB10" s="143"/>
      <c r="FC10" s="143"/>
      <c r="FD10" s="143"/>
      <c r="FE10" s="143"/>
      <c r="FF10" s="143"/>
      <c r="FG10" s="143"/>
      <c r="FH10" s="143"/>
      <c r="FI10" s="143"/>
      <c r="FJ10" s="143"/>
      <c r="FK10" s="143"/>
      <c r="FL10" s="143"/>
      <c r="FM10" s="143"/>
      <c r="FN10" s="143"/>
      <c r="FO10" s="143"/>
      <c r="FP10" s="143"/>
      <c r="FQ10" s="143"/>
      <c r="FR10" s="143"/>
      <c r="FS10" s="143"/>
      <c r="FT10" s="143"/>
      <c r="FU10" s="143"/>
      <c r="FV10" s="143"/>
      <c r="FW10" s="143"/>
      <c r="FX10" s="143"/>
      <c r="FY10" s="143"/>
      <c r="FZ10" s="143"/>
      <c r="GA10" s="143"/>
      <c r="GB10" s="143"/>
      <c r="GC10" s="143"/>
      <c r="GD10" s="143"/>
      <c r="GE10" s="143"/>
      <c r="GF10" s="143"/>
      <c r="GG10" s="143"/>
      <c r="GH10" s="143"/>
      <c r="GI10" s="143"/>
      <c r="GJ10" s="143"/>
      <c r="GK10" s="143"/>
      <c r="GL10" s="143"/>
      <c r="GM10" s="143"/>
      <c r="GN10" s="143"/>
      <c r="GO10" s="143"/>
      <c r="GP10" s="143"/>
      <c r="GQ10" s="143"/>
      <c r="GR10" s="143"/>
      <c r="GS10" s="143"/>
      <c r="GT10" s="143"/>
      <c r="GU10" s="143"/>
      <c r="GV10" s="143"/>
      <c r="GW10" s="143"/>
      <c r="GX10" s="143"/>
      <c r="GY10" s="143"/>
      <c r="GZ10" s="143"/>
      <c r="HA10" s="143"/>
      <c r="HB10" s="143"/>
      <c r="HC10" s="143"/>
      <c r="HD10" s="143"/>
      <c r="HE10" s="143"/>
      <c r="HF10" s="143"/>
      <c r="HG10" s="143"/>
      <c r="HH10" s="143"/>
    </row>
    <row r="11" s="79" customFormat="1" ht="18" customHeight="1" spans="1:235">
      <c r="A11" s="128" t="s">
        <v>157</v>
      </c>
      <c r="B11" s="30">
        <v>1080</v>
      </c>
      <c r="C11" s="33" t="s">
        <v>158</v>
      </c>
      <c r="D11" s="30">
        <v>300</v>
      </c>
      <c r="E11" s="31" t="s">
        <v>96</v>
      </c>
      <c r="F11" s="74">
        <v>1.809</v>
      </c>
      <c r="G11" s="131">
        <f t="shared" ref="G11:G22" si="0">ROUND(H11/D11,2)</f>
        <v>23.74</v>
      </c>
      <c r="H11" s="132">
        <f t="shared" ref="H11:H22" si="1">ROUND(F11*3937,2)</f>
        <v>7122.03</v>
      </c>
      <c r="I11" s="147"/>
      <c r="J11" s="143"/>
      <c r="K11" s="74">
        <v>1.615</v>
      </c>
      <c r="L11" s="148">
        <f>ROUND(K11*1.12,3)</f>
        <v>1.809</v>
      </c>
      <c r="M11" s="149">
        <f t="shared" ref="M11:M27" si="2">L11/K11-1</f>
        <v>0.120123839009288</v>
      </c>
      <c r="N11" s="150">
        <f t="shared" ref="N11:N23" si="3">L11*3937/300</f>
        <v>23.74011</v>
      </c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3"/>
      <c r="BE11" s="143"/>
      <c r="BF11" s="143"/>
      <c r="BG11" s="143"/>
      <c r="BH11" s="143"/>
      <c r="BI11" s="143"/>
      <c r="BJ11" s="143"/>
      <c r="BK11" s="143"/>
      <c r="BL11" s="143"/>
      <c r="BM11" s="143"/>
      <c r="BN11" s="143"/>
      <c r="BO11" s="143"/>
      <c r="BP11" s="143"/>
      <c r="BQ11" s="143"/>
      <c r="BR11" s="143"/>
      <c r="BS11" s="143"/>
      <c r="BT11" s="143"/>
      <c r="BU11" s="143"/>
      <c r="BV11" s="143"/>
      <c r="BW11" s="143"/>
      <c r="BX11" s="143"/>
      <c r="BY11" s="143"/>
      <c r="BZ11" s="143"/>
      <c r="CA11" s="143"/>
      <c r="CB11" s="143"/>
      <c r="CC11" s="143"/>
      <c r="CD11" s="143"/>
      <c r="CE11" s="143"/>
      <c r="CF11" s="143"/>
      <c r="CG11" s="143"/>
      <c r="CH11" s="143"/>
      <c r="CI11" s="143"/>
      <c r="CJ11" s="143"/>
      <c r="CK11" s="143"/>
      <c r="CL11" s="143"/>
      <c r="CM11" s="143"/>
      <c r="CN11" s="143"/>
      <c r="CO11" s="143"/>
      <c r="CP11" s="143"/>
      <c r="CQ11" s="143"/>
      <c r="CR11" s="143"/>
      <c r="CS11" s="143"/>
      <c r="CT11" s="143"/>
      <c r="CU11" s="143"/>
      <c r="CV11" s="143"/>
      <c r="CW11" s="143"/>
      <c r="CX11" s="143"/>
      <c r="CY11" s="143"/>
      <c r="CZ11" s="143"/>
      <c r="DA11" s="143"/>
      <c r="DB11" s="143"/>
      <c r="DC11" s="143"/>
      <c r="DD11" s="143"/>
      <c r="DE11" s="143"/>
      <c r="DF11" s="143"/>
      <c r="DG11" s="143"/>
      <c r="DH11" s="143"/>
      <c r="DI11" s="143"/>
      <c r="DJ11" s="143"/>
      <c r="DK11" s="143"/>
      <c r="DL11" s="143"/>
      <c r="DM11" s="143"/>
      <c r="DN11" s="143"/>
      <c r="DO11" s="143"/>
      <c r="DP11" s="143"/>
      <c r="DQ11" s="143"/>
      <c r="DR11" s="143"/>
      <c r="DS11" s="143"/>
      <c r="DT11" s="143"/>
      <c r="DU11" s="143"/>
      <c r="DV11" s="143"/>
      <c r="DW11" s="143"/>
      <c r="DX11" s="143"/>
      <c r="DY11" s="143"/>
      <c r="DZ11" s="143"/>
      <c r="EA11" s="143"/>
      <c r="EB11" s="143"/>
      <c r="EC11" s="143"/>
      <c r="ED11" s="143"/>
      <c r="EE11" s="143"/>
      <c r="EF11" s="143"/>
      <c r="EG11" s="143"/>
      <c r="EH11" s="143"/>
      <c r="EI11" s="143"/>
      <c r="EJ11" s="143"/>
      <c r="EK11" s="143"/>
      <c r="EL11" s="143"/>
      <c r="EM11" s="143"/>
      <c r="EN11" s="143"/>
      <c r="EO11" s="143"/>
      <c r="EP11" s="143"/>
      <c r="EQ11" s="143"/>
      <c r="ER11" s="143"/>
      <c r="ES11" s="143"/>
      <c r="ET11" s="143"/>
      <c r="EU11" s="143"/>
      <c r="EV11" s="143"/>
      <c r="EW11" s="143"/>
      <c r="EX11" s="143"/>
      <c r="EY11" s="143"/>
      <c r="EZ11" s="143"/>
      <c r="FA11" s="143"/>
      <c r="FB11" s="143"/>
      <c r="FC11" s="143"/>
      <c r="FD11" s="143"/>
      <c r="FE11" s="143"/>
      <c r="FF11" s="143"/>
      <c r="FG11" s="143"/>
      <c r="FH11" s="143"/>
      <c r="FI11" s="143"/>
      <c r="FJ11" s="143"/>
      <c r="FK11" s="143"/>
      <c r="FL11" s="143"/>
      <c r="FM11" s="143"/>
      <c r="FN11" s="143"/>
      <c r="FO11" s="143"/>
      <c r="FP11" s="143"/>
      <c r="FQ11" s="143"/>
      <c r="FR11" s="143"/>
      <c r="FS11" s="143"/>
      <c r="FT11" s="143"/>
      <c r="FU11" s="143"/>
      <c r="FV11" s="143"/>
      <c r="FW11" s="143"/>
      <c r="FX11" s="143"/>
      <c r="FY11" s="143"/>
      <c r="FZ11" s="143"/>
      <c r="GA11" s="143"/>
      <c r="GB11" s="143"/>
      <c r="GC11" s="143"/>
      <c r="GD11" s="143"/>
      <c r="GE11" s="143"/>
      <c r="GF11" s="143"/>
      <c r="GG11" s="143"/>
      <c r="GH11" s="143"/>
      <c r="GI11" s="143"/>
      <c r="GJ11" s="143"/>
      <c r="GK11" s="143"/>
      <c r="GL11" s="143"/>
      <c r="GM11" s="143"/>
      <c r="GN11" s="143"/>
      <c r="GO11" s="143"/>
      <c r="GP11" s="143"/>
      <c r="GQ11" s="143"/>
      <c r="GR11" s="143"/>
      <c r="GS11" s="143"/>
      <c r="GT11" s="143"/>
      <c r="GU11" s="143"/>
      <c r="GV11" s="143"/>
      <c r="GW11" s="143"/>
      <c r="GX11" s="143"/>
      <c r="GY11" s="143"/>
      <c r="GZ11" s="143"/>
      <c r="HA11" s="143"/>
      <c r="HB11" s="143"/>
      <c r="HC11" s="143"/>
      <c r="HD11" s="143"/>
      <c r="HE11" s="143"/>
      <c r="HF11" s="143"/>
      <c r="HG11" s="143"/>
      <c r="HH11" s="143"/>
    </row>
    <row r="12" s="79" customFormat="1" ht="18" customHeight="1" spans="1:235">
      <c r="A12" s="128" t="s">
        <v>157</v>
      </c>
      <c r="B12" s="30">
        <v>1080</v>
      </c>
      <c r="C12" s="33" t="s">
        <v>97</v>
      </c>
      <c r="D12" s="30">
        <v>300</v>
      </c>
      <c r="E12" s="31" t="s">
        <v>96</v>
      </c>
      <c r="F12" s="74">
        <v>1.878</v>
      </c>
      <c r="G12" s="131">
        <f t="shared" si="0"/>
        <v>24.65</v>
      </c>
      <c r="H12" s="132">
        <f t="shared" si="1"/>
        <v>7393.69</v>
      </c>
      <c r="I12" s="147"/>
      <c r="J12" s="143"/>
      <c r="K12" s="74">
        <v>1.692</v>
      </c>
      <c r="L12" s="148">
        <f>ROUND(K12*1.11,3)</f>
        <v>1.878</v>
      </c>
      <c r="M12" s="149">
        <f t="shared" si="2"/>
        <v>0.109929078014184</v>
      </c>
      <c r="N12" s="150">
        <f t="shared" si="3"/>
        <v>24.64562</v>
      </c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  <c r="BD12" s="143"/>
      <c r="BE12" s="143"/>
      <c r="BF12" s="143"/>
      <c r="BG12" s="143"/>
      <c r="BH12" s="143"/>
      <c r="BI12" s="143"/>
      <c r="BJ12" s="143"/>
      <c r="BK12" s="143"/>
      <c r="BL12" s="143"/>
      <c r="BM12" s="143"/>
      <c r="BN12" s="143"/>
      <c r="BO12" s="143"/>
      <c r="BP12" s="143"/>
      <c r="BQ12" s="143"/>
      <c r="BR12" s="143"/>
      <c r="BS12" s="143"/>
      <c r="BT12" s="143"/>
      <c r="BU12" s="143"/>
      <c r="BV12" s="143"/>
      <c r="BW12" s="143"/>
      <c r="BX12" s="143"/>
      <c r="BY12" s="143"/>
      <c r="BZ12" s="143"/>
      <c r="CA12" s="143"/>
      <c r="CB12" s="143"/>
      <c r="CC12" s="143"/>
      <c r="CD12" s="143"/>
      <c r="CE12" s="143"/>
      <c r="CF12" s="143"/>
      <c r="CG12" s="143"/>
      <c r="CH12" s="143"/>
      <c r="CI12" s="143"/>
      <c r="CJ12" s="143"/>
      <c r="CK12" s="143"/>
      <c r="CL12" s="143"/>
      <c r="CM12" s="143"/>
      <c r="CN12" s="143"/>
      <c r="CO12" s="143"/>
      <c r="CP12" s="143"/>
      <c r="CQ12" s="143"/>
      <c r="CR12" s="143"/>
      <c r="CS12" s="143"/>
      <c r="CT12" s="143"/>
      <c r="CU12" s="143"/>
      <c r="CV12" s="143"/>
      <c r="CW12" s="143"/>
      <c r="CX12" s="143"/>
      <c r="CY12" s="143"/>
      <c r="CZ12" s="143"/>
      <c r="DA12" s="143"/>
      <c r="DB12" s="143"/>
      <c r="DC12" s="143"/>
      <c r="DD12" s="143"/>
      <c r="DE12" s="143"/>
      <c r="DF12" s="143"/>
      <c r="DG12" s="143"/>
      <c r="DH12" s="143"/>
      <c r="DI12" s="143"/>
      <c r="DJ12" s="143"/>
      <c r="DK12" s="143"/>
      <c r="DL12" s="143"/>
      <c r="DM12" s="143"/>
      <c r="DN12" s="143"/>
      <c r="DO12" s="143"/>
      <c r="DP12" s="143"/>
      <c r="DQ12" s="143"/>
      <c r="DR12" s="143"/>
      <c r="DS12" s="143"/>
      <c r="DT12" s="143"/>
      <c r="DU12" s="143"/>
      <c r="DV12" s="143"/>
      <c r="DW12" s="143"/>
      <c r="DX12" s="143"/>
      <c r="DY12" s="143"/>
      <c r="DZ12" s="143"/>
      <c r="EA12" s="143"/>
      <c r="EB12" s="143"/>
      <c r="EC12" s="143"/>
      <c r="ED12" s="143"/>
      <c r="EE12" s="143"/>
      <c r="EF12" s="143"/>
      <c r="EG12" s="143"/>
      <c r="EH12" s="143"/>
      <c r="EI12" s="143"/>
      <c r="EJ12" s="143"/>
      <c r="EK12" s="143"/>
      <c r="EL12" s="143"/>
      <c r="EM12" s="143"/>
      <c r="EN12" s="143"/>
      <c r="EO12" s="143"/>
      <c r="EP12" s="143"/>
      <c r="EQ12" s="143"/>
      <c r="ER12" s="143"/>
      <c r="ES12" s="143"/>
      <c r="ET12" s="143"/>
      <c r="EU12" s="143"/>
      <c r="EV12" s="143"/>
      <c r="EW12" s="143"/>
      <c r="EX12" s="143"/>
      <c r="EY12" s="143"/>
      <c r="EZ12" s="143"/>
      <c r="FA12" s="143"/>
      <c r="FB12" s="143"/>
      <c r="FC12" s="143"/>
      <c r="FD12" s="143"/>
      <c r="FE12" s="143"/>
      <c r="FF12" s="143"/>
      <c r="FG12" s="143"/>
      <c r="FH12" s="143"/>
      <c r="FI12" s="143"/>
      <c r="FJ12" s="143"/>
      <c r="FK12" s="143"/>
      <c r="FL12" s="143"/>
      <c r="FM12" s="143"/>
      <c r="FN12" s="143"/>
      <c r="FO12" s="143"/>
      <c r="FP12" s="143"/>
      <c r="FQ12" s="143"/>
      <c r="FR12" s="143"/>
      <c r="FS12" s="143"/>
      <c r="FT12" s="143"/>
      <c r="FU12" s="143"/>
      <c r="FV12" s="143"/>
      <c r="FW12" s="143"/>
      <c r="FX12" s="143"/>
      <c r="FY12" s="143"/>
      <c r="FZ12" s="143"/>
      <c r="GA12" s="143"/>
      <c r="GB12" s="143"/>
      <c r="GC12" s="143"/>
      <c r="GD12" s="143"/>
      <c r="GE12" s="143"/>
      <c r="GF12" s="143"/>
      <c r="GG12" s="143"/>
      <c r="GH12" s="143"/>
      <c r="GI12" s="143"/>
      <c r="GJ12" s="143"/>
      <c r="GK12" s="143"/>
      <c r="GL12" s="143"/>
      <c r="GM12" s="143"/>
      <c r="GN12" s="143"/>
      <c r="GO12" s="143"/>
      <c r="GP12" s="143"/>
      <c r="GQ12" s="143"/>
      <c r="GR12" s="143"/>
      <c r="GS12" s="143"/>
      <c r="GT12" s="143"/>
      <c r="GU12" s="143"/>
      <c r="GV12" s="143"/>
      <c r="GW12" s="143"/>
      <c r="GX12" s="143"/>
      <c r="GY12" s="143"/>
      <c r="GZ12" s="143"/>
      <c r="HA12" s="143"/>
      <c r="HB12" s="143"/>
      <c r="HC12" s="143"/>
      <c r="HD12" s="143"/>
      <c r="HE12" s="143"/>
      <c r="HF12" s="143"/>
      <c r="HG12" s="143"/>
      <c r="HH12" s="143"/>
    </row>
    <row r="13" s="79" customFormat="1" ht="18" customHeight="1" spans="1:235">
      <c r="A13" s="128" t="s">
        <v>157</v>
      </c>
      <c r="B13" s="30">
        <v>1080</v>
      </c>
      <c r="C13" s="33" t="s">
        <v>98</v>
      </c>
      <c r="D13" s="30">
        <v>300</v>
      </c>
      <c r="E13" s="31" t="s">
        <v>96</v>
      </c>
      <c r="F13" s="74">
        <v>1.954</v>
      </c>
      <c r="G13" s="131">
        <f t="shared" si="0"/>
        <v>25.64</v>
      </c>
      <c r="H13" s="132">
        <f t="shared" si="1"/>
        <v>7692.9</v>
      </c>
      <c r="I13" s="147"/>
      <c r="J13" s="143"/>
      <c r="K13" s="74">
        <v>1.745</v>
      </c>
      <c r="L13" s="148">
        <f>ROUND(K13*1.12,3)</f>
        <v>1.954</v>
      </c>
      <c r="M13" s="149">
        <f t="shared" si="2"/>
        <v>0.119770773638968</v>
      </c>
      <c r="N13" s="150">
        <f t="shared" si="3"/>
        <v>25.6429933333333</v>
      </c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3"/>
      <c r="BE13" s="143"/>
      <c r="BF13" s="143"/>
      <c r="BG13" s="143"/>
      <c r="BH13" s="143"/>
      <c r="BI13" s="143"/>
      <c r="BJ13" s="143"/>
      <c r="BK13" s="143"/>
      <c r="BL13" s="143"/>
      <c r="BM13" s="143"/>
      <c r="BN13" s="143"/>
      <c r="BO13" s="143"/>
      <c r="BP13" s="143"/>
      <c r="BQ13" s="143"/>
      <c r="BR13" s="143"/>
      <c r="BS13" s="143"/>
      <c r="BT13" s="143"/>
      <c r="BU13" s="143"/>
      <c r="BV13" s="143"/>
      <c r="BW13" s="143"/>
      <c r="BX13" s="143"/>
      <c r="BY13" s="143"/>
      <c r="BZ13" s="143"/>
      <c r="CA13" s="143"/>
      <c r="CB13" s="143"/>
      <c r="CC13" s="143"/>
      <c r="CD13" s="143"/>
      <c r="CE13" s="143"/>
      <c r="CF13" s="143"/>
      <c r="CG13" s="143"/>
      <c r="CH13" s="143"/>
      <c r="CI13" s="143"/>
      <c r="CJ13" s="143"/>
      <c r="CK13" s="143"/>
      <c r="CL13" s="143"/>
      <c r="CM13" s="143"/>
      <c r="CN13" s="143"/>
      <c r="CO13" s="143"/>
      <c r="CP13" s="143"/>
      <c r="CQ13" s="143"/>
      <c r="CR13" s="143"/>
      <c r="CS13" s="143"/>
      <c r="CT13" s="143"/>
      <c r="CU13" s="143"/>
      <c r="CV13" s="143"/>
      <c r="CW13" s="143"/>
      <c r="CX13" s="143"/>
      <c r="CY13" s="143"/>
      <c r="CZ13" s="143"/>
      <c r="DA13" s="143"/>
      <c r="DB13" s="143"/>
      <c r="DC13" s="143"/>
      <c r="DD13" s="143"/>
      <c r="DE13" s="143"/>
      <c r="DF13" s="143"/>
      <c r="DG13" s="143"/>
      <c r="DH13" s="143"/>
      <c r="DI13" s="143"/>
      <c r="DJ13" s="143"/>
      <c r="DK13" s="143"/>
      <c r="DL13" s="143"/>
      <c r="DM13" s="143"/>
      <c r="DN13" s="143"/>
      <c r="DO13" s="143"/>
      <c r="DP13" s="143"/>
      <c r="DQ13" s="143"/>
      <c r="DR13" s="143"/>
      <c r="DS13" s="143"/>
      <c r="DT13" s="143"/>
      <c r="DU13" s="143"/>
      <c r="DV13" s="143"/>
      <c r="DW13" s="143"/>
      <c r="DX13" s="143"/>
      <c r="DY13" s="143"/>
      <c r="DZ13" s="143"/>
      <c r="EA13" s="143"/>
      <c r="EB13" s="143"/>
      <c r="EC13" s="143"/>
      <c r="ED13" s="143"/>
      <c r="EE13" s="143"/>
      <c r="EF13" s="143"/>
      <c r="EG13" s="143"/>
      <c r="EH13" s="143"/>
      <c r="EI13" s="143"/>
      <c r="EJ13" s="143"/>
      <c r="EK13" s="143"/>
      <c r="EL13" s="143"/>
      <c r="EM13" s="143"/>
      <c r="EN13" s="143"/>
      <c r="EO13" s="143"/>
      <c r="EP13" s="143"/>
      <c r="EQ13" s="143"/>
      <c r="ER13" s="143"/>
      <c r="ES13" s="143"/>
      <c r="ET13" s="143"/>
      <c r="EU13" s="143"/>
      <c r="EV13" s="143"/>
      <c r="EW13" s="143"/>
      <c r="EX13" s="143"/>
      <c r="EY13" s="143"/>
      <c r="EZ13" s="143"/>
      <c r="FA13" s="143"/>
      <c r="FB13" s="143"/>
      <c r="FC13" s="143"/>
      <c r="FD13" s="143"/>
      <c r="FE13" s="143"/>
      <c r="FF13" s="143"/>
      <c r="FG13" s="143"/>
      <c r="FH13" s="143"/>
      <c r="FI13" s="143"/>
      <c r="FJ13" s="143"/>
      <c r="FK13" s="143"/>
      <c r="FL13" s="143"/>
      <c r="FM13" s="143"/>
      <c r="FN13" s="143"/>
      <c r="FO13" s="143"/>
      <c r="FP13" s="143"/>
      <c r="FQ13" s="143"/>
      <c r="FR13" s="143"/>
      <c r="FS13" s="143"/>
      <c r="FT13" s="143"/>
      <c r="FU13" s="143"/>
      <c r="FV13" s="143"/>
      <c r="FW13" s="143"/>
      <c r="FX13" s="143"/>
      <c r="FY13" s="143"/>
      <c r="FZ13" s="143"/>
      <c r="GA13" s="143"/>
      <c r="GB13" s="143"/>
      <c r="GC13" s="143"/>
      <c r="GD13" s="143"/>
      <c r="GE13" s="143"/>
      <c r="GF13" s="143"/>
      <c r="GG13" s="143"/>
      <c r="GH13" s="143"/>
      <c r="GI13" s="143"/>
      <c r="GJ13" s="143"/>
      <c r="GK13" s="143"/>
      <c r="GL13" s="143"/>
      <c r="GM13" s="143"/>
      <c r="GN13" s="143"/>
      <c r="GO13" s="143"/>
      <c r="GP13" s="143"/>
      <c r="GQ13" s="143"/>
      <c r="GR13" s="143"/>
      <c r="GS13" s="143"/>
      <c r="GT13" s="143"/>
      <c r="GU13" s="143"/>
      <c r="GV13" s="143"/>
      <c r="GW13" s="143"/>
      <c r="GX13" s="143"/>
      <c r="GY13" s="143"/>
      <c r="GZ13" s="143"/>
      <c r="HA13" s="143"/>
      <c r="HB13" s="143"/>
      <c r="HC13" s="143"/>
      <c r="HD13" s="143"/>
      <c r="HE13" s="143"/>
      <c r="HF13" s="143"/>
      <c r="HG13" s="143"/>
      <c r="HH13" s="143"/>
    </row>
    <row r="14" s="79" customFormat="1" ht="18" customHeight="1" spans="1:235">
      <c r="A14" s="128" t="s">
        <v>157</v>
      </c>
      <c r="B14" s="30">
        <v>1080</v>
      </c>
      <c r="C14" s="33" t="s">
        <v>99</v>
      </c>
      <c r="D14" s="30">
        <v>300</v>
      </c>
      <c r="E14" s="31" t="s">
        <v>96</v>
      </c>
      <c r="F14" s="74">
        <v>1.992</v>
      </c>
      <c r="G14" s="131">
        <f t="shared" si="0"/>
        <v>26.14</v>
      </c>
      <c r="H14" s="132">
        <f t="shared" si="1"/>
        <v>7842.5</v>
      </c>
      <c r="I14" s="147"/>
      <c r="J14" s="143"/>
      <c r="K14" s="74">
        <v>1.795</v>
      </c>
      <c r="L14" s="148">
        <f>ROUND(K14*1.11,3)</f>
        <v>1.992</v>
      </c>
      <c r="M14" s="149">
        <f t="shared" si="2"/>
        <v>0.10974930362117</v>
      </c>
      <c r="N14" s="150">
        <f t="shared" si="3"/>
        <v>26.14168</v>
      </c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  <c r="BD14" s="143"/>
      <c r="BE14" s="143"/>
      <c r="BF14" s="143"/>
      <c r="BG14" s="143"/>
      <c r="BH14" s="143"/>
      <c r="BI14" s="143"/>
      <c r="BJ14" s="143"/>
      <c r="BK14" s="143"/>
      <c r="BL14" s="143"/>
      <c r="BM14" s="143"/>
      <c r="BN14" s="143"/>
      <c r="BO14" s="143"/>
      <c r="BP14" s="143"/>
      <c r="BQ14" s="143"/>
      <c r="BR14" s="143"/>
      <c r="BS14" s="143"/>
      <c r="BT14" s="143"/>
      <c r="BU14" s="143"/>
      <c r="BV14" s="143"/>
      <c r="BW14" s="143"/>
      <c r="BX14" s="143"/>
      <c r="BY14" s="143"/>
      <c r="BZ14" s="143"/>
      <c r="CA14" s="143"/>
      <c r="CB14" s="143"/>
      <c r="CC14" s="143"/>
      <c r="CD14" s="143"/>
      <c r="CE14" s="143"/>
      <c r="CF14" s="143"/>
      <c r="CG14" s="143"/>
      <c r="CH14" s="143"/>
      <c r="CI14" s="143"/>
      <c r="CJ14" s="143"/>
      <c r="CK14" s="143"/>
      <c r="CL14" s="143"/>
      <c r="CM14" s="143"/>
      <c r="CN14" s="143"/>
      <c r="CO14" s="143"/>
      <c r="CP14" s="143"/>
      <c r="CQ14" s="143"/>
      <c r="CR14" s="143"/>
      <c r="CS14" s="143"/>
      <c r="CT14" s="143"/>
      <c r="CU14" s="143"/>
      <c r="CV14" s="143"/>
      <c r="CW14" s="143"/>
      <c r="CX14" s="143"/>
      <c r="CY14" s="143"/>
      <c r="CZ14" s="143"/>
      <c r="DA14" s="143"/>
      <c r="DB14" s="143"/>
      <c r="DC14" s="143"/>
      <c r="DD14" s="143"/>
      <c r="DE14" s="143"/>
      <c r="DF14" s="143"/>
      <c r="DG14" s="143"/>
      <c r="DH14" s="143"/>
      <c r="DI14" s="143"/>
      <c r="DJ14" s="143"/>
      <c r="DK14" s="143"/>
      <c r="DL14" s="143"/>
      <c r="DM14" s="143"/>
      <c r="DN14" s="143"/>
      <c r="DO14" s="143"/>
      <c r="DP14" s="143"/>
      <c r="DQ14" s="143"/>
      <c r="DR14" s="143"/>
      <c r="DS14" s="143"/>
      <c r="DT14" s="143"/>
      <c r="DU14" s="143"/>
      <c r="DV14" s="143"/>
      <c r="DW14" s="143"/>
      <c r="DX14" s="143"/>
      <c r="DY14" s="143"/>
      <c r="DZ14" s="143"/>
      <c r="EA14" s="143"/>
      <c r="EB14" s="143"/>
      <c r="EC14" s="143"/>
      <c r="ED14" s="143"/>
      <c r="EE14" s="143"/>
      <c r="EF14" s="143"/>
      <c r="EG14" s="143"/>
      <c r="EH14" s="143"/>
      <c r="EI14" s="143"/>
      <c r="EJ14" s="143"/>
      <c r="EK14" s="143"/>
      <c r="EL14" s="143"/>
      <c r="EM14" s="143"/>
      <c r="EN14" s="143"/>
      <c r="EO14" s="143"/>
      <c r="EP14" s="143"/>
      <c r="EQ14" s="143"/>
      <c r="ER14" s="143"/>
      <c r="ES14" s="143"/>
      <c r="ET14" s="143"/>
      <c r="EU14" s="143"/>
      <c r="EV14" s="143"/>
      <c r="EW14" s="143"/>
      <c r="EX14" s="143"/>
      <c r="EY14" s="143"/>
      <c r="EZ14" s="143"/>
      <c r="FA14" s="143"/>
      <c r="FB14" s="143"/>
      <c r="FC14" s="143"/>
      <c r="FD14" s="143"/>
      <c r="FE14" s="143"/>
      <c r="FF14" s="143"/>
      <c r="FG14" s="143"/>
      <c r="FH14" s="143"/>
      <c r="FI14" s="143"/>
      <c r="FJ14" s="143"/>
      <c r="FK14" s="143"/>
      <c r="FL14" s="143"/>
      <c r="FM14" s="143"/>
      <c r="FN14" s="143"/>
      <c r="FO14" s="143"/>
      <c r="FP14" s="143"/>
      <c r="FQ14" s="143"/>
      <c r="FR14" s="143"/>
      <c r="FS14" s="143"/>
      <c r="FT14" s="143"/>
      <c r="FU14" s="143"/>
      <c r="FV14" s="143"/>
      <c r="FW14" s="143"/>
      <c r="FX14" s="143"/>
      <c r="FY14" s="143"/>
      <c r="FZ14" s="143"/>
      <c r="GA14" s="143"/>
      <c r="GB14" s="143"/>
      <c r="GC14" s="143"/>
      <c r="GD14" s="143"/>
      <c r="GE14" s="143"/>
      <c r="GF14" s="143"/>
      <c r="GG14" s="143"/>
      <c r="GH14" s="143"/>
      <c r="GI14" s="143"/>
      <c r="GJ14" s="143"/>
      <c r="GK14" s="143"/>
      <c r="GL14" s="143"/>
      <c r="GM14" s="143"/>
      <c r="GN14" s="143"/>
      <c r="GO14" s="143"/>
      <c r="GP14" s="143"/>
      <c r="GQ14" s="143"/>
      <c r="GR14" s="143"/>
      <c r="GS14" s="143"/>
      <c r="GT14" s="143"/>
      <c r="GU14" s="143"/>
      <c r="GV14" s="143"/>
      <c r="GW14" s="143"/>
      <c r="GX14" s="143"/>
      <c r="GY14" s="143"/>
      <c r="GZ14" s="143"/>
      <c r="HA14" s="143"/>
      <c r="HB14" s="143"/>
      <c r="HC14" s="143"/>
      <c r="HD14" s="143"/>
      <c r="HE14" s="143"/>
      <c r="HF14" s="143"/>
      <c r="HG14" s="143"/>
      <c r="HH14" s="143"/>
    </row>
    <row r="15" s="79" customFormat="1" ht="18" customHeight="1" spans="1:235">
      <c r="A15" s="128" t="s">
        <v>157</v>
      </c>
      <c r="B15" s="30" t="s">
        <v>100</v>
      </c>
      <c r="C15" s="33" t="s">
        <v>101</v>
      </c>
      <c r="D15" s="30">
        <v>300</v>
      </c>
      <c r="E15" s="31" t="s">
        <v>96</v>
      </c>
      <c r="F15" s="74">
        <v>2.114</v>
      </c>
      <c r="G15" s="131">
        <f t="shared" si="0"/>
        <v>27.74</v>
      </c>
      <c r="H15" s="132">
        <f t="shared" si="1"/>
        <v>8322.82</v>
      </c>
      <c r="I15" s="147"/>
      <c r="J15" s="143"/>
      <c r="K15" s="74">
        <v>1.939</v>
      </c>
      <c r="L15" s="148">
        <f>ROUND(K15*1.09,3)</f>
        <v>2.114</v>
      </c>
      <c r="M15" s="149">
        <f t="shared" si="2"/>
        <v>0.0902527075812274</v>
      </c>
      <c r="N15" s="150">
        <f t="shared" si="3"/>
        <v>27.7427266666667</v>
      </c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3"/>
      <c r="BQ15" s="143"/>
      <c r="BR15" s="143"/>
      <c r="BS15" s="143"/>
      <c r="BT15" s="143"/>
      <c r="BU15" s="143"/>
      <c r="BV15" s="143"/>
      <c r="BW15" s="143"/>
      <c r="BX15" s="143"/>
      <c r="BY15" s="143"/>
      <c r="BZ15" s="143"/>
      <c r="CA15" s="143"/>
      <c r="CB15" s="143"/>
      <c r="CC15" s="143"/>
      <c r="CD15" s="143"/>
      <c r="CE15" s="143"/>
      <c r="CF15" s="143"/>
      <c r="CG15" s="143"/>
      <c r="CH15" s="143"/>
      <c r="CI15" s="143"/>
      <c r="CJ15" s="143"/>
      <c r="CK15" s="143"/>
      <c r="CL15" s="143"/>
      <c r="CM15" s="143"/>
      <c r="CN15" s="143"/>
      <c r="CO15" s="143"/>
      <c r="CP15" s="143"/>
      <c r="CQ15" s="143"/>
      <c r="CR15" s="143"/>
      <c r="CS15" s="143"/>
      <c r="CT15" s="143"/>
      <c r="CU15" s="143"/>
      <c r="CV15" s="143"/>
      <c r="CW15" s="143"/>
      <c r="CX15" s="143"/>
      <c r="CY15" s="143"/>
      <c r="CZ15" s="143"/>
      <c r="DA15" s="143"/>
      <c r="DB15" s="143"/>
      <c r="DC15" s="143"/>
      <c r="DD15" s="143"/>
      <c r="DE15" s="143"/>
      <c r="DF15" s="143"/>
      <c r="DG15" s="143"/>
      <c r="DH15" s="143"/>
      <c r="DI15" s="143"/>
      <c r="DJ15" s="143"/>
      <c r="DK15" s="143"/>
      <c r="DL15" s="143"/>
      <c r="DM15" s="143"/>
      <c r="DN15" s="143"/>
      <c r="DO15" s="143"/>
      <c r="DP15" s="143"/>
      <c r="DQ15" s="143"/>
      <c r="DR15" s="143"/>
      <c r="DS15" s="143"/>
      <c r="DT15" s="143"/>
      <c r="DU15" s="143"/>
      <c r="DV15" s="143"/>
      <c r="DW15" s="143"/>
      <c r="DX15" s="143"/>
      <c r="DY15" s="143"/>
      <c r="DZ15" s="143"/>
      <c r="EA15" s="143"/>
      <c r="EB15" s="143"/>
      <c r="EC15" s="143"/>
      <c r="ED15" s="143"/>
      <c r="EE15" s="143"/>
      <c r="EF15" s="143"/>
      <c r="EG15" s="143"/>
      <c r="EH15" s="143"/>
      <c r="EI15" s="143"/>
      <c r="EJ15" s="143"/>
      <c r="EK15" s="143"/>
      <c r="EL15" s="143"/>
      <c r="EM15" s="143"/>
      <c r="EN15" s="143"/>
      <c r="EO15" s="143"/>
      <c r="EP15" s="143"/>
      <c r="EQ15" s="143"/>
      <c r="ER15" s="143"/>
      <c r="ES15" s="143"/>
      <c r="ET15" s="143"/>
      <c r="EU15" s="143"/>
      <c r="EV15" s="143"/>
      <c r="EW15" s="143"/>
      <c r="EX15" s="143"/>
      <c r="EY15" s="143"/>
      <c r="EZ15" s="143"/>
      <c r="FA15" s="143"/>
      <c r="FB15" s="143"/>
      <c r="FC15" s="143"/>
      <c r="FD15" s="143"/>
      <c r="FE15" s="143"/>
      <c r="FF15" s="143"/>
      <c r="FG15" s="143"/>
      <c r="FH15" s="143"/>
      <c r="FI15" s="143"/>
      <c r="FJ15" s="143"/>
      <c r="FK15" s="143"/>
      <c r="FL15" s="143"/>
      <c r="FM15" s="143"/>
      <c r="FN15" s="143"/>
      <c r="FO15" s="143"/>
      <c r="FP15" s="143"/>
      <c r="FQ15" s="143"/>
      <c r="FR15" s="143"/>
      <c r="FS15" s="143"/>
      <c r="FT15" s="143"/>
      <c r="FU15" s="143"/>
      <c r="FV15" s="143"/>
      <c r="FW15" s="143"/>
      <c r="FX15" s="143"/>
      <c r="FY15" s="143"/>
      <c r="FZ15" s="143"/>
      <c r="GA15" s="143"/>
      <c r="GB15" s="143"/>
      <c r="GC15" s="143"/>
      <c r="GD15" s="143"/>
      <c r="GE15" s="143"/>
      <c r="GF15" s="143"/>
      <c r="GG15" s="143"/>
      <c r="GH15" s="143"/>
      <c r="GI15" s="143"/>
      <c r="GJ15" s="143"/>
      <c r="GK15" s="143"/>
      <c r="GL15" s="143"/>
      <c r="GM15" s="143"/>
      <c r="GN15" s="143"/>
      <c r="GO15" s="143"/>
      <c r="GP15" s="143"/>
      <c r="GQ15" s="143"/>
      <c r="GR15" s="143"/>
      <c r="GS15" s="143"/>
      <c r="GT15" s="143"/>
      <c r="GU15" s="143"/>
      <c r="GV15" s="143"/>
      <c r="GW15" s="143"/>
      <c r="GX15" s="143"/>
      <c r="GY15" s="143"/>
      <c r="GZ15" s="143"/>
      <c r="HA15" s="143"/>
      <c r="HB15" s="143"/>
      <c r="HC15" s="143"/>
      <c r="HD15" s="143"/>
      <c r="HE15" s="143"/>
      <c r="HF15" s="143"/>
      <c r="HG15" s="143"/>
      <c r="HH15" s="143"/>
    </row>
    <row r="16" s="79" customFormat="1" ht="18" customHeight="1" spans="1:235">
      <c r="A16" s="128" t="s">
        <v>157</v>
      </c>
      <c r="B16" s="30" t="s">
        <v>100</v>
      </c>
      <c r="C16" s="33" t="s">
        <v>102</v>
      </c>
      <c r="D16" s="30">
        <v>300</v>
      </c>
      <c r="E16" s="31" t="s">
        <v>96</v>
      </c>
      <c r="F16" s="74">
        <v>2.153</v>
      </c>
      <c r="G16" s="131">
        <f t="shared" si="0"/>
        <v>28.25</v>
      </c>
      <c r="H16" s="132">
        <f t="shared" si="1"/>
        <v>8476.36</v>
      </c>
      <c r="I16" s="147"/>
      <c r="J16" s="143"/>
      <c r="K16" s="74">
        <v>1.957</v>
      </c>
      <c r="L16" s="148">
        <f>ROUND(K16*1.1,3)</f>
        <v>2.153</v>
      </c>
      <c r="M16" s="149">
        <f t="shared" si="2"/>
        <v>0.100153295861012</v>
      </c>
      <c r="N16" s="150">
        <f t="shared" si="3"/>
        <v>28.2545366666667</v>
      </c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  <c r="BD16" s="143"/>
      <c r="BE16" s="143"/>
      <c r="BF16" s="143"/>
      <c r="BG16" s="143"/>
      <c r="BH16" s="143"/>
      <c r="BI16" s="143"/>
      <c r="BJ16" s="143"/>
      <c r="BK16" s="143"/>
      <c r="BL16" s="143"/>
      <c r="BM16" s="143"/>
      <c r="BN16" s="143"/>
      <c r="BO16" s="143"/>
      <c r="BP16" s="143"/>
      <c r="BQ16" s="143"/>
      <c r="BR16" s="143"/>
      <c r="BS16" s="143"/>
      <c r="BT16" s="143"/>
      <c r="BU16" s="143"/>
      <c r="BV16" s="143"/>
      <c r="BW16" s="143"/>
      <c r="BX16" s="143"/>
      <c r="BY16" s="143"/>
      <c r="BZ16" s="143"/>
      <c r="CA16" s="143"/>
      <c r="CB16" s="143"/>
      <c r="CC16" s="143"/>
      <c r="CD16" s="143"/>
      <c r="CE16" s="143"/>
      <c r="CF16" s="143"/>
      <c r="CG16" s="143"/>
      <c r="CH16" s="143"/>
      <c r="CI16" s="143"/>
      <c r="CJ16" s="143"/>
      <c r="CK16" s="143"/>
      <c r="CL16" s="143"/>
      <c r="CM16" s="143"/>
      <c r="CN16" s="143"/>
      <c r="CO16" s="143"/>
      <c r="CP16" s="143"/>
      <c r="CQ16" s="143"/>
      <c r="CR16" s="143"/>
      <c r="CS16" s="143"/>
      <c r="CT16" s="143"/>
      <c r="CU16" s="143"/>
      <c r="CV16" s="143"/>
      <c r="CW16" s="143"/>
      <c r="CX16" s="143"/>
      <c r="CY16" s="143"/>
      <c r="CZ16" s="143"/>
      <c r="DA16" s="143"/>
      <c r="DB16" s="143"/>
      <c r="DC16" s="143"/>
      <c r="DD16" s="143"/>
      <c r="DE16" s="143"/>
      <c r="DF16" s="143"/>
      <c r="DG16" s="143"/>
      <c r="DH16" s="143"/>
      <c r="DI16" s="143"/>
      <c r="DJ16" s="143"/>
      <c r="DK16" s="143"/>
      <c r="DL16" s="143"/>
      <c r="DM16" s="143"/>
      <c r="DN16" s="143"/>
      <c r="DO16" s="143"/>
      <c r="DP16" s="143"/>
      <c r="DQ16" s="143"/>
      <c r="DR16" s="143"/>
      <c r="DS16" s="143"/>
      <c r="DT16" s="143"/>
      <c r="DU16" s="143"/>
      <c r="DV16" s="143"/>
      <c r="DW16" s="143"/>
      <c r="DX16" s="143"/>
      <c r="DY16" s="143"/>
      <c r="DZ16" s="143"/>
      <c r="EA16" s="143"/>
      <c r="EB16" s="143"/>
      <c r="EC16" s="143"/>
      <c r="ED16" s="143"/>
      <c r="EE16" s="143"/>
      <c r="EF16" s="143"/>
      <c r="EG16" s="143"/>
      <c r="EH16" s="143"/>
      <c r="EI16" s="143"/>
      <c r="EJ16" s="143"/>
      <c r="EK16" s="143"/>
      <c r="EL16" s="143"/>
      <c r="EM16" s="143"/>
      <c r="EN16" s="143"/>
      <c r="EO16" s="143"/>
      <c r="EP16" s="143"/>
      <c r="EQ16" s="143"/>
      <c r="ER16" s="143"/>
      <c r="ES16" s="143"/>
      <c r="ET16" s="143"/>
      <c r="EU16" s="143"/>
      <c r="EV16" s="143"/>
      <c r="EW16" s="143"/>
      <c r="EX16" s="143"/>
      <c r="EY16" s="143"/>
      <c r="EZ16" s="143"/>
      <c r="FA16" s="143"/>
      <c r="FB16" s="143"/>
      <c r="FC16" s="143"/>
      <c r="FD16" s="143"/>
      <c r="FE16" s="143"/>
      <c r="FF16" s="143"/>
      <c r="FG16" s="143"/>
      <c r="FH16" s="143"/>
      <c r="FI16" s="143"/>
      <c r="FJ16" s="143"/>
      <c r="FK16" s="143"/>
      <c r="FL16" s="143"/>
      <c r="FM16" s="143"/>
      <c r="FN16" s="143"/>
      <c r="FO16" s="143"/>
      <c r="FP16" s="143"/>
      <c r="FQ16" s="143"/>
      <c r="FR16" s="143"/>
      <c r="FS16" s="143"/>
      <c r="FT16" s="143"/>
      <c r="FU16" s="143"/>
      <c r="FV16" s="143"/>
      <c r="FW16" s="143"/>
      <c r="FX16" s="143"/>
      <c r="FY16" s="143"/>
      <c r="FZ16" s="143"/>
      <c r="GA16" s="143"/>
      <c r="GB16" s="143"/>
      <c r="GC16" s="143"/>
      <c r="GD16" s="143"/>
      <c r="GE16" s="143"/>
      <c r="GF16" s="143"/>
      <c r="GG16" s="143"/>
      <c r="GH16" s="143"/>
      <c r="GI16" s="143"/>
      <c r="GJ16" s="143"/>
      <c r="GK16" s="143"/>
      <c r="GL16" s="143"/>
      <c r="GM16" s="143"/>
      <c r="GN16" s="143"/>
      <c r="GO16" s="143"/>
      <c r="GP16" s="143"/>
      <c r="GQ16" s="143"/>
      <c r="GR16" s="143"/>
      <c r="GS16" s="143"/>
      <c r="GT16" s="143"/>
      <c r="GU16" s="143"/>
      <c r="GV16" s="143"/>
      <c r="GW16" s="143"/>
      <c r="GX16" s="143"/>
      <c r="GY16" s="143"/>
      <c r="GZ16" s="143"/>
      <c r="HA16" s="143"/>
      <c r="HB16" s="143"/>
      <c r="HC16" s="143"/>
      <c r="HD16" s="143"/>
      <c r="HE16" s="143"/>
      <c r="HF16" s="143"/>
      <c r="HG16" s="143"/>
      <c r="HH16" s="143"/>
    </row>
    <row r="17" s="79" customFormat="1" ht="18" customHeight="1" spans="1:216">
      <c r="A17" s="128" t="s">
        <v>157</v>
      </c>
      <c r="B17" s="30" t="s">
        <v>100</v>
      </c>
      <c r="C17" s="33" t="s">
        <v>103</v>
      </c>
      <c r="D17" s="30">
        <v>300</v>
      </c>
      <c r="E17" s="31" t="s">
        <v>96</v>
      </c>
      <c r="F17" s="74">
        <v>2.272</v>
      </c>
      <c r="G17" s="131">
        <f t="shared" si="0"/>
        <v>29.82</v>
      </c>
      <c r="H17" s="132">
        <f t="shared" si="1"/>
        <v>8944.86</v>
      </c>
      <c r="I17" s="147"/>
      <c r="J17" s="143"/>
      <c r="K17" s="74">
        <v>2.084</v>
      </c>
      <c r="L17" s="148">
        <f>ROUND(K17*1.09,3)</f>
        <v>2.272</v>
      </c>
      <c r="M17" s="149">
        <f t="shared" si="2"/>
        <v>0.0902111324376198</v>
      </c>
      <c r="N17" s="150">
        <f t="shared" si="3"/>
        <v>29.8162133333333</v>
      </c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  <c r="BD17" s="143"/>
      <c r="BE17" s="143"/>
      <c r="BF17" s="143"/>
      <c r="BG17" s="143"/>
      <c r="BH17" s="143"/>
      <c r="BI17" s="143"/>
      <c r="BJ17" s="143"/>
      <c r="BK17" s="143"/>
      <c r="BL17" s="143"/>
      <c r="BM17" s="143"/>
      <c r="BN17" s="143"/>
      <c r="BO17" s="143"/>
      <c r="BP17" s="143"/>
      <c r="BQ17" s="143"/>
      <c r="BR17" s="143"/>
      <c r="BS17" s="143"/>
      <c r="BT17" s="143"/>
      <c r="BU17" s="143"/>
      <c r="BV17" s="143"/>
      <c r="BW17" s="143"/>
      <c r="BX17" s="143"/>
      <c r="BY17" s="143"/>
      <c r="BZ17" s="143"/>
      <c r="CA17" s="143"/>
      <c r="CB17" s="143"/>
      <c r="CC17" s="143"/>
      <c r="CD17" s="143"/>
      <c r="CE17" s="143"/>
      <c r="CF17" s="143"/>
      <c r="CG17" s="143"/>
      <c r="CH17" s="143"/>
      <c r="CI17" s="143"/>
      <c r="CJ17" s="143"/>
      <c r="CK17" s="143"/>
      <c r="CL17" s="143"/>
      <c r="CM17" s="143"/>
      <c r="CN17" s="143"/>
      <c r="CO17" s="143"/>
      <c r="CP17" s="143"/>
      <c r="CQ17" s="143"/>
      <c r="CR17" s="143"/>
      <c r="CS17" s="143"/>
      <c r="CT17" s="143"/>
      <c r="CU17" s="143"/>
      <c r="CV17" s="143"/>
      <c r="CW17" s="143"/>
      <c r="CX17" s="143"/>
      <c r="CY17" s="143"/>
      <c r="CZ17" s="143"/>
      <c r="DA17" s="143"/>
      <c r="DB17" s="143"/>
      <c r="DC17" s="143"/>
      <c r="DD17" s="143"/>
      <c r="DE17" s="143"/>
      <c r="DF17" s="143"/>
      <c r="DG17" s="143"/>
      <c r="DH17" s="143"/>
      <c r="DI17" s="143"/>
      <c r="DJ17" s="143"/>
      <c r="DK17" s="143"/>
      <c r="DL17" s="143"/>
      <c r="DM17" s="143"/>
      <c r="DN17" s="143"/>
      <c r="DO17" s="143"/>
      <c r="DP17" s="143"/>
      <c r="DQ17" s="143"/>
      <c r="DR17" s="143"/>
      <c r="DS17" s="143"/>
      <c r="DT17" s="143"/>
      <c r="DU17" s="143"/>
      <c r="DV17" s="143"/>
      <c r="DW17" s="143"/>
      <c r="DX17" s="143"/>
      <c r="DY17" s="143"/>
      <c r="DZ17" s="143"/>
      <c r="EA17" s="143"/>
      <c r="EB17" s="143"/>
      <c r="EC17" s="143"/>
      <c r="ED17" s="143"/>
      <c r="EE17" s="143"/>
      <c r="EF17" s="143"/>
      <c r="EG17" s="143"/>
      <c r="EH17" s="143"/>
      <c r="EI17" s="143"/>
      <c r="EJ17" s="143"/>
      <c r="EK17" s="143"/>
      <c r="EL17" s="143"/>
      <c r="EM17" s="143"/>
      <c r="EN17" s="143"/>
      <c r="EO17" s="143"/>
      <c r="EP17" s="143"/>
      <c r="EQ17" s="143"/>
      <c r="ER17" s="143"/>
      <c r="ES17" s="143"/>
      <c r="ET17" s="143"/>
      <c r="EU17" s="143"/>
      <c r="EV17" s="143"/>
      <c r="EW17" s="143"/>
      <c r="EX17" s="143"/>
      <c r="EY17" s="143"/>
      <c r="EZ17" s="143"/>
      <c r="FA17" s="143"/>
      <c r="FB17" s="143"/>
      <c r="FC17" s="143"/>
      <c r="FD17" s="143"/>
      <c r="FE17" s="143"/>
      <c r="FF17" s="143"/>
      <c r="FG17" s="143"/>
      <c r="FH17" s="143"/>
      <c r="FI17" s="143"/>
      <c r="FJ17" s="143"/>
      <c r="FK17" s="143"/>
      <c r="FL17" s="143"/>
      <c r="FM17" s="143"/>
      <c r="FN17" s="143"/>
      <c r="FO17" s="143"/>
      <c r="FP17" s="143"/>
      <c r="FQ17" s="143"/>
      <c r="FR17" s="143"/>
      <c r="FS17" s="143"/>
      <c r="FT17" s="143"/>
      <c r="FU17" s="143"/>
      <c r="FV17" s="143"/>
      <c r="FW17" s="143"/>
      <c r="FX17" s="143"/>
      <c r="FY17" s="143"/>
      <c r="FZ17" s="143"/>
      <c r="GA17" s="143"/>
      <c r="GB17" s="143"/>
      <c r="GC17" s="143"/>
      <c r="GD17" s="143"/>
      <c r="GE17" s="143"/>
      <c r="GF17" s="143"/>
      <c r="GG17" s="143"/>
      <c r="GH17" s="143"/>
      <c r="GI17" s="143"/>
      <c r="GJ17" s="143"/>
      <c r="GK17" s="143"/>
      <c r="GL17" s="143"/>
      <c r="GM17" s="143"/>
      <c r="GN17" s="143"/>
      <c r="GO17" s="143"/>
      <c r="GP17" s="143"/>
      <c r="GQ17" s="143"/>
      <c r="GR17" s="143"/>
      <c r="GS17" s="143"/>
      <c r="GT17" s="143"/>
      <c r="GU17" s="143"/>
      <c r="GV17" s="143"/>
      <c r="GW17" s="143"/>
      <c r="GX17" s="143"/>
      <c r="GY17" s="143"/>
      <c r="GZ17" s="143"/>
      <c r="HA17" s="143"/>
      <c r="HB17" s="143"/>
      <c r="HC17" s="143"/>
      <c r="HD17" s="143"/>
      <c r="HE17" s="143"/>
      <c r="HF17" s="143"/>
      <c r="HG17" s="143"/>
      <c r="HH17" s="143"/>
    </row>
    <row r="18" s="79" customFormat="1" ht="18" customHeight="1" spans="1:216">
      <c r="A18" s="128" t="s">
        <v>157</v>
      </c>
      <c r="B18" s="30">
        <v>106</v>
      </c>
      <c r="C18" s="33">
        <v>0.74</v>
      </c>
      <c r="D18" s="30">
        <v>300</v>
      </c>
      <c r="E18" s="31" t="s">
        <v>96</v>
      </c>
      <c r="F18" s="74">
        <v>1.935</v>
      </c>
      <c r="G18" s="131">
        <f t="shared" si="0"/>
        <v>25.39</v>
      </c>
      <c r="H18" s="132">
        <f t="shared" si="1"/>
        <v>7618.1</v>
      </c>
      <c r="I18" s="147"/>
      <c r="J18" s="143"/>
      <c r="K18" s="74">
        <v>1.759</v>
      </c>
      <c r="L18" s="148">
        <f>ROUND(K18*1.1,3)</f>
        <v>1.935</v>
      </c>
      <c r="M18" s="149">
        <f t="shared" si="2"/>
        <v>0.100056850483229</v>
      </c>
      <c r="N18" s="150">
        <f t="shared" si="3"/>
        <v>25.39365</v>
      </c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3"/>
      <c r="BJ18" s="143"/>
      <c r="BK18" s="143"/>
      <c r="BL18" s="143"/>
      <c r="BM18" s="143"/>
      <c r="BN18" s="143"/>
      <c r="BO18" s="143"/>
      <c r="BP18" s="143"/>
      <c r="BQ18" s="143"/>
      <c r="BR18" s="143"/>
      <c r="BS18" s="143"/>
      <c r="BT18" s="143"/>
      <c r="BU18" s="143"/>
      <c r="BV18" s="143"/>
      <c r="BW18" s="143"/>
      <c r="BX18" s="143"/>
      <c r="BY18" s="143"/>
      <c r="BZ18" s="143"/>
      <c r="CA18" s="143"/>
      <c r="CB18" s="143"/>
      <c r="CC18" s="143"/>
      <c r="CD18" s="143"/>
      <c r="CE18" s="143"/>
      <c r="CF18" s="143"/>
      <c r="CG18" s="143"/>
      <c r="CH18" s="143"/>
      <c r="CI18" s="143"/>
      <c r="CJ18" s="143"/>
      <c r="CK18" s="143"/>
      <c r="CL18" s="143"/>
      <c r="CM18" s="143"/>
      <c r="CN18" s="143"/>
      <c r="CO18" s="143"/>
      <c r="CP18" s="143"/>
      <c r="CQ18" s="143"/>
      <c r="CR18" s="143"/>
      <c r="CS18" s="143"/>
      <c r="CT18" s="143"/>
      <c r="CU18" s="143"/>
      <c r="CV18" s="143"/>
      <c r="CW18" s="143"/>
      <c r="CX18" s="143"/>
      <c r="CY18" s="143"/>
      <c r="CZ18" s="143"/>
      <c r="DA18" s="143"/>
      <c r="DB18" s="143"/>
      <c r="DC18" s="143"/>
      <c r="DD18" s="143"/>
      <c r="DE18" s="143"/>
      <c r="DF18" s="143"/>
      <c r="DG18" s="143"/>
      <c r="DH18" s="143"/>
      <c r="DI18" s="143"/>
      <c r="DJ18" s="143"/>
      <c r="DK18" s="143"/>
      <c r="DL18" s="143"/>
      <c r="DM18" s="143"/>
      <c r="DN18" s="143"/>
      <c r="DO18" s="143"/>
      <c r="DP18" s="143"/>
      <c r="DQ18" s="143"/>
      <c r="DR18" s="143"/>
      <c r="DS18" s="143"/>
      <c r="DT18" s="143"/>
      <c r="DU18" s="143"/>
      <c r="DV18" s="143"/>
      <c r="DW18" s="143"/>
      <c r="DX18" s="143"/>
      <c r="DY18" s="143"/>
      <c r="DZ18" s="143"/>
      <c r="EA18" s="143"/>
      <c r="EB18" s="143"/>
      <c r="EC18" s="143"/>
      <c r="ED18" s="143"/>
      <c r="EE18" s="143"/>
      <c r="EF18" s="143"/>
      <c r="EG18" s="143"/>
      <c r="EH18" s="143"/>
      <c r="EI18" s="143"/>
      <c r="EJ18" s="143"/>
      <c r="EK18" s="143"/>
      <c r="EL18" s="143"/>
      <c r="EM18" s="143"/>
      <c r="EN18" s="143"/>
      <c r="EO18" s="143"/>
      <c r="EP18" s="143"/>
      <c r="EQ18" s="143"/>
      <c r="ER18" s="143"/>
      <c r="ES18" s="143"/>
      <c r="ET18" s="143"/>
      <c r="EU18" s="143"/>
      <c r="EV18" s="143"/>
      <c r="EW18" s="143"/>
      <c r="EX18" s="143"/>
      <c r="EY18" s="143"/>
      <c r="EZ18" s="143"/>
      <c r="FA18" s="143"/>
      <c r="FB18" s="143"/>
      <c r="FC18" s="143"/>
      <c r="FD18" s="143"/>
      <c r="FE18" s="143"/>
      <c r="FF18" s="143"/>
      <c r="FG18" s="143"/>
      <c r="FH18" s="143"/>
      <c r="FI18" s="143"/>
      <c r="FJ18" s="143"/>
      <c r="FK18" s="143"/>
      <c r="FL18" s="143"/>
      <c r="FM18" s="143"/>
      <c r="FN18" s="143"/>
      <c r="FO18" s="143"/>
      <c r="FP18" s="143"/>
      <c r="FQ18" s="143"/>
      <c r="FR18" s="143"/>
      <c r="FS18" s="143"/>
      <c r="FT18" s="143"/>
      <c r="FU18" s="143"/>
      <c r="FV18" s="143"/>
      <c r="FW18" s="143"/>
      <c r="FX18" s="143"/>
      <c r="FY18" s="143"/>
      <c r="FZ18" s="143"/>
      <c r="GA18" s="143"/>
      <c r="GB18" s="143"/>
      <c r="GC18" s="143"/>
      <c r="GD18" s="143"/>
      <c r="GE18" s="143"/>
      <c r="GF18" s="143"/>
      <c r="GG18" s="143"/>
      <c r="GH18" s="143"/>
      <c r="GI18" s="143"/>
      <c r="GJ18" s="143"/>
      <c r="GK18" s="143"/>
      <c r="GL18" s="143"/>
      <c r="GM18" s="143"/>
      <c r="GN18" s="143"/>
      <c r="GO18" s="143"/>
      <c r="GP18" s="143"/>
      <c r="GQ18" s="143"/>
      <c r="GR18" s="143"/>
      <c r="GS18" s="143"/>
      <c r="GT18" s="143"/>
      <c r="GU18" s="143"/>
      <c r="GV18" s="143"/>
      <c r="GW18" s="143"/>
      <c r="GX18" s="143"/>
      <c r="GY18" s="143"/>
      <c r="GZ18" s="143"/>
      <c r="HA18" s="143"/>
      <c r="HB18" s="143"/>
      <c r="HC18" s="143"/>
      <c r="HD18" s="143"/>
      <c r="HE18" s="143"/>
      <c r="HF18" s="143"/>
      <c r="HG18" s="143"/>
      <c r="HH18" s="143"/>
    </row>
    <row r="19" s="79" customFormat="1" ht="18" customHeight="1" spans="1:216">
      <c r="A19" s="128" t="s">
        <v>157</v>
      </c>
      <c r="B19" s="30">
        <v>106</v>
      </c>
      <c r="C19" s="33" t="s">
        <v>159</v>
      </c>
      <c r="D19" s="30">
        <v>300</v>
      </c>
      <c r="E19" s="31" t="s">
        <v>96</v>
      </c>
      <c r="F19" s="74">
        <v>2.028</v>
      </c>
      <c r="G19" s="131">
        <f t="shared" si="0"/>
        <v>26.61</v>
      </c>
      <c r="H19" s="132">
        <f t="shared" si="1"/>
        <v>7984.24</v>
      </c>
      <c r="I19" s="147"/>
      <c r="J19" s="143"/>
      <c r="K19" s="74">
        <v>1.844</v>
      </c>
      <c r="L19" s="148">
        <f>ROUND(K19*1.1,3)</f>
        <v>2.028</v>
      </c>
      <c r="M19" s="149">
        <f t="shared" si="2"/>
        <v>0.0997830802603037</v>
      </c>
      <c r="N19" s="150">
        <f t="shared" si="3"/>
        <v>26.61412</v>
      </c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  <c r="DG19" s="143"/>
      <c r="DH19" s="143"/>
      <c r="DI19" s="143"/>
      <c r="DJ19" s="143"/>
      <c r="DK19" s="143"/>
      <c r="DL19" s="143"/>
      <c r="DM19" s="143"/>
      <c r="DN19" s="143"/>
      <c r="DO19" s="143"/>
      <c r="DP19" s="143"/>
      <c r="DQ19" s="143"/>
      <c r="DR19" s="143"/>
      <c r="DS19" s="143"/>
      <c r="DT19" s="143"/>
      <c r="DU19" s="143"/>
      <c r="DV19" s="143"/>
      <c r="DW19" s="143"/>
      <c r="DX19" s="143"/>
      <c r="DY19" s="143"/>
      <c r="DZ19" s="143"/>
      <c r="EA19" s="143"/>
      <c r="EB19" s="143"/>
      <c r="EC19" s="143"/>
      <c r="ED19" s="143"/>
      <c r="EE19" s="143"/>
      <c r="EF19" s="143"/>
      <c r="EG19" s="143"/>
      <c r="EH19" s="143"/>
      <c r="EI19" s="143"/>
      <c r="EJ19" s="143"/>
      <c r="EK19" s="143"/>
      <c r="EL19" s="143"/>
      <c r="EM19" s="143"/>
      <c r="EN19" s="143"/>
      <c r="EO19" s="143"/>
      <c r="EP19" s="143"/>
      <c r="EQ19" s="143"/>
      <c r="ER19" s="143"/>
      <c r="ES19" s="143"/>
      <c r="ET19" s="143"/>
      <c r="EU19" s="143"/>
      <c r="EV19" s="143"/>
      <c r="EW19" s="143"/>
      <c r="EX19" s="143"/>
      <c r="EY19" s="143"/>
      <c r="EZ19" s="143"/>
      <c r="FA19" s="143"/>
      <c r="FB19" s="143"/>
      <c r="FC19" s="143"/>
      <c r="FD19" s="143"/>
      <c r="FE19" s="143"/>
      <c r="FF19" s="143"/>
      <c r="FG19" s="143"/>
      <c r="FH19" s="143"/>
      <c r="FI19" s="143"/>
      <c r="FJ19" s="143"/>
      <c r="FK19" s="143"/>
      <c r="FL19" s="143"/>
      <c r="FM19" s="143"/>
      <c r="FN19" s="143"/>
      <c r="FO19" s="143"/>
      <c r="FP19" s="143"/>
      <c r="FQ19" s="143"/>
      <c r="FR19" s="143"/>
      <c r="FS19" s="143"/>
      <c r="FT19" s="143"/>
      <c r="FU19" s="143"/>
      <c r="FV19" s="143"/>
      <c r="FW19" s="143"/>
      <c r="FX19" s="143"/>
      <c r="FY19" s="143"/>
      <c r="FZ19" s="143"/>
      <c r="GA19" s="143"/>
      <c r="GB19" s="143"/>
      <c r="GC19" s="143"/>
      <c r="GD19" s="143"/>
      <c r="GE19" s="143"/>
      <c r="GF19" s="143"/>
      <c r="GG19" s="143"/>
      <c r="GH19" s="143"/>
      <c r="GI19" s="143"/>
      <c r="GJ19" s="143"/>
      <c r="GK19" s="143"/>
      <c r="GL19" s="143"/>
      <c r="GM19" s="143"/>
      <c r="GN19" s="143"/>
      <c r="GO19" s="143"/>
      <c r="GP19" s="143"/>
      <c r="GQ19" s="143"/>
      <c r="GR19" s="143"/>
      <c r="GS19" s="143"/>
      <c r="GT19" s="143"/>
      <c r="GU19" s="143"/>
      <c r="GV19" s="143"/>
      <c r="GW19" s="143"/>
      <c r="GX19" s="143"/>
      <c r="GY19" s="143"/>
      <c r="GZ19" s="143"/>
      <c r="HA19" s="143"/>
      <c r="HB19" s="143"/>
      <c r="HC19" s="143"/>
      <c r="HD19" s="143"/>
      <c r="HE19" s="143"/>
      <c r="HF19" s="143"/>
      <c r="HG19" s="143"/>
      <c r="HH19" s="143"/>
    </row>
    <row r="20" s="79" customFormat="1" ht="18" customHeight="1" spans="1:216">
      <c r="A20" s="128" t="s">
        <v>157</v>
      </c>
      <c r="B20" s="30">
        <v>1067</v>
      </c>
      <c r="C20" s="33">
        <v>0.73</v>
      </c>
      <c r="D20" s="30">
        <v>300</v>
      </c>
      <c r="E20" s="31" t="s">
        <v>96</v>
      </c>
      <c r="F20" s="74">
        <v>2.386</v>
      </c>
      <c r="G20" s="131">
        <f t="shared" si="0"/>
        <v>31.31</v>
      </c>
      <c r="H20" s="132">
        <f t="shared" si="1"/>
        <v>9393.68</v>
      </c>
      <c r="I20" s="147"/>
      <c r="J20" s="143"/>
      <c r="K20" s="74">
        <v>2.209</v>
      </c>
      <c r="L20" s="148">
        <f>ROUND(K20*1.08,3)</f>
        <v>2.386</v>
      </c>
      <c r="M20" s="149">
        <f t="shared" si="2"/>
        <v>0.0801267541874151</v>
      </c>
      <c r="N20" s="150">
        <f t="shared" si="3"/>
        <v>31.3122733333333</v>
      </c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  <c r="DG20" s="143"/>
      <c r="DH20" s="143"/>
      <c r="DI20" s="143"/>
      <c r="DJ20" s="143"/>
      <c r="DK20" s="143"/>
      <c r="DL20" s="143"/>
      <c r="DM20" s="143"/>
      <c r="DN20" s="143"/>
      <c r="DO20" s="143"/>
      <c r="DP20" s="143"/>
      <c r="DQ20" s="143"/>
      <c r="DR20" s="143"/>
      <c r="DS20" s="143"/>
      <c r="DT20" s="143"/>
      <c r="DU20" s="143"/>
      <c r="DV20" s="143"/>
      <c r="DW20" s="143"/>
      <c r="DX20" s="143"/>
      <c r="DY20" s="143"/>
      <c r="DZ20" s="143"/>
      <c r="EA20" s="143"/>
      <c r="EB20" s="143"/>
      <c r="EC20" s="143"/>
      <c r="ED20" s="143"/>
      <c r="EE20" s="143"/>
      <c r="EF20" s="143"/>
      <c r="EG20" s="143"/>
      <c r="EH20" s="143"/>
      <c r="EI20" s="143"/>
      <c r="EJ20" s="143"/>
      <c r="EK20" s="143"/>
      <c r="EL20" s="143"/>
      <c r="EM20" s="143"/>
      <c r="EN20" s="143"/>
      <c r="EO20" s="143"/>
      <c r="EP20" s="143"/>
      <c r="EQ20" s="143"/>
      <c r="ER20" s="143"/>
      <c r="ES20" s="143"/>
      <c r="ET20" s="143"/>
      <c r="EU20" s="143"/>
      <c r="EV20" s="143"/>
      <c r="EW20" s="143"/>
      <c r="EX20" s="143"/>
      <c r="EY20" s="143"/>
      <c r="EZ20" s="143"/>
      <c r="FA20" s="143"/>
      <c r="FB20" s="143"/>
      <c r="FC20" s="143"/>
      <c r="FD20" s="143"/>
      <c r="FE20" s="143"/>
      <c r="FF20" s="143"/>
      <c r="FG20" s="143"/>
      <c r="FH20" s="143"/>
      <c r="FI20" s="143"/>
      <c r="FJ20" s="143"/>
      <c r="FK20" s="143"/>
      <c r="FL20" s="143"/>
      <c r="FM20" s="143"/>
      <c r="FN20" s="143"/>
      <c r="FO20" s="143"/>
      <c r="FP20" s="143"/>
      <c r="FQ20" s="143"/>
      <c r="FR20" s="143"/>
      <c r="FS20" s="143"/>
      <c r="FT20" s="143"/>
      <c r="FU20" s="143"/>
      <c r="FV20" s="143"/>
      <c r="FW20" s="143"/>
      <c r="FX20" s="143"/>
      <c r="FY20" s="143"/>
      <c r="FZ20" s="143"/>
      <c r="GA20" s="143"/>
      <c r="GB20" s="143"/>
      <c r="GC20" s="143"/>
      <c r="GD20" s="143"/>
      <c r="GE20" s="143"/>
      <c r="GF20" s="143"/>
      <c r="GG20" s="143"/>
      <c r="GH20" s="143"/>
      <c r="GI20" s="143"/>
      <c r="GJ20" s="143"/>
      <c r="GK20" s="143"/>
      <c r="GL20" s="143"/>
      <c r="GM20" s="143"/>
      <c r="GN20" s="143"/>
      <c r="GO20" s="143"/>
      <c r="GP20" s="143"/>
      <c r="GQ20" s="143"/>
      <c r="GR20" s="143"/>
      <c r="GS20" s="143"/>
      <c r="GT20" s="143"/>
      <c r="GU20" s="143"/>
      <c r="GV20" s="143"/>
      <c r="GW20" s="143"/>
      <c r="GX20" s="143"/>
      <c r="GY20" s="143"/>
      <c r="GZ20" s="143"/>
      <c r="HA20" s="143"/>
      <c r="HB20" s="143"/>
      <c r="HC20" s="143"/>
      <c r="HD20" s="143"/>
      <c r="HE20" s="143"/>
      <c r="HF20" s="143"/>
      <c r="HG20" s="143"/>
      <c r="HH20" s="143"/>
    </row>
    <row r="21" s="79" customFormat="1" ht="18" customHeight="1" spans="1:216">
      <c r="A21" s="128" t="s">
        <v>157</v>
      </c>
      <c r="B21" s="30">
        <v>2113</v>
      </c>
      <c r="C21" s="33">
        <v>0.59</v>
      </c>
      <c r="D21" s="30">
        <v>300</v>
      </c>
      <c r="E21" s="31" t="s">
        <v>96</v>
      </c>
      <c r="F21" s="74">
        <v>2.014</v>
      </c>
      <c r="G21" s="131">
        <f t="shared" si="0"/>
        <v>26.43</v>
      </c>
      <c r="H21" s="132">
        <f t="shared" si="1"/>
        <v>7929.12</v>
      </c>
      <c r="I21" s="147"/>
      <c r="J21" s="143"/>
      <c r="K21" s="74">
        <v>1.831</v>
      </c>
      <c r="L21" s="148">
        <f>ROUND(K21*1.1,3)</f>
        <v>2.014</v>
      </c>
      <c r="M21" s="149">
        <f t="shared" si="2"/>
        <v>0.0999453850354997</v>
      </c>
      <c r="N21" s="150">
        <f t="shared" si="3"/>
        <v>26.4303933333333</v>
      </c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3"/>
      <c r="BK21" s="143"/>
      <c r="BL21" s="143"/>
      <c r="BM21" s="143"/>
      <c r="BN21" s="143"/>
      <c r="BO21" s="143"/>
      <c r="BP21" s="143"/>
      <c r="BQ21" s="143"/>
      <c r="BR21" s="143"/>
      <c r="BS21" s="143"/>
      <c r="BT21" s="143"/>
      <c r="BU21" s="143"/>
      <c r="BV21" s="143"/>
      <c r="BW21" s="143"/>
      <c r="BX21" s="143"/>
      <c r="BY21" s="143"/>
      <c r="BZ21" s="143"/>
      <c r="CA21" s="143"/>
      <c r="CB21" s="143"/>
      <c r="CC21" s="143"/>
      <c r="CD21" s="143"/>
      <c r="CE21" s="143"/>
      <c r="CF21" s="143"/>
      <c r="CG21" s="143"/>
      <c r="CH21" s="143"/>
      <c r="CI21" s="143"/>
      <c r="CJ21" s="143"/>
      <c r="CK21" s="143"/>
      <c r="CL21" s="143"/>
      <c r="CM21" s="143"/>
      <c r="CN21" s="143"/>
      <c r="CO21" s="143"/>
      <c r="CP21" s="143"/>
      <c r="CQ21" s="143"/>
      <c r="CR21" s="143"/>
      <c r="CS21" s="143"/>
      <c r="CT21" s="143"/>
      <c r="CU21" s="143"/>
      <c r="CV21" s="143"/>
      <c r="CW21" s="143"/>
      <c r="CX21" s="143"/>
      <c r="CY21" s="143"/>
      <c r="CZ21" s="143"/>
      <c r="DA21" s="143"/>
      <c r="DB21" s="143"/>
      <c r="DC21" s="143"/>
      <c r="DD21" s="143"/>
      <c r="DE21" s="143"/>
      <c r="DF21" s="143"/>
      <c r="DG21" s="143"/>
      <c r="DH21" s="143"/>
      <c r="DI21" s="143"/>
      <c r="DJ21" s="143"/>
      <c r="DK21" s="143"/>
      <c r="DL21" s="143"/>
      <c r="DM21" s="143"/>
      <c r="DN21" s="143"/>
      <c r="DO21" s="143"/>
      <c r="DP21" s="143"/>
      <c r="DQ21" s="143"/>
      <c r="DR21" s="143"/>
      <c r="DS21" s="143"/>
      <c r="DT21" s="143"/>
      <c r="DU21" s="143"/>
      <c r="DV21" s="143"/>
      <c r="DW21" s="143"/>
      <c r="DX21" s="143"/>
      <c r="DY21" s="143"/>
      <c r="DZ21" s="143"/>
      <c r="EA21" s="143"/>
      <c r="EB21" s="143"/>
      <c r="EC21" s="143"/>
      <c r="ED21" s="143"/>
      <c r="EE21" s="143"/>
      <c r="EF21" s="143"/>
      <c r="EG21" s="143"/>
      <c r="EH21" s="143"/>
      <c r="EI21" s="143"/>
      <c r="EJ21" s="143"/>
      <c r="EK21" s="143"/>
      <c r="EL21" s="143"/>
      <c r="EM21" s="143"/>
      <c r="EN21" s="143"/>
      <c r="EO21" s="143"/>
      <c r="EP21" s="143"/>
      <c r="EQ21" s="143"/>
      <c r="ER21" s="143"/>
      <c r="ES21" s="143"/>
      <c r="ET21" s="143"/>
      <c r="EU21" s="143"/>
      <c r="EV21" s="143"/>
      <c r="EW21" s="143"/>
      <c r="EX21" s="143"/>
      <c r="EY21" s="143"/>
      <c r="EZ21" s="143"/>
      <c r="FA21" s="143"/>
      <c r="FB21" s="143"/>
      <c r="FC21" s="143"/>
      <c r="FD21" s="143"/>
      <c r="FE21" s="143"/>
      <c r="FF21" s="143"/>
      <c r="FG21" s="143"/>
      <c r="FH21" s="143"/>
      <c r="FI21" s="143"/>
      <c r="FJ21" s="143"/>
      <c r="FK21" s="143"/>
      <c r="FL21" s="143"/>
      <c r="FM21" s="143"/>
      <c r="FN21" s="143"/>
      <c r="FO21" s="143"/>
      <c r="FP21" s="143"/>
      <c r="FQ21" s="143"/>
      <c r="FR21" s="143"/>
      <c r="FS21" s="143"/>
      <c r="FT21" s="143"/>
      <c r="FU21" s="143"/>
      <c r="FV21" s="143"/>
      <c r="FW21" s="143"/>
      <c r="FX21" s="143"/>
      <c r="FY21" s="143"/>
      <c r="FZ21" s="143"/>
      <c r="GA21" s="143"/>
      <c r="GB21" s="143"/>
      <c r="GC21" s="143"/>
      <c r="GD21" s="143"/>
      <c r="GE21" s="143"/>
      <c r="GF21" s="143"/>
      <c r="GG21" s="143"/>
      <c r="GH21" s="143"/>
      <c r="GI21" s="143"/>
      <c r="GJ21" s="143"/>
      <c r="GK21" s="143"/>
      <c r="GL21" s="143"/>
      <c r="GM21" s="143"/>
      <c r="GN21" s="143"/>
      <c r="GO21" s="143"/>
      <c r="GP21" s="143"/>
      <c r="GQ21" s="143"/>
      <c r="GR21" s="143"/>
      <c r="GS21" s="143"/>
      <c r="GT21" s="143"/>
      <c r="GU21" s="143"/>
      <c r="GV21" s="143"/>
      <c r="GW21" s="143"/>
      <c r="GX21" s="143"/>
      <c r="GY21" s="143"/>
      <c r="GZ21" s="143"/>
      <c r="HA21" s="143"/>
      <c r="HB21" s="143"/>
      <c r="HC21" s="143"/>
      <c r="HD21" s="143"/>
      <c r="HE21" s="143"/>
      <c r="HF21" s="143"/>
      <c r="HG21" s="143"/>
      <c r="HH21" s="143"/>
    </row>
    <row r="22" s="79" customFormat="1" ht="18" customHeight="1" spans="1:216">
      <c r="A22" s="128" t="s">
        <v>157</v>
      </c>
      <c r="B22" s="30">
        <v>2113</v>
      </c>
      <c r="C22" s="33">
        <v>0.62</v>
      </c>
      <c r="D22" s="30">
        <v>300</v>
      </c>
      <c r="E22" s="31" t="s">
        <v>96</v>
      </c>
      <c r="F22" s="74">
        <v>2.1</v>
      </c>
      <c r="G22" s="131">
        <f t="shared" si="0"/>
        <v>27.56</v>
      </c>
      <c r="H22" s="132">
        <f t="shared" si="1"/>
        <v>8267.7</v>
      </c>
      <c r="I22" s="147"/>
      <c r="J22" s="143"/>
      <c r="K22" s="74">
        <v>1.909</v>
      </c>
      <c r="L22" s="148">
        <f>ROUND(K22*1.1,3)</f>
        <v>2.1</v>
      </c>
      <c r="M22" s="149">
        <f t="shared" si="2"/>
        <v>0.100052383446831</v>
      </c>
      <c r="N22" s="150">
        <f t="shared" si="3"/>
        <v>27.559</v>
      </c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  <c r="BJ22" s="143"/>
      <c r="BK22" s="143"/>
      <c r="BL22" s="143"/>
      <c r="BM22" s="143"/>
      <c r="BN22" s="143"/>
      <c r="BO22" s="143"/>
      <c r="BP22" s="143"/>
      <c r="BQ22" s="143"/>
      <c r="BR22" s="143"/>
      <c r="BS22" s="143"/>
      <c r="BT22" s="143"/>
      <c r="BU22" s="143"/>
      <c r="BV22" s="143"/>
      <c r="BW22" s="143"/>
      <c r="BX22" s="143"/>
      <c r="BY22" s="143"/>
      <c r="BZ22" s="143"/>
      <c r="CA22" s="143"/>
      <c r="CB22" s="143"/>
      <c r="CC22" s="143"/>
      <c r="CD22" s="143"/>
      <c r="CE22" s="143"/>
      <c r="CF22" s="143"/>
      <c r="CG22" s="143"/>
      <c r="CH22" s="143"/>
      <c r="CI22" s="143"/>
      <c r="CJ22" s="143"/>
      <c r="CK22" s="143"/>
      <c r="CL22" s="143"/>
      <c r="CM22" s="143"/>
      <c r="CN22" s="143"/>
      <c r="CO22" s="143"/>
      <c r="CP22" s="143"/>
      <c r="CQ22" s="143"/>
      <c r="CR22" s="143"/>
      <c r="CS22" s="143"/>
      <c r="CT22" s="143"/>
      <c r="CU22" s="143"/>
      <c r="CV22" s="143"/>
      <c r="CW22" s="143"/>
      <c r="CX22" s="143"/>
      <c r="CY22" s="143"/>
      <c r="CZ22" s="143"/>
      <c r="DA22" s="143"/>
      <c r="DB22" s="143"/>
      <c r="DC22" s="143"/>
      <c r="DD22" s="143"/>
      <c r="DE22" s="143"/>
      <c r="DF22" s="143"/>
      <c r="DG22" s="143"/>
      <c r="DH22" s="143"/>
      <c r="DI22" s="143"/>
      <c r="DJ22" s="143"/>
      <c r="DK22" s="143"/>
      <c r="DL22" s="143"/>
      <c r="DM22" s="143"/>
      <c r="DN22" s="143"/>
      <c r="DO22" s="143"/>
      <c r="DP22" s="143"/>
      <c r="DQ22" s="143"/>
      <c r="DR22" s="143"/>
      <c r="DS22" s="143"/>
      <c r="DT22" s="143"/>
      <c r="DU22" s="143"/>
      <c r="DV22" s="143"/>
      <c r="DW22" s="143"/>
      <c r="DX22" s="143"/>
      <c r="DY22" s="143"/>
      <c r="DZ22" s="143"/>
      <c r="EA22" s="143"/>
      <c r="EB22" s="143"/>
      <c r="EC22" s="143"/>
      <c r="ED22" s="143"/>
      <c r="EE22" s="143"/>
      <c r="EF22" s="143"/>
      <c r="EG22" s="143"/>
      <c r="EH22" s="143"/>
      <c r="EI22" s="143"/>
      <c r="EJ22" s="143"/>
      <c r="EK22" s="143"/>
      <c r="EL22" s="143"/>
      <c r="EM22" s="143"/>
      <c r="EN22" s="143"/>
      <c r="EO22" s="143"/>
      <c r="EP22" s="143"/>
      <c r="EQ22" s="143"/>
      <c r="ER22" s="143"/>
      <c r="ES22" s="143"/>
      <c r="ET22" s="143"/>
      <c r="EU22" s="143"/>
      <c r="EV22" s="143"/>
      <c r="EW22" s="143"/>
      <c r="EX22" s="143"/>
      <c r="EY22" s="143"/>
      <c r="EZ22" s="143"/>
      <c r="FA22" s="143"/>
      <c r="FB22" s="143"/>
      <c r="FC22" s="143"/>
      <c r="FD22" s="143"/>
      <c r="FE22" s="143"/>
      <c r="FF22" s="143"/>
      <c r="FG22" s="143"/>
      <c r="FH22" s="143"/>
      <c r="FI22" s="143"/>
      <c r="FJ22" s="143"/>
      <c r="FK22" s="143"/>
      <c r="FL22" s="143"/>
      <c r="FM22" s="143"/>
      <c r="FN22" s="143"/>
      <c r="FO22" s="143"/>
      <c r="FP22" s="143"/>
      <c r="FQ22" s="143"/>
      <c r="FR22" s="143"/>
      <c r="FS22" s="143"/>
      <c r="FT22" s="143"/>
      <c r="FU22" s="143"/>
      <c r="FV22" s="143"/>
      <c r="FW22" s="143"/>
      <c r="FX22" s="143"/>
      <c r="FY22" s="143"/>
      <c r="FZ22" s="143"/>
      <c r="GA22" s="143"/>
      <c r="GB22" s="143"/>
      <c r="GC22" s="143"/>
      <c r="GD22" s="143"/>
      <c r="GE22" s="143"/>
      <c r="GF22" s="143"/>
      <c r="GG22" s="143"/>
      <c r="GH22" s="143"/>
      <c r="GI22" s="143"/>
      <c r="GJ22" s="143"/>
      <c r="GK22" s="143"/>
      <c r="GL22" s="143"/>
      <c r="GM22" s="143"/>
      <c r="GN22" s="143"/>
      <c r="GO22" s="143"/>
      <c r="GP22" s="143"/>
      <c r="GQ22" s="143"/>
      <c r="GR22" s="143"/>
      <c r="GS22" s="143"/>
      <c r="GT22" s="143"/>
      <c r="GU22" s="143"/>
      <c r="GV22" s="143"/>
      <c r="GW22" s="143"/>
      <c r="GX22" s="143"/>
      <c r="GY22" s="143"/>
      <c r="GZ22" s="143"/>
      <c r="HA22" s="143"/>
      <c r="HB22" s="143"/>
      <c r="HC22" s="143"/>
      <c r="HD22" s="143"/>
      <c r="HE22" s="143"/>
      <c r="HF22" s="143"/>
      <c r="HG22" s="143"/>
      <c r="HH22" s="143"/>
    </row>
    <row r="23" s="79" customFormat="1" ht="18" customHeight="1" spans="1:216">
      <c r="A23" s="128" t="s">
        <v>157</v>
      </c>
      <c r="B23" s="30">
        <v>2116</v>
      </c>
      <c r="C23" s="33" t="s">
        <v>104</v>
      </c>
      <c r="D23" s="30">
        <v>200</v>
      </c>
      <c r="E23" s="31" t="s">
        <v>96</v>
      </c>
      <c r="F23" s="74">
        <v>1.828</v>
      </c>
      <c r="G23" s="131">
        <f t="shared" ref="G23:G34" si="4">ROUND(H23/D23,2)</f>
        <v>23.99</v>
      </c>
      <c r="H23" s="132">
        <f>ROUND(F23*2624.7,2)</f>
        <v>4797.95</v>
      </c>
      <c r="I23" s="147"/>
      <c r="J23" s="143"/>
      <c r="K23" s="74">
        <v>1.632</v>
      </c>
      <c r="L23" s="148">
        <f>ROUND(K23*1.12,3)</f>
        <v>1.828</v>
      </c>
      <c r="M23" s="149">
        <f t="shared" si="2"/>
        <v>0.120098039215686</v>
      </c>
      <c r="N23" s="150">
        <f t="shared" si="3"/>
        <v>23.9894533333333</v>
      </c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  <c r="BP23" s="143"/>
      <c r="BQ23" s="143"/>
      <c r="BR23" s="143"/>
      <c r="BS23" s="143"/>
      <c r="BT23" s="143"/>
      <c r="BU23" s="143"/>
      <c r="BV23" s="143"/>
      <c r="BW23" s="143"/>
      <c r="BX23" s="143"/>
      <c r="BY23" s="143"/>
      <c r="BZ23" s="143"/>
      <c r="CA23" s="143"/>
      <c r="CB23" s="143"/>
      <c r="CC23" s="143"/>
      <c r="CD23" s="143"/>
      <c r="CE23" s="143"/>
      <c r="CF23" s="143"/>
      <c r="CG23" s="143"/>
      <c r="CH23" s="143"/>
      <c r="CI23" s="143"/>
      <c r="CJ23" s="143"/>
      <c r="CK23" s="143"/>
      <c r="CL23" s="143"/>
      <c r="CM23" s="143"/>
      <c r="CN23" s="143"/>
      <c r="CO23" s="143"/>
      <c r="CP23" s="143"/>
      <c r="CQ23" s="143"/>
      <c r="CR23" s="143"/>
      <c r="CS23" s="143"/>
      <c r="CT23" s="143"/>
      <c r="CU23" s="143"/>
      <c r="CV23" s="143"/>
      <c r="CW23" s="143"/>
      <c r="CX23" s="143"/>
      <c r="CY23" s="143"/>
      <c r="CZ23" s="143"/>
      <c r="DA23" s="143"/>
      <c r="DB23" s="143"/>
      <c r="DC23" s="143"/>
      <c r="DD23" s="143"/>
      <c r="DE23" s="143"/>
      <c r="DF23" s="143"/>
      <c r="DG23" s="143"/>
      <c r="DH23" s="143"/>
      <c r="DI23" s="143"/>
      <c r="DJ23" s="143"/>
      <c r="DK23" s="143"/>
      <c r="DL23" s="143"/>
      <c r="DM23" s="143"/>
      <c r="DN23" s="143"/>
      <c r="DO23" s="143"/>
      <c r="DP23" s="143"/>
      <c r="DQ23" s="143"/>
      <c r="DR23" s="143"/>
      <c r="DS23" s="143"/>
      <c r="DT23" s="143"/>
      <c r="DU23" s="143"/>
      <c r="DV23" s="143"/>
      <c r="DW23" s="143"/>
      <c r="DX23" s="143"/>
      <c r="DY23" s="143"/>
      <c r="DZ23" s="143"/>
      <c r="EA23" s="143"/>
      <c r="EB23" s="143"/>
      <c r="EC23" s="143"/>
      <c r="ED23" s="143"/>
      <c r="EE23" s="143"/>
      <c r="EF23" s="143"/>
      <c r="EG23" s="143"/>
      <c r="EH23" s="143"/>
      <c r="EI23" s="143"/>
      <c r="EJ23" s="143"/>
      <c r="EK23" s="143"/>
      <c r="EL23" s="143"/>
      <c r="EM23" s="143"/>
      <c r="EN23" s="143"/>
      <c r="EO23" s="143"/>
      <c r="EP23" s="143"/>
      <c r="EQ23" s="143"/>
      <c r="ER23" s="143"/>
      <c r="ES23" s="143"/>
      <c r="ET23" s="143"/>
      <c r="EU23" s="143"/>
      <c r="EV23" s="143"/>
      <c r="EW23" s="143"/>
      <c r="EX23" s="143"/>
      <c r="EY23" s="143"/>
      <c r="EZ23" s="143"/>
      <c r="FA23" s="143"/>
      <c r="FB23" s="143"/>
      <c r="FC23" s="143"/>
      <c r="FD23" s="143"/>
      <c r="FE23" s="143"/>
      <c r="FF23" s="143"/>
      <c r="FG23" s="143"/>
      <c r="FH23" s="143"/>
      <c r="FI23" s="143"/>
      <c r="FJ23" s="143"/>
      <c r="FK23" s="143"/>
      <c r="FL23" s="143"/>
      <c r="FM23" s="143"/>
      <c r="FN23" s="143"/>
      <c r="FO23" s="143"/>
      <c r="FP23" s="143"/>
      <c r="FQ23" s="143"/>
      <c r="FR23" s="143"/>
      <c r="FS23" s="143"/>
      <c r="FT23" s="143"/>
      <c r="FU23" s="143"/>
      <c r="FV23" s="143"/>
      <c r="FW23" s="143"/>
      <c r="FX23" s="143"/>
      <c r="FY23" s="143"/>
      <c r="FZ23" s="143"/>
      <c r="GA23" s="143"/>
      <c r="GB23" s="143"/>
      <c r="GC23" s="143"/>
      <c r="GD23" s="143"/>
      <c r="GE23" s="143"/>
      <c r="GF23" s="143"/>
      <c r="GG23" s="143"/>
      <c r="GH23" s="143"/>
      <c r="GI23" s="143"/>
      <c r="GJ23" s="143"/>
      <c r="GK23" s="143"/>
      <c r="GL23" s="143"/>
      <c r="GM23" s="143"/>
      <c r="GN23" s="143"/>
      <c r="GO23" s="143"/>
      <c r="GP23" s="143"/>
      <c r="GQ23" s="143"/>
      <c r="GR23" s="143"/>
      <c r="GS23" s="143"/>
      <c r="GT23" s="143"/>
      <c r="GU23" s="143"/>
      <c r="GV23" s="143"/>
      <c r="GW23" s="143"/>
      <c r="GX23" s="143"/>
      <c r="GY23" s="143"/>
      <c r="GZ23" s="143"/>
      <c r="HA23" s="143"/>
      <c r="HB23" s="143"/>
      <c r="HC23" s="143"/>
      <c r="HD23" s="143"/>
      <c r="HE23" s="143"/>
      <c r="HF23" s="143"/>
      <c r="HG23" s="143"/>
      <c r="HH23" s="143"/>
    </row>
    <row r="24" s="79" customFormat="1" ht="18" customHeight="1" spans="1:216">
      <c r="A24" s="128" t="s">
        <v>157</v>
      </c>
      <c r="B24" s="30">
        <v>2116</v>
      </c>
      <c r="C24" s="33" t="s">
        <v>105</v>
      </c>
      <c r="D24" s="30">
        <v>200</v>
      </c>
      <c r="E24" s="31" t="s">
        <v>96</v>
      </c>
      <c r="F24" s="74">
        <v>1.819</v>
      </c>
      <c r="G24" s="131">
        <f t="shared" si="4"/>
        <v>23.87</v>
      </c>
      <c r="H24" s="132">
        <f>ROUND(F24*2624.7,2)</f>
        <v>4774.33</v>
      </c>
      <c r="I24" s="147"/>
      <c r="J24" s="143"/>
      <c r="K24" s="74">
        <v>1.624</v>
      </c>
      <c r="L24" s="148">
        <f>ROUND(K24*1.12,3)</f>
        <v>1.819</v>
      </c>
      <c r="M24" s="149">
        <f t="shared" si="2"/>
        <v>0.120073891625616</v>
      </c>
      <c r="N24" s="150">
        <f t="shared" ref="N23:N35" si="5">L24*3937/300</f>
        <v>23.8713433333333</v>
      </c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  <c r="BP24" s="143"/>
      <c r="BQ24" s="143"/>
      <c r="BR24" s="143"/>
      <c r="BS24" s="143"/>
      <c r="BT24" s="143"/>
      <c r="BU24" s="143"/>
      <c r="BV24" s="143"/>
      <c r="BW24" s="143"/>
      <c r="BX24" s="143"/>
      <c r="BY24" s="143"/>
      <c r="BZ24" s="143"/>
      <c r="CA24" s="143"/>
      <c r="CB24" s="143"/>
      <c r="CC24" s="143"/>
      <c r="CD24" s="143"/>
      <c r="CE24" s="143"/>
      <c r="CF24" s="143"/>
      <c r="CG24" s="143"/>
      <c r="CH24" s="143"/>
      <c r="CI24" s="143"/>
      <c r="CJ24" s="143"/>
      <c r="CK24" s="143"/>
      <c r="CL24" s="143"/>
      <c r="CM24" s="143"/>
      <c r="CN24" s="143"/>
      <c r="CO24" s="143"/>
      <c r="CP24" s="143"/>
      <c r="CQ24" s="143"/>
      <c r="CR24" s="143"/>
      <c r="CS24" s="143"/>
      <c r="CT24" s="143"/>
      <c r="CU24" s="143"/>
      <c r="CV24" s="143"/>
      <c r="CW24" s="143"/>
      <c r="CX24" s="143"/>
      <c r="CY24" s="143"/>
      <c r="CZ24" s="143"/>
      <c r="DA24" s="143"/>
      <c r="DB24" s="143"/>
      <c r="DC24" s="143"/>
      <c r="DD24" s="143"/>
      <c r="DE24" s="143"/>
      <c r="DF24" s="143"/>
      <c r="DG24" s="143"/>
      <c r="DH24" s="143"/>
      <c r="DI24" s="143"/>
      <c r="DJ24" s="143"/>
      <c r="DK24" s="143"/>
      <c r="DL24" s="143"/>
      <c r="DM24" s="143"/>
      <c r="DN24" s="143"/>
      <c r="DO24" s="143"/>
      <c r="DP24" s="143"/>
      <c r="DQ24" s="143"/>
      <c r="DR24" s="143"/>
      <c r="DS24" s="143"/>
      <c r="DT24" s="143"/>
      <c r="DU24" s="143"/>
      <c r="DV24" s="143"/>
      <c r="DW24" s="143"/>
      <c r="DX24" s="143"/>
      <c r="DY24" s="143"/>
      <c r="DZ24" s="143"/>
      <c r="EA24" s="143"/>
      <c r="EB24" s="143"/>
      <c r="EC24" s="143"/>
      <c r="ED24" s="143"/>
      <c r="EE24" s="143"/>
      <c r="EF24" s="143"/>
      <c r="EG24" s="143"/>
      <c r="EH24" s="143"/>
      <c r="EI24" s="143"/>
      <c r="EJ24" s="143"/>
      <c r="EK24" s="143"/>
      <c r="EL24" s="143"/>
      <c r="EM24" s="143"/>
      <c r="EN24" s="143"/>
      <c r="EO24" s="143"/>
      <c r="EP24" s="143"/>
      <c r="EQ24" s="143"/>
      <c r="ER24" s="143"/>
      <c r="ES24" s="143"/>
      <c r="ET24" s="143"/>
      <c r="EU24" s="143"/>
      <c r="EV24" s="143"/>
      <c r="EW24" s="143"/>
      <c r="EX24" s="143"/>
      <c r="EY24" s="143"/>
      <c r="EZ24" s="143"/>
      <c r="FA24" s="143"/>
      <c r="FB24" s="143"/>
      <c r="FC24" s="143"/>
      <c r="FD24" s="143"/>
      <c r="FE24" s="143"/>
      <c r="FF24" s="143"/>
      <c r="FG24" s="143"/>
      <c r="FH24" s="143"/>
      <c r="FI24" s="143"/>
      <c r="FJ24" s="143"/>
      <c r="FK24" s="143"/>
      <c r="FL24" s="143"/>
      <c r="FM24" s="143"/>
      <c r="FN24" s="143"/>
      <c r="FO24" s="143"/>
      <c r="FP24" s="143"/>
      <c r="FQ24" s="143"/>
      <c r="FR24" s="143"/>
      <c r="FS24" s="143"/>
      <c r="FT24" s="143"/>
      <c r="FU24" s="143"/>
      <c r="FV24" s="143"/>
      <c r="FW24" s="143"/>
      <c r="FX24" s="143"/>
      <c r="FY24" s="143"/>
      <c r="FZ24" s="143"/>
      <c r="GA24" s="143"/>
      <c r="GB24" s="143"/>
      <c r="GC24" s="143"/>
      <c r="GD24" s="143"/>
      <c r="GE24" s="143"/>
      <c r="GF24" s="143"/>
      <c r="GG24" s="143"/>
      <c r="GH24" s="143"/>
      <c r="GI24" s="143"/>
      <c r="GJ24" s="143"/>
      <c r="GK24" s="143"/>
      <c r="GL24" s="143"/>
      <c r="GM24" s="143"/>
      <c r="GN24" s="143"/>
      <c r="GO24" s="143"/>
      <c r="GP24" s="143"/>
      <c r="GQ24" s="143"/>
      <c r="GR24" s="143"/>
      <c r="GS24" s="143"/>
      <c r="GT24" s="143"/>
      <c r="GU24" s="143"/>
      <c r="GV24" s="143"/>
      <c r="GW24" s="143"/>
      <c r="GX24" s="143"/>
      <c r="GY24" s="143"/>
      <c r="GZ24" s="143"/>
      <c r="HA24" s="143"/>
      <c r="HB24" s="143"/>
      <c r="HC24" s="143"/>
      <c r="HD24" s="143"/>
      <c r="HE24" s="143"/>
      <c r="HF24" s="143"/>
      <c r="HG24" s="143"/>
      <c r="HH24" s="143"/>
    </row>
    <row r="25" s="79" customFormat="1" ht="18" customHeight="1" spans="1:216">
      <c r="A25" s="128" t="s">
        <v>157</v>
      </c>
      <c r="B25" s="30">
        <v>2116</v>
      </c>
      <c r="C25" s="33" t="s">
        <v>102</v>
      </c>
      <c r="D25" s="30">
        <v>200</v>
      </c>
      <c r="E25" s="31" t="s">
        <v>96</v>
      </c>
      <c r="F25" s="74">
        <v>1.912</v>
      </c>
      <c r="G25" s="131">
        <f t="shared" si="4"/>
        <v>25.09</v>
      </c>
      <c r="H25" s="132">
        <f>ROUND(F25*2624.7,2)</f>
        <v>5018.43</v>
      </c>
      <c r="I25" s="147"/>
      <c r="J25" s="143"/>
      <c r="K25" s="74">
        <v>1.707</v>
      </c>
      <c r="L25" s="148">
        <f>ROUND(K25*1.12,3)</f>
        <v>1.912</v>
      </c>
      <c r="M25" s="149">
        <f t="shared" si="2"/>
        <v>0.120093731693029</v>
      </c>
      <c r="N25" s="150">
        <f t="shared" si="5"/>
        <v>25.0918133333333</v>
      </c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  <c r="BP25" s="143"/>
      <c r="BQ25" s="143"/>
      <c r="BR25" s="143"/>
      <c r="BS25" s="143"/>
      <c r="BT25" s="143"/>
      <c r="BU25" s="143"/>
      <c r="BV25" s="143"/>
      <c r="BW25" s="143"/>
      <c r="BX25" s="143"/>
      <c r="BY25" s="143"/>
      <c r="BZ25" s="143"/>
      <c r="CA25" s="143"/>
      <c r="CB25" s="143"/>
      <c r="CC25" s="143"/>
      <c r="CD25" s="143"/>
      <c r="CE25" s="143"/>
      <c r="CF25" s="143"/>
      <c r="CG25" s="143"/>
      <c r="CH25" s="143"/>
      <c r="CI25" s="143"/>
      <c r="CJ25" s="143"/>
      <c r="CK25" s="143"/>
      <c r="CL25" s="143"/>
      <c r="CM25" s="143"/>
      <c r="CN25" s="143"/>
      <c r="CO25" s="143"/>
      <c r="CP25" s="143"/>
      <c r="CQ25" s="143"/>
      <c r="CR25" s="143"/>
      <c r="CS25" s="143"/>
      <c r="CT25" s="143"/>
      <c r="CU25" s="143"/>
      <c r="CV25" s="143"/>
      <c r="CW25" s="143"/>
      <c r="CX25" s="143"/>
      <c r="CY25" s="143"/>
      <c r="CZ25" s="143"/>
      <c r="DA25" s="143"/>
      <c r="DB25" s="143"/>
      <c r="DC25" s="143"/>
      <c r="DD25" s="143"/>
      <c r="DE25" s="143"/>
      <c r="DF25" s="143"/>
      <c r="DG25" s="143"/>
      <c r="DH25" s="143"/>
      <c r="DI25" s="143"/>
      <c r="DJ25" s="143"/>
      <c r="DK25" s="143"/>
      <c r="DL25" s="143"/>
      <c r="DM25" s="143"/>
      <c r="DN25" s="143"/>
      <c r="DO25" s="143"/>
      <c r="DP25" s="143"/>
      <c r="DQ25" s="143"/>
      <c r="DR25" s="143"/>
      <c r="DS25" s="143"/>
      <c r="DT25" s="143"/>
      <c r="DU25" s="143"/>
      <c r="DV25" s="143"/>
      <c r="DW25" s="143"/>
      <c r="DX25" s="143"/>
      <c r="DY25" s="143"/>
      <c r="DZ25" s="143"/>
      <c r="EA25" s="143"/>
      <c r="EB25" s="143"/>
      <c r="EC25" s="143"/>
      <c r="ED25" s="143"/>
      <c r="EE25" s="143"/>
      <c r="EF25" s="143"/>
      <c r="EG25" s="143"/>
      <c r="EH25" s="143"/>
      <c r="EI25" s="143"/>
      <c r="EJ25" s="143"/>
      <c r="EK25" s="143"/>
      <c r="EL25" s="143"/>
      <c r="EM25" s="143"/>
      <c r="EN25" s="143"/>
      <c r="EO25" s="143"/>
      <c r="EP25" s="143"/>
      <c r="EQ25" s="143"/>
      <c r="ER25" s="143"/>
      <c r="ES25" s="143"/>
      <c r="ET25" s="143"/>
      <c r="EU25" s="143"/>
      <c r="EV25" s="143"/>
      <c r="EW25" s="143"/>
      <c r="EX25" s="143"/>
      <c r="EY25" s="143"/>
      <c r="EZ25" s="143"/>
      <c r="FA25" s="143"/>
      <c r="FB25" s="143"/>
      <c r="FC25" s="143"/>
      <c r="FD25" s="143"/>
      <c r="FE25" s="143"/>
      <c r="FF25" s="143"/>
      <c r="FG25" s="143"/>
      <c r="FH25" s="143"/>
      <c r="FI25" s="143"/>
      <c r="FJ25" s="143"/>
      <c r="FK25" s="143"/>
      <c r="FL25" s="143"/>
      <c r="FM25" s="143"/>
      <c r="FN25" s="143"/>
      <c r="FO25" s="143"/>
      <c r="FP25" s="143"/>
      <c r="FQ25" s="143"/>
      <c r="FR25" s="143"/>
      <c r="FS25" s="143"/>
      <c r="FT25" s="143"/>
      <c r="FU25" s="143"/>
      <c r="FV25" s="143"/>
      <c r="FW25" s="143"/>
      <c r="FX25" s="143"/>
      <c r="FY25" s="143"/>
      <c r="FZ25" s="143"/>
      <c r="GA25" s="143"/>
      <c r="GB25" s="143"/>
      <c r="GC25" s="143"/>
      <c r="GD25" s="143"/>
      <c r="GE25" s="143"/>
      <c r="GF25" s="143"/>
      <c r="GG25" s="143"/>
      <c r="GH25" s="143"/>
      <c r="GI25" s="143"/>
      <c r="GJ25" s="143"/>
      <c r="GK25" s="143"/>
      <c r="GL25" s="143"/>
      <c r="GM25" s="143"/>
      <c r="GN25" s="143"/>
      <c r="GO25" s="143"/>
      <c r="GP25" s="143"/>
      <c r="GQ25" s="143"/>
      <c r="GR25" s="143"/>
      <c r="GS25" s="151"/>
      <c r="GT25" s="151"/>
      <c r="GU25" s="151"/>
      <c r="GV25" s="151"/>
      <c r="GW25" s="151"/>
      <c r="GX25" s="151"/>
      <c r="GY25" s="151"/>
      <c r="GZ25" s="151"/>
      <c r="HA25" s="151"/>
      <c r="HB25" s="151"/>
      <c r="HC25" s="151"/>
      <c r="HD25" s="151"/>
      <c r="HE25" s="151"/>
      <c r="HF25" s="151"/>
      <c r="HG25" s="151"/>
      <c r="HH25" s="151"/>
    </row>
    <row r="26" s="79" customFormat="1" ht="18" customHeight="1" spans="1:216">
      <c r="A26" s="128" t="s">
        <v>157</v>
      </c>
      <c r="B26" s="30">
        <v>2116</v>
      </c>
      <c r="C26" s="33" t="s">
        <v>103</v>
      </c>
      <c r="D26" s="30">
        <v>200</v>
      </c>
      <c r="E26" s="31" t="s">
        <v>96</v>
      </c>
      <c r="F26" s="74">
        <v>1.964</v>
      </c>
      <c r="G26" s="131">
        <f t="shared" si="4"/>
        <v>25.77</v>
      </c>
      <c r="H26" s="132">
        <f>ROUND(F26*2624.7,2)</f>
        <v>5154.91</v>
      </c>
      <c r="I26" s="147"/>
      <c r="J26" s="143"/>
      <c r="K26" s="74">
        <v>1.785</v>
      </c>
      <c r="L26" s="148">
        <f>ROUND(K26*1.1,3)</f>
        <v>1.964</v>
      </c>
      <c r="M26" s="149">
        <f t="shared" si="2"/>
        <v>0.100280112044818</v>
      </c>
      <c r="N26" s="150">
        <f t="shared" si="5"/>
        <v>25.7742266666667</v>
      </c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/>
      <c r="BK26" s="143"/>
      <c r="BL26" s="143"/>
      <c r="BM26" s="143"/>
      <c r="BN26" s="143"/>
      <c r="BO26" s="143"/>
      <c r="BP26" s="143"/>
      <c r="BQ26" s="143"/>
      <c r="BR26" s="143"/>
      <c r="BS26" s="143"/>
      <c r="BT26" s="143"/>
      <c r="BU26" s="143"/>
      <c r="BV26" s="143"/>
      <c r="BW26" s="143"/>
      <c r="BX26" s="143"/>
      <c r="BY26" s="143"/>
      <c r="BZ26" s="143"/>
      <c r="CA26" s="143"/>
      <c r="CB26" s="143"/>
      <c r="CC26" s="143"/>
      <c r="CD26" s="143"/>
      <c r="CE26" s="143"/>
      <c r="CF26" s="143"/>
      <c r="CG26" s="143"/>
      <c r="CH26" s="143"/>
      <c r="CI26" s="143"/>
      <c r="CJ26" s="143"/>
      <c r="CK26" s="143"/>
      <c r="CL26" s="143"/>
      <c r="CM26" s="143"/>
      <c r="CN26" s="143"/>
      <c r="CO26" s="143"/>
      <c r="CP26" s="143"/>
      <c r="CQ26" s="143"/>
      <c r="CR26" s="143"/>
      <c r="CS26" s="143"/>
      <c r="CT26" s="143"/>
      <c r="CU26" s="143"/>
      <c r="CV26" s="143"/>
      <c r="CW26" s="143"/>
      <c r="CX26" s="143"/>
      <c r="CY26" s="143"/>
      <c r="CZ26" s="143"/>
      <c r="DA26" s="143"/>
      <c r="DB26" s="143"/>
      <c r="DC26" s="143"/>
      <c r="DD26" s="143"/>
      <c r="DE26" s="143"/>
      <c r="DF26" s="143"/>
      <c r="DG26" s="143"/>
      <c r="DH26" s="143"/>
      <c r="DI26" s="143"/>
      <c r="DJ26" s="143"/>
      <c r="DK26" s="143"/>
      <c r="DL26" s="143"/>
      <c r="DM26" s="143"/>
      <c r="DN26" s="143"/>
      <c r="DO26" s="143"/>
      <c r="DP26" s="143"/>
      <c r="DQ26" s="143"/>
      <c r="DR26" s="143"/>
      <c r="DS26" s="143"/>
      <c r="DT26" s="143"/>
      <c r="DU26" s="143"/>
      <c r="DV26" s="143"/>
      <c r="DW26" s="143"/>
      <c r="DX26" s="143"/>
      <c r="DY26" s="143"/>
      <c r="DZ26" s="143"/>
      <c r="EA26" s="143"/>
      <c r="EB26" s="143"/>
      <c r="EC26" s="143"/>
      <c r="ED26" s="143"/>
      <c r="EE26" s="143"/>
      <c r="EF26" s="143"/>
      <c r="EG26" s="143"/>
      <c r="EH26" s="143"/>
      <c r="EI26" s="143"/>
      <c r="EJ26" s="143"/>
      <c r="EK26" s="143"/>
      <c r="EL26" s="143"/>
      <c r="EM26" s="143"/>
      <c r="EN26" s="143"/>
      <c r="EO26" s="143"/>
      <c r="EP26" s="143"/>
      <c r="EQ26" s="143"/>
      <c r="ER26" s="143"/>
      <c r="ES26" s="143"/>
      <c r="ET26" s="143"/>
      <c r="EU26" s="143"/>
      <c r="EV26" s="143"/>
      <c r="EW26" s="143"/>
      <c r="EX26" s="143"/>
      <c r="EY26" s="143"/>
      <c r="EZ26" s="143"/>
      <c r="FA26" s="143"/>
      <c r="FB26" s="143"/>
      <c r="FC26" s="143"/>
      <c r="FD26" s="143"/>
      <c r="FE26" s="143"/>
      <c r="FF26" s="143"/>
      <c r="FG26" s="143"/>
      <c r="FH26" s="143"/>
      <c r="FI26" s="143"/>
      <c r="FJ26" s="143"/>
      <c r="FK26" s="143"/>
      <c r="FL26" s="143"/>
      <c r="FM26" s="143"/>
      <c r="FN26" s="143"/>
      <c r="FO26" s="143"/>
      <c r="FP26" s="143"/>
      <c r="FQ26" s="143"/>
      <c r="FR26" s="143"/>
      <c r="FS26" s="143"/>
      <c r="FT26" s="143"/>
      <c r="FU26" s="143"/>
      <c r="FV26" s="143"/>
      <c r="FW26" s="143"/>
      <c r="FX26" s="143"/>
      <c r="FY26" s="143"/>
      <c r="FZ26" s="143"/>
      <c r="GA26" s="143"/>
      <c r="GB26" s="143"/>
      <c r="GC26" s="143"/>
      <c r="GD26" s="143"/>
      <c r="GE26" s="143"/>
      <c r="GF26" s="143"/>
      <c r="GG26" s="143"/>
      <c r="GH26" s="143"/>
      <c r="GI26" s="143"/>
      <c r="GJ26" s="143"/>
      <c r="GK26" s="143"/>
      <c r="GL26" s="143"/>
      <c r="GM26" s="143"/>
      <c r="GN26" s="143"/>
      <c r="GO26" s="143"/>
      <c r="GP26" s="143"/>
      <c r="GQ26" s="143"/>
      <c r="GR26" s="143"/>
      <c r="GS26" s="151"/>
      <c r="GT26" s="151"/>
      <c r="GU26" s="151"/>
      <c r="GV26" s="151"/>
      <c r="GW26" s="151"/>
      <c r="GX26" s="151"/>
      <c r="GY26" s="151"/>
      <c r="GZ26" s="151"/>
      <c r="HA26" s="151"/>
      <c r="HB26" s="151"/>
      <c r="HC26" s="151"/>
      <c r="HD26" s="151"/>
      <c r="HE26" s="151"/>
      <c r="HF26" s="151"/>
      <c r="HG26" s="151"/>
      <c r="HH26" s="151"/>
    </row>
    <row r="27" s="79" customFormat="1" ht="18" customHeight="1" spans="1:216">
      <c r="A27" s="128" t="s">
        <v>157</v>
      </c>
      <c r="B27" s="30">
        <v>2116</v>
      </c>
      <c r="C27" s="33" t="s">
        <v>106</v>
      </c>
      <c r="D27" s="30">
        <v>200</v>
      </c>
      <c r="E27" s="31" t="s">
        <v>96</v>
      </c>
      <c r="F27" s="74">
        <v>2.061</v>
      </c>
      <c r="G27" s="131">
        <f t="shared" si="4"/>
        <v>27.05</v>
      </c>
      <c r="H27" s="132">
        <f>ROUND(F27*2624.7,2)</f>
        <v>5409.51</v>
      </c>
      <c r="I27" s="147"/>
      <c r="J27" s="143"/>
      <c r="K27" s="74">
        <v>1.874</v>
      </c>
      <c r="L27" s="148">
        <f>ROUND(K27*1.1,3)</f>
        <v>2.061</v>
      </c>
      <c r="M27" s="149">
        <f t="shared" si="2"/>
        <v>0.0997865528281749</v>
      </c>
      <c r="N27" s="150">
        <f t="shared" si="5"/>
        <v>27.04719</v>
      </c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3"/>
      <c r="BN27" s="143"/>
      <c r="BO27" s="143"/>
      <c r="BP27" s="143"/>
      <c r="BQ27" s="143"/>
      <c r="BR27" s="143"/>
      <c r="BS27" s="143"/>
      <c r="BT27" s="143"/>
      <c r="BU27" s="143"/>
      <c r="BV27" s="143"/>
      <c r="BW27" s="143"/>
      <c r="BX27" s="143"/>
      <c r="BY27" s="143"/>
      <c r="BZ27" s="143"/>
      <c r="CA27" s="143"/>
      <c r="CB27" s="143"/>
      <c r="CC27" s="143"/>
      <c r="CD27" s="143"/>
      <c r="CE27" s="143"/>
      <c r="CF27" s="143"/>
      <c r="CG27" s="143"/>
      <c r="CH27" s="143"/>
      <c r="CI27" s="143"/>
      <c r="CJ27" s="143"/>
      <c r="CK27" s="143"/>
      <c r="CL27" s="143"/>
      <c r="CM27" s="143"/>
      <c r="CN27" s="143"/>
      <c r="CO27" s="143"/>
      <c r="CP27" s="143"/>
      <c r="CQ27" s="143"/>
      <c r="CR27" s="143"/>
      <c r="CS27" s="143"/>
      <c r="CT27" s="143"/>
      <c r="CU27" s="143"/>
      <c r="CV27" s="143"/>
      <c r="CW27" s="143"/>
      <c r="CX27" s="143"/>
      <c r="CY27" s="143"/>
      <c r="CZ27" s="143"/>
      <c r="DA27" s="143"/>
      <c r="DB27" s="143"/>
      <c r="DC27" s="143"/>
      <c r="DD27" s="143"/>
      <c r="DE27" s="143"/>
      <c r="DF27" s="143"/>
      <c r="DG27" s="143"/>
      <c r="DH27" s="143"/>
      <c r="DI27" s="143"/>
      <c r="DJ27" s="143"/>
      <c r="DK27" s="143"/>
      <c r="DL27" s="143"/>
      <c r="DM27" s="143"/>
      <c r="DN27" s="143"/>
      <c r="DO27" s="143"/>
      <c r="DP27" s="143"/>
      <c r="DQ27" s="143"/>
      <c r="DR27" s="143"/>
      <c r="DS27" s="143"/>
      <c r="DT27" s="143"/>
      <c r="DU27" s="143"/>
      <c r="DV27" s="143"/>
      <c r="DW27" s="143"/>
      <c r="DX27" s="143"/>
      <c r="DY27" s="143"/>
      <c r="DZ27" s="143"/>
      <c r="EA27" s="143"/>
      <c r="EB27" s="143"/>
      <c r="EC27" s="143"/>
      <c r="ED27" s="143"/>
      <c r="EE27" s="143"/>
      <c r="EF27" s="143"/>
      <c r="EG27" s="143"/>
      <c r="EH27" s="143"/>
      <c r="EI27" s="143"/>
      <c r="EJ27" s="143"/>
      <c r="EK27" s="143"/>
      <c r="EL27" s="143"/>
      <c r="EM27" s="143"/>
      <c r="EN27" s="143"/>
      <c r="EO27" s="143"/>
      <c r="EP27" s="143"/>
      <c r="EQ27" s="143"/>
      <c r="ER27" s="143"/>
      <c r="ES27" s="143"/>
      <c r="ET27" s="143"/>
      <c r="EU27" s="143"/>
      <c r="EV27" s="143"/>
      <c r="EW27" s="143"/>
      <c r="EX27" s="143"/>
      <c r="EY27" s="143"/>
      <c r="EZ27" s="143"/>
      <c r="FA27" s="143"/>
      <c r="FB27" s="143"/>
      <c r="FC27" s="143"/>
      <c r="FD27" s="143"/>
      <c r="FE27" s="143"/>
      <c r="FF27" s="143"/>
      <c r="FG27" s="143"/>
      <c r="FH27" s="143"/>
      <c r="FI27" s="143"/>
      <c r="FJ27" s="143"/>
      <c r="FK27" s="143"/>
      <c r="FL27" s="143"/>
      <c r="FM27" s="143"/>
      <c r="FN27" s="143"/>
      <c r="FO27" s="143"/>
      <c r="FP27" s="143"/>
      <c r="FQ27" s="143"/>
      <c r="FR27" s="143"/>
      <c r="FS27" s="143"/>
      <c r="FT27" s="143"/>
      <c r="FU27" s="143"/>
      <c r="FV27" s="143"/>
      <c r="FW27" s="143"/>
      <c r="FX27" s="143"/>
      <c r="FY27" s="143"/>
      <c r="FZ27" s="143"/>
      <c r="GA27" s="143"/>
      <c r="GB27" s="143"/>
      <c r="GC27" s="143"/>
      <c r="GD27" s="143"/>
      <c r="GE27" s="143"/>
      <c r="GF27" s="143"/>
      <c r="GG27" s="143"/>
      <c r="GH27" s="143"/>
      <c r="GI27" s="143"/>
      <c r="GJ27" s="143"/>
      <c r="GK27" s="143"/>
      <c r="GL27" s="143"/>
      <c r="GM27" s="143"/>
      <c r="GN27" s="143"/>
      <c r="GO27" s="143"/>
      <c r="GP27" s="143"/>
      <c r="GQ27" s="143"/>
      <c r="GR27" s="143"/>
      <c r="GS27" s="151"/>
      <c r="GT27" s="151"/>
      <c r="GU27" s="151"/>
      <c r="GV27" s="151"/>
      <c r="GW27" s="151"/>
      <c r="GX27" s="151"/>
      <c r="GY27" s="151"/>
      <c r="GZ27" s="151"/>
      <c r="HA27" s="151"/>
      <c r="HB27" s="151"/>
      <c r="HC27" s="151"/>
      <c r="HD27" s="151"/>
      <c r="HE27" s="151"/>
      <c r="HF27" s="151"/>
      <c r="HG27" s="151"/>
      <c r="HH27" s="151"/>
    </row>
    <row r="28" s="79" customFormat="1" ht="18" customHeight="1" spans="1:216">
      <c r="A28" s="128" t="s">
        <v>157</v>
      </c>
      <c r="B28" s="30">
        <v>1506</v>
      </c>
      <c r="C28" s="33" t="s">
        <v>107</v>
      </c>
      <c r="D28" s="30">
        <v>150</v>
      </c>
      <c r="E28" s="31" t="s">
        <v>96</v>
      </c>
      <c r="F28" s="74">
        <v>1.973</v>
      </c>
      <c r="G28" s="131">
        <f t="shared" si="4"/>
        <v>25.89</v>
      </c>
      <c r="H28" s="132">
        <f>ROUND(F28*1968.5,2)</f>
        <v>3883.85</v>
      </c>
      <c r="I28" s="147"/>
      <c r="J28" s="143"/>
      <c r="K28" s="74">
        <v>1.81</v>
      </c>
      <c r="L28" s="148">
        <f>ROUND(K28*1.09,3)</f>
        <v>1.973</v>
      </c>
      <c r="M28" s="149">
        <f t="shared" ref="M23:M35" si="6">L28/K28-1</f>
        <v>0.0900552486187844</v>
      </c>
      <c r="N28" s="150">
        <f t="shared" si="5"/>
        <v>25.8923366666667</v>
      </c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  <c r="BO28" s="143"/>
      <c r="BP28" s="143"/>
      <c r="BQ28" s="143"/>
      <c r="BR28" s="143"/>
      <c r="BS28" s="143"/>
      <c r="BT28" s="143"/>
      <c r="BU28" s="143"/>
      <c r="BV28" s="143"/>
      <c r="BW28" s="143"/>
      <c r="BX28" s="143"/>
      <c r="BY28" s="143"/>
      <c r="BZ28" s="143"/>
      <c r="CA28" s="143"/>
      <c r="CB28" s="143"/>
      <c r="CC28" s="143"/>
      <c r="CD28" s="143"/>
      <c r="CE28" s="143"/>
      <c r="CF28" s="143"/>
      <c r="CG28" s="143"/>
      <c r="CH28" s="143"/>
      <c r="CI28" s="143"/>
      <c r="CJ28" s="143"/>
      <c r="CK28" s="143"/>
      <c r="CL28" s="143"/>
      <c r="CM28" s="143"/>
      <c r="CN28" s="143"/>
      <c r="CO28" s="143"/>
      <c r="CP28" s="143"/>
      <c r="CQ28" s="143"/>
      <c r="CR28" s="143"/>
      <c r="CS28" s="143"/>
      <c r="CT28" s="143"/>
      <c r="CU28" s="143"/>
      <c r="CV28" s="143"/>
      <c r="CW28" s="143"/>
      <c r="CX28" s="143"/>
      <c r="CY28" s="143"/>
      <c r="CZ28" s="143"/>
      <c r="DA28" s="143"/>
      <c r="DB28" s="143"/>
      <c r="DC28" s="143"/>
      <c r="DD28" s="143"/>
      <c r="DE28" s="143"/>
      <c r="DF28" s="143"/>
      <c r="DG28" s="143"/>
      <c r="DH28" s="143"/>
      <c r="DI28" s="143"/>
      <c r="DJ28" s="143"/>
      <c r="DK28" s="143"/>
      <c r="DL28" s="143"/>
      <c r="DM28" s="143"/>
      <c r="DN28" s="143"/>
      <c r="DO28" s="143"/>
      <c r="DP28" s="143"/>
      <c r="DQ28" s="143"/>
      <c r="DR28" s="143"/>
      <c r="DS28" s="143"/>
      <c r="DT28" s="143"/>
      <c r="DU28" s="143"/>
      <c r="DV28" s="143"/>
      <c r="DW28" s="143"/>
      <c r="DX28" s="143"/>
      <c r="DY28" s="143"/>
      <c r="DZ28" s="143"/>
      <c r="EA28" s="143"/>
      <c r="EB28" s="143"/>
      <c r="EC28" s="143"/>
      <c r="ED28" s="143"/>
      <c r="EE28" s="143"/>
      <c r="EF28" s="143"/>
      <c r="EG28" s="143"/>
      <c r="EH28" s="143"/>
      <c r="EI28" s="143"/>
      <c r="EJ28" s="143"/>
      <c r="EK28" s="143"/>
      <c r="EL28" s="143"/>
      <c r="EM28" s="143"/>
      <c r="EN28" s="143"/>
      <c r="EO28" s="143"/>
      <c r="EP28" s="143"/>
      <c r="EQ28" s="143"/>
      <c r="ER28" s="143"/>
      <c r="ES28" s="143"/>
      <c r="ET28" s="143"/>
      <c r="EU28" s="143"/>
      <c r="EV28" s="143"/>
      <c r="EW28" s="143"/>
      <c r="EX28" s="143"/>
      <c r="EY28" s="143"/>
      <c r="EZ28" s="143"/>
      <c r="FA28" s="143"/>
      <c r="FB28" s="143"/>
      <c r="FC28" s="143"/>
      <c r="FD28" s="143"/>
      <c r="FE28" s="143"/>
      <c r="FF28" s="143"/>
      <c r="FG28" s="143"/>
      <c r="FH28" s="143"/>
      <c r="FI28" s="143"/>
      <c r="FJ28" s="143"/>
      <c r="FK28" s="143"/>
      <c r="FL28" s="143"/>
      <c r="FM28" s="143"/>
      <c r="FN28" s="143"/>
      <c r="FO28" s="143"/>
      <c r="FP28" s="143"/>
      <c r="FQ28" s="143"/>
      <c r="FR28" s="143"/>
      <c r="FS28" s="143"/>
      <c r="FT28" s="143"/>
      <c r="FU28" s="143"/>
      <c r="FV28" s="143"/>
      <c r="FW28" s="143"/>
      <c r="FX28" s="143"/>
      <c r="FY28" s="143"/>
      <c r="FZ28" s="143"/>
      <c r="GA28" s="143"/>
      <c r="GB28" s="143"/>
      <c r="GC28" s="143"/>
      <c r="GD28" s="143"/>
      <c r="GE28" s="143"/>
      <c r="GF28" s="143"/>
      <c r="GG28" s="143"/>
      <c r="GH28" s="143"/>
      <c r="GI28" s="143"/>
      <c r="GJ28" s="143"/>
      <c r="GK28" s="143"/>
      <c r="GL28" s="143"/>
      <c r="GM28" s="143"/>
      <c r="GN28" s="143"/>
      <c r="GO28" s="143"/>
      <c r="GP28" s="143"/>
      <c r="GQ28" s="143"/>
      <c r="GR28" s="143"/>
      <c r="GS28" s="151"/>
      <c r="GT28" s="151"/>
      <c r="GU28" s="151"/>
      <c r="GV28" s="151"/>
      <c r="GW28" s="151"/>
      <c r="GX28" s="151"/>
      <c r="GY28" s="151"/>
      <c r="GZ28" s="151"/>
      <c r="HA28" s="151"/>
      <c r="HB28" s="151"/>
      <c r="HC28" s="151"/>
      <c r="HD28" s="151"/>
      <c r="HE28" s="151"/>
      <c r="HF28" s="151"/>
      <c r="HG28" s="151"/>
      <c r="HH28" s="151"/>
    </row>
    <row r="29" s="79" customFormat="1" ht="18" customHeight="1" spans="1:216">
      <c r="A29" s="128" t="s">
        <v>157</v>
      </c>
      <c r="B29" s="30">
        <v>1506</v>
      </c>
      <c r="C29" s="33" t="s">
        <v>108</v>
      </c>
      <c r="D29" s="30">
        <v>150</v>
      </c>
      <c r="E29" s="31" t="s">
        <v>96</v>
      </c>
      <c r="F29" s="74">
        <v>2.031</v>
      </c>
      <c r="G29" s="131">
        <f t="shared" si="4"/>
        <v>26.65</v>
      </c>
      <c r="H29" s="132">
        <f t="shared" ref="H29:H34" si="7">ROUND(F29*1968.5,2)</f>
        <v>3998.02</v>
      </c>
      <c r="I29" s="147"/>
      <c r="J29" s="143"/>
      <c r="K29" s="74">
        <v>1.863</v>
      </c>
      <c r="L29" s="148">
        <f>ROUND(K29*1.09,3)</f>
        <v>2.031</v>
      </c>
      <c r="M29" s="149">
        <f t="shared" si="6"/>
        <v>0.0901771336553947</v>
      </c>
      <c r="N29" s="150">
        <f t="shared" si="5"/>
        <v>26.65349</v>
      </c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  <c r="BJ29" s="143"/>
      <c r="BK29" s="143"/>
      <c r="BL29" s="143"/>
      <c r="BM29" s="143"/>
      <c r="BN29" s="143"/>
      <c r="BO29" s="143"/>
      <c r="BP29" s="143"/>
      <c r="BQ29" s="143"/>
      <c r="BR29" s="143"/>
      <c r="BS29" s="143"/>
      <c r="BT29" s="143"/>
      <c r="BU29" s="143"/>
      <c r="BV29" s="143"/>
      <c r="BW29" s="143"/>
      <c r="BX29" s="143"/>
      <c r="BY29" s="143"/>
      <c r="BZ29" s="143"/>
      <c r="CA29" s="143"/>
      <c r="CB29" s="143"/>
      <c r="CC29" s="143"/>
      <c r="CD29" s="143"/>
      <c r="CE29" s="143"/>
      <c r="CF29" s="143"/>
      <c r="CG29" s="143"/>
      <c r="CH29" s="143"/>
      <c r="CI29" s="143"/>
      <c r="CJ29" s="143"/>
      <c r="CK29" s="143"/>
      <c r="CL29" s="143"/>
      <c r="CM29" s="143"/>
      <c r="CN29" s="143"/>
      <c r="CO29" s="143"/>
      <c r="CP29" s="143"/>
      <c r="CQ29" s="143"/>
      <c r="CR29" s="143"/>
      <c r="CS29" s="143"/>
      <c r="CT29" s="143"/>
      <c r="CU29" s="143"/>
      <c r="CV29" s="143"/>
      <c r="CW29" s="143"/>
      <c r="CX29" s="143"/>
      <c r="CY29" s="143"/>
      <c r="CZ29" s="143"/>
      <c r="DA29" s="143"/>
      <c r="DB29" s="143"/>
      <c r="DC29" s="143"/>
      <c r="DD29" s="143"/>
      <c r="DE29" s="143"/>
      <c r="DF29" s="143"/>
      <c r="DG29" s="143"/>
      <c r="DH29" s="143"/>
      <c r="DI29" s="143"/>
      <c r="DJ29" s="143"/>
      <c r="DK29" s="143"/>
      <c r="DL29" s="143"/>
      <c r="DM29" s="143"/>
      <c r="DN29" s="143"/>
      <c r="DO29" s="143"/>
      <c r="DP29" s="143"/>
      <c r="DQ29" s="143"/>
      <c r="DR29" s="143"/>
      <c r="DS29" s="143"/>
      <c r="DT29" s="143"/>
      <c r="DU29" s="143"/>
      <c r="DV29" s="143"/>
      <c r="DW29" s="143"/>
      <c r="DX29" s="143"/>
      <c r="DY29" s="143"/>
      <c r="DZ29" s="143"/>
      <c r="EA29" s="143"/>
      <c r="EB29" s="143"/>
      <c r="EC29" s="143"/>
      <c r="ED29" s="143"/>
      <c r="EE29" s="143"/>
      <c r="EF29" s="143"/>
      <c r="EG29" s="143"/>
      <c r="EH29" s="143"/>
      <c r="EI29" s="143"/>
      <c r="EJ29" s="143"/>
      <c r="EK29" s="143"/>
      <c r="EL29" s="143"/>
      <c r="EM29" s="143"/>
      <c r="EN29" s="143"/>
      <c r="EO29" s="143"/>
      <c r="EP29" s="143"/>
      <c r="EQ29" s="143"/>
      <c r="ER29" s="143"/>
      <c r="ES29" s="143"/>
      <c r="ET29" s="143"/>
      <c r="EU29" s="143"/>
      <c r="EV29" s="143"/>
      <c r="EW29" s="143"/>
      <c r="EX29" s="143"/>
      <c r="EY29" s="143"/>
      <c r="EZ29" s="143"/>
      <c r="FA29" s="143"/>
      <c r="FB29" s="143"/>
      <c r="FC29" s="143"/>
      <c r="FD29" s="143"/>
      <c r="FE29" s="143"/>
      <c r="FF29" s="143"/>
      <c r="FG29" s="143"/>
      <c r="FH29" s="143"/>
      <c r="FI29" s="143"/>
      <c r="FJ29" s="143"/>
      <c r="FK29" s="143"/>
      <c r="FL29" s="143"/>
      <c r="FM29" s="143"/>
      <c r="FN29" s="143"/>
      <c r="FO29" s="143"/>
      <c r="FP29" s="143"/>
      <c r="FQ29" s="143"/>
      <c r="FR29" s="143"/>
      <c r="FS29" s="143"/>
      <c r="FT29" s="143"/>
      <c r="FU29" s="143"/>
      <c r="FV29" s="143"/>
      <c r="FW29" s="143"/>
      <c r="FX29" s="143"/>
      <c r="FY29" s="143"/>
      <c r="FZ29" s="143"/>
      <c r="GA29" s="143"/>
      <c r="GB29" s="143"/>
      <c r="GC29" s="143"/>
      <c r="GD29" s="143"/>
      <c r="GE29" s="143"/>
      <c r="GF29" s="143"/>
      <c r="GG29" s="143"/>
      <c r="GH29" s="143"/>
      <c r="GI29" s="143"/>
      <c r="GJ29" s="143"/>
      <c r="GK29" s="143"/>
      <c r="GL29" s="143"/>
      <c r="GM29" s="143"/>
      <c r="GN29" s="143"/>
      <c r="GO29" s="143"/>
      <c r="GP29" s="143"/>
      <c r="GQ29" s="143"/>
      <c r="GR29" s="143"/>
      <c r="GS29" s="151"/>
      <c r="GT29" s="151"/>
      <c r="GU29" s="151"/>
      <c r="GV29" s="151"/>
      <c r="GW29" s="151"/>
      <c r="GX29" s="151"/>
      <c r="GY29" s="151"/>
      <c r="GZ29" s="151"/>
      <c r="HA29" s="151"/>
      <c r="HB29" s="151"/>
      <c r="HC29" s="151"/>
      <c r="HD29" s="151"/>
      <c r="HE29" s="151"/>
      <c r="HF29" s="151"/>
      <c r="HG29" s="151"/>
      <c r="HH29" s="151"/>
    </row>
    <row r="30" s="79" customFormat="1" ht="18" customHeight="1" spans="1:216">
      <c r="A30" s="128" t="s">
        <v>157</v>
      </c>
      <c r="B30" s="30">
        <v>1506</v>
      </c>
      <c r="C30" s="33" t="s">
        <v>112</v>
      </c>
      <c r="D30" s="30">
        <v>150</v>
      </c>
      <c r="E30" s="31" t="s">
        <v>110</v>
      </c>
      <c r="F30" s="74">
        <v>2.092</v>
      </c>
      <c r="G30" s="131">
        <f t="shared" si="4"/>
        <v>27.45</v>
      </c>
      <c r="H30" s="132">
        <f t="shared" si="7"/>
        <v>4118.1</v>
      </c>
      <c r="I30" s="147"/>
      <c r="J30" s="143"/>
      <c r="K30" s="74">
        <v>1.919</v>
      </c>
      <c r="L30" s="148">
        <f>ROUND(K30*1.09,3)</f>
        <v>2.092</v>
      </c>
      <c r="M30" s="149">
        <f t="shared" si="6"/>
        <v>0.0901511203751955</v>
      </c>
      <c r="N30" s="150">
        <f t="shared" si="5"/>
        <v>27.4540133333333</v>
      </c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  <c r="BR30" s="143"/>
      <c r="BS30" s="143"/>
      <c r="BT30" s="143"/>
      <c r="BU30" s="143"/>
      <c r="BV30" s="143"/>
      <c r="BW30" s="143"/>
      <c r="BX30" s="143"/>
      <c r="BY30" s="143"/>
      <c r="BZ30" s="143"/>
      <c r="CA30" s="143"/>
      <c r="CB30" s="143"/>
      <c r="CC30" s="143"/>
      <c r="CD30" s="143"/>
      <c r="CE30" s="143"/>
      <c r="CF30" s="143"/>
      <c r="CG30" s="143"/>
      <c r="CH30" s="143"/>
      <c r="CI30" s="143"/>
      <c r="CJ30" s="143"/>
      <c r="CK30" s="143"/>
      <c r="CL30" s="143"/>
      <c r="CM30" s="143"/>
      <c r="CN30" s="143"/>
      <c r="CO30" s="143"/>
      <c r="CP30" s="143"/>
      <c r="CQ30" s="143"/>
      <c r="CR30" s="143"/>
      <c r="CS30" s="143"/>
      <c r="CT30" s="143"/>
      <c r="CU30" s="143"/>
      <c r="CV30" s="143"/>
      <c r="CW30" s="143"/>
      <c r="CX30" s="143"/>
      <c r="CY30" s="143"/>
      <c r="CZ30" s="143"/>
      <c r="DA30" s="143"/>
      <c r="DB30" s="143"/>
      <c r="DC30" s="143"/>
      <c r="DD30" s="143"/>
      <c r="DE30" s="143"/>
      <c r="DF30" s="143"/>
      <c r="DG30" s="143"/>
      <c r="DH30" s="143"/>
      <c r="DI30" s="143"/>
      <c r="DJ30" s="143"/>
      <c r="DK30" s="143"/>
      <c r="DL30" s="143"/>
      <c r="DM30" s="143"/>
      <c r="DN30" s="143"/>
      <c r="DO30" s="143"/>
      <c r="DP30" s="143"/>
      <c r="DQ30" s="143"/>
      <c r="DR30" s="143"/>
      <c r="DS30" s="143"/>
      <c r="DT30" s="143"/>
      <c r="DU30" s="143"/>
      <c r="DV30" s="143"/>
      <c r="DW30" s="143"/>
      <c r="DX30" s="143"/>
      <c r="DY30" s="143"/>
      <c r="DZ30" s="143"/>
      <c r="EA30" s="143"/>
      <c r="EB30" s="143"/>
      <c r="EC30" s="143"/>
      <c r="ED30" s="143"/>
      <c r="EE30" s="143"/>
      <c r="EF30" s="143"/>
      <c r="EG30" s="143"/>
      <c r="EH30" s="143"/>
      <c r="EI30" s="143"/>
      <c r="EJ30" s="143"/>
      <c r="EK30" s="143"/>
      <c r="EL30" s="143"/>
      <c r="EM30" s="143"/>
      <c r="EN30" s="143"/>
      <c r="EO30" s="143"/>
      <c r="EP30" s="143"/>
      <c r="EQ30" s="143"/>
      <c r="ER30" s="143"/>
      <c r="ES30" s="143"/>
      <c r="ET30" s="143"/>
      <c r="EU30" s="143"/>
      <c r="EV30" s="143"/>
      <c r="EW30" s="143"/>
      <c r="EX30" s="143"/>
      <c r="EY30" s="143"/>
      <c r="EZ30" s="143"/>
      <c r="FA30" s="143"/>
      <c r="FB30" s="143"/>
      <c r="FC30" s="143"/>
      <c r="FD30" s="143"/>
      <c r="FE30" s="143"/>
      <c r="FF30" s="143"/>
      <c r="FG30" s="143"/>
      <c r="FH30" s="143"/>
      <c r="FI30" s="143"/>
      <c r="FJ30" s="143"/>
      <c r="FK30" s="143"/>
      <c r="FL30" s="143"/>
      <c r="FM30" s="143"/>
      <c r="FN30" s="143"/>
      <c r="FO30" s="143"/>
      <c r="FP30" s="143"/>
      <c r="FQ30" s="143"/>
      <c r="FR30" s="143"/>
      <c r="FS30" s="143"/>
      <c r="FT30" s="143"/>
      <c r="FU30" s="143"/>
      <c r="FV30" s="143"/>
      <c r="FW30" s="143"/>
      <c r="FX30" s="143"/>
      <c r="FY30" s="143"/>
      <c r="FZ30" s="143"/>
      <c r="GA30" s="143"/>
      <c r="GB30" s="143"/>
      <c r="GC30" s="143"/>
      <c r="GD30" s="143"/>
      <c r="GE30" s="143"/>
      <c r="GF30" s="143"/>
      <c r="GG30" s="143"/>
      <c r="GH30" s="143"/>
      <c r="GI30" s="143"/>
      <c r="GJ30" s="143"/>
      <c r="GK30" s="143"/>
      <c r="GL30" s="143"/>
      <c r="GM30" s="143"/>
      <c r="GN30" s="143"/>
      <c r="GO30" s="143"/>
      <c r="GP30" s="143"/>
      <c r="GQ30" s="143"/>
      <c r="GR30" s="143"/>
      <c r="GS30" s="151"/>
      <c r="GT30" s="151"/>
      <c r="GU30" s="151"/>
      <c r="GV30" s="151"/>
      <c r="GW30" s="151"/>
      <c r="GX30" s="151"/>
      <c r="GY30" s="151"/>
      <c r="GZ30" s="151"/>
      <c r="HA30" s="151"/>
      <c r="HB30" s="151"/>
      <c r="HC30" s="151"/>
      <c r="HD30" s="151"/>
      <c r="HE30" s="151"/>
      <c r="HF30" s="151"/>
      <c r="HG30" s="151"/>
      <c r="HH30" s="151"/>
    </row>
    <row r="31" s="79" customFormat="1" ht="18" customHeight="1" spans="1:216">
      <c r="A31" s="128" t="s">
        <v>157</v>
      </c>
      <c r="B31" s="30">
        <v>7628</v>
      </c>
      <c r="C31" s="33" t="s">
        <v>107</v>
      </c>
      <c r="D31" s="30">
        <v>150</v>
      </c>
      <c r="E31" s="31" t="s">
        <v>96</v>
      </c>
      <c r="F31" s="74">
        <v>1.863</v>
      </c>
      <c r="G31" s="131">
        <f t="shared" si="4"/>
        <v>24.45</v>
      </c>
      <c r="H31" s="132">
        <f t="shared" si="7"/>
        <v>3667.32</v>
      </c>
      <c r="I31" s="147"/>
      <c r="J31" s="143"/>
      <c r="K31" s="74">
        <v>1.694</v>
      </c>
      <c r="L31" s="148">
        <f>ROUND(K31*1.1,3)</f>
        <v>1.863</v>
      </c>
      <c r="M31" s="149">
        <f t="shared" si="6"/>
        <v>0.0997638724911452</v>
      </c>
      <c r="N31" s="150">
        <f t="shared" si="5"/>
        <v>24.44877</v>
      </c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  <c r="BP31" s="143"/>
      <c r="BQ31" s="143"/>
      <c r="BR31" s="143"/>
      <c r="BS31" s="143"/>
      <c r="BT31" s="143"/>
      <c r="BU31" s="143"/>
      <c r="BV31" s="143"/>
      <c r="BW31" s="143"/>
      <c r="BX31" s="143"/>
      <c r="BY31" s="143"/>
      <c r="BZ31" s="143"/>
      <c r="CA31" s="143"/>
      <c r="CB31" s="143"/>
      <c r="CC31" s="143"/>
      <c r="CD31" s="143"/>
      <c r="CE31" s="143"/>
      <c r="CF31" s="143"/>
      <c r="CG31" s="143"/>
      <c r="CH31" s="143"/>
      <c r="CI31" s="143"/>
      <c r="CJ31" s="143"/>
      <c r="CK31" s="143"/>
      <c r="CL31" s="143"/>
      <c r="CM31" s="143"/>
      <c r="CN31" s="143"/>
      <c r="CO31" s="143"/>
      <c r="CP31" s="143"/>
      <c r="CQ31" s="143"/>
      <c r="CR31" s="143"/>
      <c r="CS31" s="143"/>
      <c r="CT31" s="143"/>
      <c r="CU31" s="143"/>
      <c r="CV31" s="143"/>
      <c r="CW31" s="143"/>
      <c r="CX31" s="143"/>
      <c r="CY31" s="143"/>
      <c r="CZ31" s="143"/>
      <c r="DA31" s="143"/>
      <c r="DB31" s="143"/>
      <c r="DC31" s="143"/>
      <c r="DD31" s="143"/>
      <c r="DE31" s="143"/>
      <c r="DF31" s="143"/>
      <c r="DG31" s="143"/>
      <c r="DH31" s="143"/>
      <c r="DI31" s="143"/>
      <c r="DJ31" s="143"/>
      <c r="DK31" s="143"/>
      <c r="DL31" s="143"/>
      <c r="DM31" s="143"/>
      <c r="DN31" s="143"/>
      <c r="DO31" s="143"/>
      <c r="DP31" s="143"/>
      <c r="DQ31" s="143"/>
      <c r="DR31" s="143"/>
      <c r="DS31" s="143"/>
      <c r="DT31" s="143"/>
      <c r="DU31" s="143"/>
      <c r="DV31" s="143"/>
      <c r="DW31" s="143"/>
      <c r="DX31" s="143"/>
      <c r="DY31" s="143"/>
      <c r="DZ31" s="143"/>
      <c r="EA31" s="143"/>
      <c r="EB31" s="143"/>
      <c r="EC31" s="143"/>
      <c r="ED31" s="143"/>
      <c r="EE31" s="143"/>
      <c r="EF31" s="143"/>
      <c r="EG31" s="143"/>
      <c r="EH31" s="143"/>
      <c r="EI31" s="143"/>
      <c r="EJ31" s="143"/>
      <c r="EK31" s="143"/>
      <c r="EL31" s="143"/>
      <c r="EM31" s="143"/>
      <c r="EN31" s="143"/>
      <c r="EO31" s="143"/>
      <c r="EP31" s="143"/>
      <c r="EQ31" s="143"/>
      <c r="ER31" s="143"/>
      <c r="ES31" s="143"/>
      <c r="ET31" s="143"/>
      <c r="EU31" s="143"/>
      <c r="EV31" s="143"/>
      <c r="EW31" s="143"/>
      <c r="EX31" s="143"/>
      <c r="EY31" s="143"/>
      <c r="EZ31" s="143"/>
      <c r="FA31" s="143"/>
      <c r="FB31" s="143"/>
      <c r="FC31" s="143"/>
      <c r="FD31" s="143"/>
      <c r="FE31" s="143"/>
      <c r="FF31" s="143"/>
      <c r="FG31" s="143"/>
      <c r="FH31" s="143"/>
      <c r="FI31" s="143"/>
      <c r="FJ31" s="143"/>
      <c r="FK31" s="143"/>
      <c r="FL31" s="143"/>
      <c r="FM31" s="143"/>
      <c r="FN31" s="143"/>
      <c r="FO31" s="143"/>
      <c r="FP31" s="143"/>
      <c r="FQ31" s="143"/>
      <c r="FR31" s="143"/>
      <c r="FS31" s="143"/>
      <c r="FT31" s="143"/>
      <c r="FU31" s="143"/>
      <c r="FV31" s="143"/>
      <c r="FW31" s="143"/>
      <c r="FX31" s="143"/>
      <c r="FY31" s="143"/>
      <c r="FZ31" s="143"/>
      <c r="GA31" s="143"/>
      <c r="GB31" s="143"/>
      <c r="GC31" s="143"/>
      <c r="GD31" s="143"/>
      <c r="GE31" s="143"/>
      <c r="GF31" s="143"/>
      <c r="GG31" s="143"/>
      <c r="GH31" s="143"/>
      <c r="GI31" s="143"/>
      <c r="GJ31" s="143"/>
      <c r="GK31" s="143"/>
      <c r="GL31" s="143"/>
      <c r="GM31" s="143"/>
      <c r="GN31" s="143"/>
      <c r="GO31" s="143"/>
      <c r="GP31" s="143"/>
      <c r="GQ31" s="143"/>
      <c r="GR31" s="143"/>
      <c r="GS31" s="151"/>
      <c r="GT31" s="151"/>
      <c r="GU31" s="151"/>
      <c r="GV31" s="151"/>
      <c r="GW31" s="151"/>
      <c r="GX31" s="151"/>
      <c r="GY31" s="151"/>
      <c r="GZ31" s="151"/>
      <c r="HA31" s="151"/>
      <c r="HB31" s="151"/>
      <c r="HC31" s="151"/>
      <c r="HD31" s="151"/>
      <c r="HE31" s="151"/>
      <c r="HF31" s="151"/>
      <c r="HG31" s="151"/>
      <c r="HH31" s="151"/>
    </row>
    <row r="32" s="79" customFormat="1" ht="18" customHeight="1" spans="1:216">
      <c r="A32" s="128" t="s">
        <v>157</v>
      </c>
      <c r="B32" s="30">
        <v>7628</v>
      </c>
      <c r="C32" s="33" t="s">
        <v>108</v>
      </c>
      <c r="D32" s="30">
        <v>150</v>
      </c>
      <c r="E32" s="31" t="s">
        <v>96</v>
      </c>
      <c r="F32" s="74">
        <v>1.948</v>
      </c>
      <c r="G32" s="131">
        <f t="shared" si="4"/>
        <v>25.56</v>
      </c>
      <c r="H32" s="132">
        <f t="shared" si="7"/>
        <v>3834.64</v>
      </c>
      <c r="I32" s="147"/>
      <c r="J32" s="143"/>
      <c r="K32" s="74">
        <v>1.771</v>
      </c>
      <c r="L32" s="148">
        <f>ROUND(K32*1.1,3)</f>
        <v>1.948</v>
      </c>
      <c r="M32" s="149">
        <f t="shared" si="6"/>
        <v>0.0999435347261435</v>
      </c>
      <c r="N32" s="150">
        <f t="shared" si="5"/>
        <v>25.5642533333333</v>
      </c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3"/>
      <c r="BQ32" s="143"/>
      <c r="BR32" s="143"/>
      <c r="BS32" s="143"/>
      <c r="BT32" s="143"/>
      <c r="BU32" s="143"/>
      <c r="BV32" s="143"/>
      <c r="BW32" s="143"/>
      <c r="BX32" s="143"/>
      <c r="BY32" s="143"/>
      <c r="BZ32" s="143"/>
      <c r="CA32" s="143"/>
      <c r="CB32" s="143"/>
      <c r="CC32" s="143"/>
      <c r="CD32" s="143"/>
      <c r="CE32" s="143"/>
      <c r="CF32" s="143"/>
      <c r="CG32" s="143"/>
      <c r="CH32" s="143"/>
      <c r="CI32" s="143"/>
      <c r="CJ32" s="143"/>
      <c r="CK32" s="143"/>
      <c r="CL32" s="143"/>
      <c r="CM32" s="143"/>
      <c r="CN32" s="143"/>
      <c r="CO32" s="143"/>
      <c r="CP32" s="143"/>
      <c r="CQ32" s="143"/>
      <c r="CR32" s="143"/>
      <c r="CS32" s="143"/>
      <c r="CT32" s="143"/>
      <c r="CU32" s="143"/>
      <c r="CV32" s="143"/>
      <c r="CW32" s="143"/>
      <c r="CX32" s="143"/>
      <c r="CY32" s="143"/>
      <c r="CZ32" s="143"/>
      <c r="DA32" s="143"/>
      <c r="DB32" s="143"/>
      <c r="DC32" s="143"/>
      <c r="DD32" s="143"/>
      <c r="DE32" s="143"/>
      <c r="DF32" s="143"/>
      <c r="DG32" s="143"/>
      <c r="DH32" s="143"/>
      <c r="DI32" s="143"/>
      <c r="DJ32" s="143"/>
      <c r="DK32" s="143"/>
      <c r="DL32" s="143"/>
      <c r="DM32" s="143"/>
      <c r="DN32" s="143"/>
      <c r="DO32" s="143"/>
      <c r="DP32" s="143"/>
      <c r="DQ32" s="143"/>
      <c r="DR32" s="143"/>
      <c r="DS32" s="143"/>
      <c r="DT32" s="143"/>
      <c r="DU32" s="143"/>
      <c r="DV32" s="143"/>
      <c r="DW32" s="143"/>
      <c r="DX32" s="143"/>
      <c r="DY32" s="143"/>
      <c r="DZ32" s="143"/>
      <c r="EA32" s="143"/>
      <c r="EB32" s="143"/>
      <c r="EC32" s="143"/>
      <c r="ED32" s="143"/>
      <c r="EE32" s="143"/>
      <c r="EF32" s="143"/>
      <c r="EG32" s="143"/>
      <c r="EH32" s="143"/>
      <c r="EI32" s="143"/>
      <c r="EJ32" s="143"/>
      <c r="EK32" s="143"/>
      <c r="EL32" s="143"/>
      <c r="EM32" s="143"/>
      <c r="EN32" s="143"/>
      <c r="EO32" s="143"/>
      <c r="EP32" s="143"/>
      <c r="EQ32" s="143"/>
      <c r="ER32" s="143"/>
      <c r="ES32" s="143"/>
      <c r="ET32" s="143"/>
      <c r="EU32" s="143"/>
      <c r="EV32" s="143"/>
      <c r="EW32" s="143"/>
      <c r="EX32" s="143"/>
      <c r="EY32" s="143"/>
      <c r="EZ32" s="143"/>
      <c r="FA32" s="143"/>
      <c r="FB32" s="143"/>
      <c r="FC32" s="143"/>
      <c r="FD32" s="143"/>
      <c r="FE32" s="143"/>
      <c r="FF32" s="143"/>
      <c r="FG32" s="143"/>
      <c r="FH32" s="143"/>
      <c r="FI32" s="143"/>
      <c r="FJ32" s="143"/>
      <c r="FK32" s="143"/>
      <c r="FL32" s="143"/>
      <c r="FM32" s="143"/>
      <c r="FN32" s="143"/>
      <c r="FO32" s="143"/>
      <c r="FP32" s="143"/>
      <c r="FQ32" s="143"/>
      <c r="FR32" s="143"/>
      <c r="FS32" s="143"/>
      <c r="FT32" s="143"/>
      <c r="FU32" s="143"/>
      <c r="FV32" s="143"/>
      <c r="FW32" s="143"/>
      <c r="FX32" s="143"/>
      <c r="FY32" s="143"/>
      <c r="FZ32" s="143"/>
      <c r="GA32" s="143"/>
      <c r="GB32" s="143"/>
      <c r="GC32" s="143"/>
      <c r="GD32" s="143"/>
      <c r="GE32" s="143"/>
      <c r="GF32" s="143"/>
      <c r="GG32" s="143"/>
      <c r="GH32" s="143"/>
      <c r="GI32" s="143"/>
      <c r="GJ32" s="143"/>
      <c r="GK32" s="143"/>
      <c r="GL32" s="143"/>
      <c r="GM32" s="143"/>
      <c r="GN32" s="143"/>
      <c r="GO32" s="143"/>
      <c r="GP32" s="143"/>
      <c r="GQ32" s="143"/>
      <c r="GR32" s="143"/>
      <c r="GS32" s="151"/>
      <c r="GT32" s="151"/>
      <c r="GU32" s="151"/>
      <c r="GV32" s="151"/>
      <c r="GW32" s="151"/>
      <c r="GX32" s="151"/>
      <c r="GY32" s="151"/>
      <c r="GZ32" s="151"/>
      <c r="HA32" s="151"/>
      <c r="HB32" s="151"/>
      <c r="HC32" s="151"/>
      <c r="HD32" s="151"/>
      <c r="HE32" s="151"/>
      <c r="HF32" s="151"/>
      <c r="HG32" s="151"/>
      <c r="HH32" s="151"/>
    </row>
    <row r="33" s="79" customFormat="1" ht="18" customHeight="1" spans="1:235">
      <c r="A33" s="128" t="s">
        <v>157</v>
      </c>
      <c r="B33" s="30">
        <v>7628</v>
      </c>
      <c r="C33" s="33" t="s">
        <v>112</v>
      </c>
      <c r="D33" s="30">
        <v>150</v>
      </c>
      <c r="E33" s="31" t="s">
        <v>110</v>
      </c>
      <c r="F33" s="74">
        <v>1.972</v>
      </c>
      <c r="G33" s="131">
        <f t="shared" si="4"/>
        <v>25.88</v>
      </c>
      <c r="H33" s="132">
        <f t="shared" si="7"/>
        <v>3881.88</v>
      </c>
      <c r="I33" s="147"/>
      <c r="J33" s="143"/>
      <c r="K33" s="74">
        <v>1.793</v>
      </c>
      <c r="L33" s="148">
        <f>ROUND(K33*1.1,3)</f>
        <v>1.972</v>
      </c>
      <c r="M33" s="149">
        <f t="shared" si="6"/>
        <v>0.0998326826547686</v>
      </c>
      <c r="N33" s="150">
        <f t="shared" si="5"/>
        <v>25.8792133333333</v>
      </c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3"/>
      <c r="BQ33" s="143"/>
      <c r="BR33" s="143"/>
      <c r="BS33" s="143"/>
      <c r="BT33" s="143"/>
      <c r="BU33" s="143"/>
      <c r="BV33" s="143"/>
      <c r="BW33" s="143"/>
      <c r="BX33" s="143"/>
      <c r="BY33" s="143"/>
      <c r="BZ33" s="143"/>
      <c r="CA33" s="143"/>
      <c r="CB33" s="143"/>
      <c r="CC33" s="143"/>
      <c r="CD33" s="143"/>
      <c r="CE33" s="143"/>
      <c r="CF33" s="143"/>
      <c r="CG33" s="143"/>
      <c r="CH33" s="143"/>
      <c r="CI33" s="143"/>
      <c r="CJ33" s="143"/>
      <c r="CK33" s="143"/>
      <c r="CL33" s="143"/>
      <c r="CM33" s="143"/>
      <c r="CN33" s="143"/>
      <c r="CO33" s="143"/>
      <c r="CP33" s="143"/>
      <c r="CQ33" s="143"/>
      <c r="CR33" s="143"/>
      <c r="CS33" s="143"/>
      <c r="CT33" s="143"/>
      <c r="CU33" s="143"/>
      <c r="CV33" s="143"/>
      <c r="CW33" s="143"/>
      <c r="CX33" s="143"/>
      <c r="CY33" s="143"/>
      <c r="CZ33" s="143"/>
      <c r="DA33" s="143"/>
      <c r="DB33" s="143"/>
      <c r="DC33" s="143"/>
      <c r="DD33" s="143"/>
      <c r="DE33" s="143"/>
      <c r="DF33" s="143"/>
      <c r="DG33" s="143"/>
      <c r="DH33" s="143"/>
      <c r="DI33" s="143"/>
      <c r="DJ33" s="143"/>
      <c r="DK33" s="143"/>
      <c r="DL33" s="143"/>
      <c r="DM33" s="143"/>
      <c r="DN33" s="143"/>
      <c r="DO33" s="143"/>
      <c r="DP33" s="143"/>
      <c r="DQ33" s="143"/>
      <c r="DR33" s="143"/>
      <c r="DS33" s="143"/>
      <c r="DT33" s="143"/>
      <c r="DU33" s="143"/>
      <c r="DV33" s="143"/>
      <c r="DW33" s="143"/>
      <c r="DX33" s="143"/>
      <c r="DY33" s="143"/>
      <c r="DZ33" s="143"/>
      <c r="EA33" s="143"/>
      <c r="EB33" s="143"/>
      <c r="EC33" s="143"/>
      <c r="ED33" s="143"/>
      <c r="EE33" s="143"/>
      <c r="EF33" s="143"/>
      <c r="EG33" s="143"/>
      <c r="EH33" s="143"/>
      <c r="EI33" s="143"/>
      <c r="EJ33" s="143"/>
      <c r="EK33" s="143"/>
      <c r="EL33" s="143"/>
      <c r="EM33" s="143"/>
      <c r="EN33" s="143"/>
      <c r="EO33" s="143"/>
      <c r="EP33" s="143"/>
      <c r="EQ33" s="143"/>
      <c r="ER33" s="143"/>
      <c r="ES33" s="143"/>
      <c r="ET33" s="143"/>
      <c r="EU33" s="143"/>
      <c r="EV33" s="143"/>
      <c r="EW33" s="143"/>
      <c r="EX33" s="143"/>
      <c r="EY33" s="143"/>
      <c r="EZ33" s="143"/>
      <c r="FA33" s="143"/>
      <c r="FB33" s="143"/>
      <c r="FC33" s="143"/>
      <c r="FD33" s="143"/>
      <c r="FE33" s="143"/>
      <c r="FF33" s="143"/>
      <c r="FG33" s="143"/>
      <c r="FH33" s="143"/>
      <c r="FI33" s="143"/>
      <c r="FJ33" s="143"/>
      <c r="FK33" s="143"/>
      <c r="FL33" s="143"/>
      <c r="FM33" s="143"/>
      <c r="FN33" s="143"/>
      <c r="FO33" s="143"/>
      <c r="FP33" s="143"/>
      <c r="FQ33" s="143"/>
      <c r="FR33" s="143"/>
      <c r="FS33" s="143"/>
      <c r="FT33" s="143"/>
      <c r="FU33" s="143"/>
      <c r="FV33" s="143"/>
      <c r="FW33" s="143"/>
      <c r="FX33" s="143"/>
      <c r="FY33" s="143"/>
      <c r="FZ33" s="143"/>
      <c r="GA33" s="143"/>
      <c r="GB33" s="143"/>
      <c r="GC33" s="143"/>
      <c r="GD33" s="143"/>
      <c r="GE33" s="143"/>
      <c r="GF33" s="143"/>
      <c r="GG33" s="143"/>
      <c r="GH33" s="143"/>
      <c r="GI33" s="143"/>
      <c r="GJ33" s="143"/>
      <c r="GK33" s="143"/>
      <c r="GL33" s="143"/>
      <c r="GM33" s="143"/>
      <c r="GN33" s="143"/>
      <c r="GO33" s="143"/>
      <c r="GP33" s="143"/>
      <c r="GQ33" s="143"/>
      <c r="GR33" s="143"/>
      <c r="GS33" s="151"/>
      <c r="GT33" s="151"/>
      <c r="GU33" s="151"/>
      <c r="GV33" s="151"/>
      <c r="GW33" s="151"/>
      <c r="GX33" s="151"/>
      <c r="GY33" s="151"/>
      <c r="GZ33" s="151"/>
      <c r="HA33" s="151"/>
      <c r="HB33" s="151"/>
      <c r="HC33" s="151"/>
      <c r="HD33" s="151"/>
      <c r="HE33" s="151"/>
      <c r="HF33" s="151"/>
      <c r="HG33" s="151"/>
      <c r="HH33" s="151"/>
    </row>
    <row r="34" s="79" customFormat="1" ht="18" customHeight="1" spans="1:235">
      <c r="A34" s="133" t="s">
        <v>157</v>
      </c>
      <c r="B34" s="134">
        <v>7628</v>
      </c>
      <c r="C34" s="135" t="s">
        <v>113</v>
      </c>
      <c r="D34" s="134">
        <v>150</v>
      </c>
      <c r="E34" s="136" t="s">
        <v>110</v>
      </c>
      <c r="F34" s="137">
        <v>2.123</v>
      </c>
      <c r="G34" s="138">
        <f t="shared" si="4"/>
        <v>27.86</v>
      </c>
      <c r="H34" s="139">
        <f t="shared" si="7"/>
        <v>4179.13</v>
      </c>
      <c r="I34" s="147"/>
      <c r="J34" s="143"/>
      <c r="K34" s="137">
        <v>1.93</v>
      </c>
      <c r="L34" s="148">
        <f>ROUND(K34*1.1,3)</f>
        <v>2.123</v>
      </c>
      <c r="M34" s="149">
        <f t="shared" si="6"/>
        <v>0.1</v>
      </c>
      <c r="N34" s="150">
        <f t="shared" si="5"/>
        <v>27.8608366666667</v>
      </c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3"/>
      <c r="BN34" s="143"/>
      <c r="BO34" s="143"/>
      <c r="BP34" s="143"/>
      <c r="BQ34" s="143"/>
      <c r="BR34" s="143"/>
      <c r="BS34" s="143"/>
      <c r="BT34" s="143"/>
      <c r="BU34" s="143"/>
      <c r="BV34" s="143"/>
      <c r="BW34" s="143"/>
      <c r="BX34" s="143"/>
      <c r="BY34" s="143"/>
      <c r="BZ34" s="143"/>
      <c r="CA34" s="143"/>
      <c r="CB34" s="143"/>
      <c r="CC34" s="143"/>
      <c r="CD34" s="143"/>
      <c r="CE34" s="143"/>
      <c r="CF34" s="143"/>
      <c r="CG34" s="143"/>
      <c r="CH34" s="143"/>
      <c r="CI34" s="143"/>
      <c r="CJ34" s="143"/>
      <c r="CK34" s="143"/>
      <c r="CL34" s="143"/>
      <c r="CM34" s="143"/>
      <c r="CN34" s="143"/>
      <c r="CO34" s="143"/>
      <c r="CP34" s="143"/>
      <c r="CQ34" s="143"/>
      <c r="CR34" s="143"/>
      <c r="CS34" s="143"/>
      <c r="CT34" s="143"/>
      <c r="CU34" s="143"/>
      <c r="CV34" s="143"/>
      <c r="CW34" s="143"/>
      <c r="CX34" s="143"/>
      <c r="CY34" s="143"/>
      <c r="CZ34" s="143"/>
      <c r="DA34" s="143"/>
      <c r="DB34" s="143"/>
      <c r="DC34" s="143"/>
      <c r="DD34" s="143"/>
      <c r="DE34" s="143"/>
      <c r="DF34" s="143"/>
      <c r="DG34" s="143"/>
      <c r="DH34" s="143"/>
      <c r="DI34" s="143"/>
      <c r="DJ34" s="143"/>
      <c r="DK34" s="143"/>
      <c r="DL34" s="143"/>
      <c r="DM34" s="143"/>
      <c r="DN34" s="143"/>
      <c r="DO34" s="143"/>
      <c r="DP34" s="143"/>
      <c r="DQ34" s="143"/>
      <c r="DR34" s="143"/>
      <c r="DS34" s="143"/>
      <c r="DT34" s="143"/>
      <c r="DU34" s="143"/>
      <c r="DV34" s="143"/>
      <c r="DW34" s="143"/>
      <c r="DX34" s="143"/>
      <c r="DY34" s="143"/>
      <c r="DZ34" s="143"/>
      <c r="EA34" s="143"/>
      <c r="EB34" s="143"/>
      <c r="EC34" s="143"/>
      <c r="ED34" s="143"/>
      <c r="EE34" s="143"/>
      <c r="EF34" s="143"/>
      <c r="EG34" s="143"/>
      <c r="EH34" s="143"/>
      <c r="EI34" s="143"/>
      <c r="EJ34" s="143"/>
      <c r="EK34" s="143"/>
      <c r="EL34" s="143"/>
      <c r="EM34" s="143"/>
      <c r="EN34" s="143"/>
      <c r="EO34" s="143"/>
      <c r="EP34" s="143"/>
      <c r="EQ34" s="143"/>
      <c r="ER34" s="143"/>
      <c r="ES34" s="143"/>
      <c r="ET34" s="143"/>
      <c r="EU34" s="143"/>
      <c r="EV34" s="143"/>
      <c r="EW34" s="143"/>
      <c r="EX34" s="143"/>
      <c r="EY34" s="143"/>
      <c r="EZ34" s="143"/>
      <c r="FA34" s="143"/>
      <c r="FB34" s="143"/>
      <c r="FC34" s="143"/>
      <c r="FD34" s="143"/>
      <c r="FE34" s="143"/>
      <c r="FF34" s="143"/>
      <c r="FG34" s="143"/>
      <c r="FH34" s="143"/>
      <c r="FI34" s="143"/>
      <c r="FJ34" s="143"/>
      <c r="FK34" s="143"/>
      <c r="FL34" s="143"/>
      <c r="FM34" s="143"/>
      <c r="FN34" s="143"/>
      <c r="FO34" s="143"/>
      <c r="FP34" s="143"/>
      <c r="FQ34" s="143"/>
      <c r="FR34" s="143"/>
      <c r="FS34" s="143"/>
      <c r="FT34" s="143"/>
      <c r="FU34" s="143"/>
      <c r="FV34" s="143"/>
      <c r="FW34" s="143"/>
      <c r="FX34" s="143"/>
      <c r="FY34" s="143"/>
      <c r="FZ34" s="143"/>
      <c r="GA34" s="143"/>
      <c r="GB34" s="143"/>
      <c r="GC34" s="143"/>
      <c r="GD34" s="143"/>
      <c r="GE34" s="143"/>
      <c r="GF34" s="143"/>
      <c r="GG34" s="143"/>
      <c r="GH34" s="143"/>
      <c r="GI34" s="143"/>
      <c r="GJ34" s="143"/>
      <c r="GK34" s="143"/>
      <c r="GL34" s="143"/>
      <c r="GM34" s="143"/>
      <c r="GN34" s="143"/>
      <c r="GO34" s="143"/>
      <c r="GP34" s="143"/>
      <c r="GQ34" s="143"/>
      <c r="GR34" s="143"/>
      <c r="GS34" s="151"/>
      <c r="GT34" s="151"/>
      <c r="GU34" s="151"/>
      <c r="GV34" s="151"/>
      <c r="GW34" s="151"/>
      <c r="GX34" s="151"/>
      <c r="GY34" s="151"/>
      <c r="GZ34" s="151"/>
      <c r="HA34" s="151"/>
      <c r="HB34" s="151"/>
      <c r="HC34" s="151"/>
      <c r="HD34" s="151"/>
      <c r="HE34" s="151"/>
      <c r="HF34" s="151"/>
      <c r="HG34" s="151"/>
      <c r="HH34" s="151"/>
    </row>
    <row r="35" s="79" customFormat="1" spans="1:235">
      <c r="A35" s="152" t="s">
        <v>114</v>
      </c>
      <c r="B35" s="152"/>
      <c r="C35" s="152"/>
      <c r="D35" s="79"/>
      <c r="E35" s="79"/>
      <c r="F35" s="79"/>
      <c r="G35" s="79"/>
      <c r="H35" s="79"/>
      <c r="K35" s="9"/>
      <c r="L35" s="148"/>
      <c r="M35" s="17"/>
      <c r="N35" s="17"/>
    </row>
    <row r="36" s="79" customFormat="1" spans="1:235">
      <c r="A36" s="6" t="s">
        <v>115</v>
      </c>
      <c r="B36" s="6"/>
      <c r="C36" s="6"/>
      <c r="D36" s="79"/>
      <c r="E36" s="79"/>
      <c r="F36" s="79"/>
      <c r="G36" s="79"/>
      <c r="H36" s="79"/>
      <c r="K36" s="9"/>
      <c r="L36" s="148"/>
      <c r="M36" s="17"/>
      <c r="N36" s="17"/>
    </row>
    <row r="37" s="41" customFormat="1" spans="1:23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9"/>
      <c r="L37" s="118"/>
      <c r="M37" s="17"/>
      <c r="N37" s="17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  <c r="BZ37" s="79"/>
      <c r="CA37" s="79"/>
      <c r="CB37" s="79"/>
      <c r="CC37" s="79"/>
      <c r="CD37" s="79"/>
      <c r="CE37" s="79"/>
      <c r="CF37" s="79"/>
      <c r="CG37" s="79"/>
      <c r="CH37" s="79"/>
      <c r="CI37" s="79"/>
      <c r="CJ37" s="79"/>
      <c r="CK37" s="79"/>
      <c r="CL37" s="79"/>
      <c r="CM37" s="79"/>
      <c r="CN37" s="79"/>
      <c r="CO37" s="79"/>
      <c r="CP37" s="79"/>
      <c r="CQ37" s="79"/>
      <c r="CR37" s="79"/>
      <c r="CS37" s="79"/>
      <c r="CT37" s="79"/>
      <c r="CU37" s="79"/>
      <c r="CV37" s="79"/>
      <c r="CW37" s="79"/>
      <c r="CX37" s="79"/>
      <c r="CY37" s="79"/>
      <c r="CZ37" s="79"/>
      <c r="DA37" s="79"/>
      <c r="DB37" s="79"/>
      <c r="DC37" s="79"/>
      <c r="DD37" s="79"/>
      <c r="DE37" s="79"/>
      <c r="DF37" s="79"/>
      <c r="DG37" s="79"/>
      <c r="DH37" s="79"/>
      <c r="DI37" s="79"/>
      <c r="DJ37" s="79"/>
      <c r="DK37" s="79"/>
      <c r="DL37" s="79"/>
      <c r="DM37" s="79"/>
      <c r="DN37" s="79"/>
      <c r="DO37" s="79"/>
      <c r="DP37" s="79"/>
      <c r="DQ37" s="79"/>
      <c r="DR37" s="79"/>
      <c r="DS37" s="79"/>
      <c r="DT37" s="79"/>
      <c r="DU37" s="79"/>
      <c r="DV37" s="79"/>
      <c r="DW37" s="79"/>
      <c r="DX37" s="79"/>
      <c r="DY37" s="79"/>
      <c r="DZ37" s="79"/>
      <c r="EA37" s="79"/>
      <c r="EB37" s="79"/>
      <c r="EC37" s="79"/>
      <c r="ED37" s="79"/>
      <c r="EE37" s="79"/>
      <c r="EF37" s="79"/>
      <c r="EG37" s="79"/>
      <c r="EH37" s="79"/>
      <c r="EI37" s="79"/>
      <c r="EJ37" s="79"/>
      <c r="EK37" s="79"/>
      <c r="EL37" s="79"/>
      <c r="EM37" s="79"/>
      <c r="EN37" s="79"/>
      <c r="EO37" s="79"/>
      <c r="EP37" s="79"/>
      <c r="EQ37" s="79"/>
      <c r="ER37" s="79"/>
      <c r="ES37" s="79"/>
      <c r="ET37" s="79"/>
      <c r="EU37" s="79"/>
      <c r="EV37" s="79"/>
      <c r="EW37" s="79"/>
      <c r="EX37" s="79"/>
      <c r="EY37" s="79"/>
      <c r="EZ37" s="79"/>
      <c r="FA37" s="79"/>
      <c r="FB37" s="79"/>
      <c r="FC37" s="79"/>
      <c r="FD37" s="79"/>
      <c r="FE37" s="79"/>
      <c r="FF37" s="79"/>
      <c r="FG37" s="79"/>
      <c r="FH37" s="79"/>
      <c r="FI37" s="79"/>
      <c r="FJ37" s="79"/>
      <c r="FK37" s="79"/>
      <c r="FL37" s="79"/>
      <c r="FM37" s="79"/>
      <c r="FN37" s="79"/>
      <c r="FO37" s="79"/>
      <c r="FP37" s="79"/>
      <c r="FQ37" s="79"/>
      <c r="FR37" s="79"/>
      <c r="FS37" s="79"/>
      <c r="FT37" s="79"/>
      <c r="FU37" s="79"/>
      <c r="FV37" s="79"/>
      <c r="FW37" s="79"/>
      <c r="FX37" s="79"/>
      <c r="FY37" s="79"/>
      <c r="FZ37" s="79"/>
      <c r="GA37" s="79"/>
      <c r="GB37" s="79"/>
      <c r="GC37" s="79"/>
      <c r="GD37" s="79"/>
      <c r="GE37" s="79"/>
      <c r="GF37" s="79"/>
      <c r="GG37" s="79"/>
      <c r="GH37" s="79"/>
      <c r="GI37" s="79"/>
      <c r="GJ37" s="79"/>
      <c r="GK37" s="79"/>
      <c r="GL37" s="79"/>
      <c r="GM37" s="79"/>
      <c r="GN37" s="79"/>
      <c r="GO37" s="79"/>
      <c r="GP37" s="79"/>
      <c r="GQ37" s="79"/>
      <c r="GR37" s="79"/>
      <c r="GS37" s="79"/>
      <c r="GT37" s="79"/>
      <c r="GU37" s="79"/>
      <c r="GV37" s="79"/>
      <c r="GW37" s="79"/>
      <c r="GX37" s="79"/>
      <c r="GY37" s="79"/>
      <c r="GZ37" s="79"/>
      <c r="HA37" s="79"/>
      <c r="HB37" s="79"/>
      <c r="HC37" s="79"/>
      <c r="HD37" s="79"/>
      <c r="HE37" s="79"/>
      <c r="HF37" s="79"/>
      <c r="HG37" s="79"/>
      <c r="HH37" s="79"/>
      <c r="HI37" s="79"/>
      <c r="HJ37" s="79"/>
      <c r="HK37" s="79"/>
      <c r="HL37" s="79"/>
      <c r="HM37" s="79"/>
      <c r="HN37" s="79"/>
      <c r="HO37" s="79"/>
      <c r="HP37" s="79"/>
      <c r="HQ37" s="79"/>
      <c r="HR37" s="79"/>
      <c r="HS37" s="79"/>
      <c r="HT37" s="79"/>
      <c r="HU37" s="79"/>
      <c r="HV37" s="79"/>
      <c r="HW37" s="79"/>
      <c r="HX37" s="79"/>
      <c r="HY37" s="79"/>
      <c r="HZ37" s="79"/>
      <c r="IA37" s="79"/>
    </row>
    <row r="38" s="79" customFormat="1" spans="1:235">
      <c r="B38" s="79" t="s">
        <v>77</v>
      </c>
      <c r="C38" s="79"/>
      <c r="D38" s="79"/>
      <c r="E38" s="79"/>
      <c r="F38" s="79" t="s">
        <v>160</v>
      </c>
      <c r="G38" s="79"/>
      <c r="H38" s="79"/>
      <c r="K38" s="9"/>
      <c r="L38" s="118"/>
      <c r="M38" s="17"/>
      <c r="N38" s="17"/>
    </row>
    <row r="39" s="79" customFormat="1" spans="1:235">
      <c r="K39" s="9"/>
      <c r="L39" s="118"/>
      <c r="M39" s="17"/>
      <c r="N39" s="17"/>
    </row>
    <row r="40" s="79" customFormat="1" spans="1:235">
      <c r="K40" s="9"/>
      <c r="L40" s="118"/>
      <c r="M40" s="17"/>
      <c r="N40" s="17"/>
    </row>
    <row r="41" spans="1:235">
      <c r="A41" s="79"/>
      <c r="B41" s="79"/>
      <c r="C41" s="79"/>
      <c r="D41" s="79"/>
      <c r="E41" s="79"/>
      <c r="F41" s="79"/>
      <c r="G41" s="79"/>
      <c r="H41" s="79"/>
      <c r="I41" s="79"/>
    </row>
    <row r="42" spans="1:235">
      <c r="A42" s="79"/>
      <c r="B42" s="79"/>
      <c r="C42" s="79"/>
      <c r="D42" s="79"/>
      <c r="E42" s="79"/>
      <c r="F42" s="79"/>
      <c r="G42" s="79"/>
      <c r="H42" s="79"/>
      <c r="I42" s="79"/>
    </row>
    <row r="43" spans="1:235">
      <c r="A43" s="79"/>
      <c r="B43" s="79"/>
      <c r="C43" s="79"/>
      <c r="D43" s="79"/>
      <c r="E43" s="79"/>
      <c r="F43" s="79"/>
      <c r="G43" s="79"/>
      <c r="H43" s="79"/>
      <c r="I43" s="79"/>
    </row>
  </sheetData>
  <autoFilter xmlns:etc="http://www.wps.cn/officeDocument/2017/etCustomData" ref="A10:IA38" etc:filterBottomFollowUsedRange="0">
    <extLst/>
  </autoFilter>
  <mergeCells count="2">
    <mergeCell ref="C1:H1"/>
    <mergeCell ref="F9:H9"/>
  </mergeCells>
  <pageMargins left="0.393055555555556" right="0.393055555555556" top="0.393055555555556" bottom="0.393055555555556" header="0" footer="0"/>
  <pageSetup paperSize="9" scale="78" orientation="landscape" horizontalDpi="6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5"/>
  <sheetViews>
    <sheetView zoomScale="80" zoomScaleNormal="80" workbookViewId="0">
      <pane ySplit="9" topLeftCell="A10" activePane="bottomLeft" state="frozen"/>
      <selection/>
      <selection pane="bottomLeft" activeCell="W1" sqref="A$1:W$1048576"/>
    </sheetView>
  </sheetViews>
  <sheetFormatPr defaultColWidth="9.1" defaultRowHeight="15"/>
  <cols>
    <col min="1" max="1" width="15.4333333333333" style="79" customWidth="1"/>
    <col min="2" max="3" width="11.4666666666667" style="79" customWidth="1"/>
    <col min="4" max="4" width="13.875" style="79" customWidth="1"/>
    <col min="5" max="5" width="13.175" style="79" customWidth="1"/>
    <col min="6" max="6" width="7.4" style="46" customWidth="1"/>
    <col min="7" max="7" width="8.8" style="46" customWidth="1"/>
    <col min="8" max="9" width="12.4" style="46" customWidth="1"/>
    <col min="10" max="10" width="12.4" style="41" customWidth="1"/>
    <col min="11" max="11" width="8.875" style="41" customWidth="1"/>
    <col min="12" max="12" width="8.5" style="102" customWidth="1"/>
    <col min="13" max="13" width="7.875" style="102" customWidth="1"/>
    <col min="14" max="14" width="10.5916666666667" style="102" customWidth="1"/>
    <col min="15" max="15" width="10.4" style="103" customWidth="1"/>
    <col min="16" max="16" width="5" style="102" customWidth="1"/>
    <col min="17" max="17" width="7.4" style="104" customWidth="1"/>
    <col min="18" max="16384" width="9.1" style="41"/>
  </cols>
  <sheetData>
    <row r="1" ht="15.6" spans="1:17">
      <c r="A1" s="105"/>
      <c r="B1" s="105"/>
      <c r="C1" s="105"/>
      <c r="D1" s="106"/>
      <c r="E1" s="106"/>
      <c r="F1" s="106"/>
      <c r="G1" s="106"/>
      <c r="H1" s="106"/>
      <c r="I1" s="106"/>
    </row>
    <row r="2" ht="15.6" spans="1:17">
      <c r="A2" s="79" t="s">
        <v>0</v>
      </c>
      <c r="F2" s="79"/>
      <c r="G2" s="79"/>
      <c r="H2" s="79"/>
      <c r="I2" s="79"/>
      <c r="J2" s="1"/>
      <c r="K2" s="1"/>
    </row>
    <row r="3" spans="1:17">
      <c r="A3" s="79" t="s">
        <v>1</v>
      </c>
      <c r="F3" s="79"/>
      <c r="G3" s="79"/>
      <c r="H3" s="79"/>
      <c r="I3" s="79"/>
    </row>
    <row r="4" spans="1:17">
      <c r="F4" s="79"/>
      <c r="G4" s="79"/>
      <c r="H4" s="79"/>
      <c r="I4" s="79"/>
    </row>
    <row r="5" spans="1:17">
      <c r="A5" s="6" t="s">
        <v>2</v>
      </c>
      <c r="B5" s="46"/>
      <c r="C5" s="46"/>
      <c r="D5" s="46"/>
      <c r="E5" s="52"/>
      <c r="F5" s="52"/>
      <c r="G5" s="9" t="s">
        <v>3</v>
      </c>
      <c r="I5" s="79"/>
    </row>
    <row r="6" spans="1:17">
      <c r="A6" s="6" t="s">
        <v>4</v>
      </c>
      <c r="B6" s="46"/>
      <c r="C6" s="46"/>
      <c r="D6" s="46"/>
      <c r="E6" s="52"/>
      <c r="F6" s="52"/>
      <c r="G6" s="79" t="s">
        <v>5</v>
      </c>
      <c r="I6" s="79"/>
    </row>
    <row r="7" spans="1:17">
      <c r="A7" s="6" t="s">
        <v>6</v>
      </c>
      <c r="B7" s="46"/>
      <c r="C7" s="46"/>
      <c r="D7" s="46"/>
      <c r="E7" s="52"/>
      <c r="F7" s="52"/>
      <c r="G7" s="9" t="s">
        <v>7</v>
      </c>
      <c r="I7" s="79"/>
    </row>
    <row r="8" ht="15.6" spans="1:17">
      <c r="A8" s="107" t="s">
        <v>161</v>
      </c>
      <c r="B8" s="46"/>
      <c r="C8" s="46"/>
      <c r="D8" s="46"/>
      <c r="E8" s="52"/>
      <c r="F8" s="52"/>
      <c r="G8" s="76" t="s">
        <v>9</v>
      </c>
      <c r="I8" s="79"/>
    </row>
    <row r="9" ht="40" customHeight="1" spans="1:17">
      <c r="A9" s="18" t="s">
        <v>10</v>
      </c>
      <c r="B9" s="12" t="s">
        <v>11</v>
      </c>
      <c r="C9" s="12" t="s">
        <v>12</v>
      </c>
      <c r="D9" s="18" t="s">
        <v>13</v>
      </c>
      <c r="E9" s="18" t="s">
        <v>14</v>
      </c>
      <c r="F9" s="18" t="s">
        <v>14</v>
      </c>
      <c r="G9" s="12" t="s">
        <v>16</v>
      </c>
      <c r="H9" s="18" t="s">
        <v>17</v>
      </c>
      <c r="I9" s="21" t="s">
        <v>18</v>
      </c>
      <c r="J9" s="21" t="s">
        <v>19</v>
      </c>
      <c r="K9" s="29"/>
      <c r="L9" s="41"/>
      <c r="M9" s="41"/>
      <c r="N9" s="15" t="s">
        <v>20</v>
      </c>
      <c r="O9" s="16" t="s">
        <v>21</v>
      </c>
      <c r="P9" s="17" t="s">
        <v>22</v>
      </c>
      <c r="Q9" s="15" t="s">
        <v>23</v>
      </c>
    </row>
    <row r="10" s="1" customFormat="1" ht="15.6" spans="1:17">
      <c r="A10" s="18" t="s">
        <v>162</v>
      </c>
      <c r="B10" s="20">
        <f>C10/39.37</f>
        <v>0.0762001524003048</v>
      </c>
      <c r="C10" s="12">
        <v>3</v>
      </c>
      <c r="D10" s="18" t="s">
        <v>121</v>
      </c>
      <c r="E10" s="26" t="s">
        <v>28</v>
      </c>
      <c r="F10" s="26" t="s">
        <v>29</v>
      </c>
      <c r="G10" s="12">
        <v>7.99</v>
      </c>
      <c r="H10" s="21">
        <f>ROUND(G10*12,2)</f>
        <v>95.88</v>
      </c>
      <c r="I10" s="21">
        <f>ROUND(G10*13.33,2)</f>
        <v>106.51</v>
      </c>
      <c r="J10" s="21">
        <f>ROUND(G10*14,2)</f>
        <v>111.86</v>
      </c>
      <c r="K10" s="29"/>
      <c r="L10" s="59"/>
      <c r="M10" s="41"/>
      <c r="N10" s="12">
        <v>7.26</v>
      </c>
      <c r="O10" s="16">
        <f>ROUND(N10*1.1,2)</f>
        <v>7.99</v>
      </c>
      <c r="P10" s="108">
        <f t="shared" ref="P10:P24" si="0">(O10-N10)/N10</f>
        <v>0.100550964187328</v>
      </c>
      <c r="Q10" s="109">
        <f t="shared" ref="Q10:Q24" si="1">O10*13.33</f>
        <v>106.5067</v>
      </c>
    </row>
    <row r="11" s="1" customFormat="1" ht="15.6" spans="1:17">
      <c r="A11" s="18" t="s">
        <v>162</v>
      </c>
      <c r="B11" s="20">
        <f t="shared" ref="B11:B24" si="2">C11/39.37</f>
        <v>0.0762001524003048</v>
      </c>
      <c r="C11" s="110">
        <v>3</v>
      </c>
      <c r="D11" s="18" t="s">
        <v>121</v>
      </c>
      <c r="E11" s="26" t="s">
        <v>163</v>
      </c>
      <c r="F11" s="26" t="s">
        <v>29</v>
      </c>
      <c r="G11" s="12">
        <v>8.81</v>
      </c>
      <c r="H11" s="21">
        <f t="shared" ref="H11:H25" si="3">ROUND(G11*12,2)</f>
        <v>105.72</v>
      </c>
      <c r="I11" s="21">
        <f t="shared" ref="I11:I25" si="4">ROUND(G11*13.33,2)</f>
        <v>117.44</v>
      </c>
      <c r="J11" s="21">
        <f t="shared" ref="J11:J25" si="5">ROUND(G11*14,2)</f>
        <v>123.34</v>
      </c>
      <c r="K11" s="29"/>
      <c r="L11" s="1"/>
      <c r="M11" s="1"/>
      <c r="N11" s="12">
        <v>8.16</v>
      </c>
      <c r="O11" s="16">
        <f>ROUND(N11*1.08,2)</f>
        <v>8.81</v>
      </c>
      <c r="P11" s="108">
        <f t="shared" si="0"/>
        <v>0.0796568627450981</v>
      </c>
      <c r="Q11" s="109">
        <f t="shared" si="1"/>
        <v>117.4373</v>
      </c>
    </row>
    <row r="12" s="1" customFormat="1" ht="15.6" spans="1:17">
      <c r="A12" s="18" t="s">
        <v>162</v>
      </c>
      <c r="B12" s="20">
        <f t="shared" si="2"/>
        <v>0.0889001778003556</v>
      </c>
      <c r="C12" s="110">
        <v>3.5</v>
      </c>
      <c r="D12" s="18" t="s">
        <v>164</v>
      </c>
      <c r="E12" s="26" t="s">
        <v>28</v>
      </c>
      <c r="F12" s="26" t="s">
        <v>29</v>
      </c>
      <c r="G12" s="12">
        <v>7.28</v>
      </c>
      <c r="H12" s="21">
        <f t="shared" si="3"/>
        <v>87.36</v>
      </c>
      <c r="I12" s="21">
        <f t="shared" si="4"/>
        <v>97.04</v>
      </c>
      <c r="J12" s="21">
        <f t="shared" si="5"/>
        <v>101.92</v>
      </c>
      <c r="K12" s="29"/>
      <c r="L12" s="1"/>
      <c r="M12" s="1"/>
      <c r="N12" s="12">
        <v>6.62</v>
      </c>
      <c r="O12" s="16">
        <f t="shared" ref="O11:O42" si="6">ROUND(N12*1.1,2)</f>
        <v>7.28</v>
      </c>
      <c r="P12" s="108">
        <f t="shared" si="0"/>
        <v>0.0996978851963746</v>
      </c>
      <c r="Q12" s="109">
        <f t="shared" si="1"/>
        <v>97.0424</v>
      </c>
    </row>
    <row r="13" s="1" customFormat="1" ht="15.6" spans="1:17">
      <c r="A13" s="18" t="s">
        <v>162</v>
      </c>
      <c r="B13" s="20">
        <f t="shared" si="2"/>
        <v>0.101600203200406</v>
      </c>
      <c r="C13" s="110">
        <v>4</v>
      </c>
      <c r="D13" s="21" t="s">
        <v>127</v>
      </c>
      <c r="E13" s="26" t="s">
        <v>31</v>
      </c>
      <c r="F13" s="26" t="s">
        <v>29</v>
      </c>
      <c r="G13" s="12">
        <v>21.37</v>
      </c>
      <c r="H13" s="21">
        <f t="shared" si="3"/>
        <v>256.44</v>
      </c>
      <c r="I13" s="21">
        <f t="shared" si="4"/>
        <v>284.86</v>
      </c>
      <c r="J13" s="21">
        <f t="shared" si="5"/>
        <v>299.18</v>
      </c>
      <c r="K13" s="29"/>
      <c r="L13" s="1"/>
      <c r="M13" s="1"/>
      <c r="N13" s="12">
        <v>19.43</v>
      </c>
      <c r="O13" s="16">
        <f t="shared" si="6"/>
        <v>21.37</v>
      </c>
      <c r="P13" s="108">
        <f t="shared" si="0"/>
        <v>0.0998455995882656</v>
      </c>
      <c r="Q13" s="109">
        <f t="shared" si="1"/>
        <v>284.8621</v>
      </c>
    </row>
    <row r="14" s="1" customFormat="1" ht="15.6" spans="1:17">
      <c r="A14" s="18" t="s">
        <v>162</v>
      </c>
      <c r="B14" s="20">
        <f t="shared" si="2"/>
        <v>0.101600203200406</v>
      </c>
      <c r="C14" s="110">
        <v>4</v>
      </c>
      <c r="D14" s="21" t="s">
        <v>127</v>
      </c>
      <c r="E14" s="26" t="s">
        <v>28</v>
      </c>
      <c r="F14" s="26" t="s">
        <v>29</v>
      </c>
      <c r="G14" s="111">
        <v>8.53</v>
      </c>
      <c r="H14" s="21">
        <f t="shared" si="3"/>
        <v>102.36</v>
      </c>
      <c r="I14" s="21">
        <f t="shared" si="4"/>
        <v>113.7</v>
      </c>
      <c r="J14" s="21">
        <f t="shared" si="5"/>
        <v>119.42</v>
      </c>
      <c r="K14" s="29"/>
      <c r="L14" s="1"/>
      <c r="M14" s="1"/>
      <c r="N14" s="111">
        <v>7.75</v>
      </c>
      <c r="O14" s="16">
        <f t="shared" si="6"/>
        <v>8.53</v>
      </c>
      <c r="P14" s="108">
        <f t="shared" si="0"/>
        <v>0.100645161290322</v>
      </c>
      <c r="Q14" s="109">
        <f t="shared" si="1"/>
        <v>113.7049</v>
      </c>
    </row>
    <row r="15" s="1" customFormat="1" ht="15.6" spans="1:17">
      <c r="A15" s="18" t="s">
        <v>162</v>
      </c>
      <c r="B15" s="20">
        <f t="shared" si="2"/>
        <v>0.101600203200406</v>
      </c>
      <c r="C15" s="110">
        <v>4</v>
      </c>
      <c r="D15" s="21" t="s">
        <v>127</v>
      </c>
      <c r="E15" s="26" t="s">
        <v>26</v>
      </c>
      <c r="F15" s="26" t="s">
        <v>29</v>
      </c>
      <c r="G15" s="111">
        <v>11.33</v>
      </c>
      <c r="H15" s="21">
        <f t="shared" si="3"/>
        <v>135.96</v>
      </c>
      <c r="I15" s="21">
        <f t="shared" si="4"/>
        <v>151.03</v>
      </c>
      <c r="J15" s="21">
        <f t="shared" si="5"/>
        <v>158.62</v>
      </c>
      <c r="K15" s="29"/>
      <c r="L15" s="1"/>
      <c r="M15" s="1"/>
      <c r="N15" s="111">
        <v>10.3</v>
      </c>
      <c r="O15" s="16">
        <f t="shared" si="6"/>
        <v>11.33</v>
      </c>
      <c r="P15" s="108">
        <f t="shared" si="0"/>
        <v>0.0999999999999999</v>
      </c>
      <c r="Q15" s="109">
        <f t="shared" si="1"/>
        <v>151.0289</v>
      </c>
    </row>
    <row r="16" s="41" customFormat="1" spans="1:17">
      <c r="A16" s="18" t="s">
        <v>162</v>
      </c>
      <c r="B16" s="20">
        <f t="shared" si="2"/>
        <v>0.101600203200406</v>
      </c>
      <c r="C16" s="110">
        <v>4</v>
      </c>
      <c r="D16" s="21" t="s">
        <v>124</v>
      </c>
      <c r="E16" s="26" t="s">
        <v>28</v>
      </c>
      <c r="F16" s="26" t="s">
        <v>29</v>
      </c>
      <c r="G16" s="111">
        <v>7.4</v>
      </c>
      <c r="H16" s="21">
        <f t="shared" si="3"/>
        <v>88.8</v>
      </c>
      <c r="I16" s="21">
        <f t="shared" si="4"/>
        <v>98.64</v>
      </c>
      <c r="J16" s="21">
        <f t="shared" si="5"/>
        <v>103.6</v>
      </c>
      <c r="K16" s="29"/>
      <c r="L16" s="41"/>
      <c r="M16" s="41"/>
      <c r="N16" s="111">
        <v>6.73</v>
      </c>
      <c r="O16" s="16">
        <f t="shared" si="6"/>
        <v>7.4</v>
      </c>
      <c r="P16" s="108">
        <f t="shared" si="0"/>
        <v>0.0995542347696879</v>
      </c>
      <c r="Q16" s="109">
        <f t="shared" si="1"/>
        <v>98.642</v>
      </c>
    </row>
    <row r="17" s="41" customFormat="1" ht="15.6" spans="1:17">
      <c r="A17" s="18" t="s">
        <v>162</v>
      </c>
      <c r="B17" s="20">
        <f t="shared" si="2"/>
        <v>0.101600203200406</v>
      </c>
      <c r="C17" s="110">
        <v>4</v>
      </c>
      <c r="D17" s="21" t="s">
        <v>124</v>
      </c>
      <c r="E17" s="26" t="s">
        <v>26</v>
      </c>
      <c r="F17" s="26" t="s">
        <v>29</v>
      </c>
      <c r="G17" s="111">
        <v>10.85</v>
      </c>
      <c r="H17" s="21">
        <f t="shared" si="3"/>
        <v>130.2</v>
      </c>
      <c r="I17" s="21">
        <f t="shared" si="4"/>
        <v>144.63</v>
      </c>
      <c r="J17" s="21">
        <f t="shared" si="5"/>
        <v>151.9</v>
      </c>
      <c r="K17" s="29"/>
      <c r="L17" s="1"/>
      <c r="M17" s="1"/>
      <c r="N17" s="111">
        <v>9.95</v>
      </c>
      <c r="O17" s="16">
        <f>ROUND(N17*1.09,2)</f>
        <v>10.85</v>
      </c>
      <c r="P17" s="108">
        <f t="shared" si="0"/>
        <v>0.0904522613065327</v>
      </c>
      <c r="Q17" s="109">
        <f t="shared" si="1"/>
        <v>144.6305</v>
      </c>
    </row>
    <row r="18" s="41" customFormat="1" spans="1:17">
      <c r="A18" s="18" t="s">
        <v>162</v>
      </c>
      <c r="B18" s="20">
        <f t="shared" si="2"/>
        <v>0.101600203200406</v>
      </c>
      <c r="C18" s="110">
        <v>4</v>
      </c>
      <c r="D18" s="21" t="s">
        <v>126</v>
      </c>
      <c r="E18" s="26" t="s">
        <v>28</v>
      </c>
      <c r="F18" s="26" t="s">
        <v>29</v>
      </c>
      <c r="G18" s="111">
        <v>7.1</v>
      </c>
      <c r="H18" s="21">
        <f t="shared" si="3"/>
        <v>85.2</v>
      </c>
      <c r="I18" s="21">
        <f t="shared" si="4"/>
        <v>94.64</v>
      </c>
      <c r="J18" s="21">
        <f t="shared" si="5"/>
        <v>99.4</v>
      </c>
      <c r="K18" s="29"/>
      <c r="L18" s="41"/>
      <c r="M18" s="41"/>
      <c r="N18" s="111">
        <v>6.45</v>
      </c>
      <c r="O18" s="16">
        <f t="shared" si="6"/>
        <v>7.1</v>
      </c>
      <c r="P18" s="108">
        <f t="shared" si="0"/>
        <v>0.10077519379845</v>
      </c>
      <c r="Q18" s="109">
        <f t="shared" si="1"/>
        <v>94.643</v>
      </c>
    </row>
    <row r="19" s="41" customFormat="1" ht="15.6" spans="1:17">
      <c r="A19" s="18" t="s">
        <v>162</v>
      </c>
      <c r="B19" s="20">
        <f t="shared" si="2"/>
        <v>0.101600203200406</v>
      </c>
      <c r="C19" s="110">
        <v>4</v>
      </c>
      <c r="D19" s="21" t="s">
        <v>126</v>
      </c>
      <c r="E19" s="26" t="s">
        <v>26</v>
      </c>
      <c r="F19" s="26" t="s">
        <v>29</v>
      </c>
      <c r="G19" s="111">
        <v>10.67</v>
      </c>
      <c r="H19" s="21">
        <f t="shared" si="3"/>
        <v>128.04</v>
      </c>
      <c r="I19" s="21">
        <f t="shared" si="4"/>
        <v>142.23</v>
      </c>
      <c r="J19" s="21">
        <f t="shared" si="5"/>
        <v>149.38</v>
      </c>
      <c r="K19" s="29"/>
      <c r="L19" s="1"/>
      <c r="M19" s="1"/>
      <c r="N19" s="111">
        <v>9.61</v>
      </c>
      <c r="O19" s="16">
        <f>ROUND(N19*1.11,2)</f>
        <v>10.67</v>
      </c>
      <c r="P19" s="108">
        <f t="shared" si="0"/>
        <v>0.110301768990635</v>
      </c>
      <c r="Q19" s="109">
        <f t="shared" si="1"/>
        <v>142.2311</v>
      </c>
    </row>
    <row r="20" s="41" customFormat="1" ht="15.6" spans="1:17">
      <c r="A20" s="18" t="s">
        <v>162</v>
      </c>
      <c r="B20" s="20">
        <f t="shared" si="2"/>
        <v>0.114300228600457</v>
      </c>
      <c r="C20" s="110">
        <v>4.5</v>
      </c>
      <c r="D20" s="21" t="s">
        <v>126</v>
      </c>
      <c r="E20" s="26" t="s">
        <v>26</v>
      </c>
      <c r="F20" s="26" t="s">
        <v>29</v>
      </c>
      <c r="G20" s="111">
        <v>10.93</v>
      </c>
      <c r="H20" s="21">
        <f t="shared" si="3"/>
        <v>131.16</v>
      </c>
      <c r="I20" s="21">
        <f t="shared" si="4"/>
        <v>145.7</v>
      </c>
      <c r="J20" s="21">
        <f t="shared" si="5"/>
        <v>153.02</v>
      </c>
      <c r="K20" s="29"/>
      <c r="L20" s="1"/>
      <c r="M20" s="1"/>
      <c r="N20" s="111">
        <v>9.94</v>
      </c>
      <c r="O20" s="16">
        <f>ROUND(N20*1.1,2)</f>
        <v>10.93</v>
      </c>
      <c r="P20" s="108">
        <f t="shared" si="0"/>
        <v>0.0995975855130785</v>
      </c>
      <c r="Q20" s="109">
        <f t="shared" si="1"/>
        <v>145.6969</v>
      </c>
    </row>
    <row r="21" s="41" customFormat="1" spans="1:17">
      <c r="A21" s="18" t="s">
        <v>162</v>
      </c>
      <c r="B21" s="20">
        <f t="shared" si="2"/>
        <v>0.114300228600457</v>
      </c>
      <c r="C21" s="110">
        <v>4.5</v>
      </c>
      <c r="D21" s="21" t="s">
        <v>126</v>
      </c>
      <c r="E21" s="26" t="s">
        <v>28</v>
      </c>
      <c r="F21" s="26" t="s">
        <v>29</v>
      </c>
      <c r="G21" s="111">
        <v>7.13</v>
      </c>
      <c r="H21" s="21">
        <f t="shared" si="3"/>
        <v>85.56</v>
      </c>
      <c r="I21" s="21">
        <f t="shared" si="4"/>
        <v>95.04</v>
      </c>
      <c r="J21" s="21">
        <f t="shared" si="5"/>
        <v>99.82</v>
      </c>
      <c r="K21" s="29"/>
      <c r="L21" s="59"/>
      <c r="M21" s="59"/>
      <c r="N21" s="111">
        <v>6.48</v>
      </c>
      <c r="O21" s="16">
        <f t="shared" si="6"/>
        <v>7.13</v>
      </c>
      <c r="P21" s="108">
        <f t="shared" si="0"/>
        <v>0.100308641975309</v>
      </c>
      <c r="Q21" s="109">
        <f t="shared" si="1"/>
        <v>95.0429</v>
      </c>
    </row>
    <row r="22" s="41" customFormat="1" spans="1:17">
      <c r="A22" s="18" t="s">
        <v>162</v>
      </c>
      <c r="B22" s="20">
        <f t="shared" si="2"/>
        <v>0.127000254000508</v>
      </c>
      <c r="C22" s="110">
        <v>5</v>
      </c>
      <c r="D22" s="21" t="s">
        <v>126</v>
      </c>
      <c r="E22" s="26" t="s">
        <v>26</v>
      </c>
      <c r="F22" s="26" t="s">
        <v>27</v>
      </c>
      <c r="G22" s="111">
        <v>11.67</v>
      </c>
      <c r="H22" s="21">
        <f t="shared" si="3"/>
        <v>140.04</v>
      </c>
      <c r="I22" s="21">
        <f t="shared" si="4"/>
        <v>155.56</v>
      </c>
      <c r="J22" s="21">
        <f t="shared" si="5"/>
        <v>163.38</v>
      </c>
      <c r="K22" s="29"/>
      <c r="L22" s="59"/>
      <c r="M22" s="59"/>
      <c r="N22" s="111">
        <v>10.61</v>
      </c>
      <c r="O22" s="16">
        <f t="shared" si="6"/>
        <v>11.67</v>
      </c>
      <c r="P22" s="108">
        <f t="shared" si="0"/>
        <v>0.0999057492931198</v>
      </c>
      <c r="Q22" s="109">
        <f t="shared" si="1"/>
        <v>155.5611</v>
      </c>
    </row>
    <row r="23" s="41" customFormat="1" ht="15.6" spans="1:17">
      <c r="A23" s="18" t="s">
        <v>162</v>
      </c>
      <c r="B23" s="20">
        <f t="shared" si="2"/>
        <v>0.127000254000508</v>
      </c>
      <c r="C23" s="110">
        <v>5</v>
      </c>
      <c r="D23" s="21" t="s">
        <v>126</v>
      </c>
      <c r="E23" s="26" t="s">
        <v>26</v>
      </c>
      <c r="F23" s="26" t="s">
        <v>29</v>
      </c>
      <c r="G23" s="111">
        <v>10.83</v>
      </c>
      <c r="H23" s="21">
        <f t="shared" si="3"/>
        <v>129.96</v>
      </c>
      <c r="I23" s="21">
        <f t="shared" si="4"/>
        <v>144.36</v>
      </c>
      <c r="J23" s="21">
        <f t="shared" si="5"/>
        <v>151.62</v>
      </c>
      <c r="K23" s="29"/>
      <c r="L23" s="1"/>
      <c r="M23" s="1"/>
      <c r="N23" s="111">
        <v>9.81</v>
      </c>
      <c r="O23" s="16">
        <f>ROUND(N23*1.104,2)</f>
        <v>10.83</v>
      </c>
      <c r="P23" s="108">
        <f t="shared" si="0"/>
        <v>0.103975535168196</v>
      </c>
      <c r="Q23" s="109">
        <f t="shared" si="1"/>
        <v>144.3639</v>
      </c>
    </row>
    <row r="24" s="41" customFormat="1" ht="15.6" spans="1:17">
      <c r="A24" s="18" t="s">
        <v>162</v>
      </c>
      <c r="B24" s="20">
        <f t="shared" si="2"/>
        <v>0.127000254000508</v>
      </c>
      <c r="C24" s="110">
        <v>5</v>
      </c>
      <c r="D24" s="21" t="s">
        <v>126</v>
      </c>
      <c r="E24" s="26" t="s">
        <v>31</v>
      </c>
      <c r="F24" s="26" t="s">
        <v>29</v>
      </c>
      <c r="G24" s="111">
        <v>20.87</v>
      </c>
      <c r="H24" s="21">
        <f t="shared" si="3"/>
        <v>250.44</v>
      </c>
      <c r="I24" s="21">
        <f t="shared" si="4"/>
        <v>278.2</v>
      </c>
      <c r="J24" s="21">
        <f t="shared" si="5"/>
        <v>292.18</v>
      </c>
      <c r="K24" s="29"/>
      <c r="L24" s="112"/>
      <c r="M24" s="1"/>
      <c r="N24" s="111">
        <v>19.15</v>
      </c>
      <c r="O24" s="16">
        <f>ROUND(N24*1.09,2)</f>
        <v>20.87</v>
      </c>
      <c r="P24" s="108">
        <f t="shared" si="0"/>
        <v>0.0898172323759792</v>
      </c>
      <c r="Q24" s="109">
        <f t="shared" si="1"/>
        <v>278.1971</v>
      </c>
    </row>
    <row r="25" s="41" customFormat="1" spans="1:17">
      <c r="A25" s="18" t="s">
        <v>162</v>
      </c>
      <c r="B25" s="20">
        <f t="shared" ref="B25:B32" si="7">C25/39.37</f>
        <v>0.127000254000508</v>
      </c>
      <c r="C25" s="110">
        <v>5</v>
      </c>
      <c r="D25" s="21" t="s">
        <v>126</v>
      </c>
      <c r="E25" s="26" t="s">
        <v>28</v>
      </c>
      <c r="F25" s="26" t="s">
        <v>29</v>
      </c>
      <c r="G25" s="111">
        <v>7.19</v>
      </c>
      <c r="H25" s="21">
        <f t="shared" si="3"/>
        <v>86.28</v>
      </c>
      <c r="I25" s="21">
        <f t="shared" si="4"/>
        <v>95.84</v>
      </c>
      <c r="J25" s="21">
        <f t="shared" si="5"/>
        <v>100.66</v>
      </c>
      <c r="K25" s="29"/>
      <c r="L25" s="41"/>
      <c r="M25" s="41"/>
      <c r="N25" s="111">
        <v>6.54</v>
      </c>
      <c r="O25" s="16">
        <f t="shared" si="6"/>
        <v>7.19</v>
      </c>
      <c r="P25" s="108">
        <f t="shared" ref="P25:P44" si="8">(O25-N25)/N25</f>
        <v>0.099388379204893</v>
      </c>
      <c r="Q25" s="109">
        <f t="shared" ref="Q25:Q44" si="9">O25*13.33</f>
        <v>95.8427</v>
      </c>
    </row>
    <row r="26" s="41" customFormat="1" spans="1:17">
      <c r="A26" s="18" t="s">
        <v>162</v>
      </c>
      <c r="B26" s="20">
        <f t="shared" si="7"/>
        <v>0.127000254000508</v>
      </c>
      <c r="C26" s="110">
        <v>5</v>
      </c>
      <c r="D26" s="21" t="s">
        <v>165</v>
      </c>
      <c r="E26" s="26" t="s">
        <v>28</v>
      </c>
      <c r="F26" s="26" t="s">
        <v>29</v>
      </c>
      <c r="G26" s="111">
        <v>8.72</v>
      </c>
      <c r="H26" s="21">
        <f t="shared" ref="H26:H48" si="10">ROUND(G26*12,2)</f>
        <v>104.64</v>
      </c>
      <c r="I26" s="21">
        <f t="shared" ref="I26:I48" si="11">ROUND(G26*13.33,2)</f>
        <v>116.24</v>
      </c>
      <c r="J26" s="21">
        <f t="shared" ref="J26:J48" si="12">ROUND(G26*14,2)</f>
        <v>122.08</v>
      </c>
      <c r="K26" s="29"/>
      <c r="L26" s="41"/>
      <c r="M26" s="41"/>
      <c r="N26" s="111">
        <v>7.93</v>
      </c>
      <c r="O26" s="16">
        <f t="shared" si="6"/>
        <v>8.72</v>
      </c>
      <c r="P26" s="108">
        <f t="shared" si="8"/>
        <v>0.0996216897856243</v>
      </c>
      <c r="Q26" s="109">
        <f t="shared" si="9"/>
        <v>116.2376</v>
      </c>
    </row>
    <row r="27" s="41" customFormat="1" spans="1:17">
      <c r="A27" s="18" t="s">
        <v>162</v>
      </c>
      <c r="B27" s="20">
        <f t="shared" si="7"/>
        <v>0.127000254000508</v>
      </c>
      <c r="C27" s="110">
        <v>5</v>
      </c>
      <c r="D27" s="21" t="s">
        <v>128</v>
      </c>
      <c r="E27" s="26" t="s">
        <v>26</v>
      </c>
      <c r="F27" s="26" t="s">
        <v>29</v>
      </c>
      <c r="G27" s="111">
        <v>11.67</v>
      </c>
      <c r="H27" s="21">
        <f t="shared" si="10"/>
        <v>140.04</v>
      </c>
      <c r="I27" s="21">
        <f t="shared" si="11"/>
        <v>155.56</v>
      </c>
      <c r="J27" s="21">
        <f t="shared" si="12"/>
        <v>163.38</v>
      </c>
      <c r="K27" s="29"/>
      <c r="L27" s="41"/>
      <c r="M27" s="41"/>
      <c r="N27" s="111">
        <v>10.61</v>
      </c>
      <c r="O27" s="16">
        <f t="shared" si="6"/>
        <v>11.67</v>
      </c>
      <c r="P27" s="108">
        <f t="shared" si="8"/>
        <v>0.0999057492931198</v>
      </c>
      <c r="Q27" s="109">
        <f t="shared" si="9"/>
        <v>155.5611</v>
      </c>
    </row>
    <row r="28" s="41" customFormat="1" spans="1:17">
      <c r="A28" s="18" t="s">
        <v>162</v>
      </c>
      <c r="B28" s="20">
        <f t="shared" si="7"/>
        <v>0.127000254000508</v>
      </c>
      <c r="C28" s="110">
        <v>5</v>
      </c>
      <c r="D28" s="21" t="s">
        <v>128</v>
      </c>
      <c r="E28" s="26" t="s">
        <v>28</v>
      </c>
      <c r="F28" s="26" t="s">
        <v>29</v>
      </c>
      <c r="G28" s="111">
        <v>7.7</v>
      </c>
      <c r="H28" s="21">
        <f t="shared" si="10"/>
        <v>92.4</v>
      </c>
      <c r="I28" s="21">
        <f t="shared" si="11"/>
        <v>102.64</v>
      </c>
      <c r="J28" s="21">
        <f t="shared" si="12"/>
        <v>107.8</v>
      </c>
      <c r="K28" s="29"/>
      <c r="L28" s="41"/>
      <c r="M28" s="41"/>
      <c r="N28" s="111">
        <v>7</v>
      </c>
      <c r="O28" s="16">
        <f t="shared" si="6"/>
        <v>7.7</v>
      </c>
      <c r="P28" s="108">
        <f t="shared" si="8"/>
        <v>0.1</v>
      </c>
      <c r="Q28" s="109">
        <f t="shared" si="9"/>
        <v>102.641</v>
      </c>
    </row>
    <row r="29" s="41" customFormat="1" spans="1:17">
      <c r="A29" s="18" t="s">
        <v>162</v>
      </c>
      <c r="B29" s="20">
        <f t="shared" si="7"/>
        <v>0.127000254000508</v>
      </c>
      <c r="C29" s="110">
        <v>5</v>
      </c>
      <c r="D29" s="21" t="s">
        <v>128</v>
      </c>
      <c r="E29" s="26" t="s">
        <v>31</v>
      </c>
      <c r="F29" s="26" t="s">
        <v>29</v>
      </c>
      <c r="G29" s="111">
        <v>20.8</v>
      </c>
      <c r="H29" s="21">
        <f t="shared" si="10"/>
        <v>249.6</v>
      </c>
      <c r="I29" s="21">
        <f t="shared" si="11"/>
        <v>277.26</v>
      </c>
      <c r="J29" s="21">
        <f t="shared" si="12"/>
        <v>291.2</v>
      </c>
      <c r="K29" s="29"/>
      <c r="L29" s="41"/>
      <c r="M29" s="41"/>
      <c r="N29" s="111">
        <v>18.91</v>
      </c>
      <c r="O29" s="16">
        <f t="shared" si="6"/>
        <v>20.8</v>
      </c>
      <c r="P29" s="108">
        <f t="shared" si="8"/>
        <v>0.0999471179270228</v>
      </c>
      <c r="Q29" s="109">
        <f t="shared" si="9"/>
        <v>277.264</v>
      </c>
    </row>
    <row r="30" s="41" customFormat="1" ht="15.6" spans="1:17">
      <c r="A30" s="18" t="s">
        <v>162</v>
      </c>
      <c r="B30" s="20">
        <f t="shared" si="7"/>
        <v>0.127000254000508</v>
      </c>
      <c r="C30" s="110">
        <v>5</v>
      </c>
      <c r="D30" s="21" t="s">
        <v>127</v>
      </c>
      <c r="E30" s="26" t="s">
        <v>26</v>
      </c>
      <c r="F30" s="26" t="s">
        <v>29</v>
      </c>
      <c r="G30" s="111">
        <v>11.59</v>
      </c>
      <c r="H30" s="21">
        <f t="shared" si="10"/>
        <v>139.08</v>
      </c>
      <c r="I30" s="21">
        <f t="shared" si="11"/>
        <v>154.49</v>
      </c>
      <c r="J30" s="21">
        <f t="shared" si="12"/>
        <v>162.26</v>
      </c>
      <c r="K30" s="29"/>
      <c r="L30" s="1"/>
      <c r="M30" s="1"/>
      <c r="N30" s="111">
        <v>10.35</v>
      </c>
      <c r="O30" s="16">
        <f>ROUND(N30*1.12,2)</f>
        <v>11.59</v>
      </c>
      <c r="P30" s="108">
        <f t="shared" si="8"/>
        <v>0.119806763285024</v>
      </c>
      <c r="Q30" s="109">
        <f t="shared" si="9"/>
        <v>154.4947</v>
      </c>
    </row>
    <row r="31" s="41" customFormat="1" ht="15.6" spans="1:17">
      <c r="A31" s="18" t="s">
        <v>162</v>
      </c>
      <c r="B31" s="20">
        <f t="shared" si="7"/>
        <v>0.127000254000508</v>
      </c>
      <c r="C31" s="110">
        <v>5</v>
      </c>
      <c r="D31" s="21" t="s">
        <v>127</v>
      </c>
      <c r="E31" s="26" t="s">
        <v>31</v>
      </c>
      <c r="F31" s="26" t="s">
        <v>29</v>
      </c>
      <c r="G31" s="111">
        <v>21.32</v>
      </c>
      <c r="H31" s="21">
        <f t="shared" si="10"/>
        <v>255.84</v>
      </c>
      <c r="I31" s="21">
        <f t="shared" si="11"/>
        <v>284.2</v>
      </c>
      <c r="J31" s="21">
        <f t="shared" si="12"/>
        <v>298.48</v>
      </c>
      <c r="K31" s="29"/>
      <c r="L31" s="1"/>
      <c r="M31" s="1"/>
      <c r="N31" s="111">
        <v>19.38</v>
      </c>
      <c r="O31" s="16">
        <f t="shared" si="6"/>
        <v>21.32</v>
      </c>
      <c r="P31" s="108">
        <f t="shared" si="8"/>
        <v>0.100103199174407</v>
      </c>
      <c r="Q31" s="109">
        <f t="shared" si="9"/>
        <v>284.1956</v>
      </c>
    </row>
    <row r="32" s="41" customFormat="1" spans="1:17">
      <c r="A32" s="18" t="s">
        <v>162</v>
      </c>
      <c r="B32" s="20">
        <f t="shared" si="7"/>
        <v>0.127000254000508</v>
      </c>
      <c r="C32" s="110">
        <v>5</v>
      </c>
      <c r="D32" s="21" t="s">
        <v>127</v>
      </c>
      <c r="E32" s="26" t="s">
        <v>34</v>
      </c>
      <c r="F32" s="26" t="s">
        <v>29</v>
      </c>
      <c r="G32" s="111">
        <v>32.65</v>
      </c>
      <c r="H32" s="21">
        <f t="shared" si="10"/>
        <v>391.8</v>
      </c>
      <c r="I32" s="21">
        <f t="shared" si="11"/>
        <v>435.22</v>
      </c>
      <c r="J32" s="21">
        <f t="shared" si="12"/>
        <v>457.1</v>
      </c>
      <c r="K32" s="29"/>
      <c r="L32" s="41"/>
      <c r="M32" s="41"/>
      <c r="N32" s="111">
        <v>29.95</v>
      </c>
      <c r="O32" s="16">
        <f>ROUND(N32*1.09,2)</f>
        <v>32.65</v>
      </c>
      <c r="P32" s="108">
        <f t="shared" si="8"/>
        <v>0.0901502504173622</v>
      </c>
      <c r="Q32" s="109">
        <f t="shared" si="9"/>
        <v>435.2245</v>
      </c>
    </row>
    <row r="33" s="79" customFormat="1" spans="1:17">
      <c r="A33" s="18" t="s">
        <v>162</v>
      </c>
      <c r="B33" s="20">
        <f t="shared" ref="B33:B37" si="13">C33/39.37</f>
        <v>0.15240030480061</v>
      </c>
      <c r="C33" s="110">
        <v>6</v>
      </c>
      <c r="D33" s="21" t="s">
        <v>129</v>
      </c>
      <c r="E33" s="26" t="s">
        <v>26</v>
      </c>
      <c r="F33" s="26" t="s">
        <v>29</v>
      </c>
      <c r="G33" s="21">
        <v>10.81</v>
      </c>
      <c r="H33" s="21">
        <f t="shared" si="10"/>
        <v>129.72</v>
      </c>
      <c r="I33" s="21">
        <f t="shared" si="11"/>
        <v>144.1</v>
      </c>
      <c r="J33" s="21">
        <f t="shared" si="12"/>
        <v>151.34</v>
      </c>
      <c r="K33" s="29"/>
      <c r="L33" s="79"/>
      <c r="M33" s="79"/>
      <c r="N33" s="21">
        <v>9.74</v>
      </c>
      <c r="O33" s="16">
        <f>ROUND(N33*1.11,2)</f>
        <v>10.81</v>
      </c>
      <c r="P33" s="108">
        <f t="shared" si="8"/>
        <v>0.109856262833676</v>
      </c>
      <c r="Q33" s="109">
        <f t="shared" si="9"/>
        <v>144.0973</v>
      </c>
    </row>
    <row r="34" s="79" customFormat="1" spans="1:17">
      <c r="A34" s="18" t="s">
        <v>162</v>
      </c>
      <c r="B34" s="20">
        <f t="shared" si="13"/>
        <v>0.15240030480061</v>
      </c>
      <c r="C34" s="110">
        <v>6</v>
      </c>
      <c r="D34" s="21" t="s">
        <v>129</v>
      </c>
      <c r="E34" s="26" t="s">
        <v>28</v>
      </c>
      <c r="F34" s="26" t="s">
        <v>29</v>
      </c>
      <c r="G34" s="21">
        <v>7.39</v>
      </c>
      <c r="H34" s="21">
        <f t="shared" si="10"/>
        <v>88.68</v>
      </c>
      <c r="I34" s="21">
        <f t="shared" si="11"/>
        <v>98.51</v>
      </c>
      <c r="J34" s="21">
        <f t="shared" si="12"/>
        <v>103.46</v>
      </c>
      <c r="K34" s="29"/>
      <c r="L34" s="79"/>
      <c r="M34" s="79"/>
      <c r="N34" s="21">
        <v>6.72</v>
      </c>
      <c r="O34" s="16">
        <f t="shared" si="6"/>
        <v>7.39</v>
      </c>
      <c r="P34" s="108">
        <f t="shared" si="8"/>
        <v>0.0997023809523809</v>
      </c>
      <c r="Q34" s="109">
        <f t="shared" si="9"/>
        <v>98.5087</v>
      </c>
    </row>
    <row r="35" s="79" customFormat="1" spans="1:17">
      <c r="A35" s="18" t="s">
        <v>162</v>
      </c>
      <c r="B35" s="20">
        <f t="shared" si="13"/>
        <v>0.15240030480061</v>
      </c>
      <c r="C35" s="110">
        <v>6</v>
      </c>
      <c r="D35" s="21" t="s">
        <v>129</v>
      </c>
      <c r="E35" s="26" t="s">
        <v>31</v>
      </c>
      <c r="F35" s="26" t="s">
        <v>29</v>
      </c>
      <c r="G35" s="21">
        <v>20.8</v>
      </c>
      <c r="H35" s="21">
        <f t="shared" si="10"/>
        <v>249.6</v>
      </c>
      <c r="I35" s="21">
        <f t="shared" si="11"/>
        <v>277.26</v>
      </c>
      <c r="J35" s="21">
        <f t="shared" si="12"/>
        <v>291.2</v>
      </c>
      <c r="K35" s="29"/>
      <c r="L35" s="113"/>
      <c r="M35" s="113"/>
      <c r="N35" s="21">
        <v>18.91</v>
      </c>
      <c r="O35" s="16">
        <f t="shared" si="6"/>
        <v>20.8</v>
      </c>
      <c r="P35" s="108">
        <f t="shared" si="8"/>
        <v>0.0999471179270228</v>
      </c>
      <c r="Q35" s="109">
        <f t="shared" si="9"/>
        <v>277.264</v>
      </c>
    </row>
    <row r="36" s="79" customFormat="1" spans="1:17">
      <c r="A36" s="18" t="s">
        <v>162</v>
      </c>
      <c r="B36" s="20">
        <f t="shared" si="13"/>
        <v>0.15240030480061</v>
      </c>
      <c r="C36" s="110">
        <v>6</v>
      </c>
      <c r="D36" s="21" t="s">
        <v>129</v>
      </c>
      <c r="E36" s="26" t="s">
        <v>34</v>
      </c>
      <c r="F36" s="26" t="s">
        <v>29</v>
      </c>
      <c r="G36" s="21">
        <v>31.39</v>
      </c>
      <c r="H36" s="21">
        <f t="shared" si="10"/>
        <v>376.68</v>
      </c>
      <c r="I36" s="21">
        <f t="shared" si="11"/>
        <v>418.43</v>
      </c>
      <c r="J36" s="21">
        <f t="shared" si="12"/>
        <v>439.46</v>
      </c>
      <c r="K36" s="29"/>
      <c r="L36" s="113"/>
      <c r="M36" s="113"/>
      <c r="N36" s="21">
        <v>28.8</v>
      </c>
      <c r="O36" s="16">
        <f>ROUND(N36*1.09,2)</f>
        <v>31.39</v>
      </c>
      <c r="P36" s="108">
        <f t="shared" si="8"/>
        <v>0.0899305555555556</v>
      </c>
      <c r="Q36" s="109">
        <f t="shared" si="9"/>
        <v>418.4287</v>
      </c>
    </row>
    <row r="37" s="79" customFormat="1" spans="1:17">
      <c r="A37" s="18" t="s">
        <v>162</v>
      </c>
      <c r="B37" s="20">
        <f t="shared" si="13"/>
        <v>0.15240030480061</v>
      </c>
      <c r="C37" s="110">
        <v>6</v>
      </c>
      <c r="D37" s="21" t="s">
        <v>128</v>
      </c>
      <c r="E37" s="26" t="s">
        <v>28</v>
      </c>
      <c r="F37" s="26" t="s">
        <v>29</v>
      </c>
      <c r="G37" s="21">
        <v>9.64</v>
      </c>
      <c r="H37" s="21">
        <f t="shared" si="10"/>
        <v>115.68</v>
      </c>
      <c r="I37" s="21">
        <f t="shared" si="11"/>
        <v>128.5</v>
      </c>
      <c r="J37" s="21">
        <f t="shared" si="12"/>
        <v>134.96</v>
      </c>
      <c r="K37" s="29"/>
      <c r="L37" s="113"/>
      <c r="M37" s="113"/>
      <c r="N37" s="21">
        <v>8.76</v>
      </c>
      <c r="O37" s="16">
        <f t="shared" si="6"/>
        <v>9.64</v>
      </c>
      <c r="P37" s="108">
        <f t="shared" si="8"/>
        <v>0.100456621004566</v>
      </c>
      <c r="Q37" s="109">
        <f t="shared" si="9"/>
        <v>128.5012</v>
      </c>
    </row>
    <row r="38" s="79" customFormat="1" spans="1:17">
      <c r="A38" s="18" t="s">
        <v>162</v>
      </c>
      <c r="B38" s="20">
        <f t="shared" ref="B38:B44" si="14">C38/39.37</f>
        <v>0.15240030480061</v>
      </c>
      <c r="C38" s="110">
        <v>6</v>
      </c>
      <c r="D38" s="21" t="s">
        <v>128</v>
      </c>
      <c r="E38" s="26" t="s">
        <v>26</v>
      </c>
      <c r="F38" s="26" t="s">
        <v>29</v>
      </c>
      <c r="G38" s="21">
        <v>12.83</v>
      </c>
      <c r="H38" s="21">
        <f t="shared" si="10"/>
        <v>153.96</v>
      </c>
      <c r="I38" s="21">
        <f t="shared" si="11"/>
        <v>171.02</v>
      </c>
      <c r="J38" s="21">
        <f t="shared" si="12"/>
        <v>179.62</v>
      </c>
      <c r="K38" s="29"/>
      <c r="L38" s="79"/>
      <c r="M38" s="79"/>
      <c r="N38" s="21">
        <v>11.56</v>
      </c>
      <c r="O38" s="16">
        <f>ROUND(N38*1.11,2)</f>
        <v>12.83</v>
      </c>
      <c r="P38" s="108">
        <f t="shared" si="8"/>
        <v>0.109861591695502</v>
      </c>
      <c r="Q38" s="109">
        <f t="shared" si="9"/>
        <v>171.0239</v>
      </c>
    </row>
    <row r="39" s="79" customFormat="1" spans="1:17">
      <c r="A39" s="18" t="s">
        <v>162</v>
      </c>
      <c r="B39" s="20">
        <f t="shared" si="14"/>
        <v>0.15240030480061</v>
      </c>
      <c r="C39" s="110">
        <v>6</v>
      </c>
      <c r="D39" s="21" t="s">
        <v>128</v>
      </c>
      <c r="E39" s="26" t="s">
        <v>31</v>
      </c>
      <c r="F39" s="26" t="s">
        <v>29</v>
      </c>
      <c r="G39" s="21">
        <v>21.38</v>
      </c>
      <c r="H39" s="21">
        <f t="shared" si="10"/>
        <v>256.56</v>
      </c>
      <c r="I39" s="21">
        <f t="shared" si="11"/>
        <v>285</v>
      </c>
      <c r="J39" s="21">
        <f t="shared" si="12"/>
        <v>299.32</v>
      </c>
      <c r="K39" s="29"/>
      <c r="L39" s="79"/>
      <c r="M39" s="79"/>
      <c r="N39" s="21">
        <v>19.44</v>
      </c>
      <c r="O39" s="16">
        <f t="shared" si="6"/>
        <v>21.38</v>
      </c>
      <c r="P39" s="108">
        <f t="shared" si="8"/>
        <v>0.0997942386831275</v>
      </c>
      <c r="Q39" s="109">
        <f t="shared" si="9"/>
        <v>284.9954</v>
      </c>
    </row>
    <row r="40" s="79" customFormat="1" spans="1:17">
      <c r="A40" s="18" t="s">
        <v>162</v>
      </c>
      <c r="B40" s="20">
        <f t="shared" si="14"/>
        <v>0.15240030480061</v>
      </c>
      <c r="C40" s="110">
        <v>6</v>
      </c>
      <c r="D40" s="21" t="s">
        <v>166</v>
      </c>
      <c r="E40" s="26" t="s">
        <v>31</v>
      </c>
      <c r="F40" s="26" t="s">
        <v>29</v>
      </c>
      <c r="G40" s="21">
        <v>21.66</v>
      </c>
      <c r="H40" s="21">
        <f t="shared" si="10"/>
        <v>259.92</v>
      </c>
      <c r="I40" s="21">
        <f t="shared" si="11"/>
        <v>288.73</v>
      </c>
      <c r="J40" s="21">
        <f t="shared" si="12"/>
        <v>303.24</v>
      </c>
      <c r="K40" s="29"/>
      <c r="L40" s="79"/>
      <c r="M40" s="79"/>
      <c r="N40" s="21">
        <v>19.69</v>
      </c>
      <c r="O40" s="16">
        <f t="shared" si="6"/>
        <v>21.66</v>
      </c>
      <c r="P40" s="108">
        <f t="shared" si="8"/>
        <v>0.100050787201625</v>
      </c>
      <c r="Q40" s="109">
        <f t="shared" si="9"/>
        <v>288.7278</v>
      </c>
    </row>
    <row r="41" s="79" customFormat="1" spans="1:17">
      <c r="A41" s="18" t="s">
        <v>162</v>
      </c>
      <c r="B41" s="20">
        <f t="shared" si="14"/>
        <v>0.177800355600711</v>
      </c>
      <c r="C41" s="110">
        <v>7</v>
      </c>
      <c r="D41" s="21" t="s">
        <v>130</v>
      </c>
      <c r="E41" s="26" t="s">
        <v>26</v>
      </c>
      <c r="F41" s="26" t="s">
        <v>29</v>
      </c>
      <c r="G41" s="21">
        <v>10.63</v>
      </c>
      <c r="H41" s="21">
        <f t="shared" si="10"/>
        <v>127.56</v>
      </c>
      <c r="I41" s="21">
        <f t="shared" si="11"/>
        <v>141.7</v>
      </c>
      <c r="J41" s="21">
        <f t="shared" si="12"/>
        <v>148.82</v>
      </c>
      <c r="K41" s="29"/>
      <c r="L41" s="79"/>
      <c r="M41" s="79"/>
      <c r="N41" s="21">
        <v>9.66</v>
      </c>
      <c r="O41" s="16">
        <f t="shared" si="6"/>
        <v>10.63</v>
      </c>
      <c r="P41" s="108">
        <f t="shared" si="8"/>
        <v>0.100414078674948</v>
      </c>
      <c r="Q41" s="109">
        <f t="shared" si="9"/>
        <v>141.6979</v>
      </c>
    </row>
    <row r="42" s="79" customFormat="1" spans="1:17">
      <c r="A42" s="18" t="s">
        <v>162</v>
      </c>
      <c r="B42" s="20">
        <f t="shared" si="14"/>
        <v>0.177800355600711</v>
      </c>
      <c r="C42" s="110">
        <v>7</v>
      </c>
      <c r="D42" s="21" t="s">
        <v>130</v>
      </c>
      <c r="E42" s="26" t="s">
        <v>31</v>
      </c>
      <c r="F42" s="26" t="s">
        <v>29</v>
      </c>
      <c r="G42" s="21">
        <v>23.89</v>
      </c>
      <c r="H42" s="21">
        <f t="shared" si="10"/>
        <v>286.68</v>
      </c>
      <c r="I42" s="21">
        <f t="shared" si="11"/>
        <v>318.45</v>
      </c>
      <c r="J42" s="21">
        <f t="shared" si="12"/>
        <v>334.46</v>
      </c>
      <c r="K42" s="29"/>
      <c r="L42" s="114"/>
      <c r="M42" s="79"/>
      <c r="N42" s="21">
        <v>21.72</v>
      </c>
      <c r="O42" s="16">
        <f t="shared" si="6"/>
        <v>23.89</v>
      </c>
      <c r="P42" s="108">
        <f t="shared" si="8"/>
        <v>0.0999079189686925</v>
      </c>
      <c r="Q42" s="109">
        <f t="shared" si="9"/>
        <v>318.4537</v>
      </c>
    </row>
    <row r="43" s="79" customFormat="1" ht="15.6" spans="1:17">
      <c r="A43" s="18" t="s">
        <v>162</v>
      </c>
      <c r="B43" s="20">
        <f t="shared" si="14"/>
        <v>0.203200406400813</v>
      </c>
      <c r="C43" s="110">
        <v>8</v>
      </c>
      <c r="D43" s="21" t="s">
        <v>130</v>
      </c>
      <c r="E43" s="26" t="s">
        <v>26</v>
      </c>
      <c r="F43" s="26" t="s">
        <v>29</v>
      </c>
      <c r="G43" s="21">
        <v>10.62</v>
      </c>
      <c r="H43" s="21">
        <f t="shared" si="10"/>
        <v>127.44</v>
      </c>
      <c r="I43" s="21">
        <f t="shared" si="11"/>
        <v>141.56</v>
      </c>
      <c r="J43" s="21">
        <f t="shared" si="12"/>
        <v>148.68</v>
      </c>
      <c r="K43" s="29"/>
      <c r="L43" s="1"/>
      <c r="M43" s="1"/>
      <c r="N43" s="21">
        <v>9.48</v>
      </c>
      <c r="O43" s="16">
        <f>ROUND(N43*1.12,2)</f>
        <v>10.62</v>
      </c>
      <c r="P43" s="108">
        <f t="shared" si="8"/>
        <v>0.120253164556962</v>
      </c>
      <c r="Q43" s="109">
        <f t="shared" si="9"/>
        <v>141.5646</v>
      </c>
    </row>
    <row r="44" s="79" customFormat="1" ht="15.6" spans="1:17">
      <c r="A44" s="18" t="s">
        <v>162</v>
      </c>
      <c r="B44" s="20">
        <f t="shared" si="14"/>
        <v>0.203200406400813</v>
      </c>
      <c r="C44" s="110">
        <v>8</v>
      </c>
      <c r="D44" s="21" t="s">
        <v>130</v>
      </c>
      <c r="E44" s="26" t="s">
        <v>42</v>
      </c>
      <c r="F44" s="26" t="s">
        <v>29</v>
      </c>
      <c r="G44" s="21">
        <v>18.52</v>
      </c>
      <c r="H44" s="21">
        <f t="shared" si="10"/>
        <v>222.24</v>
      </c>
      <c r="I44" s="21">
        <f t="shared" si="11"/>
        <v>246.87</v>
      </c>
      <c r="J44" s="21">
        <f t="shared" si="12"/>
        <v>259.28</v>
      </c>
      <c r="K44" s="29"/>
      <c r="L44" s="1"/>
      <c r="M44" s="1"/>
      <c r="N44" s="21">
        <v>17.15</v>
      </c>
      <c r="O44" s="16">
        <f>ROUND(N44*1.08,2)</f>
        <v>18.52</v>
      </c>
      <c r="P44" s="108">
        <f t="shared" si="8"/>
        <v>0.0798833819241983</v>
      </c>
      <c r="Q44" s="109">
        <f t="shared" si="9"/>
        <v>246.8716</v>
      </c>
    </row>
    <row r="45" s="79" customFormat="1" spans="1:17">
      <c r="A45" s="18" t="s">
        <v>162</v>
      </c>
      <c r="B45" s="20">
        <f t="shared" ref="B45:B64" si="15">C45/39.37</f>
        <v>0.203200406400813</v>
      </c>
      <c r="C45" s="110">
        <v>8</v>
      </c>
      <c r="D45" s="21" t="s">
        <v>130</v>
      </c>
      <c r="E45" s="26" t="s">
        <v>31</v>
      </c>
      <c r="F45" s="26" t="s">
        <v>29</v>
      </c>
      <c r="G45" s="21">
        <v>20.72</v>
      </c>
      <c r="H45" s="21">
        <f t="shared" si="10"/>
        <v>248.64</v>
      </c>
      <c r="I45" s="21">
        <f t="shared" si="11"/>
        <v>276.2</v>
      </c>
      <c r="J45" s="21">
        <f t="shared" si="12"/>
        <v>290.08</v>
      </c>
      <c r="K45" s="29"/>
      <c r="L45" s="79"/>
      <c r="M45" s="79"/>
      <c r="N45" s="21">
        <v>18.84</v>
      </c>
      <c r="O45" s="16">
        <f t="shared" ref="O43:O74" si="16">ROUND(N45*1.1,2)</f>
        <v>20.72</v>
      </c>
      <c r="P45" s="108">
        <f t="shared" ref="P45:P81" si="17">(O45-N45)/N45</f>
        <v>0.0997876857749469</v>
      </c>
      <c r="Q45" s="109">
        <f t="shared" ref="Q45:Q81" si="18">O45*13.33</f>
        <v>276.1976</v>
      </c>
    </row>
    <row r="46" s="79" customFormat="1" ht="15.6" spans="1:17">
      <c r="A46" s="18" t="s">
        <v>162</v>
      </c>
      <c r="B46" s="20">
        <f t="shared" si="15"/>
        <v>0.203200406400813</v>
      </c>
      <c r="C46" s="110">
        <v>8</v>
      </c>
      <c r="D46" s="21" t="s">
        <v>130</v>
      </c>
      <c r="E46" s="26" t="s">
        <v>28</v>
      </c>
      <c r="F46" s="26" t="s">
        <v>29</v>
      </c>
      <c r="G46" s="21">
        <v>7.3</v>
      </c>
      <c r="H46" s="21">
        <f t="shared" si="10"/>
        <v>87.6</v>
      </c>
      <c r="I46" s="21">
        <f t="shared" si="11"/>
        <v>97.31</v>
      </c>
      <c r="J46" s="21">
        <f t="shared" si="12"/>
        <v>102.2</v>
      </c>
      <c r="K46" s="29"/>
      <c r="L46" s="1"/>
      <c r="M46" s="1"/>
      <c r="N46" s="21">
        <v>6.64</v>
      </c>
      <c r="O46" s="16">
        <f t="shared" si="16"/>
        <v>7.3</v>
      </c>
      <c r="P46" s="108">
        <f t="shared" si="17"/>
        <v>0.0993975903614458</v>
      </c>
      <c r="Q46" s="109">
        <f t="shared" si="18"/>
        <v>97.309</v>
      </c>
    </row>
    <row r="47" s="79" customFormat="1" ht="15.6" spans="1:17">
      <c r="A47" s="18" t="s">
        <v>162</v>
      </c>
      <c r="B47" s="20">
        <f t="shared" si="15"/>
        <v>0.203200406400813</v>
      </c>
      <c r="C47" s="110">
        <v>8</v>
      </c>
      <c r="D47" s="21" t="s">
        <v>132</v>
      </c>
      <c r="E47" s="26" t="s">
        <v>28</v>
      </c>
      <c r="F47" s="26" t="s">
        <v>29</v>
      </c>
      <c r="G47" s="21">
        <v>8.36</v>
      </c>
      <c r="H47" s="21">
        <f t="shared" si="10"/>
        <v>100.32</v>
      </c>
      <c r="I47" s="21">
        <f t="shared" si="11"/>
        <v>111.44</v>
      </c>
      <c r="J47" s="21">
        <f t="shared" si="12"/>
        <v>117.04</v>
      </c>
      <c r="K47" s="29"/>
      <c r="L47" s="1"/>
      <c r="M47" s="1"/>
      <c r="N47" s="21">
        <v>7.6</v>
      </c>
      <c r="O47" s="16">
        <f t="shared" si="16"/>
        <v>8.36</v>
      </c>
      <c r="P47" s="108">
        <f t="shared" si="17"/>
        <v>0.1</v>
      </c>
      <c r="Q47" s="109">
        <f t="shared" si="18"/>
        <v>111.4388</v>
      </c>
    </row>
    <row r="48" s="79" customFormat="1" spans="1:17">
      <c r="A48" s="18" t="s">
        <v>162</v>
      </c>
      <c r="B48" s="20">
        <f t="shared" si="15"/>
        <v>0.203200406400813</v>
      </c>
      <c r="C48" s="110">
        <v>8</v>
      </c>
      <c r="D48" s="21" t="s">
        <v>167</v>
      </c>
      <c r="E48" s="26" t="s">
        <v>31</v>
      </c>
      <c r="F48" s="26" t="s">
        <v>29</v>
      </c>
      <c r="G48" s="21">
        <v>21.87</v>
      </c>
      <c r="H48" s="21">
        <f t="shared" si="10"/>
        <v>262.44</v>
      </c>
      <c r="I48" s="21">
        <f t="shared" si="11"/>
        <v>291.53</v>
      </c>
      <c r="J48" s="21">
        <f t="shared" si="12"/>
        <v>306.18</v>
      </c>
      <c r="K48" s="29"/>
      <c r="L48" s="79"/>
      <c r="M48" s="79"/>
      <c r="N48" s="21">
        <v>19.88</v>
      </c>
      <c r="O48" s="16">
        <f t="shared" si="16"/>
        <v>21.87</v>
      </c>
      <c r="P48" s="108">
        <f t="shared" si="17"/>
        <v>0.10010060362173</v>
      </c>
      <c r="Q48" s="109">
        <f t="shared" si="18"/>
        <v>291.5271</v>
      </c>
    </row>
    <row r="49" s="79" customFormat="1" spans="1:17">
      <c r="A49" s="18" t="s">
        <v>162</v>
      </c>
      <c r="B49" s="20">
        <f t="shared" si="15"/>
        <v>0.203200406400813</v>
      </c>
      <c r="C49" s="110">
        <v>8</v>
      </c>
      <c r="D49" s="21" t="s">
        <v>132</v>
      </c>
      <c r="E49" s="26" t="s">
        <v>26</v>
      </c>
      <c r="F49" s="26" t="s">
        <v>29</v>
      </c>
      <c r="G49" s="21">
        <v>12.13</v>
      </c>
      <c r="H49" s="21">
        <f t="shared" ref="H49:H54" si="19">ROUND(G49*12,2)</f>
        <v>145.56</v>
      </c>
      <c r="I49" s="21">
        <f t="shared" ref="I49:I54" si="20">ROUND(G49*13.33,2)</f>
        <v>161.69</v>
      </c>
      <c r="J49" s="21">
        <f t="shared" ref="J49:J54" si="21">ROUND(G49*14,2)</f>
        <v>169.82</v>
      </c>
      <c r="K49" s="29"/>
      <c r="L49" s="79"/>
      <c r="M49" s="79"/>
      <c r="N49" s="21">
        <v>11.13</v>
      </c>
      <c r="O49" s="16">
        <f>ROUND(N49*1.09,2)</f>
        <v>12.13</v>
      </c>
      <c r="P49" s="108">
        <f t="shared" si="17"/>
        <v>0.0898472596585804</v>
      </c>
      <c r="Q49" s="109">
        <f t="shared" si="18"/>
        <v>161.6929</v>
      </c>
    </row>
    <row r="50" s="79" customFormat="1" spans="1:17">
      <c r="A50" s="18" t="s">
        <v>162</v>
      </c>
      <c r="B50" s="20">
        <f t="shared" si="15"/>
        <v>0.203200406400813</v>
      </c>
      <c r="C50" s="110">
        <v>8</v>
      </c>
      <c r="D50" s="21" t="s">
        <v>131</v>
      </c>
      <c r="E50" s="26" t="s">
        <v>28</v>
      </c>
      <c r="F50" s="26" t="s">
        <v>29</v>
      </c>
      <c r="G50" s="21">
        <v>7.95</v>
      </c>
      <c r="H50" s="21">
        <f t="shared" si="19"/>
        <v>95.4</v>
      </c>
      <c r="I50" s="21">
        <f t="shared" si="20"/>
        <v>105.97</v>
      </c>
      <c r="J50" s="21">
        <f t="shared" si="21"/>
        <v>111.3</v>
      </c>
      <c r="K50" s="29"/>
      <c r="L50" s="79"/>
      <c r="M50" s="79"/>
      <c r="N50" s="21">
        <v>7.23</v>
      </c>
      <c r="O50" s="16">
        <f t="shared" si="16"/>
        <v>7.95</v>
      </c>
      <c r="P50" s="108">
        <f t="shared" si="17"/>
        <v>0.0995850622406639</v>
      </c>
      <c r="Q50" s="109">
        <f t="shared" si="18"/>
        <v>105.9735</v>
      </c>
    </row>
    <row r="51" s="79" customFormat="1" spans="1:17">
      <c r="A51" s="18" t="s">
        <v>162</v>
      </c>
      <c r="B51" s="20">
        <f t="shared" si="15"/>
        <v>0.203200406400813</v>
      </c>
      <c r="C51" s="110">
        <v>8</v>
      </c>
      <c r="D51" s="21" t="s">
        <v>131</v>
      </c>
      <c r="E51" s="26" t="s">
        <v>26</v>
      </c>
      <c r="F51" s="26" t="s">
        <v>29</v>
      </c>
      <c r="G51" s="21">
        <v>11.59</v>
      </c>
      <c r="H51" s="21">
        <f t="shared" si="19"/>
        <v>139.08</v>
      </c>
      <c r="I51" s="21">
        <f t="shared" si="20"/>
        <v>154.49</v>
      </c>
      <c r="J51" s="21">
        <f t="shared" si="21"/>
        <v>162.26</v>
      </c>
      <c r="K51" s="29"/>
      <c r="L51" s="79"/>
      <c r="M51" s="79"/>
      <c r="N51" s="21">
        <v>10.44</v>
      </c>
      <c r="O51" s="16">
        <f>ROUND(N51*1.11,2)</f>
        <v>11.59</v>
      </c>
      <c r="P51" s="108">
        <f t="shared" si="17"/>
        <v>0.110153256704981</v>
      </c>
      <c r="Q51" s="109">
        <f t="shared" si="18"/>
        <v>154.4947</v>
      </c>
    </row>
    <row r="52" s="79" customFormat="1" spans="1:17">
      <c r="A52" s="18" t="s">
        <v>162</v>
      </c>
      <c r="B52" s="20">
        <f t="shared" si="15"/>
        <v>0.203200406400813</v>
      </c>
      <c r="C52" s="110">
        <v>8</v>
      </c>
      <c r="D52" s="21" t="s">
        <v>131</v>
      </c>
      <c r="E52" s="26" t="s">
        <v>31</v>
      </c>
      <c r="F52" s="26" t="s">
        <v>29</v>
      </c>
      <c r="G52" s="21">
        <v>21.07</v>
      </c>
      <c r="H52" s="21">
        <f t="shared" si="19"/>
        <v>252.84</v>
      </c>
      <c r="I52" s="21">
        <f t="shared" si="20"/>
        <v>280.86</v>
      </c>
      <c r="J52" s="21">
        <f t="shared" si="21"/>
        <v>294.98</v>
      </c>
      <c r="K52" s="29"/>
      <c r="L52" s="79"/>
      <c r="M52" s="79"/>
      <c r="N52" s="21">
        <v>19.15</v>
      </c>
      <c r="O52" s="16">
        <f t="shared" si="16"/>
        <v>21.07</v>
      </c>
      <c r="P52" s="108">
        <f t="shared" si="17"/>
        <v>0.100261096605744</v>
      </c>
      <c r="Q52" s="109">
        <f t="shared" si="18"/>
        <v>280.8631</v>
      </c>
    </row>
    <row r="53" s="79" customFormat="1" spans="1:17">
      <c r="A53" s="18" t="s">
        <v>162</v>
      </c>
      <c r="B53" s="20">
        <f t="shared" si="15"/>
        <v>0.203200406400813</v>
      </c>
      <c r="C53" s="110">
        <v>8</v>
      </c>
      <c r="D53" s="21" t="s">
        <v>131</v>
      </c>
      <c r="E53" s="26" t="s">
        <v>34</v>
      </c>
      <c r="F53" s="26" t="s">
        <v>29</v>
      </c>
      <c r="G53" s="21">
        <v>32.23</v>
      </c>
      <c r="H53" s="21">
        <f t="shared" si="19"/>
        <v>386.76</v>
      </c>
      <c r="I53" s="21">
        <f t="shared" si="20"/>
        <v>429.63</v>
      </c>
      <c r="J53" s="21">
        <f t="shared" si="21"/>
        <v>451.22</v>
      </c>
      <c r="K53" s="29"/>
      <c r="L53" s="79"/>
      <c r="M53" s="79"/>
      <c r="N53" s="21">
        <v>29.57</v>
      </c>
      <c r="O53" s="16">
        <f>ROUND(N53*1.09,2)</f>
        <v>32.23</v>
      </c>
      <c r="P53" s="108">
        <f t="shared" si="17"/>
        <v>0.0899560365235034</v>
      </c>
      <c r="Q53" s="109">
        <f t="shared" si="18"/>
        <v>429.6259</v>
      </c>
    </row>
    <row r="54" s="79" customFormat="1" spans="1:17">
      <c r="A54" s="18" t="s">
        <v>162</v>
      </c>
      <c r="B54" s="20">
        <f t="shared" si="15"/>
        <v>0.228600457200914</v>
      </c>
      <c r="C54" s="110">
        <v>9</v>
      </c>
      <c r="D54" s="21" t="s">
        <v>131</v>
      </c>
      <c r="E54" s="26" t="s">
        <v>26</v>
      </c>
      <c r="F54" s="26" t="s">
        <v>29</v>
      </c>
      <c r="G54" s="21">
        <v>12.19</v>
      </c>
      <c r="H54" s="21">
        <f t="shared" si="19"/>
        <v>146.28</v>
      </c>
      <c r="I54" s="21">
        <f t="shared" si="20"/>
        <v>162.49</v>
      </c>
      <c r="J54" s="21">
        <f t="shared" si="21"/>
        <v>170.66</v>
      </c>
      <c r="K54" s="29"/>
      <c r="L54" s="79"/>
      <c r="M54" s="79"/>
      <c r="N54" s="21">
        <v>11.08</v>
      </c>
      <c r="O54" s="16">
        <f t="shared" si="16"/>
        <v>12.19</v>
      </c>
      <c r="P54" s="108">
        <f t="shared" si="17"/>
        <v>0.100180505415162</v>
      </c>
      <c r="Q54" s="109">
        <f t="shared" si="18"/>
        <v>162.4927</v>
      </c>
    </row>
    <row r="55" s="79" customFormat="1" spans="1:17">
      <c r="A55" s="18" t="s">
        <v>162</v>
      </c>
      <c r="B55" s="20">
        <f t="shared" si="15"/>
        <v>0.228600457200914</v>
      </c>
      <c r="C55" s="110">
        <v>9</v>
      </c>
      <c r="D55" s="21" t="s">
        <v>131</v>
      </c>
      <c r="E55" s="26" t="s">
        <v>31</v>
      </c>
      <c r="F55" s="26" t="s">
        <v>29</v>
      </c>
      <c r="G55" s="21">
        <v>21.15</v>
      </c>
      <c r="H55" s="21">
        <f t="shared" ref="H55:H90" si="22">ROUND(G55*12,2)</f>
        <v>253.8</v>
      </c>
      <c r="I55" s="21">
        <f t="shared" ref="I55:I90" si="23">ROUND(G55*13.33,2)</f>
        <v>281.93</v>
      </c>
      <c r="J55" s="21">
        <f t="shared" ref="J55:J90" si="24">ROUND(G55*14,2)</f>
        <v>296.1</v>
      </c>
      <c r="K55" s="29"/>
      <c r="L55" s="79"/>
      <c r="M55" s="79"/>
      <c r="N55" s="21">
        <v>19.23</v>
      </c>
      <c r="O55" s="16">
        <f t="shared" si="16"/>
        <v>21.15</v>
      </c>
      <c r="P55" s="108">
        <f t="shared" si="17"/>
        <v>0.0998439937597503</v>
      </c>
      <c r="Q55" s="109">
        <f t="shared" si="18"/>
        <v>281.9295</v>
      </c>
    </row>
    <row r="56" s="79" customFormat="1" ht="15.6" spans="1:17">
      <c r="A56" s="18" t="s">
        <v>162</v>
      </c>
      <c r="B56" s="20">
        <f t="shared" si="15"/>
        <v>0.254000508001016</v>
      </c>
      <c r="C56" s="110">
        <v>10</v>
      </c>
      <c r="D56" s="21" t="s">
        <v>131</v>
      </c>
      <c r="E56" s="26" t="s">
        <v>28</v>
      </c>
      <c r="F56" s="26" t="s">
        <v>29</v>
      </c>
      <c r="G56" s="21">
        <v>8.51</v>
      </c>
      <c r="H56" s="21">
        <f t="shared" si="22"/>
        <v>102.12</v>
      </c>
      <c r="I56" s="21">
        <f t="shared" si="23"/>
        <v>113.44</v>
      </c>
      <c r="J56" s="21">
        <f t="shared" si="24"/>
        <v>119.14</v>
      </c>
      <c r="K56" s="29"/>
      <c r="L56" s="1"/>
      <c r="M56" s="1"/>
      <c r="N56" s="21">
        <v>7.74</v>
      </c>
      <c r="O56" s="16">
        <f t="shared" si="16"/>
        <v>8.51</v>
      </c>
      <c r="P56" s="108">
        <f t="shared" si="17"/>
        <v>0.0994832041343669</v>
      </c>
      <c r="Q56" s="109">
        <f t="shared" si="18"/>
        <v>113.4383</v>
      </c>
    </row>
    <row r="57" s="79" customFormat="1" spans="1:17">
      <c r="A57" s="18" t="s">
        <v>162</v>
      </c>
      <c r="B57" s="20">
        <f t="shared" si="15"/>
        <v>0.254000508001016</v>
      </c>
      <c r="C57" s="110">
        <v>10</v>
      </c>
      <c r="D57" s="21" t="s">
        <v>131</v>
      </c>
      <c r="E57" s="26" t="s">
        <v>26</v>
      </c>
      <c r="F57" s="26" t="s">
        <v>29</v>
      </c>
      <c r="G57" s="21">
        <v>11.83</v>
      </c>
      <c r="H57" s="21">
        <f t="shared" si="22"/>
        <v>141.96</v>
      </c>
      <c r="I57" s="21">
        <f t="shared" si="23"/>
        <v>157.69</v>
      </c>
      <c r="J57" s="21">
        <f t="shared" si="24"/>
        <v>165.62</v>
      </c>
      <c r="K57" s="29"/>
      <c r="L57" s="114"/>
      <c r="M57" s="114"/>
      <c r="N57" s="21">
        <v>10.66</v>
      </c>
      <c r="O57" s="16">
        <f>ROUND(N57*1.11,2)</f>
        <v>11.83</v>
      </c>
      <c r="P57" s="108">
        <f t="shared" si="17"/>
        <v>0.109756097560976</v>
      </c>
      <c r="Q57" s="109">
        <f t="shared" si="18"/>
        <v>157.6939</v>
      </c>
    </row>
    <row r="58" s="79" customFormat="1" spans="1:17">
      <c r="A58" s="18" t="s">
        <v>162</v>
      </c>
      <c r="B58" s="20">
        <f t="shared" si="15"/>
        <v>0.254000508001016</v>
      </c>
      <c r="C58" s="110">
        <v>10</v>
      </c>
      <c r="D58" s="21" t="s">
        <v>131</v>
      </c>
      <c r="E58" s="26" t="s">
        <v>31</v>
      </c>
      <c r="F58" s="26" t="s">
        <v>29</v>
      </c>
      <c r="G58" s="21">
        <v>21.88</v>
      </c>
      <c r="H58" s="21">
        <f t="shared" si="22"/>
        <v>262.56</v>
      </c>
      <c r="I58" s="21">
        <f t="shared" si="23"/>
        <v>291.66</v>
      </c>
      <c r="J58" s="21">
        <f t="shared" si="24"/>
        <v>306.32</v>
      </c>
      <c r="K58" s="29"/>
      <c r="L58" s="79"/>
      <c r="M58" s="79"/>
      <c r="N58" s="21">
        <v>19.89</v>
      </c>
      <c r="O58" s="16">
        <f>ROUND(N58*1.1,2)</f>
        <v>21.88</v>
      </c>
      <c r="P58" s="108">
        <f t="shared" si="17"/>
        <v>0.100050276520865</v>
      </c>
      <c r="Q58" s="109">
        <f t="shared" si="18"/>
        <v>291.6604</v>
      </c>
    </row>
    <row r="59" s="79" customFormat="1" ht="15.6" spans="1:17">
      <c r="A59" s="18" t="s">
        <v>162</v>
      </c>
      <c r="B59" s="20">
        <f t="shared" si="15"/>
        <v>0.304800609601219</v>
      </c>
      <c r="C59" s="110">
        <v>12</v>
      </c>
      <c r="D59" s="21" t="s">
        <v>135</v>
      </c>
      <c r="E59" s="26" t="s">
        <v>28</v>
      </c>
      <c r="F59" s="26" t="s">
        <v>29</v>
      </c>
      <c r="G59" s="21">
        <v>8.78</v>
      </c>
      <c r="H59" s="21">
        <f t="shared" si="22"/>
        <v>105.36</v>
      </c>
      <c r="I59" s="21">
        <f t="shared" si="23"/>
        <v>117.04</v>
      </c>
      <c r="J59" s="21">
        <f t="shared" si="24"/>
        <v>122.92</v>
      </c>
      <c r="K59" s="29"/>
      <c r="L59" s="1"/>
      <c r="M59" s="1"/>
      <c r="N59" s="21">
        <v>7.98</v>
      </c>
      <c r="O59" s="16">
        <f t="shared" si="16"/>
        <v>8.78</v>
      </c>
      <c r="P59" s="108">
        <f t="shared" si="17"/>
        <v>0.100250626566416</v>
      </c>
      <c r="Q59" s="109">
        <f t="shared" si="18"/>
        <v>117.0374</v>
      </c>
    </row>
    <row r="60" s="79" customFormat="1" spans="1:17">
      <c r="A60" s="18" t="s">
        <v>162</v>
      </c>
      <c r="B60" s="20">
        <f t="shared" si="15"/>
        <v>0.304800609601219</v>
      </c>
      <c r="C60" s="110">
        <v>12</v>
      </c>
      <c r="D60" s="21" t="s">
        <v>135</v>
      </c>
      <c r="E60" s="26" t="s">
        <v>26</v>
      </c>
      <c r="F60" s="26" t="s">
        <v>29</v>
      </c>
      <c r="G60" s="21">
        <v>12.32</v>
      </c>
      <c r="H60" s="21">
        <f t="shared" si="22"/>
        <v>147.84</v>
      </c>
      <c r="I60" s="21">
        <f t="shared" si="23"/>
        <v>164.23</v>
      </c>
      <c r="J60" s="21">
        <f t="shared" si="24"/>
        <v>172.48</v>
      </c>
      <c r="K60" s="29"/>
      <c r="L60" s="79"/>
      <c r="M60" s="79"/>
      <c r="N60" s="21">
        <v>11.2</v>
      </c>
      <c r="O60" s="16">
        <f t="shared" si="16"/>
        <v>12.32</v>
      </c>
      <c r="P60" s="108">
        <f t="shared" si="17"/>
        <v>0.1</v>
      </c>
      <c r="Q60" s="109">
        <f t="shared" si="18"/>
        <v>164.2256</v>
      </c>
    </row>
    <row r="61" s="79" customFormat="1" ht="15.6" spans="1:17">
      <c r="A61" s="18" t="s">
        <v>162</v>
      </c>
      <c r="B61" s="20">
        <f t="shared" si="15"/>
        <v>0.304800609601219</v>
      </c>
      <c r="C61" s="110">
        <v>12</v>
      </c>
      <c r="D61" s="21" t="s">
        <v>135</v>
      </c>
      <c r="E61" s="26" t="s">
        <v>31</v>
      </c>
      <c r="F61" s="26" t="s">
        <v>29</v>
      </c>
      <c r="G61" s="21">
        <v>21.44</v>
      </c>
      <c r="H61" s="21">
        <f t="shared" si="22"/>
        <v>257.28</v>
      </c>
      <c r="I61" s="21">
        <f t="shared" si="23"/>
        <v>285.8</v>
      </c>
      <c r="J61" s="21">
        <f t="shared" si="24"/>
        <v>300.16</v>
      </c>
      <c r="K61" s="29"/>
      <c r="L61" s="1"/>
      <c r="M61" s="1"/>
      <c r="N61" s="21">
        <v>19.49</v>
      </c>
      <c r="O61" s="16">
        <f t="shared" si="16"/>
        <v>21.44</v>
      </c>
      <c r="P61" s="108">
        <f t="shared" si="17"/>
        <v>0.100051308363263</v>
      </c>
      <c r="Q61" s="109">
        <f t="shared" si="18"/>
        <v>285.7952</v>
      </c>
    </row>
    <row r="62" s="79" customFormat="1" spans="1:17">
      <c r="A62" s="18" t="s">
        <v>162</v>
      </c>
      <c r="B62" s="20">
        <f t="shared" si="15"/>
        <v>0.304800609601219</v>
      </c>
      <c r="C62" s="110">
        <v>12</v>
      </c>
      <c r="D62" s="21" t="s">
        <v>135</v>
      </c>
      <c r="E62" s="26" t="s">
        <v>34</v>
      </c>
      <c r="F62" s="26" t="s">
        <v>29</v>
      </c>
      <c r="G62" s="21">
        <v>32.68</v>
      </c>
      <c r="H62" s="21">
        <f t="shared" si="22"/>
        <v>392.16</v>
      </c>
      <c r="I62" s="21">
        <f t="shared" si="23"/>
        <v>435.62</v>
      </c>
      <c r="J62" s="21">
        <f t="shared" si="24"/>
        <v>457.52</v>
      </c>
      <c r="K62" s="29"/>
      <c r="L62" s="79"/>
      <c r="M62" s="79"/>
      <c r="N62" s="21">
        <v>29.98</v>
      </c>
      <c r="O62" s="16">
        <f>ROUND(N62*1.09,2)</f>
        <v>32.68</v>
      </c>
      <c r="P62" s="108">
        <f t="shared" si="17"/>
        <v>0.0900600400266844</v>
      </c>
      <c r="Q62" s="109">
        <f t="shared" si="18"/>
        <v>435.6244</v>
      </c>
    </row>
    <row r="63" s="79" customFormat="1" spans="1:17">
      <c r="A63" s="18" t="s">
        <v>162</v>
      </c>
      <c r="B63" s="20">
        <f t="shared" si="15"/>
        <v>0.304800609601219</v>
      </c>
      <c r="C63" s="110">
        <v>12</v>
      </c>
      <c r="D63" s="21" t="s">
        <v>168</v>
      </c>
      <c r="E63" s="26" t="s">
        <v>31</v>
      </c>
      <c r="F63" s="26" t="s">
        <v>29</v>
      </c>
      <c r="G63" s="21">
        <v>23.75</v>
      </c>
      <c r="H63" s="21">
        <f t="shared" si="22"/>
        <v>285</v>
      </c>
      <c r="I63" s="21">
        <f t="shared" si="23"/>
        <v>316.59</v>
      </c>
      <c r="J63" s="21">
        <f t="shared" si="24"/>
        <v>332.5</v>
      </c>
      <c r="K63" s="29"/>
      <c r="L63" s="79"/>
      <c r="M63" s="79"/>
      <c r="N63" s="21">
        <v>21.59</v>
      </c>
      <c r="O63" s="16">
        <f t="shared" si="16"/>
        <v>23.75</v>
      </c>
      <c r="P63" s="108">
        <f t="shared" si="17"/>
        <v>0.100046317739694</v>
      </c>
      <c r="Q63" s="109">
        <f t="shared" si="18"/>
        <v>316.5875</v>
      </c>
    </row>
    <row r="64" s="79" customFormat="1" spans="1:17">
      <c r="A64" s="18" t="s">
        <v>162</v>
      </c>
      <c r="B64" s="20">
        <f t="shared" si="15"/>
        <v>0.304800609601219</v>
      </c>
      <c r="C64" s="110">
        <v>12</v>
      </c>
      <c r="D64" s="21" t="s">
        <v>169</v>
      </c>
      <c r="E64" s="26" t="s">
        <v>34</v>
      </c>
      <c r="F64" s="26" t="s">
        <v>29</v>
      </c>
      <c r="G64" s="21">
        <v>34.99</v>
      </c>
      <c r="H64" s="21">
        <f t="shared" si="22"/>
        <v>419.88</v>
      </c>
      <c r="I64" s="21">
        <f t="shared" si="23"/>
        <v>466.42</v>
      </c>
      <c r="J64" s="21">
        <f t="shared" si="24"/>
        <v>489.86</v>
      </c>
      <c r="K64" s="29"/>
      <c r="L64" s="79"/>
      <c r="M64" s="79"/>
      <c r="N64" s="21">
        <v>32.1</v>
      </c>
      <c r="O64" s="16">
        <f>ROUND(N64*1.09,2)</f>
        <v>34.99</v>
      </c>
      <c r="P64" s="108">
        <f t="shared" si="17"/>
        <v>0.0900311526479751</v>
      </c>
      <c r="Q64" s="109">
        <f t="shared" si="18"/>
        <v>466.4167</v>
      </c>
    </row>
    <row r="65" s="79" customFormat="1" ht="15.6" spans="1:17">
      <c r="A65" s="18" t="s">
        <v>162</v>
      </c>
      <c r="B65" s="20">
        <f t="shared" ref="B65:B69" si="25">C65/39.37</f>
        <v>0.355600711201422</v>
      </c>
      <c r="C65" s="110">
        <v>14</v>
      </c>
      <c r="D65" s="21" t="s">
        <v>137</v>
      </c>
      <c r="E65" s="26" t="s">
        <v>26</v>
      </c>
      <c r="F65" s="26" t="s">
        <v>29</v>
      </c>
      <c r="G65" s="21">
        <v>12.56</v>
      </c>
      <c r="H65" s="21">
        <f t="shared" si="22"/>
        <v>150.72</v>
      </c>
      <c r="I65" s="21">
        <f t="shared" si="23"/>
        <v>167.42</v>
      </c>
      <c r="J65" s="21">
        <f t="shared" si="24"/>
        <v>175.84</v>
      </c>
      <c r="K65" s="29"/>
      <c r="L65" s="1"/>
      <c r="M65" s="1"/>
      <c r="N65" s="21">
        <v>11.42</v>
      </c>
      <c r="O65" s="16">
        <f t="shared" si="16"/>
        <v>12.56</v>
      </c>
      <c r="P65" s="108">
        <f t="shared" si="17"/>
        <v>0.0998248686514887</v>
      </c>
      <c r="Q65" s="109">
        <f t="shared" si="18"/>
        <v>167.4248</v>
      </c>
    </row>
    <row r="66" s="79" customFormat="1" ht="15.6" spans="1:17">
      <c r="A66" s="18" t="s">
        <v>162</v>
      </c>
      <c r="B66" s="20">
        <f t="shared" si="25"/>
        <v>0.355600711201422</v>
      </c>
      <c r="C66" s="110">
        <v>14</v>
      </c>
      <c r="D66" s="21" t="s">
        <v>137</v>
      </c>
      <c r="E66" s="26" t="s">
        <v>31</v>
      </c>
      <c r="F66" s="26" t="s">
        <v>29</v>
      </c>
      <c r="G66" s="21">
        <v>22.22</v>
      </c>
      <c r="H66" s="21">
        <f t="shared" si="22"/>
        <v>266.64</v>
      </c>
      <c r="I66" s="21">
        <f t="shared" si="23"/>
        <v>296.19</v>
      </c>
      <c r="J66" s="21">
        <f t="shared" si="24"/>
        <v>311.08</v>
      </c>
      <c r="K66" s="29"/>
      <c r="L66" s="1"/>
      <c r="M66" s="1"/>
      <c r="N66" s="21">
        <v>20.11</v>
      </c>
      <c r="O66" s="16">
        <f>ROUND(N66*1.105,2)</f>
        <v>22.22</v>
      </c>
      <c r="P66" s="108">
        <f t="shared" si="17"/>
        <v>0.104922923918449</v>
      </c>
      <c r="Q66" s="109">
        <f t="shared" si="18"/>
        <v>296.1926</v>
      </c>
    </row>
    <row r="67" s="79" customFormat="1" spans="1:17">
      <c r="A67" s="18" t="s">
        <v>162</v>
      </c>
      <c r="B67" s="20">
        <f t="shared" si="25"/>
        <v>0.355600711201422</v>
      </c>
      <c r="C67" s="110">
        <v>14</v>
      </c>
      <c r="D67" s="21" t="s">
        <v>137</v>
      </c>
      <c r="E67" s="26" t="s">
        <v>34</v>
      </c>
      <c r="F67" s="26" t="s">
        <v>29</v>
      </c>
      <c r="G67" s="21">
        <v>35.32</v>
      </c>
      <c r="H67" s="21">
        <f t="shared" si="22"/>
        <v>423.84</v>
      </c>
      <c r="I67" s="21">
        <f t="shared" si="23"/>
        <v>470.82</v>
      </c>
      <c r="J67" s="21">
        <f t="shared" si="24"/>
        <v>494.48</v>
      </c>
      <c r="K67" s="29"/>
      <c r="L67" s="79"/>
      <c r="M67" s="79"/>
      <c r="N67" s="21">
        <v>32.4</v>
      </c>
      <c r="O67" s="16">
        <f>ROUND(N67*1.09,2)</f>
        <v>35.32</v>
      </c>
      <c r="P67" s="108">
        <f t="shared" si="17"/>
        <v>0.0901234567901235</v>
      </c>
      <c r="Q67" s="109">
        <f t="shared" si="18"/>
        <v>470.8156</v>
      </c>
    </row>
    <row r="68" s="79" customFormat="1" spans="1:17">
      <c r="A68" s="18" t="s">
        <v>162</v>
      </c>
      <c r="B68" s="20">
        <f t="shared" si="25"/>
        <v>0.355600711201422</v>
      </c>
      <c r="C68" s="110">
        <v>14</v>
      </c>
      <c r="D68" s="21" t="s">
        <v>136</v>
      </c>
      <c r="E68" s="26" t="s">
        <v>34</v>
      </c>
      <c r="F68" s="26" t="s">
        <v>29</v>
      </c>
      <c r="G68" s="21">
        <v>36.23</v>
      </c>
      <c r="H68" s="21">
        <f t="shared" si="22"/>
        <v>434.76</v>
      </c>
      <c r="I68" s="21">
        <f t="shared" si="23"/>
        <v>482.95</v>
      </c>
      <c r="J68" s="21">
        <f t="shared" si="24"/>
        <v>507.22</v>
      </c>
      <c r="K68" s="29"/>
      <c r="L68" s="79"/>
      <c r="M68" s="79"/>
      <c r="N68" s="21">
        <v>33.24</v>
      </c>
      <c r="O68" s="16">
        <f>ROUND(N68*1.09,2)</f>
        <v>36.23</v>
      </c>
      <c r="P68" s="108">
        <f t="shared" si="17"/>
        <v>0.0899518652226232</v>
      </c>
      <c r="Q68" s="109">
        <f t="shared" si="18"/>
        <v>482.9459</v>
      </c>
    </row>
    <row r="69" s="79" customFormat="1" spans="1:17">
      <c r="A69" s="18" t="s">
        <v>162</v>
      </c>
      <c r="B69" s="20">
        <f t="shared" si="25"/>
        <v>0.406400812801626</v>
      </c>
      <c r="C69" s="110">
        <v>16</v>
      </c>
      <c r="D69" s="21" t="s">
        <v>137</v>
      </c>
      <c r="E69" s="26" t="s">
        <v>28</v>
      </c>
      <c r="F69" s="26" t="s">
        <v>29</v>
      </c>
      <c r="G69" s="21">
        <v>9.02</v>
      </c>
      <c r="H69" s="21">
        <f t="shared" si="22"/>
        <v>108.24</v>
      </c>
      <c r="I69" s="21">
        <f t="shared" si="23"/>
        <v>120.24</v>
      </c>
      <c r="J69" s="21">
        <f t="shared" si="24"/>
        <v>126.28</v>
      </c>
      <c r="K69" s="29"/>
      <c r="L69" s="114"/>
      <c r="M69" s="114"/>
      <c r="N69" s="21">
        <v>8.2</v>
      </c>
      <c r="O69" s="16">
        <f t="shared" si="16"/>
        <v>9.02</v>
      </c>
      <c r="P69" s="108">
        <f t="shared" si="17"/>
        <v>0.1</v>
      </c>
      <c r="Q69" s="109">
        <f t="shared" si="18"/>
        <v>120.2366</v>
      </c>
    </row>
    <row r="70" s="79" customFormat="1" ht="15.6" spans="1:17">
      <c r="A70" s="18" t="s">
        <v>162</v>
      </c>
      <c r="B70" s="20">
        <f t="shared" ref="B70:B75" si="26">C70/39.37</f>
        <v>0.406400812801626</v>
      </c>
      <c r="C70" s="110">
        <v>16</v>
      </c>
      <c r="D70" s="21" t="s">
        <v>137</v>
      </c>
      <c r="E70" s="26" t="s">
        <v>26</v>
      </c>
      <c r="F70" s="26" t="s">
        <v>29</v>
      </c>
      <c r="G70" s="21">
        <v>12.71</v>
      </c>
      <c r="H70" s="21">
        <f t="shared" si="22"/>
        <v>152.52</v>
      </c>
      <c r="I70" s="21">
        <f t="shared" si="23"/>
        <v>169.42</v>
      </c>
      <c r="J70" s="21">
        <f t="shared" si="24"/>
        <v>177.94</v>
      </c>
      <c r="K70" s="29"/>
      <c r="L70" s="1"/>
      <c r="M70" s="1"/>
      <c r="N70" s="21">
        <v>11.55</v>
      </c>
      <c r="O70" s="16">
        <f t="shared" si="16"/>
        <v>12.71</v>
      </c>
      <c r="P70" s="108">
        <f t="shared" si="17"/>
        <v>0.1004329004329</v>
      </c>
      <c r="Q70" s="109">
        <f t="shared" si="18"/>
        <v>169.4243</v>
      </c>
    </row>
    <row r="71" s="79" customFormat="1" ht="15.6" spans="1:17">
      <c r="A71" s="18" t="s">
        <v>162</v>
      </c>
      <c r="B71" s="20">
        <f t="shared" si="26"/>
        <v>0.406400812801626</v>
      </c>
      <c r="C71" s="110">
        <v>16</v>
      </c>
      <c r="D71" s="21" t="s">
        <v>137</v>
      </c>
      <c r="E71" s="26" t="s">
        <v>31</v>
      </c>
      <c r="F71" s="26" t="s">
        <v>29</v>
      </c>
      <c r="G71" s="21">
        <v>22.32</v>
      </c>
      <c r="H71" s="21">
        <f t="shared" si="22"/>
        <v>267.84</v>
      </c>
      <c r="I71" s="21">
        <f t="shared" si="23"/>
        <v>297.53</v>
      </c>
      <c r="J71" s="21">
        <f t="shared" si="24"/>
        <v>312.48</v>
      </c>
      <c r="K71" s="29"/>
      <c r="L71" s="1"/>
      <c r="M71" s="1"/>
      <c r="N71" s="21">
        <v>20.2</v>
      </c>
      <c r="O71" s="16">
        <f>ROUND(N71*1.105,2)</f>
        <v>22.32</v>
      </c>
      <c r="P71" s="108">
        <f t="shared" si="17"/>
        <v>0.104950495049505</v>
      </c>
      <c r="Q71" s="109">
        <f t="shared" si="18"/>
        <v>297.5256</v>
      </c>
    </row>
    <row r="72" s="79" customFormat="1" spans="1:17">
      <c r="A72" s="18" t="s">
        <v>162</v>
      </c>
      <c r="B72" s="20">
        <f t="shared" si="26"/>
        <v>0.406400812801626</v>
      </c>
      <c r="C72" s="110">
        <v>16</v>
      </c>
      <c r="D72" s="21" t="s">
        <v>137</v>
      </c>
      <c r="E72" s="26" t="s">
        <v>34</v>
      </c>
      <c r="F72" s="26" t="s">
        <v>29</v>
      </c>
      <c r="G72" s="21">
        <v>33.23</v>
      </c>
      <c r="H72" s="21">
        <f t="shared" si="22"/>
        <v>398.76</v>
      </c>
      <c r="I72" s="21">
        <f t="shared" si="23"/>
        <v>442.96</v>
      </c>
      <c r="J72" s="21">
        <f t="shared" si="24"/>
        <v>465.22</v>
      </c>
      <c r="K72" s="29"/>
      <c r="L72" s="79"/>
      <c r="M72" s="79"/>
      <c r="N72" s="21">
        <v>30.49</v>
      </c>
      <c r="O72" s="16">
        <f>ROUND(N72*1.09,2)</f>
        <v>33.23</v>
      </c>
      <c r="P72" s="108">
        <f t="shared" si="17"/>
        <v>0.0898655296818629</v>
      </c>
      <c r="Q72" s="109">
        <f t="shared" si="18"/>
        <v>442.9559</v>
      </c>
    </row>
    <row r="73" s="79" customFormat="1" spans="1:17">
      <c r="A73" s="18" t="s">
        <v>162</v>
      </c>
      <c r="B73" s="20">
        <f t="shared" si="26"/>
        <v>0.457200914401829</v>
      </c>
      <c r="C73" s="110">
        <v>18</v>
      </c>
      <c r="D73" s="21" t="s">
        <v>170</v>
      </c>
      <c r="E73" s="26" t="s">
        <v>28</v>
      </c>
      <c r="F73" s="26" t="s">
        <v>29</v>
      </c>
      <c r="G73" s="21">
        <v>9.96</v>
      </c>
      <c r="H73" s="21">
        <f t="shared" si="22"/>
        <v>119.52</v>
      </c>
      <c r="I73" s="21">
        <f t="shared" si="23"/>
        <v>132.77</v>
      </c>
      <c r="J73" s="21">
        <f t="shared" si="24"/>
        <v>139.44</v>
      </c>
      <c r="K73" s="29"/>
      <c r="L73" s="79"/>
      <c r="M73" s="79"/>
      <c r="N73" s="21">
        <v>9.05</v>
      </c>
      <c r="O73" s="16">
        <f t="shared" si="16"/>
        <v>9.96</v>
      </c>
      <c r="P73" s="108">
        <f t="shared" si="17"/>
        <v>0.100552486187845</v>
      </c>
      <c r="Q73" s="109">
        <f t="shared" si="18"/>
        <v>132.7668</v>
      </c>
    </row>
    <row r="74" s="79" customFormat="1" spans="1:17">
      <c r="A74" s="18" t="s">
        <v>162</v>
      </c>
      <c r="B74" s="20">
        <f t="shared" si="26"/>
        <v>0.457200914401829</v>
      </c>
      <c r="C74" s="110">
        <v>18</v>
      </c>
      <c r="D74" s="21" t="s">
        <v>170</v>
      </c>
      <c r="E74" s="26" t="s">
        <v>26</v>
      </c>
      <c r="F74" s="26" t="s">
        <v>29</v>
      </c>
      <c r="G74" s="21">
        <v>13.76</v>
      </c>
      <c r="H74" s="21">
        <f t="shared" si="22"/>
        <v>165.12</v>
      </c>
      <c r="I74" s="21">
        <f t="shared" si="23"/>
        <v>183.42</v>
      </c>
      <c r="J74" s="21">
        <f t="shared" si="24"/>
        <v>192.64</v>
      </c>
      <c r="K74" s="29"/>
      <c r="L74" s="114"/>
      <c r="M74" s="114"/>
      <c r="N74" s="21">
        <v>12.51</v>
      </c>
      <c r="O74" s="16">
        <f t="shared" si="16"/>
        <v>13.76</v>
      </c>
      <c r="P74" s="108">
        <f t="shared" si="17"/>
        <v>0.0999200639488409</v>
      </c>
      <c r="Q74" s="109">
        <f t="shared" si="18"/>
        <v>183.4208</v>
      </c>
    </row>
    <row r="75" s="79" customFormat="1" spans="1:17">
      <c r="A75" s="18" t="s">
        <v>162</v>
      </c>
      <c r="B75" s="20">
        <f t="shared" si="26"/>
        <v>0.457200914401829</v>
      </c>
      <c r="C75" s="110">
        <v>18</v>
      </c>
      <c r="D75" s="21" t="s">
        <v>170</v>
      </c>
      <c r="E75" s="26" t="s">
        <v>44</v>
      </c>
      <c r="F75" s="26" t="s">
        <v>29</v>
      </c>
      <c r="G75" s="21">
        <v>22.25</v>
      </c>
      <c r="H75" s="21">
        <f t="shared" si="22"/>
        <v>267</v>
      </c>
      <c r="I75" s="21">
        <f t="shared" si="23"/>
        <v>296.59</v>
      </c>
      <c r="J75" s="21">
        <f t="shared" si="24"/>
        <v>311.5</v>
      </c>
      <c r="K75" s="29"/>
      <c r="L75" s="114"/>
      <c r="M75" s="115"/>
      <c r="N75" s="21">
        <v>22.25</v>
      </c>
      <c r="O75" s="16">
        <f>ROUND(N75*1,2)</f>
        <v>22.25</v>
      </c>
      <c r="P75" s="108">
        <f t="shared" si="17"/>
        <v>0</v>
      </c>
      <c r="Q75" s="109">
        <f t="shared" si="18"/>
        <v>296.5925</v>
      </c>
    </row>
    <row r="76" s="79" customFormat="1" spans="1:17">
      <c r="A76" s="18" t="s">
        <v>162</v>
      </c>
      <c r="B76" s="20">
        <f t="shared" ref="B76:B82" si="27">C76/39.37</f>
        <v>0.457200914401829</v>
      </c>
      <c r="C76" s="110">
        <v>18</v>
      </c>
      <c r="D76" s="21" t="s">
        <v>170</v>
      </c>
      <c r="E76" s="26" t="s">
        <v>31</v>
      </c>
      <c r="F76" s="26" t="s">
        <v>29</v>
      </c>
      <c r="G76" s="21">
        <v>22.54</v>
      </c>
      <c r="H76" s="21">
        <f t="shared" si="22"/>
        <v>270.48</v>
      </c>
      <c r="I76" s="21">
        <f t="shared" si="23"/>
        <v>300.46</v>
      </c>
      <c r="J76" s="21">
        <f t="shared" si="24"/>
        <v>315.56</v>
      </c>
      <c r="K76" s="29"/>
      <c r="L76" s="79"/>
      <c r="M76" s="79"/>
      <c r="N76" s="21">
        <v>20.49</v>
      </c>
      <c r="O76" s="16">
        <f t="shared" ref="O75:O106" si="28">ROUND(N76*1.1,2)</f>
        <v>22.54</v>
      </c>
      <c r="P76" s="108">
        <f t="shared" ref="P76:P82" si="29">(O76-N76)/N76</f>
        <v>0.100048804294778</v>
      </c>
      <c r="Q76" s="109">
        <f t="shared" ref="Q76:Q82" si="30">O76*13.33</f>
        <v>300.4582</v>
      </c>
    </row>
    <row r="77" s="79" customFormat="1" ht="15.6" spans="1:17">
      <c r="A77" s="18" t="s">
        <v>162</v>
      </c>
      <c r="B77" s="20">
        <f t="shared" si="27"/>
        <v>0.508001016002032</v>
      </c>
      <c r="C77" s="110">
        <v>20</v>
      </c>
      <c r="D77" s="21" t="s">
        <v>171</v>
      </c>
      <c r="E77" s="26" t="s">
        <v>26</v>
      </c>
      <c r="F77" s="26" t="s">
        <v>29</v>
      </c>
      <c r="G77" s="21">
        <v>13.63</v>
      </c>
      <c r="H77" s="21">
        <f t="shared" si="22"/>
        <v>163.56</v>
      </c>
      <c r="I77" s="21">
        <f t="shared" si="23"/>
        <v>181.69</v>
      </c>
      <c r="J77" s="21">
        <f t="shared" si="24"/>
        <v>190.82</v>
      </c>
      <c r="K77" s="29"/>
      <c r="L77" s="1"/>
      <c r="M77" s="1"/>
      <c r="N77" s="21">
        <v>12.39</v>
      </c>
      <c r="O77" s="16">
        <f t="shared" si="28"/>
        <v>13.63</v>
      </c>
      <c r="P77" s="108">
        <f t="shared" si="29"/>
        <v>0.100080710250202</v>
      </c>
      <c r="Q77" s="109">
        <f t="shared" si="30"/>
        <v>181.6879</v>
      </c>
    </row>
    <row r="78" s="79" customFormat="1" ht="15.6" spans="1:17">
      <c r="A78" s="18" t="s">
        <v>162</v>
      </c>
      <c r="B78" s="20">
        <f t="shared" si="27"/>
        <v>0.508001016002032</v>
      </c>
      <c r="C78" s="110">
        <v>20</v>
      </c>
      <c r="D78" s="21" t="s">
        <v>171</v>
      </c>
      <c r="E78" s="26" t="s">
        <v>28</v>
      </c>
      <c r="F78" s="26" t="s">
        <v>29</v>
      </c>
      <c r="G78" s="21">
        <v>9.87</v>
      </c>
      <c r="H78" s="21">
        <f t="shared" si="22"/>
        <v>118.44</v>
      </c>
      <c r="I78" s="21">
        <f t="shared" si="23"/>
        <v>131.57</v>
      </c>
      <c r="J78" s="21">
        <f t="shared" si="24"/>
        <v>138.18</v>
      </c>
      <c r="K78" s="29"/>
      <c r="L78" s="1"/>
      <c r="M78" s="1"/>
      <c r="N78" s="21">
        <v>8.97</v>
      </c>
      <c r="O78" s="16">
        <f t="shared" si="28"/>
        <v>9.87</v>
      </c>
      <c r="P78" s="108">
        <f t="shared" si="29"/>
        <v>0.100334448160535</v>
      </c>
      <c r="Q78" s="109">
        <f t="shared" si="30"/>
        <v>131.5671</v>
      </c>
    </row>
    <row r="79" s="79" customFormat="1" spans="1:17">
      <c r="A79" s="18" t="s">
        <v>162</v>
      </c>
      <c r="B79" s="20">
        <f t="shared" si="27"/>
        <v>0.508001016002032</v>
      </c>
      <c r="C79" s="110">
        <v>20</v>
      </c>
      <c r="D79" s="21" t="s">
        <v>171</v>
      </c>
      <c r="E79" s="26" t="s">
        <v>31</v>
      </c>
      <c r="F79" s="26" t="s">
        <v>29</v>
      </c>
      <c r="G79" s="21">
        <v>23.47</v>
      </c>
      <c r="H79" s="21">
        <f t="shared" si="22"/>
        <v>281.64</v>
      </c>
      <c r="I79" s="21">
        <f t="shared" si="23"/>
        <v>312.86</v>
      </c>
      <c r="J79" s="21">
        <f t="shared" si="24"/>
        <v>328.58</v>
      </c>
      <c r="K79" s="29"/>
      <c r="L79" s="79"/>
      <c r="M79" s="79"/>
      <c r="N79" s="21">
        <v>21.34</v>
      </c>
      <c r="O79" s="16">
        <f t="shared" si="28"/>
        <v>23.47</v>
      </c>
      <c r="P79" s="108">
        <f t="shared" si="29"/>
        <v>0.0998125585754451</v>
      </c>
      <c r="Q79" s="109">
        <f t="shared" si="30"/>
        <v>312.8551</v>
      </c>
    </row>
    <row r="80" s="79" customFormat="1" spans="1:17">
      <c r="A80" s="18" t="s">
        <v>162</v>
      </c>
      <c r="B80" s="20">
        <f t="shared" si="27"/>
        <v>0.508001016002032</v>
      </c>
      <c r="C80" s="110">
        <v>20</v>
      </c>
      <c r="D80" s="21" t="s">
        <v>172</v>
      </c>
      <c r="E80" s="26" t="s">
        <v>26</v>
      </c>
      <c r="F80" s="26" t="s">
        <v>29</v>
      </c>
      <c r="G80" s="21">
        <v>14.85</v>
      </c>
      <c r="H80" s="21">
        <f t="shared" si="22"/>
        <v>178.2</v>
      </c>
      <c r="I80" s="21">
        <f t="shared" si="23"/>
        <v>197.95</v>
      </c>
      <c r="J80" s="21">
        <f t="shared" si="24"/>
        <v>207.9</v>
      </c>
      <c r="K80" s="29"/>
      <c r="N80" s="21">
        <v>13.5</v>
      </c>
      <c r="O80" s="16">
        <f t="shared" si="28"/>
        <v>14.85</v>
      </c>
      <c r="P80" s="108">
        <f t="shared" si="29"/>
        <v>0.1</v>
      </c>
      <c r="Q80" s="109">
        <f t="shared" si="30"/>
        <v>197.9505</v>
      </c>
    </row>
    <row r="81" s="79" customFormat="1" spans="1:17">
      <c r="A81" s="18" t="s">
        <v>162</v>
      </c>
      <c r="B81" s="20">
        <f t="shared" si="27"/>
        <v>0.508001016002032</v>
      </c>
      <c r="C81" s="110">
        <v>20</v>
      </c>
      <c r="D81" s="21" t="s">
        <v>173</v>
      </c>
      <c r="E81" s="26" t="s">
        <v>26</v>
      </c>
      <c r="F81" s="26" t="s">
        <v>29</v>
      </c>
      <c r="G81" s="21">
        <v>18.4</v>
      </c>
      <c r="H81" s="21">
        <f t="shared" si="22"/>
        <v>220.8</v>
      </c>
      <c r="I81" s="21">
        <f t="shared" si="23"/>
        <v>245.27</v>
      </c>
      <c r="J81" s="21">
        <f t="shared" si="24"/>
        <v>257.6</v>
      </c>
      <c r="K81" s="29"/>
      <c r="L81" s="79"/>
      <c r="M81" s="79"/>
      <c r="N81" s="21">
        <v>16.73</v>
      </c>
      <c r="O81" s="16">
        <f t="shared" si="28"/>
        <v>18.4</v>
      </c>
      <c r="P81" s="108">
        <f t="shared" si="29"/>
        <v>0.0998206814106395</v>
      </c>
      <c r="Q81" s="109">
        <f t="shared" si="30"/>
        <v>245.272</v>
      </c>
    </row>
    <row r="82" s="79" customFormat="1" ht="15.6" spans="1:17">
      <c r="A82" s="18" t="s">
        <v>162</v>
      </c>
      <c r="B82" s="20">
        <f t="shared" si="27"/>
        <v>0.558801117602235</v>
      </c>
      <c r="C82" s="110">
        <v>22</v>
      </c>
      <c r="D82" s="21" t="s">
        <v>172</v>
      </c>
      <c r="E82" s="26" t="s">
        <v>26</v>
      </c>
      <c r="F82" s="26" t="s">
        <v>29</v>
      </c>
      <c r="G82" s="21">
        <v>13.82</v>
      </c>
      <c r="H82" s="21">
        <f t="shared" si="22"/>
        <v>165.84</v>
      </c>
      <c r="I82" s="21">
        <f t="shared" si="23"/>
        <v>184.22</v>
      </c>
      <c r="J82" s="21">
        <f t="shared" si="24"/>
        <v>193.48</v>
      </c>
      <c r="K82" s="29"/>
      <c r="L82" s="1"/>
      <c r="M82" s="1"/>
      <c r="N82" s="21">
        <v>12.56</v>
      </c>
      <c r="O82" s="16">
        <f t="shared" si="28"/>
        <v>13.82</v>
      </c>
      <c r="P82" s="108">
        <f t="shared" si="29"/>
        <v>0.10031847133758</v>
      </c>
      <c r="Q82" s="109">
        <f t="shared" si="30"/>
        <v>184.2206</v>
      </c>
    </row>
    <row r="83" s="79" customFormat="1" ht="15.6" spans="1:17">
      <c r="A83" s="18" t="s">
        <v>162</v>
      </c>
      <c r="B83" s="20">
        <f t="shared" ref="B83:B90" si="31">C83/39.37</f>
        <v>0.609601219202438</v>
      </c>
      <c r="C83" s="110">
        <v>24</v>
      </c>
      <c r="D83" s="21" t="s">
        <v>172</v>
      </c>
      <c r="E83" s="26" t="s">
        <v>28</v>
      </c>
      <c r="F83" s="26" t="s">
        <v>29</v>
      </c>
      <c r="G83" s="21">
        <v>10.26</v>
      </c>
      <c r="H83" s="21">
        <f t="shared" si="22"/>
        <v>123.12</v>
      </c>
      <c r="I83" s="21">
        <f t="shared" si="23"/>
        <v>136.77</v>
      </c>
      <c r="J83" s="21">
        <f t="shared" si="24"/>
        <v>143.64</v>
      </c>
      <c r="K83" s="29"/>
      <c r="L83" s="1"/>
      <c r="M83" s="1"/>
      <c r="N83" s="21">
        <v>9.33</v>
      </c>
      <c r="O83" s="16">
        <f t="shared" si="28"/>
        <v>10.26</v>
      </c>
      <c r="P83" s="108">
        <f t="shared" ref="P83:P110" si="32">(O83-N83)/N83</f>
        <v>0.0996784565916398</v>
      </c>
      <c r="Q83" s="109">
        <f t="shared" ref="Q83:Q110" si="33">O83*13.33</f>
        <v>136.7658</v>
      </c>
    </row>
    <row r="84" s="79" customFormat="1" spans="1:17">
      <c r="A84" s="18" t="s">
        <v>162</v>
      </c>
      <c r="B84" s="20">
        <f t="shared" si="31"/>
        <v>0.609601219202438</v>
      </c>
      <c r="C84" s="110">
        <v>24</v>
      </c>
      <c r="D84" s="21" t="s">
        <v>172</v>
      </c>
      <c r="E84" s="26" t="s">
        <v>26</v>
      </c>
      <c r="F84" s="26" t="s">
        <v>29</v>
      </c>
      <c r="G84" s="21">
        <v>14.38</v>
      </c>
      <c r="H84" s="21">
        <f t="shared" si="22"/>
        <v>172.56</v>
      </c>
      <c r="I84" s="21">
        <f t="shared" si="23"/>
        <v>191.69</v>
      </c>
      <c r="J84" s="21">
        <f t="shared" si="24"/>
        <v>201.32</v>
      </c>
      <c r="K84" s="29"/>
      <c r="L84" s="114"/>
      <c r="M84" s="114"/>
      <c r="N84" s="21">
        <v>13.07</v>
      </c>
      <c r="O84" s="16">
        <f t="shared" si="28"/>
        <v>14.38</v>
      </c>
      <c r="P84" s="108">
        <f t="shared" si="32"/>
        <v>0.100229533282326</v>
      </c>
      <c r="Q84" s="109">
        <f t="shared" si="33"/>
        <v>191.6854</v>
      </c>
    </row>
    <row r="85" s="79" customFormat="1" spans="1:17">
      <c r="A85" s="18" t="s">
        <v>162</v>
      </c>
      <c r="B85" s="20">
        <f t="shared" si="31"/>
        <v>0.609601219202438</v>
      </c>
      <c r="C85" s="110">
        <v>24</v>
      </c>
      <c r="D85" s="21" t="s">
        <v>172</v>
      </c>
      <c r="E85" s="26" t="s">
        <v>31</v>
      </c>
      <c r="F85" s="26" t="s">
        <v>29</v>
      </c>
      <c r="G85" s="21">
        <v>24.29</v>
      </c>
      <c r="H85" s="21">
        <f t="shared" si="22"/>
        <v>291.48</v>
      </c>
      <c r="I85" s="21">
        <f t="shared" si="23"/>
        <v>323.79</v>
      </c>
      <c r="J85" s="21">
        <f t="shared" si="24"/>
        <v>340.06</v>
      </c>
      <c r="K85" s="29"/>
      <c r="L85" s="79"/>
      <c r="M85" s="79"/>
      <c r="N85" s="21">
        <v>22.08</v>
      </c>
      <c r="O85" s="16">
        <f t="shared" si="28"/>
        <v>24.29</v>
      </c>
      <c r="P85" s="108">
        <f t="shared" si="32"/>
        <v>0.100090579710145</v>
      </c>
      <c r="Q85" s="109">
        <f t="shared" si="33"/>
        <v>323.7857</v>
      </c>
    </row>
    <row r="86" s="79" customFormat="1" spans="1:17">
      <c r="A86" s="18" t="s">
        <v>162</v>
      </c>
      <c r="B86" s="20">
        <f t="shared" si="31"/>
        <v>0.609601219202438</v>
      </c>
      <c r="C86" s="110">
        <v>24</v>
      </c>
      <c r="D86" s="21" t="s">
        <v>172</v>
      </c>
      <c r="E86" s="26" t="s">
        <v>34</v>
      </c>
      <c r="F86" s="26" t="s">
        <v>29</v>
      </c>
      <c r="G86" s="21">
        <v>35.64</v>
      </c>
      <c r="H86" s="21">
        <f t="shared" si="22"/>
        <v>427.68</v>
      </c>
      <c r="I86" s="21">
        <f t="shared" si="23"/>
        <v>475.08</v>
      </c>
      <c r="J86" s="21">
        <f t="shared" si="24"/>
        <v>498.96</v>
      </c>
      <c r="K86" s="29"/>
      <c r="L86" s="79"/>
      <c r="M86" s="79"/>
      <c r="N86" s="21">
        <v>33</v>
      </c>
      <c r="O86" s="16">
        <f>ROUND(N86*1.08,2)</f>
        <v>35.64</v>
      </c>
      <c r="P86" s="108">
        <f t="shared" si="32"/>
        <v>0.08</v>
      </c>
      <c r="Q86" s="109">
        <f t="shared" si="33"/>
        <v>475.0812</v>
      </c>
    </row>
    <row r="87" s="79" customFormat="1" spans="1:17">
      <c r="A87" s="18" t="s">
        <v>162</v>
      </c>
      <c r="B87" s="20">
        <f t="shared" si="31"/>
        <v>0.660401320802642</v>
      </c>
      <c r="C87" s="110">
        <v>26</v>
      </c>
      <c r="D87" s="21" t="s">
        <v>174</v>
      </c>
      <c r="E87" s="26" t="s">
        <v>28</v>
      </c>
      <c r="F87" s="26" t="s">
        <v>29</v>
      </c>
      <c r="G87" s="21">
        <v>11.57</v>
      </c>
      <c r="H87" s="21">
        <f t="shared" si="22"/>
        <v>138.84</v>
      </c>
      <c r="I87" s="21">
        <f t="shared" si="23"/>
        <v>154.23</v>
      </c>
      <c r="J87" s="21">
        <f t="shared" si="24"/>
        <v>161.98</v>
      </c>
      <c r="K87" s="29"/>
      <c r="L87" s="79"/>
      <c r="M87" s="79"/>
      <c r="N87" s="21">
        <v>10.52</v>
      </c>
      <c r="O87" s="16">
        <f t="shared" si="28"/>
        <v>11.57</v>
      </c>
      <c r="P87" s="108">
        <f t="shared" si="32"/>
        <v>0.099809885931559</v>
      </c>
      <c r="Q87" s="109">
        <f t="shared" si="33"/>
        <v>154.2281</v>
      </c>
    </row>
    <row r="88" s="79" customFormat="1" spans="1:17">
      <c r="A88" s="18" t="s">
        <v>162</v>
      </c>
      <c r="B88" s="20">
        <f t="shared" si="31"/>
        <v>0.660401320802642</v>
      </c>
      <c r="C88" s="110">
        <v>26</v>
      </c>
      <c r="D88" s="21" t="s">
        <v>174</v>
      </c>
      <c r="E88" s="26" t="s">
        <v>26</v>
      </c>
      <c r="F88" s="26" t="s">
        <v>29</v>
      </c>
      <c r="G88" s="21">
        <v>15.28</v>
      </c>
      <c r="H88" s="21">
        <f t="shared" si="22"/>
        <v>183.36</v>
      </c>
      <c r="I88" s="21">
        <f t="shared" si="23"/>
        <v>203.68</v>
      </c>
      <c r="J88" s="21">
        <f t="shared" si="24"/>
        <v>213.92</v>
      </c>
      <c r="K88" s="29"/>
      <c r="L88" s="114"/>
      <c r="M88" s="114"/>
      <c r="N88" s="21">
        <v>13.89</v>
      </c>
      <c r="O88" s="16">
        <f t="shared" si="28"/>
        <v>15.28</v>
      </c>
      <c r="P88" s="108">
        <f t="shared" si="32"/>
        <v>0.100071994240461</v>
      </c>
      <c r="Q88" s="109">
        <f t="shared" si="33"/>
        <v>203.6824</v>
      </c>
    </row>
    <row r="89" s="79" customFormat="1" spans="1:17">
      <c r="A89" s="18" t="s">
        <v>162</v>
      </c>
      <c r="B89" s="20">
        <f t="shared" si="31"/>
        <v>0.660401320802642</v>
      </c>
      <c r="C89" s="110">
        <v>26</v>
      </c>
      <c r="D89" s="21" t="s">
        <v>174</v>
      </c>
      <c r="E89" s="26" t="s">
        <v>31</v>
      </c>
      <c r="F89" s="26" t="s">
        <v>29</v>
      </c>
      <c r="G89" s="21">
        <v>25.33</v>
      </c>
      <c r="H89" s="21">
        <f t="shared" si="22"/>
        <v>303.96</v>
      </c>
      <c r="I89" s="21">
        <f t="shared" si="23"/>
        <v>337.65</v>
      </c>
      <c r="J89" s="21">
        <f t="shared" si="24"/>
        <v>354.62</v>
      </c>
      <c r="K89" s="29"/>
      <c r="L89" s="79"/>
      <c r="M89" s="79"/>
      <c r="N89" s="21">
        <v>23.03</v>
      </c>
      <c r="O89" s="16">
        <f t="shared" si="28"/>
        <v>25.33</v>
      </c>
      <c r="P89" s="108">
        <f t="shared" si="32"/>
        <v>0.0998697351280937</v>
      </c>
      <c r="Q89" s="109">
        <f t="shared" si="33"/>
        <v>337.6489</v>
      </c>
    </row>
    <row r="90" s="79" customFormat="1" ht="15.6" spans="1:17">
      <c r="A90" s="18" t="s">
        <v>162</v>
      </c>
      <c r="B90" s="20">
        <f t="shared" si="31"/>
        <v>0.711201422402845</v>
      </c>
      <c r="C90" s="110">
        <v>28</v>
      </c>
      <c r="D90" s="21" t="s">
        <v>175</v>
      </c>
      <c r="E90" s="26" t="s">
        <v>28</v>
      </c>
      <c r="F90" s="26" t="s">
        <v>29</v>
      </c>
      <c r="G90" s="21">
        <v>10.96</v>
      </c>
      <c r="H90" s="21">
        <f t="shared" si="22"/>
        <v>131.52</v>
      </c>
      <c r="I90" s="21">
        <f t="shared" si="23"/>
        <v>146.1</v>
      </c>
      <c r="J90" s="21">
        <f t="shared" si="24"/>
        <v>153.44</v>
      </c>
      <c r="K90" s="29"/>
      <c r="L90" s="1"/>
      <c r="M90" s="1"/>
      <c r="N90" s="21">
        <v>9.96</v>
      </c>
      <c r="O90" s="16">
        <f t="shared" si="28"/>
        <v>10.96</v>
      </c>
      <c r="P90" s="108">
        <f t="shared" si="32"/>
        <v>0.100401606425703</v>
      </c>
      <c r="Q90" s="109">
        <f t="shared" si="33"/>
        <v>146.0968</v>
      </c>
    </row>
    <row r="91" s="79" customFormat="1" ht="15.6" spans="1:17">
      <c r="A91" s="18" t="s">
        <v>162</v>
      </c>
      <c r="B91" s="20">
        <f t="shared" ref="B91:B98" si="34">C91/39.37</f>
        <v>0.711201422402845</v>
      </c>
      <c r="C91" s="110">
        <v>28</v>
      </c>
      <c r="D91" s="21" t="s">
        <v>175</v>
      </c>
      <c r="E91" s="26" t="s">
        <v>26</v>
      </c>
      <c r="F91" s="26" t="s">
        <v>29</v>
      </c>
      <c r="G91" s="21">
        <v>14.74</v>
      </c>
      <c r="H91" s="21">
        <f t="shared" ref="H91:H98" si="35">ROUND(G91*12,2)</f>
        <v>176.88</v>
      </c>
      <c r="I91" s="21">
        <f t="shared" ref="I91:I98" si="36">ROUND(G91*13.33,2)</f>
        <v>196.48</v>
      </c>
      <c r="J91" s="21">
        <f t="shared" ref="J91:J98" si="37">ROUND(G91*14,2)</f>
        <v>206.36</v>
      </c>
      <c r="K91" s="29"/>
      <c r="L91" s="1"/>
      <c r="M91" s="1"/>
      <c r="N91" s="21">
        <v>13.4</v>
      </c>
      <c r="O91" s="16">
        <f t="shared" si="28"/>
        <v>14.74</v>
      </c>
      <c r="P91" s="108">
        <f t="shared" si="32"/>
        <v>0.1</v>
      </c>
      <c r="Q91" s="109">
        <f t="shared" si="33"/>
        <v>196.4842</v>
      </c>
    </row>
    <row r="92" s="79" customFormat="1" spans="1:17">
      <c r="A92" s="18" t="s">
        <v>162</v>
      </c>
      <c r="B92" s="20">
        <f t="shared" si="34"/>
        <v>0.711201422402845</v>
      </c>
      <c r="C92" s="110">
        <v>28</v>
      </c>
      <c r="D92" s="21" t="s">
        <v>175</v>
      </c>
      <c r="E92" s="26" t="s">
        <v>31</v>
      </c>
      <c r="F92" s="26" t="s">
        <v>29</v>
      </c>
      <c r="G92" s="21">
        <v>25.05</v>
      </c>
      <c r="H92" s="21">
        <f t="shared" si="35"/>
        <v>300.6</v>
      </c>
      <c r="I92" s="21">
        <f t="shared" si="36"/>
        <v>333.92</v>
      </c>
      <c r="J92" s="21">
        <f t="shared" si="37"/>
        <v>350.7</v>
      </c>
      <c r="K92" s="29"/>
      <c r="L92" s="79"/>
      <c r="M92" s="79"/>
      <c r="N92" s="21">
        <v>22.77</v>
      </c>
      <c r="O92" s="16">
        <f t="shared" si="28"/>
        <v>25.05</v>
      </c>
      <c r="P92" s="108">
        <f t="shared" si="32"/>
        <v>0.100131752305665</v>
      </c>
      <c r="Q92" s="109">
        <f t="shared" si="33"/>
        <v>333.9165</v>
      </c>
    </row>
    <row r="93" s="79" customFormat="1" spans="1:17">
      <c r="A93" s="18" t="s">
        <v>162</v>
      </c>
      <c r="B93" s="20">
        <f t="shared" si="34"/>
        <v>0.711201422402845</v>
      </c>
      <c r="C93" s="110">
        <v>28</v>
      </c>
      <c r="D93" s="21" t="s">
        <v>175</v>
      </c>
      <c r="E93" s="26" t="s">
        <v>34</v>
      </c>
      <c r="F93" s="26" t="s">
        <v>29</v>
      </c>
      <c r="G93" s="21">
        <v>35.41</v>
      </c>
      <c r="H93" s="21">
        <f t="shared" si="35"/>
        <v>424.92</v>
      </c>
      <c r="I93" s="21">
        <f t="shared" si="36"/>
        <v>472.02</v>
      </c>
      <c r="J93" s="21">
        <f t="shared" si="37"/>
        <v>495.74</v>
      </c>
      <c r="K93" s="29"/>
      <c r="L93" s="114"/>
      <c r="M93" s="114"/>
      <c r="N93" s="21">
        <v>32.79</v>
      </c>
      <c r="O93" s="16">
        <f>ROUND(N93*1.08,2)</f>
        <v>35.41</v>
      </c>
      <c r="P93" s="108">
        <f t="shared" si="32"/>
        <v>0.0799024092711192</v>
      </c>
      <c r="Q93" s="109">
        <f t="shared" si="33"/>
        <v>472.0153</v>
      </c>
    </row>
    <row r="94" s="79" customFormat="1" spans="1:17">
      <c r="A94" s="18" t="s">
        <v>162</v>
      </c>
      <c r="B94" s="20">
        <f t="shared" si="34"/>
        <v>0.762001524003048</v>
      </c>
      <c r="C94" s="110">
        <v>30</v>
      </c>
      <c r="D94" s="21" t="s">
        <v>175</v>
      </c>
      <c r="E94" s="26" t="s">
        <v>26</v>
      </c>
      <c r="F94" s="26" t="s">
        <v>29</v>
      </c>
      <c r="G94" s="21">
        <v>16.04</v>
      </c>
      <c r="H94" s="21">
        <f t="shared" si="35"/>
        <v>192.48</v>
      </c>
      <c r="I94" s="21">
        <f t="shared" si="36"/>
        <v>213.81</v>
      </c>
      <c r="J94" s="21">
        <f t="shared" si="37"/>
        <v>224.56</v>
      </c>
      <c r="K94" s="29"/>
      <c r="L94" s="79"/>
      <c r="M94" s="79"/>
      <c r="N94" s="21">
        <v>14.58</v>
      </c>
      <c r="O94" s="16">
        <f t="shared" si="28"/>
        <v>16.04</v>
      </c>
      <c r="P94" s="108">
        <f t="shared" si="32"/>
        <v>0.100137174211248</v>
      </c>
      <c r="Q94" s="109">
        <f t="shared" si="33"/>
        <v>213.8132</v>
      </c>
    </row>
    <row r="95" s="79" customFormat="1" spans="1:17">
      <c r="A95" s="18" t="s">
        <v>162</v>
      </c>
      <c r="B95" s="20">
        <f t="shared" si="34"/>
        <v>0.762001524003048</v>
      </c>
      <c r="C95" s="110">
        <v>30</v>
      </c>
      <c r="D95" s="21" t="s">
        <v>175</v>
      </c>
      <c r="E95" s="26" t="s">
        <v>31</v>
      </c>
      <c r="F95" s="26" t="s">
        <v>29</v>
      </c>
      <c r="G95" s="21">
        <v>25.12</v>
      </c>
      <c r="H95" s="21">
        <f t="shared" si="35"/>
        <v>301.44</v>
      </c>
      <c r="I95" s="21">
        <f t="shared" si="36"/>
        <v>334.85</v>
      </c>
      <c r="J95" s="21">
        <f t="shared" si="37"/>
        <v>351.68</v>
      </c>
      <c r="K95" s="29"/>
      <c r="L95" s="79"/>
      <c r="M95" s="79"/>
      <c r="N95" s="21">
        <v>22.84</v>
      </c>
      <c r="O95" s="16">
        <f t="shared" si="28"/>
        <v>25.12</v>
      </c>
      <c r="P95" s="108">
        <f t="shared" si="32"/>
        <v>0.0998248686514887</v>
      </c>
      <c r="Q95" s="109">
        <f t="shared" si="33"/>
        <v>334.8496</v>
      </c>
    </row>
    <row r="96" s="79" customFormat="1" spans="1:17">
      <c r="A96" s="18" t="s">
        <v>162</v>
      </c>
      <c r="B96" s="20">
        <f t="shared" si="34"/>
        <v>0.762001524003048</v>
      </c>
      <c r="C96" s="110">
        <v>30</v>
      </c>
      <c r="D96" s="21" t="s">
        <v>175</v>
      </c>
      <c r="E96" s="26" t="s">
        <v>34</v>
      </c>
      <c r="F96" s="26" t="s">
        <v>29</v>
      </c>
      <c r="G96" s="21">
        <v>39.95</v>
      </c>
      <c r="H96" s="21">
        <f t="shared" si="35"/>
        <v>479.4</v>
      </c>
      <c r="I96" s="21">
        <f t="shared" si="36"/>
        <v>532.53</v>
      </c>
      <c r="J96" s="21">
        <f t="shared" si="37"/>
        <v>559.3</v>
      </c>
      <c r="K96" s="29"/>
      <c r="L96" s="114"/>
      <c r="M96" s="79"/>
      <c r="N96" s="21">
        <v>36.99</v>
      </c>
      <c r="O96" s="16">
        <f>ROUND(N96*1.08,2)</f>
        <v>39.95</v>
      </c>
      <c r="P96" s="108">
        <f t="shared" si="32"/>
        <v>0.080021627466883</v>
      </c>
      <c r="Q96" s="109">
        <f t="shared" si="33"/>
        <v>532.5335</v>
      </c>
    </row>
    <row r="97" s="79" customFormat="1" ht="15.6" spans="1:17">
      <c r="A97" s="18" t="s">
        <v>162</v>
      </c>
      <c r="B97" s="20">
        <f t="shared" si="34"/>
        <v>0.812801625603251</v>
      </c>
      <c r="C97" s="110">
        <v>32</v>
      </c>
      <c r="D97" s="21" t="s">
        <v>176</v>
      </c>
      <c r="E97" s="26" t="s">
        <v>28</v>
      </c>
      <c r="F97" s="26" t="s">
        <v>29</v>
      </c>
      <c r="G97" s="21">
        <v>13.1</v>
      </c>
      <c r="H97" s="21">
        <f t="shared" si="35"/>
        <v>157.2</v>
      </c>
      <c r="I97" s="21">
        <f t="shared" si="36"/>
        <v>174.62</v>
      </c>
      <c r="J97" s="21">
        <f t="shared" si="37"/>
        <v>183.4</v>
      </c>
      <c r="K97" s="29"/>
      <c r="L97" s="1"/>
      <c r="M97" s="1"/>
      <c r="N97" s="21">
        <v>11.91</v>
      </c>
      <c r="O97" s="16">
        <f t="shared" si="28"/>
        <v>13.1</v>
      </c>
      <c r="P97" s="108">
        <f t="shared" si="32"/>
        <v>0.0999160369437447</v>
      </c>
      <c r="Q97" s="109">
        <f t="shared" si="33"/>
        <v>174.623</v>
      </c>
    </row>
    <row r="98" s="79" customFormat="1" spans="1:17">
      <c r="A98" s="18" t="s">
        <v>162</v>
      </c>
      <c r="B98" s="20">
        <f t="shared" si="34"/>
        <v>0.812801625603251</v>
      </c>
      <c r="C98" s="110">
        <v>32</v>
      </c>
      <c r="D98" s="21" t="s">
        <v>175</v>
      </c>
      <c r="E98" s="26" t="s">
        <v>31</v>
      </c>
      <c r="F98" s="26" t="s">
        <v>29</v>
      </c>
      <c r="G98" s="21">
        <v>26.32</v>
      </c>
      <c r="H98" s="21">
        <f t="shared" si="35"/>
        <v>315.84</v>
      </c>
      <c r="I98" s="21">
        <f t="shared" si="36"/>
        <v>350.85</v>
      </c>
      <c r="J98" s="21">
        <f t="shared" si="37"/>
        <v>368.48</v>
      </c>
      <c r="K98" s="29"/>
      <c r="L98" s="114"/>
      <c r="M98" s="79"/>
      <c r="N98" s="21">
        <v>23.93</v>
      </c>
      <c r="O98" s="16">
        <f t="shared" si="28"/>
        <v>26.32</v>
      </c>
      <c r="P98" s="108">
        <f t="shared" si="32"/>
        <v>0.0998746343501881</v>
      </c>
      <c r="Q98" s="109">
        <f t="shared" si="33"/>
        <v>350.8456</v>
      </c>
    </row>
    <row r="99" s="79" customFormat="1" ht="15.6" spans="1:17">
      <c r="A99" s="18" t="s">
        <v>162</v>
      </c>
      <c r="B99" s="20">
        <f t="shared" ref="B99:B103" si="38">C99/39.37</f>
        <v>0.812801625603251</v>
      </c>
      <c r="C99" s="110">
        <v>32</v>
      </c>
      <c r="D99" s="21" t="s">
        <v>175</v>
      </c>
      <c r="E99" s="26" t="s">
        <v>26</v>
      </c>
      <c r="F99" s="26" t="s">
        <v>29</v>
      </c>
      <c r="G99" s="21">
        <v>15.86</v>
      </c>
      <c r="H99" s="21">
        <f t="shared" ref="H99:H120" si="39">ROUND(G99*12,2)</f>
        <v>190.32</v>
      </c>
      <c r="I99" s="21">
        <f t="shared" ref="I99:I120" si="40">ROUND(G99*13.33,2)</f>
        <v>211.41</v>
      </c>
      <c r="J99" s="21">
        <f t="shared" ref="J99:J120" si="41">ROUND(G99*14,2)</f>
        <v>222.04</v>
      </c>
      <c r="K99" s="29"/>
      <c r="L99" s="1"/>
      <c r="M99" s="1"/>
      <c r="N99" s="21">
        <v>14.42</v>
      </c>
      <c r="O99" s="16">
        <f t="shared" si="28"/>
        <v>15.86</v>
      </c>
      <c r="P99" s="108">
        <f t="shared" ref="P99:P111" si="42">(O99-N99)/N99</f>
        <v>0.0998613037447989</v>
      </c>
      <c r="Q99" s="109">
        <f t="shared" ref="Q99:Q111" si="43">O99*13.33</f>
        <v>211.4138</v>
      </c>
    </row>
    <row r="100" s="79" customFormat="1" spans="1:17">
      <c r="A100" s="18" t="s">
        <v>162</v>
      </c>
      <c r="B100" s="20">
        <f t="shared" si="38"/>
        <v>0.812801625603251</v>
      </c>
      <c r="C100" s="110">
        <v>32</v>
      </c>
      <c r="D100" s="21" t="s">
        <v>176</v>
      </c>
      <c r="E100" s="26" t="s">
        <v>31</v>
      </c>
      <c r="F100" s="26" t="s">
        <v>29</v>
      </c>
      <c r="G100" s="21">
        <v>25.86</v>
      </c>
      <c r="H100" s="21">
        <f t="shared" si="39"/>
        <v>310.32</v>
      </c>
      <c r="I100" s="21">
        <f t="shared" si="40"/>
        <v>344.71</v>
      </c>
      <c r="J100" s="21">
        <f t="shared" si="41"/>
        <v>362.04</v>
      </c>
      <c r="K100" s="29"/>
      <c r="L100" s="79"/>
      <c r="M100" s="79"/>
      <c r="N100" s="21">
        <v>23.51</v>
      </c>
      <c r="O100" s="16">
        <f t="shared" si="28"/>
        <v>25.86</v>
      </c>
      <c r="P100" s="108">
        <f t="shared" si="42"/>
        <v>0.0999574649085495</v>
      </c>
      <c r="Q100" s="109">
        <f t="shared" si="43"/>
        <v>344.7138</v>
      </c>
    </row>
    <row r="101" s="79" customFormat="1" spans="1:17">
      <c r="A101" s="18" t="s">
        <v>162</v>
      </c>
      <c r="B101" s="20">
        <f t="shared" si="38"/>
        <v>0.863601727203455</v>
      </c>
      <c r="C101" s="110">
        <v>34</v>
      </c>
      <c r="D101" s="21" t="s">
        <v>176</v>
      </c>
      <c r="E101" s="26" t="s">
        <v>43</v>
      </c>
      <c r="F101" s="26" t="s">
        <v>29</v>
      </c>
      <c r="G101" s="21">
        <v>12.17</v>
      </c>
      <c r="H101" s="21">
        <f t="shared" si="39"/>
        <v>146.04</v>
      </c>
      <c r="I101" s="21">
        <f t="shared" si="40"/>
        <v>162.23</v>
      </c>
      <c r="J101" s="21">
        <f t="shared" si="41"/>
        <v>170.38</v>
      </c>
      <c r="K101" s="29"/>
      <c r="L101" s="113"/>
      <c r="M101" s="113"/>
      <c r="N101" s="21">
        <v>11.06</v>
      </c>
      <c r="O101" s="16">
        <f t="shared" si="28"/>
        <v>12.17</v>
      </c>
      <c r="P101" s="108">
        <f t="shared" si="42"/>
        <v>0.100361663652803</v>
      </c>
      <c r="Q101" s="109">
        <f t="shared" si="43"/>
        <v>162.2261</v>
      </c>
    </row>
    <row r="102" s="79" customFormat="1" spans="1:17">
      <c r="A102" s="18" t="s">
        <v>162</v>
      </c>
      <c r="B102" s="20">
        <f t="shared" si="38"/>
        <v>0.863601727203455</v>
      </c>
      <c r="C102" s="110">
        <v>34</v>
      </c>
      <c r="D102" s="21" t="s">
        <v>145</v>
      </c>
      <c r="E102" s="26" t="s">
        <v>28</v>
      </c>
      <c r="F102" s="26" t="s">
        <v>29</v>
      </c>
      <c r="G102" s="21">
        <v>12.19</v>
      </c>
      <c r="H102" s="21">
        <f t="shared" si="39"/>
        <v>146.28</v>
      </c>
      <c r="I102" s="21">
        <f t="shared" si="40"/>
        <v>162.49</v>
      </c>
      <c r="J102" s="21">
        <f t="shared" si="41"/>
        <v>170.66</v>
      </c>
      <c r="K102" s="29"/>
      <c r="L102" s="113"/>
      <c r="M102" s="113"/>
      <c r="N102" s="21">
        <v>11.08</v>
      </c>
      <c r="O102" s="16">
        <f t="shared" si="28"/>
        <v>12.19</v>
      </c>
      <c r="P102" s="108">
        <f t="shared" si="42"/>
        <v>0.100180505415162</v>
      </c>
      <c r="Q102" s="109">
        <f t="shared" si="43"/>
        <v>162.4927</v>
      </c>
    </row>
    <row r="103" s="79" customFormat="1" spans="1:17">
      <c r="A103" s="18" t="s">
        <v>162</v>
      </c>
      <c r="B103" s="20">
        <f t="shared" si="38"/>
        <v>0.863601727203455</v>
      </c>
      <c r="C103" s="110">
        <v>34</v>
      </c>
      <c r="D103" s="21" t="s">
        <v>176</v>
      </c>
      <c r="E103" s="26" t="s">
        <v>31</v>
      </c>
      <c r="F103" s="26" t="s">
        <v>29</v>
      </c>
      <c r="G103" s="21">
        <v>29.35</v>
      </c>
      <c r="H103" s="21">
        <f t="shared" si="39"/>
        <v>352.2</v>
      </c>
      <c r="I103" s="21">
        <f t="shared" si="40"/>
        <v>391.24</v>
      </c>
      <c r="J103" s="21">
        <f t="shared" si="41"/>
        <v>410.9</v>
      </c>
      <c r="K103" s="29"/>
      <c r="L103" s="113"/>
      <c r="M103" s="113"/>
      <c r="N103" s="21">
        <v>26.68</v>
      </c>
      <c r="O103" s="16">
        <f t="shared" si="28"/>
        <v>29.35</v>
      </c>
      <c r="P103" s="108">
        <f t="shared" si="42"/>
        <v>0.100074962518741</v>
      </c>
      <c r="Q103" s="109">
        <f t="shared" si="43"/>
        <v>391.2355</v>
      </c>
    </row>
    <row r="104" s="79" customFormat="1" spans="1:17">
      <c r="A104" s="18" t="s">
        <v>162</v>
      </c>
      <c r="B104" s="20">
        <f t="shared" ref="B104:B112" si="44">C104/39.37</f>
        <v>0.863601727203455</v>
      </c>
      <c r="C104" s="110">
        <v>34</v>
      </c>
      <c r="D104" s="21" t="s">
        <v>145</v>
      </c>
      <c r="E104" s="26" t="s">
        <v>31</v>
      </c>
      <c r="F104" s="26" t="s">
        <v>29</v>
      </c>
      <c r="G104" s="21">
        <v>25.91</v>
      </c>
      <c r="H104" s="21">
        <f t="shared" si="39"/>
        <v>310.92</v>
      </c>
      <c r="I104" s="21">
        <f t="shared" si="40"/>
        <v>345.38</v>
      </c>
      <c r="J104" s="21">
        <f t="shared" si="41"/>
        <v>362.74</v>
      </c>
      <c r="K104" s="29"/>
      <c r="L104" s="79"/>
      <c r="M104" s="79"/>
      <c r="N104" s="21">
        <v>23.55</v>
      </c>
      <c r="O104" s="16">
        <f t="shared" si="28"/>
        <v>25.91</v>
      </c>
      <c r="P104" s="108">
        <f t="shared" si="42"/>
        <v>0.100212314225053</v>
      </c>
      <c r="Q104" s="109">
        <f t="shared" si="43"/>
        <v>345.3803</v>
      </c>
    </row>
    <row r="105" s="79" customFormat="1" spans="1:17">
      <c r="A105" s="18" t="s">
        <v>162</v>
      </c>
      <c r="B105" s="20">
        <f t="shared" si="44"/>
        <v>0.914401828803658</v>
      </c>
      <c r="C105" s="110">
        <v>36</v>
      </c>
      <c r="D105" s="21" t="s">
        <v>145</v>
      </c>
      <c r="E105" s="26" t="s">
        <v>28</v>
      </c>
      <c r="F105" s="26" t="s">
        <v>29</v>
      </c>
      <c r="G105" s="21">
        <v>12.93</v>
      </c>
      <c r="H105" s="21">
        <f t="shared" si="39"/>
        <v>155.16</v>
      </c>
      <c r="I105" s="21">
        <f t="shared" si="40"/>
        <v>172.36</v>
      </c>
      <c r="J105" s="21">
        <f t="shared" si="41"/>
        <v>181.02</v>
      </c>
      <c r="K105" s="29"/>
      <c r="L105" s="79"/>
      <c r="M105" s="79"/>
      <c r="N105" s="21">
        <v>11.75</v>
      </c>
      <c r="O105" s="16">
        <f t="shared" si="28"/>
        <v>12.93</v>
      </c>
      <c r="P105" s="108">
        <f t="shared" si="42"/>
        <v>0.100425531914894</v>
      </c>
      <c r="Q105" s="109">
        <f t="shared" si="43"/>
        <v>172.3569</v>
      </c>
    </row>
    <row r="106" s="79" customFormat="1" ht="15.6" spans="1:17">
      <c r="A106" s="18" t="s">
        <v>162</v>
      </c>
      <c r="B106" s="20">
        <f t="shared" si="44"/>
        <v>0.914401828803658</v>
      </c>
      <c r="C106" s="110">
        <v>36</v>
      </c>
      <c r="D106" s="21" t="s">
        <v>145</v>
      </c>
      <c r="E106" s="26" t="s">
        <v>26</v>
      </c>
      <c r="F106" s="26" t="s">
        <v>29</v>
      </c>
      <c r="G106" s="21">
        <v>16.16</v>
      </c>
      <c r="H106" s="21">
        <f t="shared" si="39"/>
        <v>193.92</v>
      </c>
      <c r="I106" s="21">
        <f t="shared" si="40"/>
        <v>215.41</v>
      </c>
      <c r="J106" s="21">
        <f t="shared" si="41"/>
        <v>226.24</v>
      </c>
      <c r="K106" s="29"/>
      <c r="L106" s="1"/>
      <c r="M106" s="1"/>
      <c r="N106" s="21">
        <v>14.69</v>
      </c>
      <c r="O106" s="16">
        <f t="shared" si="28"/>
        <v>16.16</v>
      </c>
      <c r="P106" s="108">
        <f t="shared" si="42"/>
        <v>0.100068073519401</v>
      </c>
      <c r="Q106" s="109">
        <f t="shared" si="43"/>
        <v>215.4128</v>
      </c>
    </row>
    <row r="107" s="79" customFormat="1" ht="15.6" spans="1:17">
      <c r="A107" s="18" t="s">
        <v>162</v>
      </c>
      <c r="B107" s="20">
        <f t="shared" si="44"/>
        <v>0.914401828803658</v>
      </c>
      <c r="C107" s="110">
        <v>36</v>
      </c>
      <c r="D107" s="21" t="s">
        <v>145</v>
      </c>
      <c r="E107" s="26" t="s">
        <v>31</v>
      </c>
      <c r="F107" s="26" t="s">
        <v>29</v>
      </c>
      <c r="G107" s="21">
        <v>25.91</v>
      </c>
      <c r="H107" s="21">
        <f t="shared" si="39"/>
        <v>310.92</v>
      </c>
      <c r="I107" s="21">
        <f t="shared" si="40"/>
        <v>345.38</v>
      </c>
      <c r="J107" s="21">
        <f t="shared" si="41"/>
        <v>362.74</v>
      </c>
      <c r="K107" s="29"/>
      <c r="L107" s="1"/>
      <c r="M107" s="1"/>
      <c r="N107" s="21">
        <v>23.55</v>
      </c>
      <c r="O107" s="16">
        <f t="shared" ref="O107:O138" si="45">ROUND(N107*1.1,2)</f>
        <v>25.91</v>
      </c>
      <c r="P107" s="108">
        <f t="shared" si="42"/>
        <v>0.100212314225053</v>
      </c>
      <c r="Q107" s="109">
        <f t="shared" si="43"/>
        <v>345.3803</v>
      </c>
    </row>
    <row r="108" s="79" customFormat="1" spans="1:17">
      <c r="A108" s="18" t="s">
        <v>162</v>
      </c>
      <c r="B108" s="20">
        <f t="shared" si="44"/>
        <v>0.914401828803658</v>
      </c>
      <c r="C108" s="110">
        <v>36</v>
      </c>
      <c r="D108" s="21" t="s">
        <v>145</v>
      </c>
      <c r="E108" s="26" t="s">
        <v>34</v>
      </c>
      <c r="F108" s="26" t="s">
        <v>29</v>
      </c>
      <c r="G108" s="21">
        <v>40.23</v>
      </c>
      <c r="H108" s="21">
        <f t="shared" si="39"/>
        <v>482.76</v>
      </c>
      <c r="I108" s="21">
        <f t="shared" si="40"/>
        <v>536.27</v>
      </c>
      <c r="J108" s="21">
        <f t="shared" si="41"/>
        <v>563.22</v>
      </c>
      <c r="K108" s="29"/>
      <c r="L108" s="79"/>
      <c r="M108" s="79"/>
      <c r="N108" s="21">
        <v>36.91</v>
      </c>
      <c r="O108" s="16">
        <f>ROUND(N108*1.09,2)</f>
        <v>40.23</v>
      </c>
      <c r="P108" s="108">
        <f t="shared" si="42"/>
        <v>0.0899485234353834</v>
      </c>
      <c r="Q108" s="109">
        <f t="shared" si="43"/>
        <v>536.2659</v>
      </c>
    </row>
    <row r="109" s="79" customFormat="1" spans="1:17">
      <c r="A109" s="18" t="s">
        <v>162</v>
      </c>
      <c r="B109" s="20">
        <f t="shared" si="44"/>
        <v>0.965201930403861</v>
      </c>
      <c r="C109" s="110">
        <v>38</v>
      </c>
      <c r="D109" s="21" t="s">
        <v>145</v>
      </c>
      <c r="E109" s="26" t="s">
        <v>26</v>
      </c>
      <c r="F109" s="26" t="s">
        <v>29</v>
      </c>
      <c r="G109" s="21">
        <v>16.96</v>
      </c>
      <c r="H109" s="21">
        <f t="shared" si="39"/>
        <v>203.52</v>
      </c>
      <c r="I109" s="21">
        <f t="shared" si="40"/>
        <v>226.08</v>
      </c>
      <c r="J109" s="21">
        <f t="shared" si="41"/>
        <v>237.44</v>
      </c>
      <c r="K109" s="29"/>
      <c r="L109" s="79"/>
      <c r="M109" s="79"/>
      <c r="N109" s="21">
        <v>15.42</v>
      </c>
      <c r="O109" s="16">
        <f t="shared" si="45"/>
        <v>16.96</v>
      </c>
      <c r="P109" s="108">
        <f t="shared" si="42"/>
        <v>0.0998702983138781</v>
      </c>
      <c r="Q109" s="109">
        <f t="shared" si="43"/>
        <v>226.0768</v>
      </c>
    </row>
    <row r="110" s="79" customFormat="1" spans="1:17">
      <c r="A110" s="18" t="s">
        <v>162</v>
      </c>
      <c r="B110" s="20">
        <f t="shared" si="44"/>
        <v>0.990601981203962</v>
      </c>
      <c r="C110" s="110">
        <v>39</v>
      </c>
      <c r="D110" s="21" t="s">
        <v>145</v>
      </c>
      <c r="E110" s="26" t="s">
        <v>28</v>
      </c>
      <c r="F110" s="26" t="s">
        <v>29</v>
      </c>
      <c r="G110" s="21">
        <v>13.89</v>
      </c>
      <c r="H110" s="21">
        <f t="shared" si="39"/>
        <v>166.68</v>
      </c>
      <c r="I110" s="21">
        <f t="shared" si="40"/>
        <v>185.15</v>
      </c>
      <c r="J110" s="21">
        <f t="shared" si="41"/>
        <v>194.46</v>
      </c>
      <c r="K110" s="29"/>
      <c r="L110" s="79"/>
      <c r="M110" s="79"/>
      <c r="N110" s="21">
        <v>12.63</v>
      </c>
      <c r="O110" s="16">
        <f t="shared" si="45"/>
        <v>13.89</v>
      </c>
      <c r="P110" s="108">
        <f t="shared" si="42"/>
        <v>0.0997624703087886</v>
      </c>
      <c r="Q110" s="109">
        <f t="shared" si="43"/>
        <v>185.1537</v>
      </c>
    </row>
    <row r="111" s="79" customFormat="1" ht="15.6" spans="1:17">
      <c r="A111" s="18" t="s">
        <v>162</v>
      </c>
      <c r="B111" s="20">
        <f t="shared" si="44"/>
        <v>0.990601981203962</v>
      </c>
      <c r="C111" s="110">
        <v>39</v>
      </c>
      <c r="D111" s="21" t="s">
        <v>145</v>
      </c>
      <c r="E111" s="26" t="s">
        <v>26</v>
      </c>
      <c r="F111" s="26" t="s">
        <v>29</v>
      </c>
      <c r="G111" s="21">
        <v>16.98</v>
      </c>
      <c r="H111" s="21">
        <f t="shared" si="39"/>
        <v>203.76</v>
      </c>
      <c r="I111" s="21">
        <f t="shared" si="40"/>
        <v>226.34</v>
      </c>
      <c r="J111" s="21">
        <f t="shared" si="41"/>
        <v>237.72</v>
      </c>
      <c r="K111" s="29"/>
      <c r="L111" s="1"/>
      <c r="M111" s="1"/>
      <c r="N111" s="21">
        <v>15.44</v>
      </c>
      <c r="O111" s="16">
        <f t="shared" si="45"/>
        <v>16.98</v>
      </c>
      <c r="P111" s="108">
        <f t="shared" si="42"/>
        <v>0.0997409326424871</v>
      </c>
      <c r="Q111" s="109">
        <f t="shared" si="43"/>
        <v>226.3434</v>
      </c>
    </row>
    <row r="112" s="79" customFormat="1" spans="1:17">
      <c r="A112" s="18" t="s">
        <v>162</v>
      </c>
      <c r="B112" s="20">
        <f t="shared" si="44"/>
        <v>0.990601981203962</v>
      </c>
      <c r="C112" s="110">
        <v>39</v>
      </c>
      <c r="D112" s="21" t="s">
        <v>145</v>
      </c>
      <c r="E112" s="26" t="s">
        <v>44</v>
      </c>
      <c r="F112" s="26" t="s">
        <v>29</v>
      </c>
      <c r="G112" s="21">
        <v>22.75</v>
      </c>
      <c r="H112" s="21">
        <f t="shared" si="39"/>
        <v>273</v>
      </c>
      <c r="I112" s="21">
        <f t="shared" si="40"/>
        <v>303.26</v>
      </c>
      <c r="J112" s="21">
        <f t="shared" si="41"/>
        <v>318.5</v>
      </c>
      <c r="K112" s="29"/>
      <c r="L112" s="79"/>
      <c r="M112" s="79"/>
      <c r="N112" s="21">
        <v>20.87</v>
      </c>
      <c r="O112" s="16">
        <f>ROUND(N112*1.09,2)</f>
        <v>22.75</v>
      </c>
      <c r="P112" s="108">
        <f t="shared" ref="P112:P155" si="46">(O112-N112)/N112</f>
        <v>0.09008145663632</v>
      </c>
      <c r="Q112" s="109">
        <f t="shared" ref="Q112:Q155" si="47">O112*13.33</f>
        <v>303.2575</v>
      </c>
    </row>
    <row r="113" s="79" customFormat="1" spans="1:17">
      <c r="A113" s="18" t="s">
        <v>162</v>
      </c>
      <c r="B113" s="20">
        <f t="shared" ref="B113:B119" si="48">C113/39.37</f>
        <v>0.990601981203962</v>
      </c>
      <c r="C113" s="110">
        <v>39</v>
      </c>
      <c r="D113" s="21" t="s">
        <v>145</v>
      </c>
      <c r="E113" s="26" t="s">
        <v>31</v>
      </c>
      <c r="F113" s="26" t="s">
        <v>29</v>
      </c>
      <c r="G113" s="21">
        <v>27.18</v>
      </c>
      <c r="H113" s="21">
        <f t="shared" si="39"/>
        <v>326.16</v>
      </c>
      <c r="I113" s="21">
        <f t="shared" si="40"/>
        <v>362.31</v>
      </c>
      <c r="J113" s="21">
        <f t="shared" si="41"/>
        <v>380.52</v>
      </c>
      <c r="K113" s="29"/>
      <c r="L113" s="79"/>
      <c r="M113" s="79"/>
      <c r="N113" s="21">
        <v>24.71</v>
      </c>
      <c r="O113" s="16">
        <f t="shared" si="45"/>
        <v>27.18</v>
      </c>
      <c r="P113" s="108">
        <f t="shared" si="46"/>
        <v>0.0999595305544314</v>
      </c>
      <c r="Q113" s="109">
        <f t="shared" si="47"/>
        <v>362.3094</v>
      </c>
    </row>
    <row r="114" s="79" customFormat="1" spans="1:17">
      <c r="A114" s="18" t="s">
        <v>162</v>
      </c>
      <c r="B114" s="20">
        <f t="shared" si="48"/>
        <v>0.990601981203962</v>
      </c>
      <c r="C114" s="110">
        <v>39</v>
      </c>
      <c r="D114" s="21" t="s">
        <v>145</v>
      </c>
      <c r="E114" s="26" t="s">
        <v>34</v>
      </c>
      <c r="F114" s="26" t="s">
        <v>29</v>
      </c>
      <c r="G114" s="21">
        <v>42.65</v>
      </c>
      <c r="H114" s="21">
        <f t="shared" si="39"/>
        <v>511.8</v>
      </c>
      <c r="I114" s="21">
        <f t="shared" si="40"/>
        <v>568.52</v>
      </c>
      <c r="J114" s="21">
        <f t="shared" si="41"/>
        <v>597.1</v>
      </c>
      <c r="K114" s="29"/>
      <c r="L114" s="114"/>
      <c r="M114" s="79"/>
      <c r="N114" s="21">
        <v>39.13</v>
      </c>
      <c r="O114" s="16">
        <f>ROUND(N114*1.09,2)</f>
        <v>42.65</v>
      </c>
      <c r="P114" s="108">
        <f t="shared" si="46"/>
        <v>0.089956555072834</v>
      </c>
      <c r="Q114" s="109">
        <f t="shared" si="47"/>
        <v>568.5245</v>
      </c>
    </row>
    <row r="115" s="79" customFormat="1" spans="1:17">
      <c r="A115" s="18" t="s">
        <v>162</v>
      </c>
      <c r="B115" s="20">
        <f t="shared" si="48"/>
        <v>1.04140208280417</v>
      </c>
      <c r="C115" s="110">
        <v>41</v>
      </c>
      <c r="D115" s="21" t="s">
        <v>146</v>
      </c>
      <c r="E115" s="26" t="s">
        <v>28</v>
      </c>
      <c r="F115" s="26" t="s">
        <v>29</v>
      </c>
      <c r="G115" s="21">
        <v>14.15</v>
      </c>
      <c r="H115" s="21">
        <f t="shared" ref="H115:H122" si="49">ROUND(G115*12,2)</f>
        <v>169.8</v>
      </c>
      <c r="I115" s="21">
        <f t="shared" ref="I115:I122" si="50">ROUND(G115*13.33,2)</f>
        <v>188.62</v>
      </c>
      <c r="J115" s="21">
        <f t="shared" ref="J115:J122" si="51">ROUND(G115*14,2)</f>
        <v>198.1</v>
      </c>
      <c r="K115" s="29"/>
      <c r="L115" s="79"/>
      <c r="M115" s="79"/>
      <c r="N115" s="21">
        <v>12.86</v>
      </c>
      <c r="O115" s="16">
        <f t="shared" si="45"/>
        <v>14.15</v>
      </c>
      <c r="P115" s="108">
        <f t="shared" si="46"/>
        <v>0.100311041990669</v>
      </c>
      <c r="Q115" s="109">
        <f t="shared" si="47"/>
        <v>188.6195</v>
      </c>
    </row>
    <row r="116" s="79" customFormat="1" spans="1:17">
      <c r="A116" s="18" t="s">
        <v>162</v>
      </c>
      <c r="B116" s="20">
        <f t="shared" si="48"/>
        <v>1.04140208280417</v>
      </c>
      <c r="C116" s="110">
        <v>41</v>
      </c>
      <c r="D116" s="21" t="s">
        <v>146</v>
      </c>
      <c r="E116" s="26" t="s">
        <v>26</v>
      </c>
      <c r="F116" s="26" t="s">
        <v>29</v>
      </c>
      <c r="G116" s="21">
        <v>18.56</v>
      </c>
      <c r="H116" s="21">
        <f t="shared" si="49"/>
        <v>222.72</v>
      </c>
      <c r="I116" s="21">
        <f t="shared" si="50"/>
        <v>247.4</v>
      </c>
      <c r="J116" s="21">
        <f t="shared" si="51"/>
        <v>259.84</v>
      </c>
      <c r="K116" s="29"/>
      <c r="L116" s="79"/>
      <c r="M116" s="79"/>
      <c r="N116" s="21">
        <v>16.87</v>
      </c>
      <c r="O116" s="16">
        <f t="shared" si="45"/>
        <v>18.56</v>
      </c>
      <c r="P116" s="108">
        <f t="shared" si="46"/>
        <v>0.100177830468287</v>
      </c>
      <c r="Q116" s="109">
        <f t="shared" si="47"/>
        <v>247.4048</v>
      </c>
    </row>
    <row r="117" s="79" customFormat="1" spans="1:17">
      <c r="A117" s="18" t="s">
        <v>162</v>
      </c>
      <c r="B117" s="20">
        <f t="shared" si="48"/>
        <v>1.04140208280417</v>
      </c>
      <c r="C117" s="110">
        <v>41</v>
      </c>
      <c r="D117" s="21" t="s">
        <v>146</v>
      </c>
      <c r="E117" s="26" t="s">
        <v>31</v>
      </c>
      <c r="F117" s="26" t="s">
        <v>29</v>
      </c>
      <c r="G117" s="21">
        <v>27.24</v>
      </c>
      <c r="H117" s="21">
        <f t="shared" si="49"/>
        <v>326.88</v>
      </c>
      <c r="I117" s="21">
        <f t="shared" si="50"/>
        <v>363.11</v>
      </c>
      <c r="J117" s="21">
        <f t="shared" si="51"/>
        <v>381.36</v>
      </c>
      <c r="K117" s="29"/>
      <c r="L117" s="79"/>
      <c r="M117" s="79"/>
      <c r="N117" s="21">
        <v>24.76</v>
      </c>
      <c r="O117" s="16">
        <f t="shared" si="45"/>
        <v>27.24</v>
      </c>
      <c r="P117" s="108">
        <f t="shared" si="46"/>
        <v>0.10016155088853</v>
      </c>
      <c r="Q117" s="109">
        <f t="shared" si="47"/>
        <v>363.1092</v>
      </c>
    </row>
    <row r="118" s="79" customFormat="1" spans="1:17">
      <c r="A118" s="18" t="s">
        <v>162</v>
      </c>
      <c r="B118" s="20">
        <f t="shared" si="48"/>
        <v>1.04140208280417</v>
      </c>
      <c r="C118" s="110">
        <v>41</v>
      </c>
      <c r="D118" s="21" t="s">
        <v>146</v>
      </c>
      <c r="E118" s="26" t="s">
        <v>34</v>
      </c>
      <c r="F118" s="26" t="s">
        <v>29</v>
      </c>
      <c r="G118" s="21">
        <v>44.97</v>
      </c>
      <c r="H118" s="21">
        <f t="shared" si="49"/>
        <v>539.64</v>
      </c>
      <c r="I118" s="21">
        <f t="shared" si="50"/>
        <v>599.45</v>
      </c>
      <c r="J118" s="21">
        <f t="shared" si="51"/>
        <v>629.58</v>
      </c>
      <c r="K118" s="29"/>
      <c r="L118" s="114"/>
      <c r="M118" s="79"/>
      <c r="N118" s="21">
        <v>41.26</v>
      </c>
      <c r="O118" s="16">
        <f>ROUND(N118*1.09,2)</f>
        <v>44.97</v>
      </c>
      <c r="P118" s="108">
        <f t="shared" si="46"/>
        <v>0.0899175957343674</v>
      </c>
      <c r="Q118" s="109">
        <f t="shared" si="47"/>
        <v>599.4501</v>
      </c>
    </row>
    <row r="119" s="79" customFormat="1" spans="1:17">
      <c r="A119" s="18" t="s">
        <v>162</v>
      </c>
      <c r="B119" s="20">
        <f t="shared" si="48"/>
        <v>1.09220218440437</v>
      </c>
      <c r="C119" s="110">
        <v>43</v>
      </c>
      <c r="D119" s="21" t="s">
        <v>146</v>
      </c>
      <c r="E119" s="26" t="s">
        <v>26</v>
      </c>
      <c r="F119" s="26" t="s">
        <v>29</v>
      </c>
      <c r="G119" s="21">
        <v>19.44</v>
      </c>
      <c r="H119" s="21">
        <f t="shared" si="49"/>
        <v>233.28</v>
      </c>
      <c r="I119" s="21">
        <f t="shared" si="50"/>
        <v>259.14</v>
      </c>
      <c r="J119" s="21">
        <f t="shared" si="51"/>
        <v>272.16</v>
      </c>
      <c r="K119" s="29"/>
      <c r="L119" s="79"/>
      <c r="M119" s="79"/>
      <c r="N119" s="21">
        <v>17.67</v>
      </c>
      <c r="O119" s="16">
        <f t="shared" si="45"/>
        <v>19.44</v>
      </c>
      <c r="P119" s="108">
        <f t="shared" si="46"/>
        <v>0.100169779286927</v>
      </c>
      <c r="Q119" s="109">
        <f t="shared" si="47"/>
        <v>259.1352</v>
      </c>
    </row>
    <row r="120" s="79" customFormat="1" ht="15.6" spans="1:17">
      <c r="A120" s="18" t="s">
        <v>162</v>
      </c>
      <c r="B120" s="20">
        <f t="shared" ref="B120:B122" si="52">C120/39.37</f>
        <v>1.11760223520447</v>
      </c>
      <c r="C120" s="110">
        <v>44</v>
      </c>
      <c r="D120" s="21" t="s">
        <v>146</v>
      </c>
      <c r="E120" s="26" t="s">
        <v>26</v>
      </c>
      <c r="F120" s="26" t="s">
        <v>29</v>
      </c>
      <c r="G120" s="21">
        <v>17.51</v>
      </c>
      <c r="H120" s="21">
        <f t="shared" si="49"/>
        <v>210.12</v>
      </c>
      <c r="I120" s="21">
        <f t="shared" si="50"/>
        <v>233.41</v>
      </c>
      <c r="J120" s="21">
        <f t="shared" si="51"/>
        <v>245.14</v>
      </c>
      <c r="K120" s="29"/>
      <c r="L120" s="1"/>
      <c r="M120" s="1"/>
      <c r="N120" s="21">
        <v>15.92</v>
      </c>
      <c r="O120" s="16">
        <f t="shared" si="45"/>
        <v>17.51</v>
      </c>
      <c r="P120" s="108">
        <f t="shared" si="46"/>
        <v>0.0998743718592966</v>
      </c>
      <c r="Q120" s="109">
        <f t="shared" si="47"/>
        <v>233.4083</v>
      </c>
    </row>
    <row r="121" s="79" customFormat="1" spans="1:17">
      <c r="A121" s="18" t="s">
        <v>162</v>
      </c>
      <c r="B121" s="20">
        <f t="shared" si="52"/>
        <v>1.11760223520447</v>
      </c>
      <c r="C121" s="110">
        <v>44</v>
      </c>
      <c r="D121" s="21" t="s">
        <v>146</v>
      </c>
      <c r="E121" s="26" t="s">
        <v>31</v>
      </c>
      <c r="F121" s="26" t="s">
        <v>29</v>
      </c>
      <c r="G121" s="21">
        <v>28.3</v>
      </c>
      <c r="H121" s="21">
        <f t="shared" si="49"/>
        <v>339.6</v>
      </c>
      <c r="I121" s="21">
        <f t="shared" si="50"/>
        <v>377.24</v>
      </c>
      <c r="J121" s="21">
        <f t="shared" si="51"/>
        <v>396.2</v>
      </c>
      <c r="K121" s="29"/>
      <c r="L121" s="79"/>
      <c r="M121" s="79"/>
      <c r="N121" s="21">
        <v>25.73</v>
      </c>
      <c r="O121" s="16">
        <f t="shared" si="45"/>
        <v>28.3</v>
      </c>
      <c r="P121" s="108">
        <f t="shared" si="46"/>
        <v>0.0998834045860863</v>
      </c>
      <c r="Q121" s="109">
        <f t="shared" si="47"/>
        <v>377.239</v>
      </c>
    </row>
    <row r="122" s="79" customFormat="1" spans="1:17">
      <c r="A122" s="18" t="s">
        <v>162</v>
      </c>
      <c r="B122" s="20">
        <f t="shared" si="52"/>
        <v>1.14300228600457</v>
      </c>
      <c r="C122" s="110">
        <v>45</v>
      </c>
      <c r="D122" s="21" t="s">
        <v>146</v>
      </c>
      <c r="E122" s="26" t="s">
        <v>26</v>
      </c>
      <c r="F122" s="26" t="s">
        <v>29</v>
      </c>
      <c r="G122" s="21">
        <v>19.94</v>
      </c>
      <c r="H122" s="21">
        <f t="shared" si="49"/>
        <v>239.28</v>
      </c>
      <c r="I122" s="21">
        <f t="shared" si="50"/>
        <v>265.8</v>
      </c>
      <c r="J122" s="21">
        <f t="shared" si="51"/>
        <v>279.16</v>
      </c>
      <c r="K122" s="29"/>
      <c r="L122" s="114"/>
      <c r="M122" s="79"/>
      <c r="N122" s="21">
        <v>18.13</v>
      </c>
      <c r="O122" s="16">
        <f t="shared" si="45"/>
        <v>19.94</v>
      </c>
      <c r="P122" s="108">
        <f t="shared" si="46"/>
        <v>0.0998345284059571</v>
      </c>
      <c r="Q122" s="109">
        <f t="shared" si="47"/>
        <v>265.8002</v>
      </c>
    </row>
    <row r="123" s="79" customFormat="1" spans="1:17">
      <c r="A123" s="18" t="s">
        <v>162</v>
      </c>
      <c r="B123" s="20">
        <f t="shared" ref="B123:B138" si="53">C123/39.37</f>
        <v>1.16840233680467</v>
      </c>
      <c r="C123" s="110">
        <v>46</v>
      </c>
      <c r="D123" s="21" t="s">
        <v>146</v>
      </c>
      <c r="E123" s="26" t="s">
        <v>28</v>
      </c>
      <c r="F123" s="26" t="s">
        <v>29</v>
      </c>
      <c r="G123" s="21">
        <v>15.28</v>
      </c>
      <c r="H123" s="21">
        <f t="shared" ref="H123:H138" si="54">ROUND(G123*12,2)</f>
        <v>183.36</v>
      </c>
      <c r="I123" s="21">
        <f t="shared" ref="I123:I138" si="55">ROUND(G123*13.33,2)</f>
        <v>203.68</v>
      </c>
      <c r="J123" s="21">
        <f t="shared" ref="J123:J138" si="56">ROUND(G123*14,2)</f>
        <v>213.92</v>
      </c>
      <c r="K123" s="29"/>
      <c r="L123" s="79"/>
      <c r="M123" s="79"/>
      <c r="N123" s="21">
        <v>13.89</v>
      </c>
      <c r="O123" s="16">
        <f t="shared" si="45"/>
        <v>15.28</v>
      </c>
      <c r="P123" s="108">
        <f t="shared" si="46"/>
        <v>0.100071994240461</v>
      </c>
      <c r="Q123" s="109">
        <f t="shared" si="47"/>
        <v>203.6824</v>
      </c>
    </row>
    <row r="124" s="79" customFormat="1" ht="15.6" spans="1:17">
      <c r="A124" s="18" t="s">
        <v>162</v>
      </c>
      <c r="B124" s="20">
        <f t="shared" si="53"/>
        <v>1.16840233680467</v>
      </c>
      <c r="C124" s="110">
        <v>46</v>
      </c>
      <c r="D124" s="21" t="s">
        <v>146</v>
      </c>
      <c r="E124" s="26" t="s">
        <v>26</v>
      </c>
      <c r="F124" s="26" t="s">
        <v>29</v>
      </c>
      <c r="G124" s="21">
        <v>17.79</v>
      </c>
      <c r="H124" s="21">
        <f t="shared" si="54"/>
        <v>213.48</v>
      </c>
      <c r="I124" s="21">
        <f t="shared" si="55"/>
        <v>237.14</v>
      </c>
      <c r="J124" s="21">
        <f t="shared" si="56"/>
        <v>249.06</v>
      </c>
      <c r="K124" s="29"/>
      <c r="L124" s="1"/>
      <c r="M124" s="1"/>
      <c r="N124" s="21">
        <v>16.17</v>
      </c>
      <c r="O124" s="16">
        <f t="shared" si="45"/>
        <v>17.79</v>
      </c>
      <c r="P124" s="108">
        <f t="shared" si="46"/>
        <v>0.100185528756957</v>
      </c>
      <c r="Q124" s="109">
        <f t="shared" si="47"/>
        <v>237.1407</v>
      </c>
    </row>
    <row r="125" s="79" customFormat="1" ht="15.6" spans="1:17">
      <c r="A125" s="18" t="s">
        <v>162</v>
      </c>
      <c r="B125" s="20">
        <f t="shared" si="53"/>
        <v>1.19380238760478</v>
      </c>
      <c r="C125" s="110">
        <v>47</v>
      </c>
      <c r="D125" s="21" t="s">
        <v>146</v>
      </c>
      <c r="E125" s="26" t="s">
        <v>26</v>
      </c>
      <c r="F125" s="26" t="s">
        <v>29</v>
      </c>
      <c r="G125" s="21">
        <v>18.36</v>
      </c>
      <c r="H125" s="21">
        <f t="shared" si="54"/>
        <v>220.32</v>
      </c>
      <c r="I125" s="21">
        <f t="shared" si="55"/>
        <v>244.74</v>
      </c>
      <c r="J125" s="21">
        <f t="shared" si="56"/>
        <v>257.04</v>
      </c>
      <c r="K125" s="29"/>
      <c r="L125" s="1"/>
      <c r="M125" s="1"/>
      <c r="N125" s="21">
        <v>16.84</v>
      </c>
      <c r="O125" s="16">
        <f>ROUND(N125*1.09,2)</f>
        <v>18.36</v>
      </c>
      <c r="P125" s="108">
        <f t="shared" si="46"/>
        <v>0.0902612826603325</v>
      </c>
      <c r="Q125" s="109">
        <f t="shared" si="47"/>
        <v>244.7388</v>
      </c>
    </row>
    <row r="126" s="79" customFormat="1" ht="15.6" spans="1:17">
      <c r="A126" s="18" t="s">
        <v>162</v>
      </c>
      <c r="B126" s="20">
        <f t="shared" si="53"/>
        <v>1.21920243840488</v>
      </c>
      <c r="C126" s="110">
        <v>48</v>
      </c>
      <c r="D126" s="21" t="s">
        <v>146</v>
      </c>
      <c r="E126" s="26" t="s">
        <v>28</v>
      </c>
      <c r="F126" s="26" t="s">
        <v>29</v>
      </c>
      <c r="G126" s="21">
        <v>14.94</v>
      </c>
      <c r="H126" s="21">
        <f t="shared" si="54"/>
        <v>179.28</v>
      </c>
      <c r="I126" s="21">
        <f t="shared" si="55"/>
        <v>199.15</v>
      </c>
      <c r="J126" s="21">
        <f t="shared" si="56"/>
        <v>209.16</v>
      </c>
      <c r="K126" s="29"/>
      <c r="L126" s="1"/>
      <c r="M126" s="1"/>
      <c r="N126" s="21">
        <v>13.58</v>
      </c>
      <c r="O126" s="16">
        <f t="shared" si="45"/>
        <v>14.94</v>
      </c>
      <c r="P126" s="108">
        <f t="shared" si="46"/>
        <v>0.100147275405007</v>
      </c>
      <c r="Q126" s="109">
        <f t="shared" si="47"/>
        <v>199.1502</v>
      </c>
    </row>
    <row r="127" s="79" customFormat="1" ht="15.6" spans="1:17">
      <c r="A127" s="18" t="s">
        <v>162</v>
      </c>
      <c r="B127" s="20">
        <f t="shared" si="53"/>
        <v>1.21920243840488</v>
      </c>
      <c r="C127" s="110">
        <v>48</v>
      </c>
      <c r="D127" s="21" t="s">
        <v>147</v>
      </c>
      <c r="E127" s="26" t="s">
        <v>26</v>
      </c>
      <c r="F127" s="26" t="s">
        <v>29</v>
      </c>
      <c r="G127" s="21">
        <v>20.28</v>
      </c>
      <c r="H127" s="21">
        <f t="shared" si="54"/>
        <v>243.36</v>
      </c>
      <c r="I127" s="21">
        <f t="shared" si="55"/>
        <v>270.33</v>
      </c>
      <c r="J127" s="21">
        <f t="shared" si="56"/>
        <v>283.92</v>
      </c>
      <c r="K127" s="29"/>
      <c r="L127" s="1"/>
      <c r="M127" s="1"/>
      <c r="N127" s="21">
        <v>18.44</v>
      </c>
      <c r="O127" s="16">
        <f t="shared" si="45"/>
        <v>20.28</v>
      </c>
      <c r="P127" s="108">
        <f t="shared" si="46"/>
        <v>0.0997830802603037</v>
      </c>
      <c r="Q127" s="109">
        <f t="shared" si="47"/>
        <v>270.3324</v>
      </c>
    </row>
    <row r="128" s="79" customFormat="1" ht="15.6" spans="1:17">
      <c r="A128" s="18" t="s">
        <v>162</v>
      </c>
      <c r="B128" s="20">
        <f t="shared" si="53"/>
        <v>1.21920243840488</v>
      </c>
      <c r="C128" s="110">
        <v>48</v>
      </c>
      <c r="D128" s="21" t="s">
        <v>147</v>
      </c>
      <c r="E128" s="26" t="s">
        <v>28</v>
      </c>
      <c r="F128" s="26" t="s">
        <v>29</v>
      </c>
      <c r="G128" s="21">
        <v>14.98</v>
      </c>
      <c r="H128" s="21">
        <f t="shared" si="54"/>
        <v>179.76</v>
      </c>
      <c r="I128" s="21">
        <f t="shared" si="55"/>
        <v>199.68</v>
      </c>
      <c r="J128" s="21">
        <f t="shared" si="56"/>
        <v>209.72</v>
      </c>
      <c r="K128" s="29"/>
      <c r="L128" s="1"/>
      <c r="M128" s="1"/>
      <c r="N128" s="21">
        <v>13.62</v>
      </c>
      <c r="O128" s="16">
        <f t="shared" si="45"/>
        <v>14.98</v>
      </c>
      <c r="P128" s="108">
        <f t="shared" si="46"/>
        <v>0.0998531571218797</v>
      </c>
      <c r="Q128" s="109">
        <f t="shared" si="47"/>
        <v>199.6834</v>
      </c>
    </row>
    <row r="129" s="79" customFormat="1" ht="15.6" spans="1:17">
      <c r="A129" s="18" t="s">
        <v>162</v>
      </c>
      <c r="B129" s="20">
        <f t="shared" si="53"/>
        <v>1.27000254000508</v>
      </c>
      <c r="C129" s="110">
        <v>50</v>
      </c>
      <c r="D129" s="21" t="s">
        <v>147</v>
      </c>
      <c r="E129" s="26" t="s">
        <v>31</v>
      </c>
      <c r="F129" s="26" t="s">
        <v>29</v>
      </c>
      <c r="G129" s="111">
        <v>29.13</v>
      </c>
      <c r="H129" s="21">
        <f t="shared" si="54"/>
        <v>349.56</v>
      </c>
      <c r="I129" s="21">
        <f t="shared" si="55"/>
        <v>388.3</v>
      </c>
      <c r="J129" s="21">
        <f t="shared" si="56"/>
        <v>407.82</v>
      </c>
      <c r="K129" s="29"/>
      <c r="L129" s="1"/>
      <c r="M129" s="1"/>
      <c r="N129" s="111">
        <v>26.48</v>
      </c>
      <c r="O129" s="16">
        <f t="shared" si="45"/>
        <v>29.13</v>
      </c>
      <c r="P129" s="108">
        <f t="shared" si="46"/>
        <v>0.100075528700906</v>
      </c>
      <c r="Q129" s="109">
        <f t="shared" si="47"/>
        <v>388.3029</v>
      </c>
    </row>
    <row r="130" s="79" customFormat="1" ht="15.6" spans="1:17">
      <c r="A130" s="18" t="s">
        <v>162</v>
      </c>
      <c r="B130" s="20">
        <f t="shared" si="53"/>
        <v>1.27000254000508</v>
      </c>
      <c r="C130" s="110">
        <v>50</v>
      </c>
      <c r="D130" s="21" t="s">
        <v>147</v>
      </c>
      <c r="E130" s="26" t="s">
        <v>34</v>
      </c>
      <c r="F130" s="26" t="s">
        <v>29</v>
      </c>
      <c r="G130" s="111">
        <v>44.19</v>
      </c>
      <c r="H130" s="21">
        <f t="shared" si="54"/>
        <v>530.28</v>
      </c>
      <c r="I130" s="21">
        <f t="shared" si="55"/>
        <v>589.05</v>
      </c>
      <c r="J130" s="21">
        <f t="shared" si="56"/>
        <v>618.66</v>
      </c>
      <c r="K130" s="29"/>
      <c r="L130" s="56"/>
      <c r="M130" s="1"/>
      <c r="N130" s="111">
        <v>40.54</v>
      </c>
      <c r="O130" s="16">
        <f>ROUND(N130*1.09,2)</f>
        <v>44.19</v>
      </c>
      <c r="P130" s="108">
        <f t="shared" si="46"/>
        <v>0.0900345337937839</v>
      </c>
      <c r="Q130" s="109">
        <f t="shared" si="47"/>
        <v>589.0527</v>
      </c>
    </row>
    <row r="131" s="79" customFormat="1" ht="15.6" spans="1:17">
      <c r="A131" s="18" t="s">
        <v>162</v>
      </c>
      <c r="B131" s="20">
        <f t="shared" si="53"/>
        <v>1.32080264160528</v>
      </c>
      <c r="C131" s="110">
        <v>52</v>
      </c>
      <c r="D131" s="21" t="s">
        <v>147</v>
      </c>
      <c r="E131" s="26" t="s">
        <v>31</v>
      </c>
      <c r="F131" s="26" t="s">
        <v>29</v>
      </c>
      <c r="G131" s="111">
        <v>35.88</v>
      </c>
      <c r="H131" s="21">
        <f t="shared" si="54"/>
        <v>430.56</v>
      </c>
      <c r="I131" s="21">
        <f t="shared" si="55"/>
        <v>478.28</v>
      </c>
      <c r="J131" s="21">
        <f t="shared" si="56"/>
        <v>502.32</v>
      </c>
      <c r="K131" s="29"/>
      <c r="L131" s="56"/>
      <c r="M131" s="1"/>
      <c r="N131" s="111">
        <v>32.62</v>
      </c>
      <c r="O131" s="16">
        <f t="shared" si="45"/>
        <v>35.88</v>
      </c>
      <c r="P131" s="108">
        <f t="shared" si="46"/>
        <v>0.0999386879215207</v>
      </c>
      <c r="Q131" s="109">
        <f t="shared" si="47"/>
        <v>478.2804</v>
      </c>
    </row>
    <row r="132" s="79" customFormat="1" spans="1:17">
      <c r="A132" s="18" t="s">
        <v>162</v>
      </c>
      <c r="B132" s="20">
        <f t="shared" si="53"/>
        <v>1.37160274320549</v>
      </c>
      <c r="C132" s="110">
        <v>54</v>
      </c>
      <c r="D132" s="21" t="s">
        <v>147</v>
      </c>
      <c r="E132" s="26" t="s">
        <v>26</v>
      </c>
      <c r="F132" s="26" t="s">
        <v>29</v>
      </c>
      <c r="G132" s="111">
        <v>20.8</v>
      </c>
      <c r="H132" s="21">
        <f t="shared" si="54"/>
        <v>249.6</v>
      </c>
      <c r="I132" s="21">
        <f t="shared" si="55"/>
        <v>277.26</v>
      </c>
      <c r="J132" s="21">
        <f t="shared" si="56"/>
        <v>291.2</v>
      </c>
      <c r="K132" s="29"/>
      <c r="L132" s="79"/>
      <c r="M132" s="79"/>
      <c r="N132" s="111">
        <v>18.91</v>
      </c>
      <c r="O132" s="16">
        <f t="shared" si="45"/>
        <v>20.8</v>
      </c>
      <c r="P132" s="108">
        <f t="shared" si="46"/>
        <v>0.0999471179270228</v>
      </c>
      <c r="Q132" s="109">
        <f t="shared" si="47"/>
        <v>277.264</v>
      </c>
    </row>
    <row r="133" s="79" customFormat="1" ht="15.6" spans="1:17">
      <c r="A133" s="18" t="s">
        <v>162</v>
      </c>
      <c r="B133" s="20">
        <f t="shared" si="53"/>
        <v>1.37160274320549</v>
      </c>
      <c r="C133" s="110">
        <v>54</v>
      </c>
      <c r="D133" s="21" t="s">
        <v>147</v>
      </c>
      <c r="E133" s="26" t="s">
        <v>44</v>
      </c>
      <c r="F133" s="26" t="s">
        <v>29</v>
      </c>
      <c r="G133" s="111">
        <v>31.29</v>
      </c>
      <c r="H133" s="21">
        <f t="shared" si="54"/>
        <v>375.48</v>
      </c>
      <c r="I133" s="21">
        <f t="shared" si="55"/>
        <v>417.1</v>
      </c>
      <c r="J133" s="21">
        <f t="shared" si="56"/>
        <v>438.06</v>
      </c>
      <c r="K133" s="29"/>
      <c r="L133" s="56"/>
      <c r="M133" s="1"/>
      <c r="N133" s="111">
        <v>28.71</v>
      </c>
      <c r="O133" s="16">
        <f>ROUND(N133*1.09,2)</f>
        <v>31.29</v>
      </c>
      <c r="P133" s="108">
        <f t="shared" si="46"/>
        <v>0.089864158829676</v>
      </c>
      <c r="Q133" s="109">
        <f t="shared" si="47"/>
        <v>417.0957</v>
      </c>
    </row>
    <row r="134" s="79" customFormat="1" ht="15.6" spans="1:17">
      <c r="A134" s="18" t="s">
        <v>162</v>
      </c>
      <c r="B134" s="20">
        <f t="shared" si="53"/>
        <v>1.37160274320549</v>
      </c>
      <c r="C134" s="110">
        <v>54</v>
      </c>
      <c r="D134" s="21" t="s">
        <v>147</v>
      </c>
      <c r="E134" s="26" t="s">
        <v>31</v>
      </c>
      <c r="F134" s="26" t="s">
        <v>29</v>
      </c>
      <c r="G134" s="111">
        <v>29.8</v>
      </c>
      <c r="H134" s="21">
        <f t="shared" si="54"/>
        <v>357.6</v>
      </c>
      <c r="I134" s="21">
        <f t="shared" si="55"/>
        <v>397.23</v>
      </c>
      <c r="J134" s="21">
        <f t="shared" si="56"/>
        <v>417.2</v>
      </c>
      <c r="K134" s="29"/>
      <c r="L134" s="1"/>
      <c r="M134" s="1"/>
      <c r="N134" s="111">
        <v>27.09</v>
      </c>
      <c r="O134" s="16">
        <f t="shared" si="45"/>
        <v>29.8</v>
      </c>
      <c r="P134" s="108">
        <f t="shared" si="46"/>
        <v>0.100036913990402</v>
      </c>
      <c r="Q134" s="109">
        <f t="shared" si="47"/>
        <v>397.234</v>
      </c>
    </row>
    <row r="135" s="79" customFormat="1" ht="15.6" spans="1:17">
      <c r="A135" s="18" t="s">
        <v>162</v>
      </c>
      <c r="B135" s="20">
        <f t="shared" si="53"/>
        <v>1.42240284480569</v>
      </c>
      <c r="C135" s="110">
        <v>56</v>
      </c>
      <c r="D135" s="21" t="s">
        <v>148</v>
      </c>
      <c r="E135" s="26" t="s">
        <v>28</v>
      </c>
      <c r="F135" s="26" t="s">
        <v>29</v>
      </c>
      <c r="G135" s="21">
        <v>15.36</v>
      </c>
      <c r="H135" s="21">
        <f t="shared" si="54"/>
        <v>184.32</v>
      </c>
      <c r="I135" s="21">
        <f t="shared" si="55"/>
        <v>204.75</v>
      </c>
      <c r="J135" s="21">
        <f t="shared" si="56"/>
        <v>215.04</v>
      </c>
      <c r="K135" s="29"/>
      <c r="L135" s="1"/>
      <c r="M135" s="1"/>
      <c r="N135" s="21">
        <v>13.96</v>
      </c>
      <c r="O135" s="16">
        <f t="shared" si="45"/>
        <v>15.36</v>
      </c>
      <c r="P135" s="108">
        <f t="shared" si="46"/>
        <v>0.100286532951289</v>
      </c>
      <c r="Q135" s="109">
        <f t="shared" si="47"/>
        <v>204.7488</v>
      </c>
    </row>
    <row r="136" s="79" customFormat="1" ht="15.6" spans="1:17">
      <c r="A136" s="18" t="s">
        <v>162</v>
      </c>
      <c r="B136" s="20">
        <f t="shared" si="53"/>
        <v>1.42240284480569</v>
      </c>
      <c r="C136" s="110">
        <v>56</v>
      </c>
      <c r="D136" s="21" t="s">
        <v>147</v>
      </c>
      <c r="E136" s="26" t="s">
        <v>26</v>
      </c>
      <c r="F136" s="26" t="s">
        <v>29</v>
      </c>
      <c r="G136" s="21">
        <v>18.7</v>
      </c>
      <c r="H136" s="21">
        <f t="shared" si="54"/>
        <v>224.4</v>
      </c>
      <c r="I136" s="21">
        <f t="shared" si="55"/>
        <v>249.27</v>
      </c>
      <c r="J136" s="21">
        <f t="shared" si="56"/>
        <v>261.8</v>
      </c>
      <c r="K136" s="29"/>
      <c r="L136" s="1"/>
      <c r="M136" s="1"/>
      <c r="N136" s="21">
        <v>17</v>
      </c>
      <c r="O136" s="16">
        <f t="shared" si="45"/>
        <v>18.7</v>
      </c>
      <c r="P136" s="108">
        <f t="shared" si="46"/>
        <v>0.1</v>
      </c>
      <c r="Q136" s="109">
        <f t="shared" si="47"/>
        <v>249.271</v>
      </c>
    </row>
    <row r="137" s="79" customFormat="1" ht="15.6" spans="1:17">
      <c r="A137" s="18" t="s">
        <v>162</v>
      </c>
      <c r="B137" s="20">
        <f t="shared" si="53"/>
        <v>1.42240284480569</v>
      </c>
      <c r="C137" s="110">
        <v>56</v>
      </c>
      <c r="D137" s="21" t="s">
        <v>148</v>
      </c>
      <c r="E137" s="26" t="s">
        <v>26</v>
      </c>
      <c r="F137" s="26" t="s">
        <v>29</v>
      </c>
      <c r="G137" s="21">
        <v>18.6</v>
      </c>
      <c r="H137" s="21">
        <f t="shared" si="54"/>
        <v>223.2</v>
      </c>
      <c r="I137" s="21">
        <f t="shared" si="55"/>
        <v>247.94</v>
      </c>
      <c r="J137" s="21">
        <f t="shared" si="56"/>
        <v>260.4</v>
      </c>
      <c r="K137" s="29"/>
      <c r="L137" s="1"/>
      <c r="M137" s="1"/>
      <c r="N137" s="21">
        <v>16.91</v>
      </c>
      <c r="O137" s="16">
        <f t="shared" si="45"/>
        <v>18.6</v>
      </c>
      <c r="P137" s="108">
        <f t="shared" si="46"/>
        <v>0.0999408633944412</v>
      </c>
      <c r="Q137" s="109">
        <f t="shared" si="47"/>
        <v>247.938</v>
      </c>
    </row>
    <row r="138" s="79" customFormat="1" ht="15.6" spans="1:17">
      <c r="A138" s="18" t="s">
        <v>162</v>
      </c>
      <c r="B138" s="20">
        <f t="shared" si="53"/>
        <v>1.42240284480569</v>
      </c>
      <c r="C138" s="110">
        <v>56</v>
      </c>
      <c r="D138" s="21" t="s">
        <v>148</v>
      </c>
      <c r="E138" s="26" t="s">
        <v>31</v>
      </c>
      <c r="F138" s="26" t="s">
        <v>29</v>
      </c>
      <c r="G138" s="21">
        <v>29.91</v>
      </c>
      <c r="H138" s="21">
        <f t="shared" si="54"/>
        <v>358.92</v>
      </c>
      <c r="I138" s="21">
        <f t="shared" si="55"/>
        <v>398.7</v>
      </c>
      <c r="J138" s="21">
        <f t="shared" si="56"/>
        <v>418.74</v>
      </c>
      <c r="K138" s="29"/>
      <c r="L138" s="1"/>
      <c r="M138" s="1"/>
      <c r="N138" s="21">
        <v>27.19</v>
      </c>
      <c r="O138" s="16">
        <f t="shared" si="45"/>
        <v>29.91</v>
      </c>
      <c r="P138" s="108">
        <f t="shared" si="46"/>
        <v>0.100036778227289</v>
      </c>
      <c r="Q138" s="109">
        <f t="shared" si="47"/>
        <v>398.7003</v>
      </c>
    </row>
    <row r="139" s="79" customFormat="1" ht="15.6" spans="1:17">
      <c r="A139" s="18" t="s">
        <v>162</v>
      </c>
      <c r="B139" s="20">
        <f t="shared" ref="B139:B141" si="57">C139/39.37</f>
        <v>1.49860299720599</v>
      </c>
      <c r="C139" s="110">
        <v>59</v>
      </c>
      <c r="D139" s="21" t="s">
        <v>148</v>
      </c>
      <c r="E139" s="26" t="s">
        <v>28</v>
      </c>
      <c r="F139" s="26" t="s">
        <v>29</v>
      </c>
      <c r="G139" s="21">
        <v>18.32</v>
      </c>
      <c r="H139" s="21">
        <f t="shared" ref="H139:H146" si="58">ROUND(G139*12,2)</f>
        <v>219.84</v>
      </c>
      <c r="I139" s="21">
        <f t="shared" ref="I139:I146" si="59">ROUND(G139*13.33,2)</f>
        <v>244.21</v>
      </c>
      <c r="J139" s="21">
        <f t="shared" ref="J139:J146" si="60">ROUND(G139*14,2)</f>
        <v>256.48</v>
      </c>
      <c r="K139" s="29"/>
      <c r="L139" s="1"/>
      <c r="M139" s="1"/>
      <c r="N139" s="21">
        <v>16.65</v>
      </c>
      <c r="O139" s="16">
        <f t="shared" ref="O139:O155" si="61">ROUND(N139*1.1,2)</f>
        <v>18.32</v>
      </c>
      <c r="P139" s="108">
        <f t="shared" si="46"/>
        <v>0.1003003003003</v>
      </c>
      <c r="Q139" s="109">
        <f t="shared" si="47"/>
        <v>244.2056</v>
      </c>
    </row>
    <row r="140" s="79" customFormat="1" spans="1:17">
      <c r="A140" s="18" t="s">
        <v>162</v>
      </c>
      <c r="B140" s="20">
        <f t="shared" si="57"/>
        <v>1.49860299720599</v>
      </c>
      <c r="C140" s="110">
        <v>59</v>
      </c>
      <c r="D140" s="21" t="s">
        <v>148</v>
      </c>
      <c r="E140" s="26" t="s">
        <v>26</v>
      </c>
      <c r="F140" s="26" t="s">
        <v>29</v>
      </c>
      <c r="G140" s="21">
        <v>21.48</v>
      </c>
      <c r="H140" s="21">
        <f t="shared" si="58"/>
        <v>257.76</v>
      </c>
      <c r="I140" s="21">
        <f t="shared" si="59"/>
        <v>286.33</v>
      </c>
      <c r="J140" s="21">
        <f t="shared" si="60"/>
        <v>300.72</v>
      </c>
      <c r="K140" s="29"/>
      <c r="L140" s="79"/>
      <c r="M140" s="79"/>
      <c r="N140" s="21">
        <v>19.53</v>
      </c>
      <c r="O140" s="16">
        <f t="shared" si="61"/>
        <v>21.48</v>
      </c>
      <c r="P140" s="108">
        <f t="shared" si="46"/>
        <v>0.0998463901689708</v>
      </c>
      <c r="Q140" s="109">
        <f t="shared" si="47"/>
        <v>286.3284</v>
      </c>
    </row>
    <row r="141" s="79" customFormat="1" spans="1:17">
      <c r="A141" s="18" t="s">
        <v>162</v>
      </c>
      <c r="B141" s="20">
        <f t="shared" si="57"/>
        <v>1.5494030988062</v>
      </c>
      <c r="C141" s="110">
        <v>61</v>
      </c>
      <c r="D141" s="21" t="s">
        <v>148</v>
      </c>
      <c r="E141" s="26" t="s">
        <v>28</v>
      </c>
      <c r="F141" s="26" t="s">
        <v>29</v>
      </c>
      <c r="G141" s="21">
        <v>18.9</v>
      </c>
      <c r="H141" s="21">
        <f t="shared" si="58"/>
        <v>226.8</v>
      </c>
      <c r="I141" s="21">
        <f t="shared" si="59"/>
        <v>251.94</v>
      </c>
      <c r="J141" s="21">
        <f t="shared" si="60"/>
        <v>264.6</v>
      </c>
      <c r="K141" s="29"/>
      <c r="L141" s="114"/>
      <c r="M141" s="114"/>
      <c r="N141" s="21">
        <v>17.18</v>
      </c>
      <c r="O141" s="16">
        <f t="shared" si="61"/>
        <v>18.9</v>
      </c>
      <c r="P141" s="108">
        <f t="shared" si="46"/>
        <v>0.10011641443539</v>
      </c>
      <c r="Q141" s="109">
        <f t="shared" si="47"/>
        <v>251.937</v>
      </c>
    </row>
    <row r="142" s="79" customFormat="1" spans="1:17">
      <c r="A142" s="18" t="s">
        <v>162</v>
      </c>
      <c r="B142" s="20">
        <f t="shared" ref="B142:B146" si="62">C142/39.37</f>
        <v>1.5494030988062</v>
      </c>
      <c r="C142" s="110">
        <v>61</v>
      </c>
      <c r="D142" s="21" t="s">
        <v>148</v>
      </c>
      <c r="E142" s="26" t="s">
        <v>26</v>
      </c>
      <c r="F142" s="26" t="s">
        <v>29</v>
      </c>
      <c r="G142" s="21">
        <v>21.19</v>
      </c>
      <c r="H142" s="21">
        <f t="shared" si="58"/>
        <v>254.28</v>
      </c>
      <c r="I142" s="21">
        <f t="shared" si="59"/>
        <v>282.46</v>
      </c>
      <c r="J142" s="21">
        <f t="shared" si="60"/>
        <v>296.66</v>
      </c>
      <c r="K142" s="29"/>
      <c r="L142" s="114"/>
      <c r="M142" s="114"/>
      <c r="N142" s="21">
        <v>19.26</v>
      </c>
      <c r="O142" s="16">
        <f t="shared" si="61"/>
        <v>21.19</v>
      </c>
      <c r="P142" s="108">
        <f t="shared" si="46"/>
        <v>0.100207684319834</v>
      </c>
      <c r="Q142" s="109">
        <f t="shared" si="47"/>
        <v>282.4627</v>
      </c>
    </row>
    <row r="143" s="79" customFormat="1" spans="1:17">
      <c r="A143" s="18" t="s">
        <v>162</v>
      </c>
      <c r="B143" s="20">
        <f t="shared" si="62"/>
        <v>1.5748031496063</v>
      </c>
      <c r="C143" s="110">
        <v>62</v>
      </c>
      <c r="D143" s="21" t="s">
        <v>148</v>
      </c>
      <c r="E143" s="26" t="s">
        <v>28</v>
      </c>
      <c r="F143" s="26" t="s">
        <v>29</v>
      </c>
      <c r="G143" s="21">
        <v>18.52</v>
      </c>
      <c r="H143" s="21">
        <f t="shared" si="58"/>
        <v>222.24</v>
      </c>
      <c r="I143" s="21">
        <f t="shared" si="59"/>
        <v>246.87</v>
      </c>
      <c r="J143" s="21">
        <f t="shared" si="60"/>
        <v>259.28</v>
      </c>
      <c r="K143" s="29"/>
      <c r="L143" s="114"/>
      <c r="M143" s="114"/>
      <c r="N143" s="21">
        <v>16.84</v>
      </c>
      <c r="O143" s="16">
        <f t="shared" si="61"/>
        <v>18.52</v>
      </c>
      <c r="P143" s="108">
        <f t="shared" si="46"/>
        <v>0.0997624703087886</v>
      </c>
      <c r="Q143" s="109">
        <f t="shared" si="47"/>
        <v>246.8716</v>
      </c>
    </row>
    <row r="144" s="79" customFormat="1" ht="15.6" spans="1:17">
      <c r="A144" s="18" t="s">
        <v>162</v>
      </c>
      <c r="B144" s="20">
        <f t="shared" si="62"/>
        <v>1.67640335280671</v>
      </c>
      <c r="C144" s="110">
        <v>66</v>
      </c>
      <c r="D144" s="21" t="s">
        <v>149</v>
      </c>
      <c r="E144" s="26" t="s">
        <v>34</v>
      </c>
      <c r="F144" s="26" t="s">
        <v>29</v>
      </c>
      <c r="G144" s="111">
        <v>50.37</v>
      </c>
      <c r="H144" s="21">
        <f t="shared" si="58"/>
        <v>604.44</v>
      </c>
      <c r="I144" s="21">
        <f t="shared" si="59"/>
        <v>671.43</v>
      </c>
      <c r="J144" s="21">
        <f t="shared" si="60"/>
        <v>705.18</v>
      </c>
      <c r="K144" s="29"/>
      <c r="L144" s="56"/>
      <c r="M144" s="1"/>
      <c r="N144" s="111">
        <v>46.21</v>
      </c>
      <c r="O144" s="16">
        <f>ROUND(N144*1.09,2)</f>
        <v>50.37</v>
      </c>
      <c r="P144" s="108">
        <f t="shared" si="46"/>
        <v>0.0900238043713481</v>
      </c>
      <c r="Q144" s="109">
        <f t="shared" si="47"/>
        <v>671.4321</v>
      </c>
    </row>
    <row r="145" s="79" customFormat="1" ht="15.6" spans="1:17">
      <c r="A145" s="18" t="s">
        <v>162</v>
      </c>
      <c r="B145" s="20">
        <f t="shared" si="62"/>
        <v>1.72720345440691</v>
      </c>
      <c r="C145" s="110">
        <v>68</v>
      </c>
      <c r="D145" s="21" t="s">
        <v>149</v>
      </c>
      <c r="E145" s="26" t="s">
        <v>28</v>
      </c>
      <c r="F145" s="26" t="s">
        <v>29</v>
      </c>
      <c r="G145" s="111">
        <v>24.11</v>
      </c>
      <c r="H145" s="21">
        <f t="shared" si="58"/>
        <v>289.32</v>
      </c>
      <c r="I145" s="21">
        <f t="shared" si="59"/>
        <v>321.39</v>
      </c>
      <c r="J145" s="21">
        <f t="shared" si="60"/>
        <v>337.54</v>
      </c>
      <c r="K145" s="29"/>
      <c r="L145" s="91"/>
      <c r="M145" s="1"/>
      <c r="N145" s="111">
        <v>21.92</v>
      </c>
      <c r="O145" s="16">
        <f t="shared" si="61"/>
        <v>24.11</v>
      </c>
      <c r="P145" s="108">
        <f t="shared" si="46"/>
        <v>0.0999087591240875</v>
      </c>
      <c r="Q145" s="109">
        <f t="shared" si="47"/>
        <v>321.3863</v>
      </c>
    </row>
    <row r="146" s="79" customFormat="1" ht="15.6" spans="1:17">
      <c r="A146" s="18" t="s">
        <v>162</v>
      </c>
      <c r="B146" s="20">
        <f t="shared" si="62"/>
        <v>1.72720345440691</v>
      </c>
      <c r="C146" s="110">
        <v>68</v>
      </c>
      <c r="D146" s="21" t="s">
        <v>149</v>
      </c>
      <c r="E146" s="26" t="s">
        <v>31</v>
      </c>
      <c r="F146" s="26" t="s">
        <v>29</v>
      </c>
      <c r="G146" s="111">
        <v>40.23</v>
      </c>
      <c r="H146" s="21">
        <f t="shared" si="58"/>
        <v>482.76</v>
      </c>
      <c r="I146" s="21">
        <f t="shared" si="59"/>
        <v>536.27</v>
      </c>
      <c r="J146" s="21">
        <f t="shared" si="60"/>
        <v>563.22</v>
      </c>
      <c r="K146" s="29"/>
      <c r="L146" s="91"/>
      <c r="M146" s="1"/>
      <c r="N146" s="111">
        <v>36.57</v>
      </c>
      <c r="O146" s="16">
        <f t="shared" si="61"/>
        <v>40.23</v>
      </c>
      <c r="P146" s="108">
        <f t="shared" si="46"/>
        <v>0.100082034454471</v>
      </c>
      <c r="Q146" s="109">
        <f t="shared" si="47"/>
        <v>536.2659</v>
      </c>
    </row>
    <row r="147" s="79" customFormat="1" spans="1:17">
      <c r="A147" s="18" t="s">
        <v>162</v>
      </c>
      <c r="B147" s="20">
        <f t="shared" ref="B147:B157" si="63">C147/39.37</f>
        <v>1.77800355600711</v>
      </c>
      <c r="C147" s="110">
        <v>70</v>
      </c>
      <c r="D147" s="21" t="s">
        <v>149</v>
      </c>
      <c r="E147" s="26" t="s">
        <v>26</v>
      </c>
      <c r="F147" s="26" t="s">
        <v>29</v>
      </c>
      <c r="G147" s="21">
        <v>25.3</v>
      </c>
      <c r="H147" s="21">
        <f t="shared" ref="H147:H157" si="64">ROUND(G147*12,2)</f>
        <v>303.6</v>
      </c>
      <c r="I147" s="21">
        <f t="shared" ref="I147:I157" si="65">ROUND(G147*13.33,2)</f>
        <v>337.25</v>
      </c>
      <c r="J147" s="21">
        <f t="shared" ref="J147:J157" si="66">ROUND(G147*14,2)</f>
        <v>354.2</v>
      </c>
      <c r="K147" s="29"/>
      <c r="L147" s="79"/>
      <c r="M147" s="79"/>
      <c r="N147" s="21">
        <v>23</v>
      </c>
      <c r="O147" s="16">
        <f t="shared" si="61"/>
        <v>25.3</v>
      </c>
      <c r="P147" s="108">
        <f t="shared" ref="P147:P157" si="67">(O147-N147)/N147</f>
        <v>0.1</v>
      </c>
      <c r="Q147" s="109">
        <f t="shared" ref="Q147:Q157" si="68">O147*13.33</f>
        <v>337.249</v>
      </c>
    </row>
    <row r="148" s="79" customFormat="1" spans="1:17">
      <c r="A148" s="18" t="s">
        <v>162</v>
      </c>
      <c r="B148" s="20">
        <f t="shared" si="63"/>
        <v>1.77800355600711</v>
      </c>
      <c r="C148" s="110">
        <v>70</v>
      </c>
      <c r="D148" s="21" t="s">
        <v>149</v>
      </c>
      <c r="E148" s="26" t="s">
        <v>44</v>
      </c>
      <c r="F148" s="26" t="s">
        <v>29</v>
      </c>
      <c r="G148" s="21">
        <v>32.56</v>
      </c>
      <c r="H148" s="21">
        <f t="shared" si="64"/>
        <v>390.72</v>
      </c>
      <c r="I148" s="21">
        <f t="shared" si="65"/>
        <v>434.02</v>
      </c>
      <c r="J148" s="21">
        <f t="shared" si="66"/>
        <v>455.84</v>
      </c>
      <c r="K148" s="29"/>
      <c r="L148" s="79"/>
      <c r="M148" s="79"/>
      <c r="N148" s="21">
        <v>29.87</v>
      </c>
      <c r="O148" s="16">
        <f>ROUND(N148*1.09,2)</f>
        <v>32.56</v>
      </c>
      <c r="P148" s="108">
        <f t="shared" si="67"/>
        <v>0.0900569132909274</v>
      </c>
      <c r="Q148" s="109">
        <f t="shared" si="68"/>
        <v>434.0248</v>
      </c>
    </row>
    <row r="149" s="79" customFormat="1" spans="1:17">
      <c r="A149" s="18" t="s">
        <v>162</v>
      </c>
      <c r="B149" s="20">
        <f t="shared" si="63"/>
        <v>1.77800355600711</v>
      </c>
      <c r="C149" s="110">
        <v>70</v>
      </c>
      <c r="D149" s="21" t="s">
        <v>150</v>
      </c>
      <c r="E149" s="26" t="s">
        <v>31</v>
      </c>
      <c r="F149" s="26" t="s">
        <v>29</v>
      </c>
      <c r="G149" s="21">
        <v>35.82</v>
      </c>
      <c r="H149" s="21">
        <f t="shared" si="64"/>
        <v>429.84</v>
      </c>
      <c r="I149" s="21">
        <f t="shared" si="65"/>
        <v>477.48</v>
      </c>
      <c r="J149" s="21">
        <f t="shared" si="66"/>
        <v>501.48</v>
      </c>
      <c r="K149" s="29"/>
      <c r="L149" s="79"/>
      <c r="M149" s="79"/>
      <c r="N149" s="21">
        <v>32.56</v>
      </c>
      <c r="O149" s="16">
        <f t="shared" si="61"/>
        <v>35.82</v>
      </c>
      <c r="P149" s="108">
        <f t="shared" si="67"/>
        <v>0.10012285012285</v>
      </c>
      <c r="Q149" s="109">
        <f t="shared" si="68"/>
        <v>477.4806</v>
      </c>
    </row>
    <row r="150" s="79" customFormat="1" spans="1:17">
      <c r="A150" s="18" t="s">
        <v>162</v>
      </c>
      <c r="B150" s="20">
        <f t="shared" si="63"/>
        <v>1.82880365760732</v>
      </c>
      <c r="C150" s="110">
        <v>72</v>
      </c>
      <c r="D150" s="21" t="s">
        <v>150</v>
      </c>
      <c r="E150" s="26" t="s">
        <v>28</v>
      </c>
      <c r="F150" s="26" t="s">
        <v>29</v>
      </c>
      <c r="G150" s="21">
        <v>20.14</v>
      </c>
      <c r="H150" s="21">
        <f t="shared" si="64"/>
        <v>241.68</v>
      </c>
      <c r="I150" s="21">
        <f t="shared" si="65"/>
        <v>268.47</v>
      </c>
      <c r="J150" s="21">
        <f t="shared" si="66"/>
        <v>281.96</v>
      </c>
      <c r="K150" s="29"/>
      <c r="L150" s="79"/>
      <c r="M150" s="79"/>
      <c r="N150" s="21">
        <v>18.31</v>
      </c>
      <c r="O150" s="16">
        <f t="shared" si="61"/>
        <v>20.14</v>
      </c>
      <c r="P150" s="108">
        <f t="shared" si="67"/>
        <v>0.0999453850354998</v>
      </c>
      <c r="Q150" s="109">
        <f t="shared" si="68"/>
        <v>268.4662</v>
      </c>
    </row>
    <row r="151" s="79" customFormat="1" spans="1:17">
      <c r="A151" s="18" t="s">
        <v>162</v>
      </c>
      <c r="B151" s="20">
        <f t="shared" si="63"/>
        <v>1.82880365760732</v>
      </c>
      <c r="C151" s="110">
        <v>72</v>
      </c>
      <c r="D151" s="21" t="s">
        <v>150</v>
      </c>
      <c r="E151" s="26" t="s">
        <v>26</v>
      </c>
      <c r="F151" s="26" t="s">
        <v>29</v>
      </c>
      <c r="G151" s="21">
        <v>25.81</v>
      </c>
      <c r="H151" s="21">
        <f t="shared" si="64"/>
        <v>309.72</v>
      </c>
      <c r="I151" s="21">
        <f t="shared" si="65"/>
        <v>344.05</v>
      </c>
      <c r="J151" s="21">
        <f t="shared" si="66"/>
        <v>361.34</v>
      </c>
      <c r="K151" s="29"/>
      <c r="L151" s="79"/>
      <c r="M151" s="79"/>
      <c r="N151" s="21">
        <v>23.46</v>
      </c>
      <c r="O151" s="16">
        <f t="shared" si="61"/>
        <v>25.81</v>
      </c>
      <c r="P151" s="108">
        <f t="shared" si="67"/>
        <v>0.100170502983802</v>
      </c>
      <c r="Q151" s="109">
        <f t="shared" si="68"/>
        <v>344.0473</v>
      </c>
    </row>
    <row r="152" s="79" customFormat="1" spans="1:17">
      <c r="A152" s="18" t="s">
        <v>162</v>
      </c>
      <c r="B152" s="20">
        <f t="shared" si="63"/>
        <v>1.93040386080772</v>
      </c>
      <c r="C152" s="110">
        <v>76</v>
      </c>
      <c r="D152" s="21" t="s">
        <v>177</v>
      </c>
      <c r="E152" s="26" t="s">
        <v>26</v>
      </c>
      <c r="F152" s="26" t="s">
        <v>29</v>
      </c>
      <c r="G152" s="21">
        <v>27.65</v>
      </c>
      <c r="H152" s="21">
        <f t="shared" si="64"/>
        <v>331.8</v>
      </c>
      <c r="I152" s="21">
        <f t="shared" si="65"/>
        <v>368.57</v>
      </c>
      <c r="J152" s="21">
        <f t="shared" si="66"/>
        <v>387.1</v>
      </c>
      <c r="K152" s="29"/>
      <c r="L152" s="79"/>
      <c r="M152" s="79"/>
      <c r="N152" s="21">
        <v>25.14</v>
      </c>
      <c r="O152" s="16">
        <f t="shared" si="61"/>
        <v>27.65</v>
      </c>
      <c r="P152" s="108">
        <f t="shared" si="67"/>
        <v>0.099840891010342</v>
      </c>
      <c r="Q152" s="109">
        <f t="shared" si="68"/>
        <v>368.5745</v>
      </c>
    </row>
    <row r="153" s="79" customFormat="1" spans="1:17">
      <c r="A153" s="18" t="s">
        <v>162</v>
      </c>
      <c r="B153" s="20">
        <f t="shared" si="63"/>
        <v>1.98120396240792</v>
      </c>
      <c r="C153" s="110">
        <v>78</v>
      </c>
      <c r="D153" s="21" t="s">
        <v>177</v>
      </c>
      <c r="E153" s="26" t="s">
        <v>26</v>
      </c>
      <c r="F153" s="26" t="s">
        <v>29</v>
      </c>
      <c r="G153" s="21">
        <v>27.76</v>
      </c>
      <c r="H153" s="21">
        <f t="shared" si="64"/>
        <v>333.12</v>
      </c>
      <c r="I153" s="21">
        <f t="shared" si="65"/>
        <v>370.04</v>
      </c>
      <c r="J153" s="21">
        <f t="shared" si="66"/>
        <v>388.64</v>
      </c>
      <c r="K153" s="29"/>
      <c r="L153" s="79"/>
      <c r="M153" s="79"/>
      <c r="N153" s="21">
        <v>25.24</v>
      </c>
      <c r="O153" s="16">
        <f t="shared" si="61"/>
        <v>27.76</v>
      </c>
      <c r="P153" s="108">
        <f t="shared" si="67"/>
        <v>0.0998415213946119</v>
      </c>
      <c r="Q153" s="109">
        <f t="shared" si="68"/>
        <v>370.0408</v>
      </c>
    </row>
    <row r="154" s="79" customFormat="1" spans="1:17">
      <c r="A154" s="18" t="s">
        <v>162</v>
      </c>
      <c r="B154" s="20">
        <f t="shared" si="63"/>
        <v>2.28600457200914</v>
      </c>
      <c r="C154" s="110">
        <v>90</v>
      </c>
      <c r="D154" s="21" t="s">
        <v>178</v>
      </c>
      <c r="E154" s="26" t="s">
        <v>28</v>
      </c>
      <c r="F154" s="26" t="s">
        <v>29</v>
      </c>
      <c r="G154" s="21">
        <v>30.36</v>
      </c>
      <c r="H154" s="21">
        <f t="shared" si="64"/>
        <v>364.32</v>
      </c>
      <c r="I154" s="21">
        <f t="shared" si="65"/>
        <v>404.7</v>
      </c>
      <c r="J154" s="21">
        <f t="shared" si="66"/>
        <v>425.04</v>
      </c>
      <c r="K154" s="29"/>
      <c r="L154" s="79"/>
      <c r="M154" s="79"/>
      <c r="N154" s="21">
        <v>28.11</v>
      </c>
      <c r="O154" s="16">
        <f>ROUND(N154*1.08,2)</f>
        <v>30.36</v>
      </c>
      <c r="P154" s="108">
        <f t="shared" si="67"/>
        <v>0.080042689434365</v>
      </c>
      <c r="Q154" s="109">
        <f t="shared" si="68"/>
        <v>404.6988</v>
      </c>
    </row>
    <row r="155" s="79" customFormat="1" spans="1:17">
      <c r="A155" s="18" t="s">
        <v>162</v>
      </c>
      <c r="B155" s="20">
        <f t="shared" si="63"/>
        <v>2.64160528321057</v>
      </c>
      <c r="C155" s="110">
        <v>104</v>
      </c>
      <c r="D155" s="21" t="s">
        <v>179</v>
      </c>
      <c r="E155" s="26" t="s">
        <v>28</v>
      </c>
      <c r="F155" s="26" t="s">
        <v>29</v>
      </c>
      <c r="G155" s="21">
        <v>32.88</v>
      </c>
      <c r="H155" s="21">
        <f t="shared" si="64"/>
        <v>394.56</v>
      </c>
      <c r="I155" s="21">
        <f t="shared" si="65"/>
        <v>438.29</v>
      </c>
      <c r="J155" s="21">
        <f t="shared" si="66"/>
        <v>460.32</v>
      </c>
      <c r="K155" s="29"/>
      <c r="L155" s="79"/>
      <c r="M155" s="79"/>
      <c r="N155" s="21">
        <v>29.89</v>
      </c>
      <c r="O155" s="16">
        <f t="shared" si="61"/>
        <v>32.88</v>
      </c>
      <c r="P155" s="108">
        <f t="shared" si="67"/>
        <v>0.100033456005353</v>
      </c>
      <c r="Q155" s="109">
        <f t="shared" si="68"/>
        <v>438.2904</v>
      </c>
    </row>
    <row r="156" s="79" customFormat="1" spans="1:17">
      <c r="A156" s="18" t="s">
        <v>162</v>
      </c>
      <c r="B156" s="20">
        <f t="shared" si="63"/>
        <v>2.99720599441199</v>
      </c>
      <c r="C156" s="110">
        <v>118</v>
      </c>
      <c r="D156" s="21" t="s">
        <v>180</v>
      </c>
      <c r="E156" s="26" t="s">
        <v>34</v>
      </c>
      <c r="F156" s="26" t="s">
        <v>29</v>
      </c>
      <c r="G156" s="21">
        <v>63.45</v>
      </c>
      <c r="H156" s="21">
        <f t="shared" si="64"/>
        <v>761.4</v>
      </c>
      <c r="I156" s="21">
        <f t="shared" si="65"/>
        <v>845.79</v>
      </c>
      <c r="J156" s="21">
        <f t="shared" si="66"/>
        <v>888.3</v>
      </c>
      <c r="K156" s="29"/>
      <c r="L156" s="114"/>
      <c r="M156" s="79"/>
      <c r="N156" s="21">
        <v>59.86</v>
      </c>
      <c r="O156" s="16">
        <f>ROUND(N156*1.06,2)</f>
        <v>63.45</v>
      </c>
      <c r="P156" s="108">
        <f t="shared" si="67"/>
        <v>0.0599732709655864</v>
      </c>
      <c r="Q156" s="109">
        <f t="shared" si="68"/>
        <v>845.7885</v>
      </c>
    </row>
    <row r="157" s="79" customFormat="1" spans="1:17">
      <c r="A157" s="18" t="s">
        <v>162</v>
      </c>
      <c r="B157" s="20">
        <f t="shared" si="63"/>
        <v>3.30200660401321</v>
      </c>
      <c r="C157" s="110">
        <v>130</v>
      </c>
      <c r="D157" s="21" t="s">
        <v>181</v>
      </c>
      <c r="E157" s="26" t="s">
        <v>26</v>
      </c>
      <c r="F157" s="26" t="s">
        <v>29</v>
      </c>
      <c r="G157" s="21">
        <v>54.21</v>
      </c>
      <c r="H157" s="21">
        <f t="shared" si="64"/>
        <v>650.52</v>
      </c>
      <c r="I157" s="21">
        <f t="shared" si="65"/>
        <v>722.62</v>
      </c>
      <c r="J157" s="21">
        <f t="shared" si="66"/>
        <v>758.94</v>
      </c>
      <c r="K157" s="29"/>
      <c r="L157" s="79"/>
      <c r="M157" s="79"/>
      <c r="N157" s="21">
        <v>49.28</v>
      </c>
      <c r="O157" s="16">
        <f>ROUND(N157*1.1,2)</f>
        <v>54.21</v>
      </c>
      <c r="P157" s="108">
        <f t="shared" si="67"/>
        <v>0.100040584415584</v>
      </c>
      <c r="Q157" s="109">
        <f t="shared" si="68"/>
        <v>722.6193</v>
      </c>
    </row>
    <row r="158" s="79" customFormat="1" spans="1:17">
      <c r="A158" s="46"/>
      <c r="B158" s="53"/>
      <c r="C158" s="116"/>
      <c r="D158" s="117"/>
      <c r="E158" s="117"/>
      <c r="F158" s="117"/>
      <c r="G158" s="117"/>
      <c r="H158" s="117"/>
      <c r="I158" s="117"/>
      <c r="J158" s="79"/>
      <c r="K158" s="79"/>
      <c r="L158" s="17"/>
      <c r="M158" s="17"/>
      <c r="N158" s="17"/>
      <c r="O158" s="118"/>
      <c r="P158" s="70"/>
      <c r="Q158" s="9"/>
    </row>
    <row r="159" s="79" customFormat="1" spans="1:17">
      <c r="A159" s="79" t="s">
        <v>71</v>
      </c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17"/>
      <c r="M159" s="17"/>
      <c r="N159" s="17"/>
      <c r="O159" s="118"/>
      <c r="P159" s="70"/>
      <c r="Q159" s="9"/>
    </row>
    <row r="160" s="79" customFormat="1" spans="1:17">
      <c r="A160" s="41" t="s">
        <v>182</v>
      </c>
      <c r="B160" s="41"/>
      <c r="C160" s="41"/>
      <c r="D160" s="41"/>
      <c r="E160" s="41"/>
      <c r="F160" s="79"/>
      <c r="G160" s="79"/>
      <c r="H160" s="79"/>
      <c r="I160" s="79"/>
      <c r="J160" s="79"/>
      <c r="K160" s="79"/>
      <c r="L160" s="17"/>
      <c r="M160" s="17"/>
      <c r="N160" s="17"/>
      <c r="O160" s="118"/>
      <c r="P160" s="70"/>
      <c r="Q160" s="9"/>
    </row>
    <row r="161" spans="1:17">
      <c r="A161" s="119" t="s">
        <v>73</v>
      </c>
      <c r="B161" s="119"/>
      <c r="C161" s="119"/>
      <c r="D161" s="119"/>
      <c r="E161" s="119"/>
      <c r="F161" s="79"/>
      <c r="G161" s="79"/>
      <c r="H161" s="79"/>
      <c r="I161" s="79"/>
      <c r="P161" s="108"/>
    </row>
    <row r="162" spans="1:17">
      <c r="A162" s="119" t="s">
        <v>74</v>
      </c>
      <c r="B162" s="119"/>
      <c r="C162" s="119"/>
      <c r="D162" s="119"/>
      <c r="E162" s="119"/>
      <c r="F162" s="79"/>
      <c r="G162" s="79"/>
      <c r="H162" s="79"/>
      <c r="I162" s="79"/>
      <c r="P162" s="108"/>
    </row>
    <row r="163" spans="1:17">
      <c r="P163" s="108"/>
    </row>
    <row r="164" spans="1:17">
      <c r="B164" s="79" t="s">
        <v>77</v>
      </c>
      <c r="F164" s="79"/>
      <c r="G164" s="79"/>
      <c r="H164" s="79"/>
      <c r="I164" s="79"/>
      <c r="P164" s="108"/>
    </row>
    <row r="165" spans="1:17">
      <c r="P165" s="108"/>
    </row>
    <row r="166" s="79" customFormat="1" ht="23.25" customHeight="1" spans="1:17">
      <c r="A166" s="120" t="s">
        <v>183</v>
      </c>
      <c r="B166" s="107"/>
      <c r="C166" s="79"/>
      <c r="D166" s="79"/>
      <c r="E166" s="79"/>
      <c r="F166" s="121"/>
      <c r="G166" s="76" t="s">
        <v>184</v>
      </c>
      <c r="H166" s="122"/>
      <c r="I166" s="79"/>
      <c r="J166" s="9"/>
      <c r="K166" s="9"/>
      <c r="L166" s="17"/>
      <c r="M166" s="17"/>
      <c r="N166" s="17"/>
      <c r="O166" s="118"/>
      <c r="P166" s="114"/>
    </row>
    <row r="167" s="79" customFormat="1" ht="19.05" customHeight="1" spans="1:17">
      <c r="A167" s="123" t="s">
        <v>10</v>
      </c>
      <c r="B167" s="124" t="s">
        <v>79</v>
      </c>
      <c r="C167" s="124" t="s">
        <v>80</v>
      </c>
      <c r="D167" s="124" t="s">
        <v>81</v>
      </c>
      <c r="E167" s="124" t="s">
        <v>82</v>
      </c>
      <c r="F167" s="125" t="s">
        <v>156</v>
      </c>
      <c r="G167" s="126"/>
      <c r="H167" s="127"/>
      <c r="I167" s="79"/>
      <c r="J167" s="79"/>
      <c r="K167" s="79"/>
      <c r="L167" s="79"/>
      <c r="M167" s="79"/>
      <c r="N167" s="9"/>
      <c r="O167" s="118"/>
      <c r="P167" s="70"/>
      <c r="Q167" s="17"/>
    </row>
    <row r="168" s="79" customFormat="1" ht="45" spans="1:17">
      <c r="A168" s="128" t="s">
        <v>84</v>
      </c>
      <c r="B168" s="30" t="s">
        <v>85</v>
      </c>
      <c r="C168" s="30" t="s">
        <v>86</v>
      </c>
      <c r="D168" s="30" t="s">
        <v>87</v>
      </c>
      <c r="E168" s="30" t="s">
        <v>88</v>
      </c>
      <c r="F168" s="30" t="s">
        <v>185</v>
      </c>
      <c r="G168" s="129" t="s">
        <v>186</v>
      </c>
      <c r="H168" s="130" t="s">
        <v>187</v>
      </c>
      <c r="I168" s="79"/>
      <c r="J168" s="79"/>
      <c r="K168" s="79"/>
      <c r="L168" s="79"/>
      <c r="M168" s="79"/>
      <c r="N168" s="15" t="s">
        <v>20</v>
      </c>
      <c r="O168" s="16" t="s">
        <v>21</v>
      </c>
      <c r="P168" s="70" t="s">
        <v>22</v>
      </c>
      <c r="Q168" s="15" t="s">
        <v>93</v>
      </c>
    </row>
    <row r="169" s="79" customFormat="1" ht="19.8" customHeight="1" spans="1:17">
      <c r="A169" s="128" t="s">
        <v>188</v>
      </c>
      <c r="B169" s="30">
        <v>1080</v>
      </c>
      <c r="C169" s="33" t="s">
        <v>97</v>
      </c>
      <c r="D169" s="30">
        <v>300</v>
      </c>
      <c r="E169" s="31" t="s">
        <v>96</v>
      </c>
      <c r="F169" s="74">
        <v>1.772</v>
      </c>
      <c r="G169" s="131">
        <f>ROUND(H169/D169,2)</f>
        <v>23.25</v>
      </c>
      <c r="H169" s="132">
        <f>ROUND(F169*3937,2)</f>
        <v>6976.36</v>
      </c>
      <c r="N169" s="74">
        <v>1.568</v>
      </c>
      <c r="O169" s="36">
        <f>ROUND(N169*1.13,3)</f>
        <v>1.772</v>
      </c>
      <c r="P169" s="70">
        <f t="shared" ref="P169:P180" si="69">(O169-N169)/N169</f>
        <v>0.130102040816327</v>
      </c>
      <c r="Q169" s="25">
        <f t="shared" ref="Q169:Q175" si="70">O169*3937/300</f>
        <v>23.2545466666667</v>
      </c>
    </row>
    <row r="170" s="79" customFormat="1" ht="19.05" customHeight="1" spans="1:17">
      <c r="A170" s="128" t="s">
        <v>188</v>
      </c>
      <c r="B170" s="30">
        <v>1080</v>
      </c>
      <c r="C170" s="33" t="s">
        <v>98</v>
      </c>
      <c r="D170" s="30">
        <v>300</v>
      </c>
      <c r="E170" s="31" t="s">
        <v>96</v>
      </c>
      <c r="F170" s="74">
        <v>1.811</v>
      </c>
      <c r="G170" s="131">
        <f t="shared" ref="G170:G178" si="71">ROUND(H170/D170,2)</f>
        <v>23.77</v>
      </c>
      <c r="H170" s="132">
        <f>ROUND(F170*3937,2)</f>
        <v>7129.91</v>
      </c>
      <c r="N170" s="74">
        <v>1.575</v>
      </c>
      <c r="O170" s="36">
        <f>ROUND(N170*1.15,3)</f>
        <v>1.811</v>
      </c>
      <c r="P170" s="70">
        <f t="shared" si="69"/>
        <v>0.14984126984127</v>
      </c>
      <c r="Q170" s="25">
        <f t="shared" si="70"/>
        <v>23.7663566666667</v>
      </c>
    </row>
    <row r="171" s="79" customFormat="1" ht="19.05" customHeight="1" spans="1:17">
      <c r="A171" s="128" t="s">
        <v>188</v>
      </c>
      <c r="B171" s="30">
        <v>1080</v>
      </c>
      <c r="C171" s="33" t="s">
        <v>99</v>
      </c>
      <c r="D171" s="30">
        <v>300</v>
      </c>
      <c r="E171" s="31" t="s">
        <v>96</v>
      </c>
      <c r="F171" s="74">
        <v>1.912</v>
      </c>
      <c r="G171" s="131">
        <f t="shared" si="71"/>
        <v>25.09</v>
      </c>
      <c r="H171" s="132">
        <f>ROUND(F171*3937,2)</f>
        <v>7527.54</v>
      </c>
      <c r="N171" s="74">
        <v>1.738</v>
      </c>
      <c r="O171" s="36">
        <f t="shared" ref="O171:O176" si="72">ROUND(N171*1.1,3)</f>
        <v>1.912</v>
      </c>
      <c r="P171" s="70">
        <f t="shared" si="69"/>
        <v>0.100115074798619</v>
      </c>
      <c r="Q171" s="25">
        <f t="shared" si="70"/>
        <v>25.0918133333333</v>
      </c>
    </row>
    <row r="172" s="79" customFormat="1" ht="19.05" customHeight="1" spans="1:17">
      <c r="A172" s="128" t="s">
        <v>188</v>
      </c>
      <c r="B172" s="30">
        <v>1506</v>
      </c>
      <c r="C172" s="33" t="s">
        <v>108</v>
      </c>
      <c r="D172" s="30">
        <v>150</v>
      </c>
      <c r="E172" s="31" t="s">
        <v>96</v>
      </c>
      <c r="F172" s="74">
        <v>1.943</v>
      </c>
      <c r="G172" s="131">
        <f t="shared" si="71"/>
        <v>25.5</v>
      </c>
      <c r="H172" s="132">
        <f t="shared" ref="H172:H175" si="73">ROUND(F172*1968.5,2)</f>
        <v>3824.8</v>
      </c>
      <c r="N172" s="74">
        <v>1.766</v>
      </c>
      <c r="O172" s="36">
        <f t="shared" si="72"/>
        <v>1.943</v>
      </c>
      <c r="P172" s="70">
        <f t="shared" si="69"/>
        <v>0.100226500566251</v>
      </c>
      <c r="Q172" s="25">
        <f t="shared" si="70"/>
        <v>25.4986366666667</v>
      </c>
    </row>
    <row r="173" s="79" customFormat="1" ht="19.05" customHeight="1" spans="1:17">
      <c r="A173" s="128" t="s">
        <v>188</v>
      </c>
      <c r="B173" s="30">
        <v>1506</v>
      </c>
      <c r="C173" s="33" t="s">
        <v>112</v>
      </c>
      <c r="D173" s="30">
        <v>150</v>
      </c>
      <c r="E173" s="31" t="s">
        <v>96</v>
      </c>
      <c r="F173" s="74">
        <v>1.968</v>
      </c>
      <c r="G173" s="131">
        <f t="shared" si="71"/>
        <v>25.83</v>
      </c>
      <c r="H173" s="132">
        <f t="shared" si="73"/>
        <v>3874.01</v>
      </c>
      <c r="N173" s="74">
        <v>1.789</v>
      </c>
      <c r="O173" s="36">
        <f t="shared" si="72"/>
        <v>1.968</v>
      </c>
      <c r="P173" s="70">
        <f t="shared" si="69"/>
        <v>0.100055897149245</v>
      </c>
      <c r="Q173" s="25">
        <f t="shared" si="70"/>
        <v>25.82672</v>
      </c>
    </row>
    <row r="174" s="79" customFormat="1" ht="19.05" customHeight="1" spans="1:17">
      <c r="A174" s="128" t="s">
        <v>188</v>
      </c>
      <c r="B174" s="30">
        <v>1506</v>
      </c>
      <c r="C174" s="33">
        <v>0.51</v>
      </c>
      <c r="D174" s="30">
        <v>150</v>
      </c>
      <c r="E174" s="31" t="s">
        <v>96</v>
      </c>
      <c r="F174" s="74">
        <v>1.987</v>
      </c>
      <c r="G174" s="131">
        <f t="shared" si="71"/>
        <v>26.08</v>
      </c>
      <c r="H174" s="132">
        <f t="shared" si="73"/>
        <v>3911.41</v>
      </c>
      <c r="N174" s="74">
        <v>1.806</v>
      </c>
      <c r="O174" s="36">
        <f t="shared" si="72"/>
        <v>1.987</v>
      </c>
      <c r="P174" s="70">
        <f t="shared" si="69"/>
        <v>0.100221483942414</v>
      </c>
      <c r="Q174" s="25">
        <f t="shared" si="70"/>
        <v>26.0760633333333</v>
      </c>
    </row>
    <row r="175" s="79" customFormat="1" ht="19.05" customHeight="1" spans="1:17">
      <c r="A175" s="128" t="s">
        <v>188</v>
      </c>
      <c r="B175" s="30">
        <v>1506</v>
      </c>
      <c r="C175" s="33">
        <v>0.52</v>
      </c>
      <c r="D175" s="30">
        <v>150</v>
      </c>
      <c r="E175" s="31" t="s">
        <v>96</v>
      </c>
      <c r="F175" s="74">
        <v>2.147</v>
      </c>
      <c r="G175" s="131">
        <f t="shared" si="71"/>
        <v>28.18</v>
      </c>
      <c r="H175" s="132">
        <f t="shared" si="73"/>
        <v>4226.37</v>
      </c>
      <c r="N175" s="74">
        <v>1.952</v>
      </c>
      <c r="O175" s="36">
        <f t="shared" si="72"/>
        <v>2.147</v>
      </c>
      <c r="P175" s="70">
        <f t="shared" si="69"/>
        <v>0.0998975409836065</v>
      </c>
      <c r="Q175" s="25">
        <f t="shared" si="70"/>
        <v>28.1757966666667</v>
      </c>
    </row>
    <row r="176" s="79" customFormat="1" ht="19.05" customHeight="1" spans="1:17">
      <c r="A176" s="128" t="s">
        <v>188</v>
      </c>
      <c r="B176" s="30" t="s">
        <v>100</v>
      </c>
      <c r="C176" s="33" t="s">
        <v>102</v>
      </c>
      <c r="D176" s="30">
        <v>300</v>
      </c>
      <c r="E176" s="31" t="s">
        <v>96</v>
      </c>
      <c r="F176" s="74">
        <v>2.028</v>
      </c>
      <c r="G176" s="131">
        <f t="shared" si="71"/>
        <v>26.61</v>
      </c>
      <c r="H176" s="132">
        <f t="shared" ref="H176:H180" si="74">ROUND(F176*3937,2)</f>
        <v>7984.24</v>
      </c>
      <c r="N176" s="74">
        <v>1.844</v>
      </c>
      <c r="O176" s="36">
        <f t="shared" si="72"/>
        <v>2.028</v>
      </c>
      <c r="P176" s="70">
        <f t="shared" ref="P176:P184" si="75">(O176-N176)/N176</f>
        <v>0.0997830802603036</v>
      </c>
      <c r="Q176" s="25">
        <f t="shared" ref="Q176:Q185" si="76">O176*3937/300</f>
        <v>26.61412</v>
      </c>
    </row>
    <row r="177" s="79" customFormat="1" ht="19.05" customHeight="1" spans="1:17">
      <c r="A177" s="128" t="s">
        <v>188</v>
      </c>
      <c r="B177" s="30" t="s">
        <v>100</v>
      </c>
      <c r="C177" s="33" t="s">
        <v>103</v>
      </c>
      <c r="D177" s="30">
        <v>300</v>
      </c>
      <c r="E177" s="31" t="s">
        <v>96</v>
      </c>
      <c r="F177" s="74">
        <v>2.115</v>
      </c>
      <c r="G177" s="131">
        <f t="shared" si="71"/>
        <v>27.76</v>
      </c>
      <c r="H177" s="132">
        <f t="shared" si="74"/>
        <v>8326.76</v>
      </c>
      <c r="N177" s="74">
        <v>1.94</v>
      </c>
      <c r="O177" s="36">
        <f>ROUND(N177*1.09,3)</f>
        <v>2.115</v>
      </c>
      <c r="P177" s="70">
        <f t="shared" si="75"/>
        <v>0.0902061855670104</v>
      </c>
      <c r="Q177" s="25">
        <f t="shared" si="76"/>
        <v>27.75585</v>
      </c>
    </row>
    <row r="178" s="79" customFormat="1" ht="19.05" customHeight="1" spans="1:17">
      <c r="A178" s="128" t="s">
        <v>188</v>
      </c>
      <c r="B178" s="30">
        <v>3313</v>
      </c>
      <c r="C178" s="33">
        <v>0.62</v>
      </c>
      <c r="D178" s="30">
        <v>300</v>
      </c>
      <c r="E178" s="31" t="s">
        <v>96</v>
      </c>
      <c r="F178" s="74">
        <v>2.166</v>
      </c>
      <c r="G178" s="131">
        <f t="shared" si="71"/>
        <v>28.43</v>
      </c>
      <c r="H178" s="132">
        <f t="shared" si="74"/>
        <v>8527.54</v>
      </c>
      <c r="N178" s="74">
        <v>1.987</v>
      </c>
      <c r="O178" s="36">
        <f>ROUND(N178*1.09,3)</f>
        <v>2.166</v>
      </c>
      <c r="P178" s="70">
        <f t="shared" si="75"/>
        <v>0.0900855561147458</v>
      </c>
      <c r="Q178" s="25">
        <f t="shared" si="76"/>
        <v>28.42514</v>
      </c>
    </row>
    <row r="179" s="79" customFormat="1" ht="19.05" customHeight="1" spans="1:17">
      <c r="A179" s="128" t="s">
        <v>188</v>
      </c>
      <c r="B179" s="30">
        <v>106</v>
      </c>
      <c r="C179" s="33">
        <v>0.76</v>
      </c>
      <c r="D179" s="30">
        <v>300</v>
      </c>
      <c r="E179" s="31" t="s">
        <v>96</v>
      </c>
      <c r="F179" s="74">
        <v>1.977</v>
      </c>
      <c r="G179" s="131">
        <f t="shared" ref="G179:G181" si="77">ROUND(H179/D179,2)</f>
        <v>25.94</v>
      </c>
      <c r="H179" s="132">
        <f t="shared" si="74"/>
        <v>7783.45</v>
      </c>
      <c r="N179" s="74">
        <v>1.814</v>
      </c>
      <c r="O179" s="36">
        <f>ROUND(N179*1.09,3)</f>
        <v>1.977</v>
      </c>
      <c r="P179" s="70">
        <f t="shared" si="75"/>
        <v>0.0898566703417861</v>
      </c>
      <c r="Q179" s="25">
        <f t="shared" si="76"/>
        <v>25.94483</v>
      </c>
    </row>
    <row r="180" s="79" customFormat="1" ht="19.05" customHeight="1" spans="1:17">
      <c r="A180" s="128" t="s">
        <v>188</v>
      </c>
      <c r="B180" s="30">
        <v>106</v>
      </c>
      <c r="C180" s="33">
        <v>0.78</v>
      </c>
      <c r="D180" s="30">
        <v>300</v>
      </c>
      <c r="E180" s="31" t="s">
        <v>96</v>
      </c>
      <c r="F180" s="74">
        <v>2.018</v>
      </c>
      <c r="G180" s="131">
        <f t="shared" si="77"/>
        <v>26.48</v>
      </c>
      <c r="H180" s="132">
        <f t="shared" si="74"/>
        <v>7944.87</v>
      </c>
      <c r="N180" s="74">
        <v>1.851</v>
      </c>
      <c r="O180" s="36">
        <f>ROUND(N180*1.09,3)</f>
        <v>2.018</v>
      </c>
      <c r="P180" s="70">
        <f t="shared" si="75"/>
        <v>0.0902215018908697</v>
      </c>
      <c r="Q180" s="25">
        <f t="shared" si="76"/>
        <v>26.4828866666667</v>
      </c>
    </row>
    <row r="181" s="79" customFormat="1" ht="19.05" customHeight="1" spans="1:17">
      <c r="A181" s="128" t="s">
        <v>188</v>
      </c>
      <c r="B181" s="30">
        <v>2116</v>
      </c>
      <c r="C181" s="33">
        <v>0.52</v>
      </c>
      <c r="D181" s="30">
        <v>200</v>
      </c>
      <c r="E181" s="31" t="s">
        <v>96</v>
      </c>
      <c r="F181" s="74">
        <v>1.796</v>
      </c>
      <c r="G181" s="131">
        <f t="shared" si="77"/>
        <v>23.57</v>
      </c>
      <c r="H181" s="132">
        <f>ROUND(F181*2624.7,2)</f>
        <v>4713.96</v>
      </c>
      <c r="I181" s="114"/>
      <c r="J181" s="79"/>
      <c r="K181" s="79"/>
      <c r="L181" s="79"/>
      <c r="M181" s="79"/>
      <c r="N181" s="74">
        <v>1.589</v>
      </c>
      <c r="O181" s="36">
        <f>ROUND(N181*1.13,3)</f>
        <v>1.796</v>
      </c>
      <c r="P181" s="70">
        <f t="shared" si="75"/>
        <v>0.130270610446822</v>
      </c>
      <c r="Q181" s="25">
        <f t="shared" si="76"/>
        <v>23.5695066666667</v>
      </c>
    </row>
    <row r="182" s="79" customFormat="1" ht="19.2" customHeight="1" spans="1:17">
      <c r="A182" s="128" t="s">
        <v>188</v>
      </c>
      <c r="B182" s="30">
        <v>2116</v>
      </c>
      <c r="C182" s="33" t="s">
        <v>105</v>
      </c>
      <c r="D182" s="30">
        <v>200</v>
      </c>
      <c r="E182" s="31" t="s">
        <v>96</v>
      </c>
      <c r="F182" s="74">
        <v>1.813</v>
      </c>
      <c r="G182" s="131">
        <f t="shared" ref="G182:G187" si="78">ROUND(H182/D182,2)</f>
        <v>23.79</v>
      </c>
      <c r="H182" s="132">
        <f>ROUND(F182*2624.7,2)</f>
        <v>4758.58</v>
      </c>
      <c r="N182" s="74">
        <v>1.604</v>
      </c>
      <c r="O182" s="36">
        <f>ROUND(N182*1.13,3)</f>
        <v>1.813</v>
      </c>
      <c r="P182" s="70">
        <f t="shared" si="75"/>
        <v>0.130299251870324</v>
      </c>
      <c r="Q182" s="25">
        <f t="shared" ref="Q182:Q187" si="79">O182*3937/300</f>
        <v>23.7926033333333</v>
      </c>
    </row>
    <row r="183" s="79" customFormat="1" ht="19.05" customHeight="1" spans="1:17">
      <c r="A183" s="128" t="s">
        <v>188</v>
      </c>
      <c r="B183" s="30">
        <v>2116</v>
      </c>
      <c r="C183" s="33" t="s">
        <v>102</v>
      </c>
      <c r="D183" s="30">
        <v>200</v>
      </c>
      <c r="E183" s="31" t="s">
        <v>96</v>
      </c>
      <c r="F183" s="74">
        <v>1.832</v>
      </c>
      <c r="G183" s="131">
        <f t="shared" si="78"/>
        <v>24.04</v>
      </c>
      <c r="H183" s="132">
        <f>ROUND(F183*2624.7,2)</f>
        <v>4808.45</v>
      </c>
      <c r="N183" s="74">
        <v>1.65</v>
      </c>
      <c r="O183" s="36">
        <f>ROUND(N183*1.11,3)</f>
        <v>1.832</v>
      </c>
      <c r="P183" s="70">
        <f t="shared" si="75"/>
        <v>0.11030303030303</v>
      </c>
      <c r="Q183" s="25">
        <f t="shared" si="79"/>
        <v>24.0419466666667</v>
      </c>
    </row>
    <row r="184" s="79" customFormat="1" ht="19.05" customHeight="1" spans="1:17">
      <c r="A184" s="128" t="s">
        <v>188</v>
      </c>
      <c r="B184" s="30">
        <v>2116</v>
      </c>
      <c r="C184" s="33" t="s">
        <v>103</v>
      </c>
      <c r="D184" s="30">
        <v>200</v>
      </c>
      <c r="E184" s="31" t="s">
        <v>96</v>
      </c>
      <c r="F184" s="74">
        <v>1.919</v>
      </c>
      <c r="G184" s="131">
        <f t="shared" si="78"/>
        <v>25.18</v>
      </c>
      <c r="H184" s="132">
        <f>ROUND(F184*2624.7,2)</f>
        <v>5036.8</v>
      </c>
      <c r="N184" s="74">
        <v>1.729</v>
      </c>
      <c r="O184" s="36">
        <f>ROUND(N184*1.11,3)</f>
        <v>1.919</v>
      </c>
      <c r="P184" s="70">
        <f t="shared" si="75"/>
        <v>0.10989010989011</v>
      </c>
      <c r="Q184" s="25">
        <f t="shared" si="79"/>
        <v>25.1836766666667</v>
      </c>
    </row>
    <row r="185" s="79" customFormat="1" ht="19.05" customHeight="1" spans="1:17">
      <c r="A185" s="128" t="s">
        <v>188</v>
      </c>
      <c r="B185" s="30">
        <v>7628</v>
      </c>
      <c r="C185" s="33" t="s">
        <v>108</v>
      </c>
      <c r="D185" s="30">
        <v>150</v>
      </c>
      <c r="E185" s="31" t="s">
        <v>96</v>
      </c>
      <c r="F185" s="74">
        <v>1.841</v>
      </c>
      <c r="G185" s="131">
        <f t="shared" si="78"/>
        <v>24.16</v>
      </c>
      <c r="H185" s="132">
        <f>ROUND(F185*1968.5,2)</f>
        <v>3624.01</v>
      </c>
      <c r="N185" s="74">
        <v>1.674</v>
      </c>
      <c r="O185" s="36">
        <f>ROUND(N185*1.1,3)</f>
        <v>1.841</v>
      </c>
      <c r="P185" s="70">
        <f t="shared" ref="P182:P187" si="80">(O185-N185)/N185</f>
        <v>0.0997610513739546</v>
      </c>
      <c r="Q185" s="25">
        <f t="shared" si="79"/>
        <v>24.1600566666667</v>
      </c>
    </row>
    <row r="186" s="79" customFormat="1" ht="19.05" customHeight="1" spans="1:17">
      <c r="A186" s="128" t="s">
        <v>188</v>
      </c>
      <c r="B186" s="30">
        <v>7628</v>
      </c>
      <c r="C186" s="33" t="s">
        <v>112</v>
      </c>
      <c r="D186" s="30">
        <v>150</v>
      </c>
      <c r="E186" s="31" t="s">
        <v>110</v>
      </c>
      <c r="F186" s="74">
        <v>1.92</v>
      </c>
      <c r="G186" s="131">
        <f t="shared" si="78"/>
        <v>25.2</v>
      </c>
      <c r="H186" s="132">
        <f>ROUND(F186*1968.5,2)</f>
        <v>3779.52</v>
      </c>
      <c r="N186" s="74">
        <v>1.745</v>
      </c>
      <c r="O186" s="36">
        <f>ROUND(N186*1.1,3)</f>
        <v>1.92</v>
      </c>
      <c r="P186" s="70">
        <f t="shared" si="80"/>
        <v>0.100286532951289</v>
      </c>
      <c r="Q186" s="25">
        <f t="shared" si="79"/>
        <v>25.1968</v>
      </c>
    </row>
    <row r="187" s="79" customFormat="1" ht="19.05" customHeight="1" spans="1:17">
      <c r="A187" s="133" t="s">
        <v>188</v>
      </c>
      <c r="B187" s="134">
        <v>7628</v>
      </c>
      <c r="C187" s="135" t="s">
        <v>113</v>
      </c>
      <c r="D187" s="134">
        <v>150</v>
      </c>
      <c r="E187" s="136" t="s">
        <v>110</v>
      </c>
      <c r="F187" s="137">
        <v>1.949</v>
      </c>
      <c r="G187" s="138">
        <f t="shared" si="78"/>
        <v>25.58</v>
      </c>
      <c r="H187" s="139">
        <f>ROUND(F187*1968.5,2)</f>
        <v>3836.61</v>
      </c>
      <c r="N187" s="137">
        <v>1.772</v>
      </c>
      <c r="O187" s="36">
        <f>ROUND(N187*1.1,3)</f>
        <v>1.949</v>
      </c>
      <c r="P187" s="70">
        <f t="shared" si="80"/>
        <v>0.0998871331828443</v>
      </c>
      <c r="Q187" s="25">
        <f t="shared" si="79"/>
        <v>25.5773766666667</v>
      </c>
    </row>
    <row r="188" s="79" customFormat="1" spans="1:17">
      <c r="A188" s="6" t="s">
        <v>114</v>
      </c>
      <c r="B188" s="6"/>
      <c r="C188" s="6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9"/>
      <c r="O188" s="118"/>
      <c r="P188" s="17"/>
      <c r="Q188" s="17"/>
    </row>
    <row r="189" s="79" customFormat="1" spans="1:17">
      <c r="A189" s="6" t="s">
        <v>115</v>
      </c>
      <c r="B189" s="6"/>
      <c r="C189" s="6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9"/>
      <c r="O189" s="118"/>
      <c r="P189" s="17"/>
      <c r="Q189" s="17"/>
    </row>
    <row r="190" s="79" customFormat="1" spans="1:17">
      <c r="N190" s="9"/>
      <c r="O190" s="118"/>
      <c r="P190" s="17"/>
      <c r="Q190" s="17"/>
    </row>
    <row r="191" s="79" customFormat="1" spans="1:17">
      <c r="B191" s="79" t="s">
        <v>77</v>
      </c>
      <c r="C191" s="79"/>
      <c r="D191" s="79"/>
      <c r="E191" s="79"/>
      <c r="F191" s="79" t="s">
        <v>160</v>
      </c>
      <c r="G191" s="79"/>
      <c r="H191" s="79"/>
      <c r="I191" s="79"/>
      <c r="J191" s="79"/>
      <c r="K191" s="79"/>
      <c r="L191" s="79"/>
      <c r="M191" s="79"/>
      <c r="N191" s="9"/>
      <c r="O191" s="118"/>
      <c r="P191" s="17"/>
      <c r="Q191" s="17"/>
    </row>
    <row r="192" s="79" customFormat="1" spans="1:17">
      <c r="N192" s="9"/>
      <c r="O192" s="118"/>
      <c r="P192" s="17"/>
      <c r="Q192" s="17"/>
    </row>
    <row r="193" spans="13:17">
      <c r="M193" s="101"/>
      <c r="N193" s="41"/>
      <c r="Q193" s="102"/>
    </row>
    <row r="194" spans="13:17">
      <c r="M194" s="101"/>
      <c r="N194" s="41"/>
      <c r="Q194" s="102"/>
    </row>
    <row r="195" spans="13:17">
      <c r="M195" s="101"/>
      <c r="N195" s="41"/>
      <c r="Q195" s="102"/>
    </row>
  </sheetData>
  <autoFilter xmlns:etc="http://www.wps.cn/officeDocument/2017/etCustomData" ref="A9:Q157" etc:filterBottomFollowUsedRange="0">
    <extLst/>
  </autoFilter>
  <mergeCells count="1">
    <mergeCell ref="F167:H167"/>
  </mergeCells>
  <printOptions horizontalCentered="1"/>
  <pageMargins left="0.393055555555556" right="0.393055555555556" top="0.393055555555556" bottom="0.393055555555556" header="0" footer="0"/>
  <pageSetup paperSize="9" scale="80" orientation="landscape" horizontalDpi="600" verticalDpi="180"/>
  <headerFooter alignWithMargins="0">
    <oddFooter>&amp;C第 &amp;P 页，共 &amp;N 页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2"/>
  <sheetViews>
    <sheetView zoomScale="86" zoomScaleNormal="86" topLeftCell="A5" workbookViewId="0">
      <pane ySplit="6" topLeftCell="A11" activePane="bottomLeft" state="frozen"/>
      <selection/>
      <selection pane="bottomLeft" activeCell="J63" sqref="J63"/>
    </sheetView>
  </sheetViews>
  <sheetFormatPr defaultColWidth="8.66666666666667" defaultRowHeight="15"/>
  <cols>
    <col min="1" max="1" width="8.66666666666667" style="41"/>
    <col min="2" max="2" width="10.2" style="41" customWidth="1"/>
    <col min="3" max="5" width="8.66666666666667" style="41"/>
    <col min="6" max="6" width="13.8333333333333" style="41" customWidth="1"/>
    <col min="7" max="7" width="8.66666666666667" style="41"/>
    <col min="8" max="8" width="9" style="41"/>
    <col min="9" max="11" width="8.66666666666667" style="41"/>
    <col min="12" max="12" width="8.4" style="41" customWidth="1"/>
    <col min="13" max="13" width="9.41666666666667" style="41" customWidth="1"/>
    <col min="14" max="14" width="12.8" style="41"/>
    <col min="15" max="15" width="12.8" style="42"/>
    <col min="16" max="16" width="9.1" style="41"/>
    <col min="17" max="17" width="10.1" style="41" customWidth="1"/>
    <col min="18" max="16384" width="8.66666666666667" style="41"/>
  </cols>
  <sheetData>
    <row r="1" ht="45" customHeight="1" spans="1:17">
      <c r="A1" s="43"/>
      <c r="B1" s="43"/>
      <c r="C1" s="43"/>
      <c r="D1" s="43"/>
      <c r="E1" s="43"/>
      <c r="F1" s="44"/>
      <c r="G1" s="45"/>
      <c r="H1" s="43"/>
      <c r="I1" s="45"/>
      <c r="J1" s="44"/>
      <c r="K1" s="45"/>
      <c r="L1" s="45"/>
      <c r="M1" s="45"/>
    </row>
    <row r="2" spans="1:17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7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spans="1:17">
      <c r="A4" s="6" t="s">
        <v>189</v>
      </c>
      <c r="B4" s="6"/>
      <c r="C4" s="6"/>
      <c r="D4" s="6"/>
      <c r="E4" s="6"/>
      <c r="F4" s="7"/>
      <c r="G4" s="6"/>
      <c r="H4" s="6"/>
      <c r="I4" s="6" t="s">
        <v>3</v>
      </c>
      <c r="J4" s="8"/>
      <c r="K4" s="6"/>
      <c r="L4" s="6"/>
      <c r="M4" s="6"/>
    </row>
    <row r="5" spans="1:17">
      <c r="A5" s="6" t="s">
        <v>4</v>
      </c>
      <c r="B5" s="46"/>
      <c r="C5" s="46"/>
      <c r="D5" s="46"/>
      <c r="E5" s="52"/>
      <c r="F5" s="52"/>
      <c r="H5" s="46"/>
      <c r="I5" s="79" t="s">
        <v>5</v>
      </c>
      <c r="J5" s="8"/>
      <c r="K5" s="6"/>
      <c r="L5" s="6"/>
      <c r="M5" s="6"/>
    </row>
    <row r="6" spans="1:17">
      <c r="A6" s="6" t="s">
        <v>6</v>
      </c>
      <c r="B6" s="46"/>
      <c r="C6" s="46"/>
      <c r="D6" s="46"/>
      <c r="E6" s="52"/>
      <c r="F6" s="52"/>
      <c r="H6" s="46"/>
      <c r="I6" s="9" t="s">
        <v>7</v>
      </c>
      <c r="J6" s="8"/>
      <c r="K6" s="6"/>
      <c r="L6" s="6"/>
      <c r="M6" s="6"/>
    </row>
    <row r="7" spans="1:17">
      <c r="A7" s="6"/>
      <c r="B7" s="6"/>
      <c r="C7" s="6"/>
      <c r="D7" s="6"/>
      <c r="E7" s="6"/>
      <c r="F7" s="6"/>
      <c r="G7" s="6"/>
      <c r="H7" s="6"/>
      <c r="I7" s="76" t="s">
        <v>9</v>
      </c>
      <c r="J7" s="8"/>
      <c r="K7" s="6"/>
      <c r="L7" s="6"/>
      <c r="M7" s="6"/>
    </row>
    <row r="8" spans="1:17">
      <c r="A8" s="6"/>
      <c r="B8" s="6"/>
      <c r="C8" s="6"/>
      <c r="D8" s="6"/>
      <c r="E8" s="6"/>
      <c r="F8" s="6"/>
      <c r="G8" s="6"/>
      <c r="H8" s="6"/>
      <c r="I8" s="6"/>
      <c r="J8" s="8"/>
      <c r="K8" s="6"/>
      <c r="L8" s="6"/>
      <c r="M8" s="6"/>
    </row>
    <row r="9" ht="15.6" spans="1:17">
      <c r="A9" s="10" t="s">
        <v>190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</row>
    <row r="10" ht="30" spans="1:17">
      <c r="A10" s="12" t="s">
        <v>191</v>
      </c>
      <c r="B10" s="12" t="s">
        <v>192</v>
      </c>
      <c r="C10" s="12" t="s">
        <v>193</v>
      </c>
      <c r="D10" s="13" t="s">
        <v>14</v>
      </c>
      <c r="E10" s="13" t="s">
        <v>194</v>
      </c>
      <c r="F10" s="12" t="s">
        <v>195</v>
      </c>
      <c r="G10" s="12" t="s">
        <v>15</v>
      </c>
      <c r="H10" s="12" t="s">
        <v>196</v>
      </c>
      <c r="I10" s="14" t="s">
        <v>197</v>
      </c>
      <c r="J10" s="14" t="s">
        <v>198</v>
      </c>
      <c r="K10" s="14" t="s">
        <v>199</v>
      </c>
      <c r="L10" s="94"/>
      <c r="M10" s="94"/>
      <c r="N10" s="15" t="s">
        <v>20</v>
      </c>
      <c r="O10" s="16" t="s">
        <v>21</v>
      </c>
      <c r="P10" s="17" t="s">
        <v>22</v>
      </c>
      <c r="Q10" s="15" t="s">
        <v>23</v>
      </c>
    </row>
    <row r="11" spans="1:17">
      <c r="A11" s="18" t="s">
        <v>200</v>
      </c>
      <c r="B11" s="20">
        <f t="shared" ref="B11:B21" si="0">C11/39.37</f>
        <v>0.0762001524003048</v>
      </c>
      <c r="C11" s="12">
        <v>3</v>
      </c>
      <c r="D11" s="26" t="s">
        <v>28</v>
      </c>
      <c r="E11" s="20">
        <f>B11+0.035</f>
        <v>0.111200152400305</v>
      </c>
      <c r="F11" s="12" t="s">
        <v>25</v>
      </c>
      <c r="G11" s="18" t="s">
        <v>29</v>
      </c>
      <c r="H11" s="12">
        <v>7.97</v>
      </c>
      <c r="I11" s="21">
        <f t="shared" ref="I11:I21" si="1">H11*12</f>
        <v>95.64</v>
      </c>
      <c r="J11" s="14">
        <f t="shared" ref="J11:J21" si="2">H11*13.33</f>
        <v>106.2401</v>
      </c>
      <c r="K11" s="21">
        <f t="shared" ref="K11:K21" si="3">H11*14</f>
        <v>111.58</v>
      </c>
      <c r="L11" s="95"/>
      <c r="M11" s="94"/>
      <c r="N11" s="12">
        <v>7.31</v>
      </c>
      <c r="O11" s="54">
        <f>ROUND(N11*1.09,2)</f>
        <v>7.97</v>
      </c>
      <c r="P11" s="70">
        <f t="shared" ref="P11:P21" si="4">(O11-N11)/N11</f>
        <v>0.0902872777017784</v>
      </c>
      <c r="Q11" s="25">
        <f t="shared" ref="Q11:Q21" si="5">O11*13.33</f>
        <v>106.2401</v>
      </c>
    </row>
    <row r="12" spans="1:17">
      <c r="A12" s="18" t="s">
        <v>200</v>
      </c>
      <c r="B12" s="20">
        <f t="shared" si="0"/>
        <v>0.0762001524003048</v>
      </c>
      <c r="C12" s="12">
        <v>3</v>
      </c>
      <c r="D12" s="26" t="s">
        <v>30</v>
      </c>
      <c r="E12" s="20">
        <f>B12+0.1</f>
        <v>0.176200152400305</v>
      </c>
      <c r="F12" s="12" t="s">
        <v>25</v>
      </c>
      <c r="G12" s="18" t="s">
        <v>29</v>
      </c>
      <c r="H12" s="12">
        <v>9.95</v>
      </c>
      <c r="I12" s="21">
        <f t="shared" si="1"/>
        <v>119.4</v>
      </c>
      <c r="J12" s="14">
        <f t="shared" si="2"/>
        <v>132.6335</v>
      </c>
      <c r="K12" s="21">
        <f t="shared" si="3"/>
        <v>139.3</v>
      </c>
      <c r="L12" s="96"/>
      <c r="M12" s="94"/>
      <c r="N12" s="12">
        <v>9.13</v>
      </c>
      <c r="O12" s="54">
        <f t="shared" ref="O12:O45" si="6">ROUND(N12*1.09,2)</f>
        <v>9.95</v>
      </c>
      <c r="P12" s="70">
        <f t="shared" si="4"/>
        <v>0.089813800657174</v>
      </c>
      <c r="Q12" s="25">
        <f t="shared" si="5"/>
        <v>132.6335</v>
      </c>
    </row>
    <row r="13" spans="1:17">
      <c r="A13" s="18" t="s">
        <v>200</v>
      </c>
      <c r="B13" s="20">
        <f t="shared" si="0"/>
        <v>0.0762001524003048</v>
      </c>
      <c r="C13" s="12">
        <v>3</v>
      </c>
      <c r="D13" s="13" t="s">
        <v>26</v>
      </c>
      <c r="E13" s="20">
        <f t="shared" ref="E13:E15" si="7">B13+0.07</f>
        <v>0.146200152400305</v>
      </c>
      <c r="F13" s="12" t="s">
        <v>25</v>
      </c>
      <c r="G13" s="18" t="s">
        <v>29</v>
      </c>
      <c r="H13" s="14">
        <v>10.53</v>
      </c>
      <c r="I13" s="21">
        <f t="shared" si="1"/>
        <v>126.36</v>
      </c>
      <c r="J13" s="14">
        <f t="shared" si="2"/>
        <v>140.3649</v>
      </c>
      <c r="K13" s="21">
        <f t="shared" si="3"/>
        <v>147.42</v>
      </c>
      <c r="L13" s="97"/>
      <c r="M13" s="94"/>
      <c r="N13" s="14">
        <v>9.66</v>
      </c>
      <c r="O13" s="54">
        <f t="shared" si="6"/>
        <v>10.53</v>
      </c>
      <c r="P13" s="70">
        <f t="shared" si="4"/>
        <v>0.0900621118012422</v>
      </c>
      <c r="Q13" s="25">
        <f t="shared" si="5"/>
        <v>140.3649</v>
      </c>
    </row>
    <row r="14" spans="1:17">
      <c r="A14" s="18" t="s">
        <v>200</v>
      </c>
      <c r="B14" s="20">
        <f t="shared" si="0"/>
        <v>0.0889001778003556</v>
      </c>
      <c r="C14" s="12">
        <v>3.5</v>
      </c>
      <c r="D14" s="13" t="s">
        <v>26</v>
      </c>
      <c r="E14" s="20">
        <f t="shared" si="7"/>
        <v>0.158900177800356</v>
      </c>
      <c r="F14" s="12" t="s">
        <v>32</v>
      </c>
      <c r="G14" s="18" t="s">
        <v>29</v>
      </c>
      <c r="H14" s="14">
        <v>10.88</v>
      </c>
      <c r="I14" s="21">
        <f t="shared" si="1"/>
        <v>130.56</v>
      </c>
      <c r="J14" s="14">
        <f t="shared" si="2"/>
        <v>145.0304</v>
      </c>
      <c r="K14" s="21">
        <f t="shared" si="3"/>
        <v>152.32</v>
      </c>
      <c r="L14" s="98"/>
      <c r="M14" s="94"/>
      <c r="N14" s="14">
        <v>9.98</v>
      </c>
      <c r="O14" s="54">
        <f t="shared" si="6"/>
        <v>10.88</v>
      </c>
      <c r="P14" s="70">
        <f t="shared" si="4"/>
        <v>0.0901803607214429</v>
      </c>
      <c r="Q14" s="25">
        <f t="shared" si="5"/>
        <v>145.0304</v>
      </c>
    </row>
    <row r="15" spans="1:17">
      <c r="A15" s="18" t="s">
        <v>200</v>
      </c>
      <c r="B15" s="20">
        <f t="shared" si="0"/>
        <v>0.101600203200406</v>
      </c>
      <c r="C15" s="12">
        <v>4</v>
      </c>
      <c r="D15" s="13" t="s">
        <v>26</v>
      </c>
      <c r="E15" s="20">
        <f t="shared" si="7"/>
        <v>0.171600203200406</v>
      </c>
      <c r="F15" s="12" t="s">
        <v>33</v>
      </c>
      <c r="G15" s="18" t="s">
        <v>29</v>
      </c>
      <c r="H15" s="14">
        <v>10.83</v>
      </c>
      <c r="I15" s="21">
        <f t="shared" si="1"/>
        <v>129.96</v>
      </c>
      <c r="J15" s="14">
        <f t="shared" si="2"/>
        <v>144.3639</v>
      </c>
      <c r="K15" s="21">
        <f t="shared" si="3"/>
        <v>151.62</v>
      </c>
      <c r="L15" s="98"/>
      <c r="M15" s="94"/>
      <c r="N15" s="14">
        <v>9.94</v>
      </c>
      <c r="O15" s="54">
        <f t="shared" si="6"/>
        <v>10.83</v>
      </c>
      <c r="P15" s="70">
        <f t="shared" si="4"/>
        <v>0.0895372233400403</v>
      </c>
      <c r="Q15" s="25">
        <f t="shared" si="5"/>
        <v>144.3639</v>
      </c>
    </row>
    <row r="16" spans="1:17">
      <c r="A16" s="18" t="s">
        <v>200</v>
      </c>
      <c r="B16" s="20">
        <f t="shared" si="0"/>
        <v>0.127000254000508</v>
      </c>
      <c r="C16" s="12">
        <v>5</v>
      </c>
      <c r="D16" s="26" t="s">
        <v>28</v>
      </c>
      <c r="E16" s="20">
        <f>B16+0.035</f>
        <v>0.162000254000508</v>
      </c>
      <c r="F16" s="12" t="s">
        <v>33</v>
      </c>
      <c r="G16" s="18" t="s">
        <v>29</v>
      </c>
      <c r="H16" s="14">
        <v>8.22</v>
      </c>
      <c r="I16" s="21">
        <f t="shared" si="1"/>
        <v>98.64</v>
      </c>
      <c r="J16" s="14">
        <f t="shared" si="2"/>
        <v>109.5726</v>
      </c>
      <c r="K16" s="21">
        <f t="shared" si="3"/>
        <v>115.08</v>
      </c>
      <c r="L16" s="59"/>
      <c r="M16" s="94"/>
      <c r="N16" s="14">
        <v>7.54</v>
      </c>
      <c r="O16" s="54">
        <f t="shared" si="6"/>
        <v>8.22</v>
      </c>
      <c r="P16" s="70">
        <f t="shared" si="4"/>
        <v>0.090185676392573</v>
      </c>
      <c r="Q16" s="25">
        <f t="shared" si="5"/>
        <v>109.5726</v>
      </c>
    </row>
    <row r="17" spans="1:17">
      <c r="A17" s="18" t="s">
        <v>200</v>
      </c>
      <c r="B17" s="20">
        <f t="shared" si="0"/>
        <v>0.127000254000508</v>
      </c>
      <c r="C17" s="12">
        <v>5</v>
      </c>
      <c r="D17" s="13" t="s">
        <v>26</v>
      </c>
      <c r="E17" s="20">
        <f t="shared" ref="E17:E21" si="8">B17+0.07</f>
        <v>0.197000254000508</v>
      </c>
      <c r="F17" s="12" t="s">
        <v>33</v>
      </c>
      <c r="G17" s="18" t="s">
        <v>29</v>
      </c>
      <c r="H17" s="14">
        <v>10.78</v>
      </c>
      <c r="I17" s="21">
        <f t="shared" si="1"/>
        <v>129.36</v>
      </c>
      <c r="J17" s="14">
        <f t="shared" si="2"/>
        <v>143.6974</v>
      </c>
      <c r="K17" s="21">
        <f t="shared" si="3"/>
        <v>150.92</v>
      </c>
      <c r="L17" s="97"/>
      <c r="M17" s="94"/>
      <c r="N17" s="14">
        <v>9.89</v>
      </c>
      <c r="O17" s="54">
        <f t="shared" si="6"/>
        <v>10.78</v>
      </c>
      <c r="P17" s="70">
        <f t="shared" si="4"/>
        <v>0.0899898887765418</v>
      </c>
      <c r="Q17" s="25">
        <f t="shared" si="5"/>
        <v>143.6974</v>
      </c>
    </row>
    <row r="18" spans="1:17">
      <c r="A18" s="18" t="s">
        <v>200</v>
      </c>
      <c r="B18" s="20">
        <f t="shared" si="0"/>
        <v>0.15240030480061</v>
      </c>
      <c r="C18" s="12">
        <v>6</v>
      </c>
      <c r="D18" s="13" t="s">
        <v>26</v>
      </c>
      <c r="E18" s="20">
        <f t="shared" si="8"/>
        <v>0.22240030480061</v>
      </c>
      <c r="F18" s="12" t="s">
        <v>38</v>
      </c>
      <c r="G18" s="18" t="s">
        <v>29</v>
      </c>
      <c r="H18" s="14">
        <v>10.71</v>
      </c>
      <c r="I18" s="21">
        <f t="shared" si="1"/>
        <v>128.52</v>
      </c>
      <c r="J18" s="14">
        <f t="shared" si="2"/>
        <v>142.7643</v>
      </c>
      <c r="K18" s="21">
        <f t="shared" si="3"/>
        <v>149.94</v>
      </c>
      <c r="L18" s="97"/>
      <c r="M18" s="94"/>
      <c r="N18" s="14">
        <v>9.83</v>
      </c>
      <c r="O18" s="54">
        <f t="shared" si="6"/>
        <v>10.71</v>
      </c>
      <c r="P18" s="70">
        <f t="shared" si="4"/>
        <v>0.0895218718209563</v>
      </c>
      <c r="Q18" s="25">
        <f t="shared" si="5"/>
        <v>142.7643</v>
      </c>
    </row>
    <row r="19" spans="1:17">
      <c r="A19" s="18" t="s">
        <v>200</v>
      </c>
      <c r="B19" s="20">
        <f t="shared" si="0"/>
        <v>0.15240030480061</v>
      </c>
      <c r="C19" s="12">
        <v>6</v>
      </c>
      <c r="D19" s="13" t="s">
        <v>31</v>
      </c>
      <c r="E19" s="20">
        <f>B19+0.14</f>
        <v>0.29240030480061</v>
      </c>
      <c r="F19" s="12" t="s">
        <v>38</v>
      </c>
      <c r="G19" s="18" t="s">
        <v>29</v>
      </c>
      <c r="H19" s="14">
        <v>22.25</v>
      </c>
      <c r="I19" s="21">
        <f t="shared" si="1"/>
        <v>267</v>
      </c>
      <c r="J19" s="14">
        <f t="shared" si="2"/>
        <v>296.5925</v>
      </c>
      <c r="K19" s="21">
        <f t="shared" si="3"/>
        <v>311.5</v>
      </c>
      <c r="L19" s="97"/>
      <c r="M19" s="94"/>
      <c r="N19" s="14">
        <v>20.41</v>
      </c>
      <c r="O19" s="54">
        <f t="shared" si="6"/>
        <v>22.25</v>
      </c>
      <c r="P19" s="70">
        <f t="shared" si="4"/>
        <v>0.0901518863302303</v>
      </c>
      <c r="Q19" s="25">
        <f t="shared" si="5"/>
        <v>296.5925</v>
      </c>
    </row>
    <row r="20" ht="17" customHeight="1" spans="1:17">
      <c r="A20" s="18" t="s">
        <v>200</v>
      </c>
      <c r="B20" s="20">
        <f t="shared" si="0"/>
        <v>0.203200406400813</v>
      </c>
      <c r="C20" s="12">
        <v>8</v>
      </c>
      <c r="D20" s="13" t="s">
        <v>26</v>
      </c>
      <c r="E20" s="20">
        <f t="shared" si="8"/>
        <v>0.273200406400813</v>
      </c>
      <c r="F20" s="12" t="s">
        <v>40</v>
      </c>
      <c r="G20" s="18" t="s">
        <v>29</v>
      </c>
      <c r="H20" s="12">
        <v>10.7</v>
      </c>
      <c r="I20" s="21">
        <f t="shared" si="1"/>
        <v>128.4</v>
      </c>
      <c r="J20" s="14">
        <f t="shared" si="2"/>
        <v>142.631</v>
      </c>
      <c r="K20" s="21">
        <f t="shared" si="3"/>
        <v>149.8</v>
      </c>
      <c r="L20" s="97"/>
      <c r="M20" s="25"/>
      <c r="N20" s="12">
        <v>9.73</v>
      </c>
      <c r="O20" s="54">
        <f>ROUND(N20*1.1,2)</f>
        <v>10.7</v>
      </c>
      <c r="P20" s="70">
        <f t="shared" si="4"/>
        <v>0.0996916752312434</v>
      </c>
      <c r="Q20" s="25">
        <f t="shared" si="5"/>
        <v>142.631</v>
      </c>
    </row>
    <row r="21" ht="17" customHeight="1" spans="1:17">
      <c r="A21" s="18" t="s">
        <v>200</v>
      </c>
      <c r="B21" s="20">
        <f t="shared" si="0"/>
        <v>0.203200406400813</v>
      </c>
      <c r="C21" s="12">
        <v>8</v>
      </c>
      <c r="D21" s="13" t="s">
        <v>42</v>
      </c>
      <c r="E21" s="20">
        <f>B21+0.1</f>
        <v>0.303200406400813</v>
      </c>
      <c r="F21" s="12" t="s">
        <v>40</v>
      </c>
      <c r="G21" s="18" t="s">
        <v>29</v>
      </c>
      <c r="H21" s="12">
        <v>18.09</v>
      </c>
      <c r="I21" s="21">
        <f t="shared" si="1"/>
        <v>217.08</v>
      </c>
      <c r="J21" s="14">
        <f t="shared" si="2"/>
        <v>241.1397</v>
      </c>
      <c r="K21" s="21">
        <f t="shared" si="3"/>
        <v>253.26</v>
      </c>
      <c r="L21" s="97"/>
      <c r="M21" s="29"/>
      <c r="N21" s="12">
        <v>16.75</v>
      </c>
      <c r="O21" s="54">
        <f>ROUND(N21*1.08,2)</f>
        <v>18.09</v>
      </c>
      <c r="P21" s="70">
        <f t="shared" si="4"/>
        <v>0.08</v>
      </c>
      <c r="Q21" s="25">
        <f t="shared" si="5"/>
        <v>241.1397</v>
      </c>
    </row>
    <row r="22" ht="17" customHeight="1" spans="1:17">
      <c r="A22" s="18" t="s">
        <v>200</v>
      </c>
      <c r="B22" s="20">
        <f t="shared" ref="B22:B31" si="9">C22/39.37</f>
        <v>0.203200406400813</v>
      </c>
      <c r="C22" s="12">
        <v>8</v>
      </c>
      <c r="D22" s="13" t="s">
        <v>31</v>
      </c>
      <c r="E22" s="20">
        <f>B22+0.14</f>
        <v>0.343200406400813</v>
      </c>
      <c r="F22" s="12" t="s">
        <v>40</v>
      </c>
      <c r="G22" s="18" t="s">
        <v>29</v>
      </c>
      <c r="H22" s="12">
        <v>22.3</v>
      </c>
      <c r="I22" s="21">
        <f t="shared" ref="I22:I31" si="10">H22*12</f>
        <v>267.6</v>
      </c>
      <c r="J22" s="14">
        <f t="shared" ref="J22:J31" si="11">H22*13.33</f>
        <v>297.259</v>
      </c>
      <c r="K22" s="21">
        <f t="shared" ref="K22:K31" si="12">H22*14</f>
        <v>312.2</v>
      </c>
      <c r="L22" s="97"/>
      <c r="M22" s="29"/>
      <c r="N22" s="12">
        <v>20.65</v>
      </c>
      <c r="O22" s="54">
        <f>ROUND(N22*1.08,2)</f>
        <v>22.3</v>
      </c>
      <c r="P22" s="70">
        <f t="shared" ref="P22:P42" si="13">(O22-N22)/N22</f>
        <v>0.079903147699758</v>
      </c>
      <c r="Q22" s="25">
        <f t="shared" ref="Q22:Q42" si="14">O22*13.33</f>
        <v>297.259</v>
      </c>
    </row>
    <row r="23" ht="17" customHeight="1" spans="1:17">
      <c r="A23" s="18" t="s">
        <v>200</v>
      </c>
      <c r="B23" s="20">
        <f t="shared" si="9"/>
        <v>0.254000508001016</v>
      </c>
      <c r="C23" s="12">
        <v>10</v>
      </c>
      <c r="D23" s="26" t="s">
        <v>31</v>
      </c>
      <c r="E23" s="20">
        <f>B23+0.14</f>
        <v>0.394000508001016</v>
      </c>
      <c r="F23" s="12" t="s">
        <v>41</v>
      </c>
      <c r="G23" s="18" t="s">
        <v>29</v>
      </c>
      <c r="H23" s="14">
        <v>22.56</v>
      </c>
      <c r="I23" s="21">
        <f t="shared" si="10"/>
        <v>270.72</v>
      </c>
      <c r="J23" s="14">
        <f t="shared" si="11"/>
        <v>300.7248</v>
      </c>
      <c r="K23" s="21">
        <f t="shared" si="12"/>
        <v>315.84</v>
      </c>
      <c r="L23" s="97"/>
      <c r="M23" s="29"/>
      <c r="N23" s="14">
        <v>20.7</v>
      </c>
      <c r="O23" s="54">
        <f t="shared" si="6"/>
        <v>22.56</v>
      </c>
      <c r="P23" s="70">
        <f t="shared" si="13"/>
        <v>0.0898550724637681</v>
      </c>
      <c r="Q23" s="25">
        <f t="shared" si="14"/>
        <v>300.7248</v>
      </c>
    </row>
    <row r="24" ht="17" customHeight="1" spans="1:17">
      <c r="A24" s="18" t="s">
        <v>200</v>
      </c>
      <c r="B24" s="20">
        <f t="shared" si="9"/>
        <v>0.304800609601219</v>
      </c>
      <c r="C24" s="12">
        <v>12</v>
      </c>
      <c r="D24" s="13" t="s">
        <v>26</v>
      </c>
      <c r="E24" s="20">
        <f>B24+0.07</f>
        <v>0.374800609601219</v>
      </c>
      <c r="F24" s="12" t="s">
        <v>45</v>
      </c>
      <c r="G24" s="18" t="s">
        <v>29</v>
      </c>
      <c r="H24" s="14">
        <v>12.15</v>
      </c>
      <c r="I24" s="21">
        <f t="shared" si="10"/>
        <v>145.8</v>
      </c>
      <c r="J24" s="14">
        <f t="shared" si="11"/>
        <v>161.9595</v>
      </c>
      <c r="K24" s="21">
        <f t="shared" si="12"/>
        <v>170.1</v>
      </c>
      <c r="L24" s="97"/>
      <c r="M24" s="29"/>
      <c r="N24" s="14">
        <v>11.2</v>
      </c>
      <c r="O24" s="54">
        <f>ROUND(N24*1.085,2)</f>
        <v>12.15</v>
      </c>
      <c r="P24" s="70">
        <f t="shared" si="13"/>
        <v>0.0848214285714287</v>
      </c>
      <c r="Q24" s="25">
        <f t="shared" si="14"/>
        <v>161.9595</v>
      </c>
    </row>
    <row r="25" ht="17" customHeight="1" spans="1:17">
      <c r="A25" s="18" t="s">
        <v>200</v>
      </c>
      <c r="B25" s="20">
        <f t="shared" si="9"/>
        <v>0.304800609601219</v>
      </c>
      <c r="C25" s="12">
        <v>12</v>
      </c>
      <c r="D25" s="26" t="s">
        <v>31</v>
      </c>
      <c r="E25" s="20">
        <f>B25+0.14</f>
        <v>0.444800609601219</v>
      </c>
      <c r="F25" s="12" t="s">
        <v>45</v>
      </c>
      <c r="G25" s="18" t="s">
        <v>29</v>
      </c>
      <c r="H25" s="14">
        <v>22.17</v>
      </c>
      <c r="I25" s="21">
        <f t="shared" si="10"/>
        <v>266.04</v>
      </c>
      <c r="J25" s="14">
        <f t="shared" si="11"/>
        <v>295.5261</v>
      </c>
      <c r="K25" s="21">
        <f t="shared" si="12"/>
        <v>310.38</v>
      </c>
      <c r="L25" s="97"/>
      <c r="M25" s="97"/>
      <c r="N25" s="14">
        <v>20.34</v>
      </c>
      <c r="O25" s="54">
        <f t="shared" si="6"/>
        <v>22.17</v>
      </c>
      <c r="P25" s="70">
        <f t="shared" si="13"/>
        <v>0.0899705014749263</v>
      </c>
      <c r="Q25" s="25">
        <f t="shared" si="14"/>
        <v>295.5261</v>
      </c>
    </row>
    <row r="26" ht="17" customHeight="1" spans="1:17">
      <c r="A26" s="18" t="s">
        <v>200</v>
      </c>
      <c r="B26" s="20">
        <f t="shared" si="9"/>
        <v>0.355600711201422</v>
      </c>
      <c r="C26" s="12">
        <v>14</v>
      </c>
      <c r="D26" s="13" t="s">
        <v>26</v>
      </c>
      <c r="E26" s="20">
        <f>B26+0.07</f>
        <v>0.425600711201422</v>
      </c>
      <c r="F26" s="12" t="s">
        <v>47</v>
      </c>
      <c r="G26" s="18" t="s">
        <v>29</v>
      </c>
      <c r="H26" s="14">
        <v>12.21</v>
      </c>
      <c r="I26" s="21">
        <f t="shared" si="10"/>
        <v>146.52</v>
      </c>
      <c r="J26" s="14">
        <f t="shared" si="11"/>
        <v>162.7593</v>
      </c>
      <c r="K26" s="21">
        <f t="shared" si="12"/>
        <v>170.94</v>
      </c>
      <c r="L26" s="97"/>
      <c r="M26" s="29"/>
      <c r="N26" s="14">
        <v>11.2</v>
      </c>
      <c r="O26" s="54">
        <f t="shared" si="6"/>
        <v>12.21</v>
      </c>
      <c r="P26" s="70">
        <f t="shared" si="13"/>
        <v>0.0901785714285716</v>
      </c>
      <c r="Q26" s="25">
        <f t="shared" si="14"/>
        <v>162.7593</v>
      </c>
    </row>
    <row r="27" ht="17" customHeight="1" spans="1:17">
      <c r="A27" s="18" t="s">
        <v>200</v>
      </c>
      <c r="B27" s="20">
        <f t="shared" si="9"/>
        <v>0.457200914401829</v>
      </c>
      <c r="C27" s="12">
        <v>18</v>
      </c>
      <c r="D27" s="26" t="s">
        <v>28</v>
      </c>
      <c r="E27" s="20">
        <f t="shared" ref="E27:E29" si="15">B27+0.035</f>
        <v>0.492200914401829</v>
      </c>
      <c r="F27" s="12" t="s">
        <v>48</v>
      </c>
      <c r="G27" s="18" t="s">
        <v>29</v>
      </c>
      <c r="H27" s="14">
        <v>10.59</v>
      </c>
      <c r="I27" s="21">
        <f t="shared" si="10"/>
        <v>127.08</v>
      </c>
      <c r="J27" s="14">
        <f t="shared" si="11"/>
        <v>141.1647</v>
      </c>
      <c r="K27" s="21">
        <f t="shared" si="12"/>
        <v>148.26</v>
      </c>
      <c r="L27" s="97"/>
      <c r="M27" s="29"/>
      <c r="N27" s="14">
        <v>9.81</v>
      </c>
      <c r="O27" s="54">
        <f>ROUND(N27*1.08,2)</f>
        <v>10.59</v>
      </c>
      <c r="P27" s="70">
        <f t="shared" si="13"/>
        <v>0.0795107033639143</v>
      </c>
      <c r="Q27" s="25">
        <f t="shared" si="14"/>
        <v>141.1647</v>
      </c>
    </row>
    <row r="28" ht="17" customHeight="1" spans="1:17">
      <c r="A28" s="18" t="s">
        <v>200</v>
      </c>
      <c r="B28" s="20">
        <f t="shared" si="9"/>
        <v>0.457200914401829</v>
      </c>
      <c r="C28" s="12">
        <v>18</v>
      </c>
      <c r="D28" s="26" t="s">
        <v>49</v>
      </c>
      <c r="E28" s="20">
        <f t="shared" si="15"/>
        <v>0.492200914401829</v>
      </c>
      <c r="F28" s="12" t="s">
        <v>48</v>
      </c>
      <c r="G28" s="18" t="s">
        <v>29</v>
      </c>
      <c r="H28" s="14">
        <v>19.06</v>
      </c>
      <c r="I28" s="21">
        <f t="shared" si="10"/>
        <v>228.72</v>
      </c>
      <c r="J28" s="14">
        <f t="shared" si="11"/>
        <v>254.0698</v>
      </c>
      <c r="K28" s="21">
        <f t="shared" si="12"/>
        <v>266.84</v>
      </c>
      <c r="L28" s="97"/>
      <c r="M28" s="29"/>
      <c r="N28" s="14">
        <v>17.65</v>
      </c>
      <c r="O28" s="54">
        <f>ROUND(N28*1.08,2)</f>
        <v>19.06</v>
      </c>
      <c r="P28" s="70">
        <f t="shared" si="13"/>
        <v>0.079886685552408</v>
      </c>
      <c r="Q28" s="25">
        <f t="shared" si="14"/>
        <v>254.0698</v>
      </c>
    </row>
    <row r="29" ht="17" customHeight="1" spans="1:17">
      <c r="A29" s="18" t="s">
        <v>200</v>
      </c>
      <c r="B29" s="20">
        <f t="shared" si="9"/>
        <v>0.457200914401829</v>
      </c>
      <c r="C29" s="12">
        <v>18</v>
      </c>
      <c r="D29" s="26" t="s">
        <v>44</v>
      </c>
      <c r="E29" s="20">
        <f t="shared" si="15"/>
        <v>0.492200914401829</v>
      </c>
      <c r="F29" s="12" t="s">
        <v>48</v>
      </c>
      <c r="G29" s="18" t="s">
        <v>29</v>
      </c>
      <c r="H29" s="14">
        <v>21.06</v>
      </c>
      <c r="I29" s="21">
        <f t="shared" si="10"/>
        <v>252.72</v>
      </c>
      <c r="J29" s="14">
        <f t="shared" si="11"/>
        <v>280.7298</v>
      </c>
      <c r="K29" s="21">
        <f t="shared" si="12"/>
        <v>294.84</v>
      </c>
      <c r="L29" s="97"/>
      <c r="M29" s="29"/>
      <c r="N29" s="14">
        <v>19.5</v>
      </c>
      <c r="O29" s="54">
        <f>ROUND(N29*1.08,2)</f>
        <v>21.06</v>
      </c>
      <c r="P29" s="70">
        <f t="shared" si="13"/>
        <v>0.0799999999999999</v>
      </c>
      <c r="Q29" s="25">
        <f t="shared" si="14"/>
        <v>280.7298</v>
      </c>
    </row>
    <row r="30" ht="17" customHeight="1" spans="1:17">
      <c r="A30" s="18" t="s">
        <v>200</v>
      </c>
      <c r="B30" s="20">
        <f t="shared" si="9"/>
        <v>0.508001016002032</v>
      </c>
      <c r="C30" s="12">
        <v>20</v>
      </c>
      <c r="D30" s="13" t="s">
        <v>26</v>
      </c>
      <c r="E30" s="20">
        <f>B30+0.07</f>
        <v>0.578001016002032</v>
      </c>
      <c r="F30" s="12" t="s">
        <v>51</v>
      </c>
      <c r="G30" s="18" t="s">
        <v>29</v>
      </c>
      <c r="H30" s="14">
        <v>13.65</v>
      </c>
      <c r="I30" s="21">
        <f t="shared" si="10"/>
        <v>163.8</v>
      </c>
      <c r="J30" s="14">
        <f t="shared" si="11"/>
        <v>181.9545</v>
      </c>
      <c r="K30" s="21">
        <f t="shared" si="12"/>
        <v>191.1</v>
      </c>
      <c r="L30" s="97"/>
      <c r="M30" s="97"/>
      <c r="N30" s="14">
        <v>12.52</v>
      </c>
      <c r="O30" s="54">
        <f t="shared" si="6"/>
        <v>13.65</v>
      </c>
      <c r="P30" s="70">
        <f t="shared" si="13"/>
        <v>0.0902555910543132</v>
      </c>
      <c r="Q30" s="25">
        <f t="shared" ref="Q30:Q39" si="16">O30*13.33</f>
        <v>181.9545</v>
      </c>
    </row>
    <row r="31" ht="17" customHeight="1" spans="1:17">
      <c r="A31" s="18" t="s">
        <v>200</v>
      </c>
      <c r="B31" s="20">
        <f t="shared" si="9"/>
        <v>0.609601219202438</v>
      </c>
      <c r="C31" s="12">
        <v>24</v>
      </c>
      <c r="D31" s="26" t="s">
        <v>28</v>
      </c>
      <c r="E31" s="20">
        <f>B31+0.035</f>
        <v>0.644601219202439</v>
      </c>
      <c r="F31" s="12" t="s">
        <v>52</v>
      </c>
      <c r="G31" s="18" t="s">
        <v>29</v>
      </c>
      <c r="H31" s="14">
        <v>10.49</v>
      </c>
      <c r="I31" s="21">
        <f t="shared" si="10"/>
        <v>125.88</v>
      </c>
      <c r="J31" s="14">
        <f t="shared" si="11"/>
        <v>139.8317</v>
      </c>
      <c r="K31" s="21">
        <f t="shared" si="12"/>
        <v>146.86</v>
      </c>
      <c r="L31" s="97"/>
      <c r="M31" s="94"/>
      <c r="N31" s="14">
        <v>9.62</v>
      </c>
      <c r="O31" s="54">
        <f t="shared" si="6"/>
        <v>10.49</v>
      </c>
      <c r="P31" s="70">
        <f t="shared" ref="P31:P45" si="17">(O31-N31)/N31</f>
        <v>0.0904365904365906</v>
      </c>
      <c r="Q31" s="25">
        <f t="shared" si="16"/>
        <v>139.8317</v>
      </c>
    </row>
    <row r="32" ht="17" customHeight="1" spans="1:17">
      <c r="A32" s="18" t="s">
        <v>200</v>
      </c>
      <c r="B32" s="20">
        <f t="shared" ref="B32:B45" si="18">C32/39.37</f>
        <v>0.609601219202438</v>
      </c>
      <c r="C32" s="12">
        <v>24</v>
      </c>
      <c r="D32" s="13" t="s">
        <v>26</v>
      </c>
      <c r="E32" s="20">
        <f>B32+0.07</f>
        <v>0.679601219202439</v>
      </c>
      <c r="F32" s="12" t="s">
        <v>52</v>
      </c>
      <c r="G32" s="18" t="s">
        <v>29</v>
      </c>
      <c r="H32" s="14">
        <v>13.94</v>
      </c>
      <c r="I32" s="21">
        <f t="shared" ref="I32:I45" si="19">H32*12</f>
        <v>167.28</v>
      </c>
      <c r="J32" s="14">
        <f t="shared" ref="J32:J45" si="20">H32*13.33</f>
        <v>185.8202</v>
      </c>
      <c r="K32" s="21">
        <f t="shared" ref="K32:K45" si="21">H32*14</f>
        <v>195.16</v>
      </c>
      <c r="L32" s="97"/>
      <c r="M32" s="97"/>
      <c r="N32" s="14">
        <v>12.79</v>
      </c>
      <c r="O32" s="54">
        <f t="shared" si="6"/>
        <v>13.94</v>
      </c>
      <c r="P32" s="70">
        <f t="shared" si="17"/>
        <v>0.0899139953088351</v>
      </c>
      <c r="Q32" s="25">
        <f t="shared" si="16"/>
        <v>185.8202</v>
      </c>
    </row>
    <row r="33" ht="17" customHeight="1" spans="1:17">
      <c r="A33" s="18" t="s">
        <v>200</v>
      </c>
      <c r="B33" s="20">
        <f t="shared" si="18"/>
        <v>0.660401320802642</v>
      </c>
      <c r="C33" s="12">
        <v>26</v>
      </c>
      <c r="D33" s="13" t="s">
        <v>26</v>
      </c>
      <c r="E33" s="20">
        <f>B33+0.07</f>
        <v>0.730401320802642</v>
      </c>
      <c r="F33" s="12" t="s">
        <v>53</v>
      </c>
      <c r="G33" s="18" t="s">
        <v>29</v>
      </c>
      <c r="H33" s="14">
        <v>15.34</v>
      </c>
      <c r="I33" s="21">
        <f t="shared" si="19"/>
        <v>184.08</v>
      </c>
      <c r="J33" s="14">
        <f t="shared" si="20"/>
        <v>204.4822</v>
      </c>
      <c r="K33" s="21">
        <f t="shared" si="21"/>
        <v>214.76</v>
      </c>
      <c r="L33" s="97"/>
      <c r="M33" s="98"/>
      <c r="N33" s="14">
        <v>14.07</v>
      </c>
      <c r="O33" s="54">
        <f t="shared" si="6"/>
        <v>15.34</v>
      </c>
      <c r="P33" s="70">
        <f t="shared" si="17"/>
        <v>0.0902629708599857</v>
      </c>
      <c r="Q33" s="25">
        <f t="shared" si="16"/>
        <v>204.4822</v>
      </c>
    </row>
    <row r="34" ht="17" customHeight="1" spans="1:17">
      <c r="A34" s="18" t="s">
        <v>200</v>
      </c>
      <c r="B34" s="20">
        <f t="shared" si="18"/>
        <v>0.660401320802642</v>
      </c>
      <c r="C34" s="12">
        <v>26</v>
      </c>
      <c r="D34" s="26" t="s">
        <v>28</v>
      </c>
      <c r="E34" s="20">
        <f t="shared" ref="E34:E39" si="22">B34+0.035</f>
        <v>0.695401320802642</v>
      </c>
      <c r="F34" s="12" t="s">
        <v>53</v>
      </c>
      <c r="G34" s="18" t="s">
        <v>29</v>
      </c>
      <c r="H34" s="14">
        <v>10.69</v>
      </c>
      <c r="I34" s="21">
        <f t="shared" si="19"/>
        <v>128.28</v>
      </c>
      <c r="J34" s="14">
        <f t="shared" si="20"/>
        <v>142.4977</v>
      </c>
      <c r="K34" s="21">
        <f t="shared" si="21"/>
        <v>149.66</v>
      </c>
      <c r="L34" s="97"/>
      <c r="M34" s="98"/>
      <c r="N34" s="14">
        <v>9.81</v>
      </c>
      <c r="O34" s="54">
        <f t="shared" si="6"/>
        <v>10.69</v>
      </c>
      <c r="P34" s="70">
        <f t="shared" si="17"/>
        <v>0.0897043832823648</v>
      </c>
      <c r="Q34" s="25">
        <f t="shared" si="16"/>
        <v>142.4977</v>
      </c>
    </row>
    <row r="35" ht="17" customHeight="1" spans="1:17">
      <c r="A35" s="18" t="s">
        <v>200</v>
      </c>
      <c r="B35" s="20">
        <f t="shared" si="18"/>
        <v>0.711201422402845</v>
      </c>
      <c r="C35" s="12">
        <v>28</v>
      </c>
      <c r="D35" s="26" t="s">
        <v>28</v>
      </c>
      <c r="E35" s="20">
        <f t="shared" si="22"/>
        <v>0.746201422402845</v>
      </c>
      <c r="F35" s="12" t="s">
        <v>54</v>
      </c>
      <c r="G35" s="18" t="s">
        <v>29</v>
      </c>
      <c r="H35" s="14">
        <v>10.85</v>
      </c>
      <c r="I35" s="21">
        <f t="shared" si="19"/>
        <v>130.2</v>
      </c>
      <c r="J35" s="14">
        <f t="shared" si="20"/>
        <v>144.6305</v>
      </c>
      <c r="K35" s="21">
        <f t="shared" si="21"/>
        <v>151.9</v>
      </c>
      <c r="L35" s="97"/>
      <c r="M35" s="98"/>
      <c r="N35" s="14">
        <v>9.86</v>
      </c>
      <c r="O35" s="54">
        <f>ROUND(N35*1.1,2)</f>
        <v>10.85</v>
      </c>
      <c r="P35" s="70">
        <f t="shared" si="17"/>
        <v>0.100405679513185</v>
      </c>
      <c r="Q35" s="25">
        <f t="shared" si="16"/>
        <v>144.6305</v>
      </c>
    </row>
    <row r="36" ht="17" customHeight="1" spans="1:17">
      <c r="A36" s="18" t="s">
        <v>200</v>
      </c>
      <c r="B36" s="20">
        <f t="shared" si="18"/>
        <v>0.711201422402845</v>
      </c>
      <c r="C36" s="12">
        <v>28</v>
      </c>
      <c r="D36" s="13" t="s">
        <v>26</v>
      </c>
      <c r="E36" s="20">
        <f>B36+0.07</f>
        <v>0.781201422402845</v>
      </c>
      <c r="F36" s="12" t="s">
        <v>54</v>
      </c>
      <c r="G36" s="18" t="s">
        <v>29</v>
      </c>
      <c r="H36" s="14">
        <v>14.74</v>
      </c>
      <c r="I36" s="21">
        <f t="shared" si="19"/>
        <v>176.88</v>
      </c>
      <c r="J36" s="14">
        <f t="shared" si="20"/>
        <v>196.4842</v>
      </c>
      <c r="K36" s="21">
        <f t="shared" si="21"/>
        <v>206.36</v>
      </c>
      <c r="L36" s="97"/>
      <c r="M36" s="98"/>
      <c r="N36" s="14">
        <v>13.4</v>
      </c>
      <c r="O36" s="54">
        <f>ROUND(N36*1.1,2)</f>
        <v>14.74</v>
      </c>
      <c r="P36" s="70">
        <f t="shared" si="17"/>
        <v>0.1</v>
      </c>
      <c r="Q36" s="25">
        <f t="shared" si="16"/>
        <v>196.4842</v>
      </c>
    </row>
    <row r="37" ht="17" customHeight="1" spans="1:17">
      <c r="A37" s="18" t="s">
        <v>200</v>
      </c>
      <c r="B37" s="20">
        <f t="shared" si="18"/>
        <v>0.711201422402845</v>
      </c>
      <c r="C37" s="12">
        <v>28</v>
      </c>
      <c r="D37" s="26" t="s">
        <v>31</v>
      </c>
      <c r="E37" s="20">
        <f>B37+0.14</f>
        <v>0.851201422402845</v>
      </c>
      <c r="F37" s="12" t="s">
        <v>54</v>
      </c>
      <c r="G37" s="18" t="s">
        <v>29</v>
      </c>
      <c r="H37" s="14">
        <v>24.2</v>
      </c>
      <c r="I37" s="21">
        <f t="shared" si="19"/>
        <v>290.4</v>
      </c>
      <c r="J37" s="14">
        <f t="shared" si="20"/>
        <v>322.586</v>
      </c>
      <c r="K37" s="21">
        <f t="shared" si="21"/>
        <v>338.8</v>
      </c>
      <c r="L37" s="97"/>
      <c r="M37" s="29"/>
      <c r="N37" s="14">
        <v>22.2</v>
      </c>
      <c r="O37" s="54">
        <f t="shared" si="6"/>
        <v>24.2</v>
      </c>
      <c r="P37" s="70">
        <f t="shared" si="17"/>
        <v>0.0900900900900901</v>
      </c>
      <c r="Q37" s="25">
        <f t="shared" si="16"/>
        <v>322.586</v>
      </c>
    </row>
    <row r="38" ht="17" customHeight="1" spans="1:17">
      <c r="A38" s="18" t="s">
        <v>200</v>
      </c>
      <c r="B38" s="20">
        <f t="shared" si="18"/>
        <v>0.762001524003048</v>
      </c>
      <c r="C38" s="12">
        <v>30</v>
      </c>
      <c r="D38" s="26" t="s">
        <v>28</v>
      </c>
      <c r="E38" s="20">
        <f t="shared" si="22"/>
        <v>0.797001524003048</v>
      </c>
      <c r="F38" s="12" t="s">
        <v>54</v>
      </c>
      <c r="G38" s="18" t="s">
        <v>29</v>
      </c>
      <c r="H38" s="14">
        <v>11.12</v>
      </c>
      <c r="I38" s="21">
        <f t="shared" si="19"/>
        <v>133.44</v>
      </c>
      <c r="J38" s="14">
        <f t="shared" si="20"/>
        <v>148.2296</v>
      </c>
      <c r="K38" s="21">
        <f t="shared" si="21"/>
        <v>155.68</v>
      </c>
      <c r="L38" s="97"/>
      <c r="M38" s="29"/>
      <c r="N38" s="14">
        <v>10.2</v>
      </c>
      <c r="O38" s="54">
        <f t="shared" si="6"/>
        <v>11.12</v>
      </c>
      <c r="P38" s="70">
        <f t="shared" si="17"/>
        <v>0.0901960784313725</v>
      </c>
      <c r="Q38" s="25">
        <f t="shared" si="16"/>
        <v>148.2296</v>
      </c>
    </row>
    <row r="39" ht="17" customHeight="1" spans="1:17">
      <c r="A39" s="18" t="s">
        <v>200</v>
      </c>
      <c r="B39" s="20">
        <f t="shared" si="18"/>
        <v>0.762001524003048</v>
      </c>
      <c r="C39" s="12">
        <v>30</v>
      </c>
      <c r="D39" s="13" t="s">
        <v>26</v>
      </c>
      <c r="E39" s="20">
        <f>B39+0.07</f>
        <v>0.832001524003048</v>
      </c>
      <c r="F39" s="12" t="s">
        <v>54</v>
      </c>
      <c r="G39" s="18" t="s">
        <v>29</v>
      </c>
      <c r="H39" s="14">
        <v>16.78</v>
      </c>
      <c r="I39" s="21">
        <f t="shared" si="19"/>
        <v>201.36</v>
      </c>
      <c r="J39" s="14">
        <f t="shared" si="20"/>
        <v>223.6774</v>
      </c>
      <c r="K39" s="21">
        <f t="shared" si="21"/>
        <v>234.92</v>
      </c>
      <c r="L39" s="97"/>
      <c r="M39" s="29"/>
      <c r="N39" s="14">
        <v>15.39</v>
      </c>
      <c r="O39" s="54">
        <f t="shared" si="6"/>
        <v>16.78</v>
      </c>
      <c r="P39" s="70">
        <f t="shared" si="17"/>
        <v>0.0903183885640026</v>
      </c>
      <c r="Q39" s="25">
        <f t="shared" si="16"/>
        <v>223.6774</v>
      </c>
    </row>
    <row r="40" ht="17" customHeight="1" spans="1:17">
      <c r="A40" s="18" t="s">
        <v>200</v>
      </c>
      <c r="B40" s="20">
        <f t="shared" si="18"/>
        <v>1.09220218440437</v>
      </c>
      <c r="C40" s="12">
        <v>43</v>
      </c>
      <c r="D40" s="13" t="s">
        <v>26</v>
      </c>
      <c r="E40" s="20">
        <f>B40+0.07</f>
        <v>1.16220218440437</v>
      </c>
      <c r="F40" s="12" t="s">
        <v>58</v>
      </c>
      <c r="G40" s="18" t="s">
        <v>29</v>
      </c>
      <c r="H40" s="14">
        <v>18.3</v>
      </c>
      <c r="I40" s="21">
        <f t="shared" si="19"/>
        <v>219.6</v>
      </c>
      <c r="J40" s="14">
        <f t="shared" si="20"/>
        <v>243.939</v>
      </c>
      <c r="K40" s="21">
        <f t="shared" si="21"/>
        <v>256.2</v>
      </c>
      <c r="L40" s="97"/>
      <c r="M40" s="29"/>
      <c r="N40" s="14">
        <v>16.79</v>
      </c>
      <c r="O40" s="54">
        <f t="shared" si="6"/>
        <v>18.3</v>
      </c>
      <c r="P40" s="70">
        <f t="shared" si="17"/>
        <v>0.0899344848123884</v>
      </c>
      <c r="Q40" s="25">
        <f t="shared" ref="Q40:Q45" si="23">O40*13.33</f>
        <v>243.939</v>
      </c>
    </row>
    <row r="41" ht="17" customHeight="1" spans="1:17">
      <c r="A41" s="18" t="s">
        <v>200</v>
      </c>
      <c r="B41" s="20">
        <f t="shared" si="18"/>
        <v>1.21920243840488</v>
      </c>
      <c r="C41" s="12">
        <v>48</v>
      </c>
      <c r="D41" s="13" t="s">
        <v>26</v>
      </c>
      <c r="E41" s="20">
        <f>B41+0.07</f>
        <v>1.28920243840488</v>
      </c>
      <c r="F41" s="12" t="s">
        <v>60</v>
      </c>
      <c r="G41" s="18" t="s">
        <v>29</v>
      </c>
      <c r="H41" s="14">
        <v>18.22</v>
      </c>
      <c r="I41" s="21">
        <f t="shared" si="19"/>
        <v>218.64</v>
      </c>
      <c r="J41" s="14">
        <f t="shared" si="20"/>
        <v>242.8726</v>
      </c>
      <c r="K41" s="21">
        <f t="shared" si="21"/>
        <v>255.08</v>
      </c>
      <c r="L41" s="97"/>
      <c r="M41" s="97"/>
      <c r="N41" s="14">
        <v>16.72</v>
      </c>
      <c r="O41" s="54">
        <f t="shared" si="6"/>
        <v>18.22</v>
      </c>
      <c r="P41" s="70">
        <f t="shared" si="17"/>
        <v>0.0897129186602871</v>
      </c>
      <c r="Q41" s="25">
        <f t="shared" si="23"/>
        <v>242.8726</v>
      </c>
    </row>
    <row r="42" ht="17" customHeight="1" spans="1:17">
      <c r="A42" s="18" t="s">
        <v>200</v>
      </c>
      <c r="B42" s="20">
        <f t="shared" si="18"/>
        <v>1.42240284480569</v>
      </c>
      <c r="C42" s="48">
        <v>56</v>
      </c>
      <c r="D42" s="26" t="s">
        <v>28</v>
      </c>
      <c r="E42" s="20">
        <f>B42+0.035</f>
        <v>1.45740284480569</v>
      </c>
      <c r="F42" s="12" t="s">
        <v>61</v>
      </c>
      <c r="G42" s="18" t="s">
        <v>29</v>
      </c>
      <c r="H42" s="14">
        <v>15.3</v>
      </c>
      <c r="I42" s="21">
        <f t="shared" si="19"/>
        <v>183.6</v>
      </c>
      <c r="J42" s="14">
        <f t="shared" si="20"/>
        <v>203.949</v>
      </c>
      <c r="K42" s="21">
        <f t="shared" si="21"/>
        <v>214.2</v>
      </c>
      <c r="L42" s="97"/>
      <c r="M42" s="29"/>
      <c r="N42" s="14">
        <v>13.91</v>
      </c>
      <c r="O42" s="54">
        <f>ROUND(N42*1.1,2)</f>
        <v>15.3</v>
      </c>
      <c r="P42" s="70">
        <f t="shared" si="17"/>
        <v>0.0999281092739037</v>
      </c>
      <c r="Q42" s="25">
        <f t="shared" si="23"/>
        <v>203.949</v>
      </c>
    </row>
    <row r="43" ht="17" customHeight="1" spans="1:17">
      <c r="A43" s="18" t="s">
        <v>200</v>
      </c>
      <c r="B43" s="20">
        <f t="shared" si="18"/>
        <v>1.42240284480569</v>
      </c>
      <c r="C43" s="48">
        <v>56</v>
      </c>
      <c r="D43" s="26" t="s">
        <v>26</v>
      </c>
      <c r="E43" s="20">
        <f>B43+0.07</f>
        <v>1.49240284480569</v>
      </c>
      <c r="F43" s="12" t="s">
        <v>61</v>
      </c>
      <c r="G43" s="18" t="s">
        <v>29</v>
      </c>
      <c r="H43" s="14">
        <v>18.54</v>
      </c>
      <c r="I43" s="21">
        <f t="shared" si="19"/>
        <v>222.48</v>
      </c>
      <c r="J43" s="14">
        <f t="shared" si="20"/>
        <v>247.1382</v>
      </c>
      <c r="K43" s="21">
        <f t="shared" si="21"/>
        <v>259.56</v>
      </c>
      <c r="L43" s="97"/>
      <c r="M43" s="29"/>
      <c r="N43" s="14">
        <v>16.85</v>
      </c>
      <c r="O43" s="54">
        <f>ROUND(N43*1.1,2)</f>
        <v>18.54</v>
      </c>
      <c r="P43" s="70">
        <f t="shared" si="17"/>
        <v>0.100296735905044</v>
      </c>
      <c r="Q43" s="25">
        <f t="shared" si="23"/>
        <v>247.1382</v>
      </c>
    </row>
    <row r="44" ht="17" customHeight="1" spans="1:17">
      <c r="A44" s="18" t="s">
        <v>200</v>
      </c>
      <c r="B44" s="20">
        <f t="shared" si="18"/>
        <v>1.77800355600711</v>
      </c>
      <c r="C44" s="48">
        <v>70</v>
      </c>
      <c r="D44" s="26" t="s">
        <v>44</v>
      </c>
      <c r="E44" s="20">
        <f>B44+0.105</f>
        <v>1.88300355600711</v>
      </c>
      <c r="F44" s="18" t="s">
        <v>65</v>
      </c>
      <c r="G44" s="18" t="s">
        <v>29</v>
      </c>
      <c r="H44" s="14">
        <v>31.82</v>
      </c>
      <c r="I44" s="21">
        <f t="shared" si="19"/>
        <v>381.84</v>
      </c>
      <c r="J44" s="14">
        <f t="shared" si="20"/>
        <v>424.1606</v>
      </c>
      <c r="K44" s="21">
        <f t="shared" si="21"/>
        <v>445.48</v>
      </c>
      <c r="L44" s="97"/>
      <c r="M44" s="29"/>
      <c r="N44" s="14">
        <v>29.19</v>
      </c>
      <c r="O44" s="54">
        <f t="shared" si="6"/>
        <v>31.82</v>
      </c>
      <c r="P44" s="70">
        <f t="shared" si="17"/>
        <v>0.0900993490921548</v>
      </c>
      <c r="Q44" s="25">
        <f t="shared" si="23"/>
        <v>424.1606</v>
      </c>
    </row>
    <row r="45" spans="1:17">
      <c r="A45" s="18" t="s">
        <v>200</v>
      </c>
      <c r="B45" s="20">
        <f t="shared" si="18"/>
        <v>1.82880365760732</v>
      </c>
      <c r="C45" s="48">
        <v>72</v>
      </c>
      <c r="D45" s="26" t="s">
        <v>28</v>
      </c>
      <c r="E45" s="20">
        <f>B45+0.035</f>
        <v>1.86380365760732</v>
      </c>
      <c r="F45" s="18" t="s">
        <v>65</v>
      </c>
      <c r="G45" s="18" t="s">
        <v>29</v>
      </c>
      <c r="H45" s="14">
        <v>20.71</v>
      </c>
      <c r="I45" s="21">
        <f t="shared" si="19"/>
        <v>248.52</v>
      </c>
      <c r="J45" s="14">
        <f t="shared" si="20"/>
        <v>276.0643</v>
      </c>
      <c r="K45" s="21">
        <f t="shared" si="21"/>
        <v>289.94</v>
      </c>
      <c r="L45" s="97"/>
      <c r="M45" s="97"/>
      <c r="N45" s="14">
        <v>19</v>
      </c>
      <c r="O45" s="54">
        <f t="shared" si="6"/>
        <v>20.71</v>
      </c>
      <c r="P45" s="70">
        <f t="shared" si="17"/>
        <v>0.09</v>
      </c>
      <c r="Q45" s="25">
        <f t="shared" si="23"/>
        <v>276.0643</v>
      </c>
    </row>
    <row r="46" s="41" customFormat="1" spans="1:17">
      <c r="A46" s="46"/>
      <c r="B46" s="52"/>
      <c r="C46" s="99"/>
      <c r="D46" s="51"/>
      <c r="E46" s="52"/>
      <c r="F46" s="46"/>
      <c r="G46" s="46"/>
      <c r="H46" s="53"/>
      <c r="I46" s="29"/>
      <c r="J46" s="53"/>
      <c r="K46" s="29"/>
      <c r="L46" s="97"/>
      <c r="M46" s="41"/>
      <c r="N46" s="41"/>
      <c r="O46" s="42"/>
    </row>
    <row r="48" ht="30" spans="1:17">
      <c r="A48" s="30" t="s">
        <v>10</v>
      </c>
      <c r="B48" s="30" t="s">
        <v>79</v>
      </c>
      <c r="C48" s="31" t="s">
        <v>201</v>
      </c>
      <c r="D48" s="30" t="s">
        <v>81</v>
      </c>
      <c r="E48" s="30" t="s">
        <v>82</v>
      </c>
      <c r="F48" s="12" t="s">
        <v>202</v>
      </c>
      <c r="G48" s="12"/>
      <c r="H48" s="12"/>
    </row>
    <row r="49" ht="30" spans="1:17">
      <c r="A49" s="30" t="s">
        <v>84</v>
      </c>
      <c r="B49" s="30" t="s">
        <v>85</v>
      </c>
      <c r="C49" s="31" t="s">
        <v>86</v>
      </c>
      <c r="D49" s="30" t="s">
        <v>87</v>
      </c>
      <c r="E49" s="30" t="s">
        <v>88</v>
      </c>
      <c r="F49" s="20" t="s">
        <v>203</v>
      </c>
      <c r="G49" s="20" t="s">
        <v>204</v>
      </c>
      <c r="H49" s="20" t="s">
        <v>205</v>
      </c>
      <c r="N49" s="15" t="s">
        <v>20</v>
      </c>
      <c r="O49" s="16" t="s">
        <v>21</v>
      </c>
      <c r="P49" s="17" t="s">
        <v>22</v>
      </c>
      <c r="Q49" s="15" t="s">
        <v>93</v>
      </c>
    </row>
    <row r="50" spans="1:17">
      <c r="A50" s="30" t="s">
        <v>206</v>
      </c>
      <c r="B50" s="30">
        <v>7628</v>
      </c>
      <c r="C50" s="33">
        <v>0.45</v>
      </c>
      <c r="D50" s="30">
        <v>150</v>
      </c>
      <c r="E50" s="31" t="s">
        <v>96</v>
      </c>
      <c r="F50" s="74">
        <v>1.732</v>
      </c>
      <c r="G50" s="34">
        <f t="shared" ref="G50:G61" si="24">H50/D50</f>
        <v>22.7296133333333</v>
      </c>
      <c r="H50" s="21">
        <f>F50*1968.5</f>
        <v>3409.442</v>
      </c>
      <c r="L50" s="100"/>
      <c r="N50" s="74">
        <v>1.546</v>
      </c>
      <c r="O50" s="54">
        <f>ROUND(N50*1.12,3)</f>
        <v>1.732</v>
      </c>
      <c r="P50" s="70">
        <f>O50/N50-1</f>
        <v>0.120310478654593</v>
      </c>
      <c r="Q50" s="93">
        <f>O50*3937/300</f>
        <v>22.7296133333333</v>
      </c>
    </row>
    <row r="51" spans="1:17">
      <c r="A51" s="30" t="s">
        <v>206</v>
      </c>
      <c r="B51" s="30">
        <v>7628</v>
      </c>
      <c r="C51" s="33" t="s">
        <v>207</v>
      </c>
      <c r="D51" s="30">
        <v>150</v>
      </c>
      <c r="E51" s="31" t="s">
        <v>96</v>
      </c>
      <c r="F51" s="74">
        <v>1.776</v>
      </c>
      <c r="G51" s="34">
        <f t="shared" si="24"/>
        <v>23.30704</v>
      </c>
      <c r="H51" s="21">
        <f>F51*1968.5</f>
        <v>3496.056</v>
      </c>
      <c r="N51" s="74">
        <v>1.586</v>
      </c>
      <c r="O51" s="54">
        <f>ROUND(N51*1.12,3)</f>
        <v>1.776</v>
      </c>
      <c r="P51" s="70">
        <f>O51/N51-1</f>
        <v>0.119798234552333</v>
      </c>
      <c r="Q51" s="93">
        <f>O51*3937/300</f>
        <v>23.30704</v>
      </c>
    </row>
    <row r="52" spans="1:17">
      <c r="A52" s="30" t="s">
        <v>206</v>
      </c>
      <c r="B52" s="30">
        <v>7628</v>
      </c>
      <c r="C52" s="33" t="s">
        <v>109</v>
      </c>
      <c r="D52" s="30">
        <v>150</v>
      </c>
      <c r="E52" s="31" t="s">
        <v>96</v>
      </c>
      <c r="F52" s="74">
        <v>1.861</v>
      </c>
      <c r="G52" s="34">
        <f t="shared" si="24"/>
        <v>24.4225233333333</v>
      </c>
      <c r="H52" s="21">
        <f>F52*1968.5</f>
        <v>3663.3785</v>
      </c>
      <c r="N52" s="74">
        <v>1.692</v>
      </c>
      <c r="O52" s="54">
        <f>ROUND(N52*1.1,3)</f>
        <v>1.861</v>
      </c>
      <c r="P52" s="70">
        <f>O52/N52-1</f>
        <v>0.0998817966903074</v>
      </c>
      <c r="Q52" s="93">
        <f t="shared" ref="Q52:Q61" si="25">O52*3937/300</f>
        <v>24.4225233333333</v>
      </c>
    </row>
    <row r="53" spans="1:17">
      <c r="A53" s="30" t="s">
        <v>206</v>
      </c>
      <c r="B53" s="30">
        <v>2116</v>
      </c>
      <c r="C53" s="33">
        <v>0.54</v>
      </c>
      <c r="D53" s="30">
        <v>200</v>
      </c>
      <c r="E53" s="31" t="s">
        <v>96</v>
      </c>
      <c r="F53" s="74">
        <v>1.679</v>
      </c>
      <c r="G53" s="34">
        <f t="shared" si="24"/>
        <v>22.0343565</v>
      </c>
      <c r="H53" s="21">
        <f>F53*2624.7</f>
        <v>4406.8713</v>
      </c>
      <c r="L53" s="59"/>
      <c r="N53" s="74">
        <v>1.499</v>
      </c>
      <c r="O53" s="54">
        <f>ROUND(N53*1.12,3)</f>
        <v>1.679</v>
      </c>
      <c r="P53" s="70">
        <f t="shared" ref="P53:P61" si="26">O53/N53-1</f>
        <v>0.120080053368913</v>
      </c>
      <c r="Q53" s="93">
        <f t="shared" si="25"/>
        <v>22.0340766666667</v>
      </c>
    </row>
    <row r="54" spans="1:17">
      <c r="A54" s="30" t="s">
        <v>206</v>
      </c>
      <c r="B54" s="30">
        <v>2116</v>
      </c>
      <c r="C54" s="33" t="s">
        <v>102</v>
      </c>
      <c r="D54" s="30">
        <v>200</v>
      </c>
      <c r="E54" s="31" t="s">
        <v>96</v>
      </c>
      <c r="F54" s="74">
        <v>1.727</v>
      </c>
      <c r="G54" s="34">
        <f t="shared" si="24"/>
        <v>22.6642845</v>
      </c>
      <c r="H54" s="21">
        <f>F54*2624.7</f>
        <v>4532.8569</v>
      </c>
      <c r="L54" s="59"/>
      <c r="N54" s="74">
        <v>1.542</v>
      </c>
      <c r="O54" s="54">
        <f>ROUND(N54*1.12,3)</f>
        <v>1.727</v>
      </c>
      <c r="P54" s="70">
        <f t="shared" si="26"/>
        <v>0.119974059662776</v>
      </c>
      <c r="Q54" s="93">
        <f t="shared" si="25"/>
        <v>22.6639966666667</v>
      </c>
    </row>
    <row r="55" spans="1:17">
      <c r="A55" s="30" t="s">
        <v>206</v>
      </c>
      <c r="B55" s="30">
        <v>2116</v>
      </c>
      <c r="C55" s="33" t="s">
        <v>208</v>
      </c>
      <c r="D55" s="30">
        <v>200</v>
      </c>
      <c r="E55" s="31" t="s">
        <v>96</v>
      </c>
      <c r="F55" s="74">
        <v>1.84</v>
      </c>
      <c r="G55" s="34">
        <f t="shared" si="24"/>
        <v>24.14724</v>
      </c>
      <c r="H55" s="21">
        <f>F55*2624.7</f>
        <v>4829.448</v>
      </c>
      <c r="N55" s="74">
        <v>1.643</v>
      </c>
      <c r="O55" s="54">
        <f>ROUND(N55*1.12,3)</f>
        <v>1.84</v>
      </c>
      <c r="P55" s="70">
        <f t="shared" si="26"/>
        <v>0.119902617163725</v>
      </c>
      <c r="Q55" s="93">
        <f t="shared" si="25"/>
        <v>24.1469333333333</v>
      </c>
    </row>
    <row r="56" spans="1:17">
      <c r="A56" s="30" t="s">
        <v>206</v>
      </c>
      <c r="B56" s="30">
        <v>3313</v>
      </c>
      <c r="C56" s="33">
        <v>0.6</v>
      </c>
      <c r="D56" s="30">
        <v>200</v>
      </c>
      <c r="E56" s="31" t="s">
        <v>96</v>
      </c>
      <c r="F56" s="74">
        <v>1.937</v>
      </c>
      <c r="G56" s="34">
        <f t="shared" si="24"/>
        <v>25.4202195</v>
      </c>
      <c r="H56" s="21">
        <f>F56*2624.7</f>
        <v>5084.0439</v>
      </c>
      <c r="N56" s="74">
        <v>1.761</v>
      </c>
      <c r="O56" s="54">
        <f>ROUND(N56*1.1,3)</f>
        <v>1.937</v>
      </c>
      <c r="P56" s="70">
        <f t="shared" si="26"/>
        <v>0.0999432140829075</v>
      </c>
      <c r="Q56" s="93">
        <f t="shared" si="25"/>
        <v>25.4198966666667</v>
      </c>
    </row>
    <row r="57" spans="1:17">
      <c r="A57" s="30" t="s">
        <v>206</v>
      </c>
      <c r="B57" s="30">
        <v>1506</v>
      </c>
      <c r="C57" s="33">
        <v>0.48</v>
      </c>
      <c r="D57" s="30">
        <v>150</v>
      </c>
      <c r="E57" s="31" t="s">
        <v>96</v>
      </c>
      <c r="F57" s="74">
        <v>1.845</v>
      </c>
      <c r="G57" s="34">
        <f t="shared" si="24"/>
        <v>24.21255</v>
      </c>
      <c r="H57" s="21">
        <f>F57*1968.5</f>
        <v>3631.8825</v>
      </c>
      <c r="N57" s="74">
        <v>1.677</v>
      </c>
      <c r="O57" s="54">
        <f>ROUND(N57*1.1,3)</f>
        <v>1.845</v>
      </c>
      <c r="P57" s="70">
        <f t="shared" si="26"/>
        <v>0.100178890876565</v>
      </c>
      <c r="Q57" s="93">
        <f t="shared" si="25"/>
        <v>24.21255</v>
      </c>
    </row>
    <row r="58" spans="1:17">
      <c r="A58" s="30" t="s">
        <v>206</v>
      </c>
      <c r="B58" s="30">
        <v>1506</v>
      </c>
      <c r="C58" s="33">
        <v>0.5</v>
      </c>
      <c r="D58" s="30">
        <v>150</v>
      </c>
      <c r="E58" s="31" t="s">
        <v>96</v>
      </c>
      <c r="F58" s="74">
        <v>1.931</v>
      </c>
      <c r="G58" s="34">
        <f t="shared" si="24"/>
        <v>25.3411566666667</v>
      </c>
      <c r="H58" s="21">
        <f>F58*1968.5</f>
        <v>3801.1735</v>
      </c>
      <c r="N58" s="74">
        <v>1.755</v>
      </c>
      <c r="O58" s="54">
        <f>ROUND(N58*1.1,3)</f>
        <v>1.931</v>
      </c>
      <c r="P58" s="70">
        <f t="shared" si="26"/>
        <v>0.1002849002849</v>
      </c>
      <c r="Q58" s="93">
        <f t="shared" si="25"/>
        <v>25.3411566666667</v>
      </c>
    </row>
    <row r="59" spans="1:17">
      <c r="A59" s="30" t="s">
        <v>206</v>
      </c>
      <c r="B59" s="30">
        <v>1080</v>
      </c>
      <c r="C59" s="33" t="s">
        <v>209</v>
      </c>
      <c r="D59" s="30">
        <v>300</v>
      </c>
      <c r="E59" s="31" t="s">
        <v>96</v>
      </c>
      <c r="F59" s="74">
        <v>1.757</v>
      </c>
      <c r="G59" s="34">
        <f t="shared" si="24"/>
        <v>23.0576966666667</v>
      </c>
      <c r="H59" s="21">
        <f>F59*3937</f>
        <v>6917.309</v>
      </c>
      <c r="N59" s="74">
        <v>1.528</v>
      </c>
      <c r="O59" s="54">
        <f>ROUND(N59*1.15,3)</f>
        <v>1.757</v>
      </c>
      <c r="P59" s="70">
        <f t="shared" si="26"/>
        <v>0.149869109947644</v>
      </c>
      <c r="Q59" s="93">
        <f t="shared" si="25"/>
        <v>23.0576966666667</v>
      </c>
    </row>
    <row r="60" spans="1:17">
      <c r="A60" s="30" t="s">
        <v>206</v>
      </c>
      <c r="B60" s="30">
        <v>1080</v>
      </c>
      <c r="C60" s="33">
        <v>0.68</v>
      </c>
      <c r="D60" s="30">
        <v>300</v>
      </c>
      <c r="E60" s="31" t="s">
        <v>96</v>
      </c>
      <c r="F60" s="74">
        <v>1.865</v>
      </c>
      <c r="G60" s="34">
        <f t="shared" si="24"/>
        <v>24.4750166666667</v>
      </c>
      <c r="H60" s="21">
        <f>F60*3937</f>
        <v>7342.505</v>
      </c>
      <c r="L60" s="59"/>
      <c r="N60" s="74">
        <v>1.622</v>
      </c>
      <c r="O60" s="54">
        <f>ROUND(N60*1.15,3)</f>
        <v>1.865</v>
      </c>
      <c r="P60" s="70">
        <f t="shared" si="26"/>
        <v>0.149815043156597</v>
      </c>
      <c r="Q60" s="93">
        <f t="shared" si="25"/>
        <v>24.4750166666667</v>
      </c>
    </row>
    <row r="61" spans="1:17">
      <c r="A61" s="30" t="s">
        <v>206</v>
      </c>
      <c r="B61" s="30">
        <v>106</v>
      </c>
      <c r="C61" s="33" t="s">
        <v>210</v>
      </c>
      <c r="D61" s="30">
        <v>300</v>
      </c>
      <c r="E61" s="31" t="s">
        <v>96</v>
      </c>
      <c r="F61" s="74">
        <v>1.94</v>
      </c>
      <c r="G61" s="34">
        <f t="shared" si="24"/>
        <v>25.4592666666667</v>
      </c>
      <c r="H61" s="21">
        <f>F61*3937</f>
        <v>7637.78</v>
      </c>
      <c r="N61" s="74">
        <v>1.732</v>
      </c>
      <c r="O61" s="54">
        <f>ROUND(N61*1.12,3)</f>
        <v>1.94</v>
      </c>
      <c r="P61" s="70">
        <f t="shared" si="26"/>
        <v>0.120092378752887</v>
      </c>
      <c r="Q61" s="93">
        <f t="shared" si="25"/>
        <v>25.4592666666667</v>
      </c>
    </row>
    <row r="62" spans="1:17">
      <c r="N62" s="101"/>
    </row>
  </sheetData>
  <autoFilter xmlns:etc="http://www.wps.cn/officeDocument/2017/etCustomData" ref="A10:Q45" etc:filterBottomFollowUsedRange="0">
    <extLst/>
  </autoFilter>
  <mergeCells count="3">
    <mergeCell ref="A2:K2"/>
    <mergeCell ref="A3:K3"/>
    <mergeCell ref="F48:H48"/>
  </mergeCells>
  <pageMargins left="0.75" right="0.75" top="1" bottom="1" header="0.5" footer="0.5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2"/>
  <sheetViews>
    <sheetView zoomScale="88" zoomScaleNormal="88" topLeftCell="A5" workbookViewId="0">
      <pane ySplit="5" topLeftCell="A10" activePane="bottomLeft" state="frozen"/>
      <selection/>
      <selection pane="bottomLeft" activeCell="T5" sqref="A$1:T$1048576"/>
    </sheetView>
  </sheetViews>
  <sheetFormatPr defaultColWidth="8.66666666666667" defaultRowHeight="15.6"/>
  <cols>
    <col min="1" max="5" width="8.66666666666667" style="1"/>
    <col min="6" max="6" width="14.6666666666667" style="1" customWidth="1"/>
    <col min="7" max="11" width="8.66666666666667" style="1"/>
    <col min="12" max="12" width="11.3583333333333" style="1" customWidth="1"/>
    <col min="13" max="13" width="8.66666666666667" style="83"/>
    <col min="14" max="14" width="8.05833333333333" style="1" customWidth="1"/>
    <col min="15" max="15" width="10.9083333333333" style="1" customWidth="1"/>
    <col min="16" max="16" width="14.775" style="75" customWidth="1"/>
    <col min="17" max="17" width="9.1" style="1"/>
    <col min="18" max="16384" width="8.66666666666667" style="1"/>
  </cols>
  <sheetData>
    <row r="1" ht="45" customHeight="1" spans="1:18">
      <c r="A1" s="2"/>
      <c r="B1" s="2"/>
      <c r="C1" s="2"/>
      <c r="D1" s="2"/>
      <c r="E1" s="2"/>
      <c r="F1" s="3"/>
      <c r="G1" s="4"/>
      <c r="H1" s="2"/>
      <c r="I1" s="4"/>
      <c r="J1" s="3"/>
      <c r="K1" s="4"/>
      <c r="L1" s="4"/>
      <c r="M1" s="84"/>
    </row>
    <row r="2" spans="1:18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85"/>
    </row>
    <row r="3" spans="1:18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85"/>
    </row>
    <row r="4" spans="1:18">
      <c r="A4" s="6" t="s">
        <v>189</v>
      </c>
      <c r="B4" s="6"/>
      <c r="C4" s="6"/>
      <c r="D4" s="6"/>
      <c r="E4" s="6"/>
      <c r="F4" s="7"/>
      <c r="G4" s="6"/>
      <c r="H4" s="6"/>
      <c r="I4" s="6" t="s">
        <v>3</v>
      </c>
      <c r="J4" s="8"/>
      <c r="K4" s="6"/>
      <c r="L4" s="6"/>
      <c r="M4" s="86"/>
    </row>
    <row r="5" spans="1:18">
      <c r="A5" s="6" t="s">
        <v>4</v>
      </c>
      <c r="B5" s="46"/>
      <c r="C5" s="46"/>
      <c r="D5" s="46"/>
      <c r="E5" s="52"/>
      <c r="F5" s="52"/>
      <c r="G5" s="41"/>
      <c r="H5" s="46"/>
      <c r="I5" s="79" t="s">
        <v>5</v>
      </c>
      <c r="J5" s="8"/>
      <c r="K5" s="6"/>
      <c r="L5" s="6"/>
      <c r="M5" s="86"/>
    </row>
    <row r="6" spans="1:18">
      <c r="A6" s="6" t="s">
        <v>6</v>
      </c>
      <c r="B6" s="46"/>
      <c r="C6" s="46"/>
      <c r="D6" s="46"/>
      <c r="E6" s="52"/>
      <c r="F6" s="52"/>
      <c r="G6" s="41"/>
      <c r="H6" s="46"/>
      <c r="I6" s="9" t="s">
        <v>7</v>
      </c>
      <c r="J6" s="8"/>
      <c r="K6" s="6"/>
      <c r="L6" s="6"/>
      <c r="M6" s="86"/>
    </row>
    <row r="7" spans="1:18">
      <c r="A7" s="6"/>
      <c r="B7" s="6"/>
      <c r="C7" s="6"/>
      <c r="D7" s="6"/>
      <c r="E7" s="6"/>
      <c r="F7" s="6"/>
      <c r="G7" s="6"/>
      <c r="H7" s="6"/>
      <c r="I7" s="6" t="s">
        <v>211</v>
      </c>
      <c r="J7" s="8"/>
      <c r="K7" s="6"/>
      <c r="L7" s="6"/>
      <c r="M7" s="86"/>
    </row>
    <row r="8" spans="1:18">
      <c r="A8" s="10" t="s">
        <v>212</v>
      </c>
      <c r="B8" s="11"/>
      <c r="C8" s="11"/>
      <c r="D8" s="11"/>
      <c r="E8" s="11"/>
      <c r="F8" s="11"/>
      <c r="G8" s="11"/>
      <c r="H8" s="11"/>
      <c r="I8" s="76" t="s">
        <v>9</v>
      </c>
      <c r="J8" s="11"/>
      <c r="K8" s="11"/>
      <c r="L8" s="11"/>
      <c r="M8" s="87"/>
    </row>
    <row r="9" ht="30" spans="1:18">
      <c r="A9" s="12" t="s">
        <v>191</v>
      </c>
      <c r="B9" s="12" t="s">
        <v>192</v>
      </c>
      <c r="C9" s="12" t="s">
        <v>193</v>
      </c>
      <c r="D9" s="13" t="s">
        <v>14</v>
      </c>
      <c r="E9" s="13" t="s">
        <v>194</v>
      </c>
      <c r="F9" s="12" t="s">
        <v>195</v>
      </c>
      <c r="G9" s="12" t="s">
        <v>15</v>
      </c>
      <c r="H9" s="12" t="s">
        <v>196</v>
      </c>
      <c r="I9" s="14" t="s">
        <v>197</v>
      </c>
      <c r="J9" s="14" t="s">
        <v>198</v>
      </c>
      <c r="K9" s="14" t="s">
        <v>199</v>
      </c>
      <c r="L9" s="53"/>
      <c r="M9" s="88"/>
      <c r="O9" s="15" t="s">
        <v>20</v>
      </c>
      <c r="P9" s="16" t="s">
        <v>21</v>
      </c>
      <c r="Q9" s="17" t="s">
        <v>22</v>
      </c>
      <c r="R9" s="15" t="s">
        <v>23</v>
      </c>
    </row>
    <row r="10" spans="1:18">
      <c r="A10" s="18" t="s">
        <v>213</v>
      </c>
      <c r="B10" s="12">
        <v>0.064</v>
      </c>
      <c r="C10" s="27">
        <f t="shared" ref="C10:C15" si="0">B10*39.37</f>
        <v>2.51968</v>
      </c>
      <c r="D10" s="13" t="s">
        <v>43</v>
      </c>
      <c r="E10" s="20">
        <f t="shared" ref="E10:E14" si="1">B10+0.03</f>
        <v>0.094</v>
      </c>
      <c r="F10" s="12" t="s">
        <v>120</v>
      </c>
      <c r="G10" s="18" t="s">
        <v>29</v>
      </c>
      <c r="H10" s="12">
        <v>7.57</v>
      </c>
      <c r="I10" s="21">
        <f t="shared" ref="I10:I15" si="2">H10*12</f>
        <v>90.84</v>
      </c>
      <c r="J10" s="14">
        <f t="shared" ref="J10:J15" si="3">H10*13.33</f>
        <v>100.9081</v>
      </c>
      <c r="K10" s="21">
        <f t="shared" ref="K10:K15" si="4">H10*14</f>
        <v>105.98</v>
      </c>
      <c r="L10" s="53"/>
      <c r="M10" s="88"/>
      <c r="O10" s="12">
        <v>7.01</v>
      </c>
      <c r="P10" s="89">
        <f>ROUND(O10*1.08,2)</f>
        <v>7.57</v>
      </c>
      <c r="Q10" s="70">
        <f>(P10-O10)/O10</f>
        <v>0.0798858773181171</v>
      </c>
      <c r="R10" s="25">
        <f>P10*13.33</f>
        <v>100.9081</v>
      </c>
    </row>
    <row r="11" spans="1:18">
      <c r="A11" s="18" t="s">
        <v>213</v>
      </c>
      <c r="B11" s="12">
        <v>0.1</v>
      </c>
      <c r="C11" s="19">
        <f t="shared" si="0"/>
        <v>3.937</v>
      </c>
      <c r="D11" s="13" t="s">
        <v>28</v>
      </c>
      <c r="E11" s="20">
        <f t="shared" si="1"/>
        <v>0.13</v>
      </c>
      <c r="F11" s="12" t="s">
        <v>126</v>
      </c>
      <c r="G11" s="18" t="s">
        <v>29</v>
      </c>
      <c r="H11" s="12">
        <v>7.32</v>
      </c>
      <c r="I11" s="21">
        <f t="shared" si="2"/>
        <v>87.84</v>
      </c>
      <c r="J11" s="14">
        <f t="shared" si="3"/>
        <v>97.5756</v>
      </c>
      <c r="K11" s="21">
        <f t="shared" si="4"/>
        <v>102.48</v>
      </c>
      <c r="L11" s="53"/>
      <c r="M11" s="88"/>
      <c r="O11" s="12">
        <v>6.78</v>
      </c>
      <c r="P11" s="89">
        <f>ROUND(O11*1.08,2)</f>
        <v>7.32</v>
      </c>
      <c r="Q11" s="70">
        <f>(P11-O11)/O11</f>
        <v>0.079646017699115</v>
      </c>
      <c r="R11" s="25">
        <f>P11*13.33</f>
        <v>97.5756</v>
      </c>
    </row>
    <row r="12" spans="1:18">
      <c r="A12" s="18" t="s">
        <v>213</v>
      </c>
      <c r="B12" s="12">
        <v>0.1</v>
      </c>
      <c r="C12" s="19">
        <f t="shared" si="0"/>
        <v>3.937</v>
      </c>
      <c r="D12" s="26" t="s">
        <v>26</v>
      </c>
      <c r="E12" s="20">
        <f>B12+0.07</f>
        <v>0.17</v>
      </c>
      <c r="F12" s="12" t="s">
        <v>126</v>
      </c>
      <c r="G12" s="18" t="s">
        <v>29</v>
      </c>
      <c r="H12" s="12">
        <v>11.05</v>
      </c>
      <c r="I12" s="21">
        <f t="shared" si="2"/>
        <v>132.6</v>
      </c>
      <c r="J12" s="14">
        <f t="shared" si="3"/>
        <v>147.2965</v>
      </c>
      <c r="K12" s="21">
        <f t="shared" si="4"/>
        <v>154.7</v>
      </c>
      <c r="L12" s="29"/>
      <c r="M12" s="90"/>
      <c r="O12" s="12">
        <v>10.14</v>
      </c>
      <c r="P12" s="89">
        <f>ROUND(O12*1.09,2)</f>
        <v>11.05</v>
      </c>
      <c r="Q12" s="70">
        <f>(P12-O12)/O12</f>
        <v>0.0897435897435898</v>
      </c>
      <c r="R12" s="25">
        <f>P12*13.33</f>
        <v>147.2965</v>
      </c>
    </row>
    <row r="13" spans="1:18">
      <c r="A13" s="18" t="s">
        <v>213</v>
      </c>
      <c r="B13" s="12">
        <v>0.114</v>
      </c>
      <c r="C13" s="27">
        <f t="shared" si="0"/>
        <v>4.48818</v>
      </c>
      <c r="D13" s="13" t="s">
        <v>28</v>
      </c>
      <c r="E13" s="20">
        <f t="shared" si="1"/>
        <v>0.144</v>
      </c>
      <c r="F13" s="12" t="s">
        <v>126</v>
      </c>
      <c r="G13" s="18" t="s">
        <v>29</v>
      </c>
      <c r="H13" s="12">
        <v>7.39</v>
      </c>
      <c r="I13" s="21">
        <f t="shared" si="2"/>
        <v>88.68</v>
      </c>
      <c r="J13" s="14">
        <f t="shared" si="3"/>
        <v>98.5087</v>
      </c>
      <c r="K13" s="21">
        <f t="shared" si="4"/>
        <v>103.46</v>
      </c>
      <c r="L13" s="53"/>
      <c r="M13" s="88"/>
      <c r="O13" s="12">
        <v>6.78</v>
      </c>
      <c r="P13" s="89">
        <f t="shared" ref="P13:P46" si="5">ROUND(O13*1.09,2)</f>
        <v>7.39</v>
      </c>
      <c r="Q13" s="70">
        <f t="shared" ref="Q13:Q34" si="6">(P13-O13)/O13</f>
        <v>0.0899705014749262</v>
      </c>
      <c r="R13" s="25">
        <f t="shared" ref="R13:R34" si="7">P13*13.33</f>
        <v>98.5087</v>
      </c>
    </row>
    <row r="14" spans="1:18">
      <c r="A14" s="18" t="s">
        <v>213</v>
      </c>
      <c r="B14" s="12">
        <v>0.13</v>
      </c>
      <c r="C14" s="19">
        <f t="shared" si="0"/>
        <v>5.1181</v>
      </c>
      <c r="D14" s="13" t="s">
        <v>28</v>
      </c>
      <c r="E14" s="20">
        <f t="shared" si="1"/>
        <v>0.16</v>
      </c>
      <c r="F14" s="12" t="s">
        <v>126</v>
      </c>
      <c r="G14" s="18" t="s">
        <v>29</v>
      </c>
      <c r="H14" s="12">
        <v>7.39</v>
      </c>
      <c r="I14" s="21">
        <f t="shared" si="2"/>
        <v>88.68</v>
      </c>
      <c r="J14" s="14">
        <f t="shared" si="3"/>
        <v>98.5087</v>
      </c>
      <c r="K14" s="21">
        <f t="shared" si="4"/>
        <v>103.46</v>
      </c>
      <c r="L14" s="53"/>
      <c r="M14" s="88"/>
      <c r="O14" s="12">
        <v>6.78</v>
      </c>
      <c r="P14" s="89">
        <f t="shared" si="5"/>
        <v>7.39</v>
      </c>
      <c r="Q14" s="70">
        <f t="shared" si="6"/>
        <v>0.0899705014749262</v>
      </c>
      <c r="R14" s="25">
        <f t="shared" si="7"/>
        <v>98.5087</v>
      </c>
    </row>
    <row r="15" ht="14" customHeight="1" spans="1:18">
      <c r="A15" s="18" t="s">
        <v>213</v>
      </c>
      <c r="B15" s="12">
        <v>0.13</v>
      </c>
      <c r="C15" s="19">
        <f t="shared" si="0"/>
        <v>5.1181</v>
      </c>
      <c r="D15" s="26" t="s">
        <v>26</v>
      </c>
      <c r="E15" s="20">
        <f>B15+0.07</f>
        <v>0.2</v>
      </c>
      <c r="F15" s="12" t="s">
        <v>126</v>
      </c>
      <c r="G15" s="18" t="s">
        <v>29</v>
      </c>
      <c r="H15" s="12">
        <v>11.23</v>
      </c>
      <c r="I15" s="21">
        <f t="shared" si="2"/>
        <v>134.76</v>
      </c>
      <c r="J15" s="14">
        <f t="shared" si="3"/>
        <v>149.6959</v>
      </c>
      <c r="K15" s="21">
        <f t="shared" si="4"/>
        <v>157.22</v>
      </c>
      <c r="L15" s="29"/>
      <c r="M15" s="56"/>
      <c r="O15" s="12">
        <v>10.3</v>
      </c>
      <c r="P15" s="89">
        <f t="shared" si="5"/>
        <v>11.23</v>
      </c>
      <c r="Q15" s="70">
        <f t="shared" si="6"/>
        <v>0.0902912621359223</v>
      </c>
      <c r="R15" s="25">
        <f t="shared" si="7"/>
        <v>149.6959</v>
      </c>
    </row>
    <row r="16" ht="14" customHeight="1" spans="1:18">
      <c r="A16" s="18" t="s">
        <v>213</v>
      </c>
      <c r="B16" s="12">
        <v>0.15</v>
      </c>
      <c r="C16" s="19">
        <f t="shared" ref="C16:C22" si="8">B16*39.37</f>
        <v>5.9055</v>
      </c>
      <c r="D16" s="13" t="s">
        <v>28</v>
      </c>
      <c r="E16" s="20">
        <f>B16+0.03</f>
        <v>0.18</v>
      </c>
      <c r="F16" s="12" t="s">
        <v>129</v>
      </c>
      <c r="G16" s="18" t="s">
        <v>29</v>
      </c>
      <c r="H16" s="12">
        <v>7.48</v>
      </c>
      <c r="I16" s="21">
        <f t="shared" ref="I16:I22" si="9">H16*12</f>
        <v>89.76</v>
      </c>
      <c r="J16" s="14">
        <f t="shared" ref="J16:J22" si="10">H16*13.33</f>
        <v>99.7084</v>
      </c>
      <c r="K16" s="21">
        <f t="shared" ref="K16:K22" si="11">H16*14</f>
        <v>104.72</v>
      </c>
      <c r="L16" s="29"/>
      <c r="M16" s="56"/>
      <c r="O16" s="12">
        <v>6.86</v>
      </c>
      <c r="P16" s="89">
        <f t="shared" si="5"/>
        <v>7.48</v>
      </c>
      <c r="Q16" s="70">
        <f t="shared" si="6"/>
        <v>0.0903790087463557</v>
      </c>
      <c r="R16" s="25">
        <f t="shared" si="7"/>
        <v>99.7084</v>
      </c>
    </row>
    <row r="17" spans="1:18">
      <c r="A17" s="18" t="s">
        <v>213</v>
      </c>
      <c r="B17" s="12">
        <v>0.15</v>
      </c>
      <c r="C17" s="19">
        <f t="shared" si="8"/>
        <v>5.9055</v>
      </c>
      <c r="D17" s="26" t="s">
        <v>26</v>
      </c>
      <c r="E17" s="20">
        <f>B17+0.07</f>
        <v>0.22</v>
      </c>
      <c r="F17" s="12" t="s">
        <v>128</v>
      </c>
      <c r="G17" s="18" t="s">
        <v>29</v>
      </c>
      <c r="H17" s="12">
        <v>12.31</v>
      </c>
      <c r="I17" s="21">
        <f t="shared" si="9"/>
        <v>147.72</v>
      </c>
      <c r="J17" s="14">
        <f t="shared" si="10"/>
        <v>164.0923</v>
      </c>
      <c r="K17" s="21">
        <f t="shared" si="11"/>
        <v>172.34</v>
      </c>
      <c r="L17" s="29"/>
      <c r="M17" s="56"/>
      <c r="O17" s="12">
        <v>11.29</v>
      </c>
      <c r="P17" s="89">
        <f t="shared" si="5"/>
        <v>12.31</v>
      </c>
      <c r="Q17" s="70">
        <f t="shared" si="6"/>
        <v>0.0903454384410984</v>
      </c>
      <c r="R17" s="25">
        <f t="shared" si="7"/>
        <v>164.0923</v>
      </c>
    </row>
    <row r="18" spans="1:18">
      <c r="A18" s="18" t="s">
        <v>213</v>
      </c>
      <c r="B18" s="12">
        <v>0.15</v>
      </c>
      <c r="C18" s="19">
        <f t="shared" si="8"/>
        <v>5.9055</v>
      </c>
      <c r="D18" s="26" t="s">
        <v>34</v>
      </c>
      <c r="E18" s="20">
        <f>B18+0.07</f>
        <v>0.22</v>
      </c>
      <c r="F18" s="12" t="s">
        <v>128</v>
      </c>
      <c r="G18" s="18" t="s">
        <v>29</v>
      </c>
      <c r="H18" s="12">
        <v>35.32</v>
      </c>
      <c r="I18" s="21">
        <f t="shared" si="9"/>
        <v>423.84</v>
      </c>
      <c r="J18" s="14">
        <f t="shared" si="10"/>
        <v>470.8156</v>
      </c>
      <c r="K18" s="21">
        <f t="shared" si="11"/>
        <v>494.48</v>
      </c>
      <c r="L18" s="29"/>
      <c r="M18" s="91"/>
      <c r="O18" s="12">
        <v>32.4</v>
      </c>
      <c r="P18" s="89">
        <f t="shared" si="5"/>
        <v>35.32</v>
      </c>
      <c r="Q18" s="70">
        <f t="shared" si="6"/>
        <v>0.0901234567901235</v>
      </c>
      <c r="R18" s="25">
        <f t="shared" si="7"/>
        <v>470.8156</v>
      </c>
    </row>
    <row r="19" spans="1:18">
      <c r="A19" s="18" t="s">
        <v>213</v>
      </c>
      <c r="B19" s="12">
        <v>0.178</v>
      </c>
      <c r="C19" s="19">
        <f t="shared" si="8"/>
        <v>7.00786</v>
      </c>
      <c r="D19" s="26" t="s">
        <v>31</v>
      </c>
      <c r="E19" s="20">
        <f>B19+0.14</f>
        <v>0.318</v>
      </c>
      <c r="F19" s="12" t="s">
        <v>130</v>
      </c>
      <c r="G19" s="18" t="s">
        <v>29</v>
      </c>
      <c r="H19" s="12">
        <v>23.05</v>
      </c>
      <c r="I19" s="21">
        <f t="shared" si="9"/>
        <v>276.6</v>
      </c>
      <c r="J19" s="14">
        <f t="shared" si="10"/>
        <v>307.2565</v>
      </c>
      <c r="K19" s="21">
        <f t="shared" si="11"/>
        <v>322.7</v>
      </c>
      <c r="L19" s="29"/>
      <c r="M19" s="56"/>
      <c r="O19" s="12">
        <v>21.15</v>
      </c>
      <c r="P19" s="89">
        <f t="shared" si="5"/>
        <v>23.05</v>
      </c>
      <c r="Q19" s="70">
        <f t="shared" si="6"/>
        <v>0.0898345153664304</v>
      </c>
      <c r="R19" s="25">
        <f t="shared" si="7"/>
        <v>307.2565</v>
      </c>
    </row>
    <row r="20" spans="1:18">
      <c r="A20" s="18" t="s">
        <v>213</v>
      </c>
      <c r="B20" s="12">
        <v>0.2</v>
      </c>
      <c r="C20" s="19">
        <f t="shared" si="8"/>
        <v>7.874</v>
      </c>
      <c r="D20" s="26" t="s">
        <v>26</v>
      </c>
      <c r="E20" s="20">
        <f>B20+0.07</f>
        <v>0.27</v>
      </c>
      <c r="F20" s="12" t="s">
        <v>130</v>
      </c>
      <c r="G20" s="18" t="s">
        <v>29</v>
      </c>
      <c r="H20" s="12">
        <v>11.45</v>
      </c>
      <c r="I20" s="21">
        <f t="shared" si="9"/>
        <v>137.4</v>
      </c>
      <c r="J20" s="14">
        <f t="shared" si="10"/>
        <v>152.6285</v>
      </c>
      <c r="K20" s="21">
        <f t="shared" si="11"/>
        <v>160.3</v>
      </c>
      <c r="L20" s="29"/>
      <c r="M20" s="56"/>
      <c r="O20" s="12">
        <v>10.5</v>
      </c>
      <c r="P20" s="89">
        <f t="shared" si="5"/>
        <v>11.45</v>
      </c>
      <c r="Q20" s="70">
        <f t="shared" si="6"/>
        <v>0.0904761904761904</v>
      </c>
      <c r="R20" s="25">
        <f t="shared" si="7"/>
        <v>152.6285</v>
      </c>
    </row>
    <row r="21" spans="1:18">
      <c r="A21" s="18" t="s">
        <v>213</v>
      </c>
      <c r="B21" s="12">
        <v>0.25</v>
      </c>
      <c r="C21" s="19">
        <f t="shared" si="8"/>
        <v>9.8425</v>
      </c>
      <c r="D21" s="13" t="s">
        <v>28</v>
      </c>
      <c r="E21" s="20">
        <f>B21+0.03</f>
        <v>0.28</v>
      </c>
      <c r="F21" s="12" t="s">
        <v>131</v>
      </c>
      <c r="G21" s="18" t="s">
        <v>29</v>
      </c>
      <c r="H21" s="12">
        <v>9.41</v>
      </c>
      <c r="I21" s="21">
        <f t="shared" si="9"/>
        <v>112.92</v>
      </c>
      <c r="J21" s="14">
        <f t="shared" si="10"/>
        <v>125.4353</v>
      </c>
      <c r="K21" s="21">
        <f t="shared" si="11"/>
        <v>131.74</v>
      </c>
      <c r="L21" s="29"/>
      <c r="M21" s="91"/>
      <c r="O21" s="12">
        <v>8.63</v>
      </c>
      <c r="P21" s="89">
        <f t="shared" si="5"/>
        <v>9.41</v>
      </c>
      <c r="Q21" s="70">
        <f t="shared" si="6"/>
        <v>0.0903823870220161</v>
      </c>
      <c r="R21" s="25">
        <f t="shared" si="7"/>
        <v>125.4353</v>
      </c>
    </row>
    <row r="22" spans="1:18">
      <c r="A22" s="18" t="s">
        <v>213</v>
      </c>
      <c r="B22" s="12">
        <v>0.25</v>
      </c>
      <c r="C22" s="19">
        <f t="shared" si="8"/>
        <v>9.8425</v>
      </c>
      <c r="D22" s="26" t="s">
        <v>26</v>
      </c>
      <c r="E22" s="20">
        <f>B22+0.07</f>
        <v>0.32</v>
      </c>
      <c r="F22" s="12" t="s">
        <v>131</v>
      </c>
      <c r="G22" s="18" t="s">
        <v>29</v>
      </c>
      <c r="H22" s="12">
        <v>12.72</v>
      </c>
      <c r="I22" s="21">
        <f t="shared" si="9"/>
        <v>152.64</v>
      </c>
      <c r="J22" s="14">
        <f t="shared" si="10"/>
        <v>169.5576</v>
      </c>
      <c r="K22" s="21">
        <f t="shared" si="11"/>
        <v>178.08</v>
      </c>
      <c r="L22" s="29"/>
      <c r="M22" s="91"/>
      <c r="O22" s="12">
        <v>11.67</v>
      </c>
      <c r="P22" s="89">
        <f t="shared" si="5"/>
        <v>12.72</v>
      </c>
      <c r="Q22" s="70">
        <f t="shared" si="6"/>
        <v>0.089974293059126</v>
      </c>
      <c r="R22" s="25">
        <f t="shared" si="7"/>
        <v>169.5576</v>
      </c>
    </row>
    <row r="23" spans="1:18">
      <c r="A23" s="18" t="s">
        <v>213</v>
      </c>
      <c r="B23" s="12">
        <v>0.25</v>
      </c>
      <c r="C23" s="19">
        <f t="shared" ref="C23:C25" si="12">B23*39.37</f>
        <v>9.8425</v>
      </c>
      <c r="D23" s="26" t="s">
        <v>31</v>
      </c>
      <c r="E23" s="20">
        <f>B23+0.14</f>
        <v>0.39</v>
      </c>
      <c r="F23" s="12" t="s">
        <v>131</v>
      </c>
      <c r="G23" s="18" t="s">
        <v>29</v>
      </c>
      <c r="H23" s="12">
        <v>22.4</v>
      </c>
      <c r="I23" s="21">
        <f t="shared" ref="I23:I25" si="13">H23*12</f>
        <v>268.8</v>
      </c>
      <c r="J23" s="14">
        <f t="shared" ref="J23:J25" si="14">H23*13.33</f>
        <v>298.592</v>
      </c>
      <c r="K23" s="21">
        <f t="shared" ref="K23:K25" si="15">H23*14</f>
        <v>313.6</v>
      </c>
      <c r="L23" s="29"/>
      <c r="M23" s="56"/>
      <c r="O23" s="12">
        <v>20.55</v>
      </c>
      <c r="P23" s="89">
        <f t="shared" si="5"/>
        <v>22.4</v>
      </c>
      <c r="Q23" s="70">
        <f t="shared" si="6"/>
        <v>0.0900243309002432</v>
      </c>
      <c r="R23" s="25">
        <f t="shared" si="7"/>
        <v>298.592</v>
      </c>
    </row>
    <row r="24" spans="1:18">
      <c r="A24" s="18" t="s">
        <v>213</v>
      </c>
      <c r="B24" s="12">
        <v>0.25</v>
      </c>
      <c r="C24" s="19">
        <f t="shared" si="12"/>
        <v>9.8425</v>
      </c>
      <c r="D24" s="26" t="s">
        <v>31</v>
      </c>
      <c r="E24" s="20">
        <f>B24+0.14</f>
        <v>0.39</v>
      </c>
      <c r="F24" s="12" t="s">
        <v>133</v>
      </c>
      <c r="G24" s="18" t="s">
        <v>29</v>
      </c>
      <c r="H24" s="12">
        <v>25.2</v>
      </c>
      <c r="I24" s="21">
        <f t="shared" si="13"/>
        <v>302.4</v>
      </c>
      <c r="J24" s="14">
        <f t="shared" si="14"/>
        <v>335.916</v>
      </c>
      <c r="K24" s="21">
        <f t="shared" si="15"/>
        <v>352.8</v>
      </c>
      <c r="L24" s="29"/>
      <c r="M24" s="56"/>
      <c r="O24" s="12">
        <v>23.12</v>
      </c>
      <c r="P24" s="89">
        <f t="shared" si="5"/>
        <v>25.2</v>
      </c>
      <c r="Q24" s="70">
        <f t="shared" si="6"/>
        <v>0.0899653979238754</v>
      </c>
      <c r="R24" s="25">
        <f t="shared" si="7"/>
        <v>335.916</v>
      </c>
    </row>
    <row r="25" spans="1:18">
      <c r="A25" s="18" t="s">
        <v>213</v>
      </c>
      <c r="B25" s="12">
        <v>0.305</v>
      </c>
      <c r="C25" s="19">
        <f t="shared" si="12"/>
        <v>12.00785</v>
      </c>
      <c r="D25" s="26" t="s">
        <v>26</v>
      </c>
      <c r="E25" s="20">
        <f>B25+0.07</f>
        <v>0.375</v>
      </c>
      <c r="F25" s="12" t="s">
        <v>135</v>
      </c>
      <c r="G25" s="18" t="s">
        <v>29</v>
      </c>
      <c r="H25" s="12">
        <v>13.23</v>
      </c>
      <c r="I25" s="21">
        <f t="shared" si="13"/>
        <v>158.76</v>
      </c>
      <c r="J25" s="14">
        <f t="shared" si="14"/>
        <v>176.3559</v>
      </c>
      <c r="K25" s="21">
        <f t="shared" si="15"/>
        <v>185.22</v>
      </c>
      <c r="L25" s="29"/>
      <c r="M25" s="91"/>
      <c r="O25" s="12">
        <v>12.25</v>
      </c>
      <c r="P25" s="89">
        <f>ROUND(O25*1.08,2)</f>
        <v>13.23</v>
      </c>
      <c r="Q25" s="70">
        <f t="shared" si="6"/>
        <v>0.08</v>
      </c>
      <c r="R25" s="25">
        <f t="shared" si="7"/>
        <v>176.3559</v>
      </c>
    </row>
    <row r="26" spans="1:18">
      <c r="A26" s="18" t="s">
        <v>213</v>
      </c>
      <c r="B26" s="12">
        <v>0.305</v>
      </c>
      <c r="C26" s="19">
        <f t="shared" ref="C26:C36" si="16">B26*39.37</f>
        <v>12.00785</v>
      </c>
      <c r="D26" s="26" t="s">
        <v>31</v>
      </c>
      <c r="E26" s="20">
        <f>B26+0.14</f>
        <v>0.445</v>
      </c>
      <c r="F26" s="12" t="s">
        <v>135</v>
      </c>
      <c r="G26" s="18" t="s">
        <v>29</v>
      </c>
      <c r="H26" s="12">
        <v>23.87</v>
      </c>
      <c r="I26" s="21">
        <f t="shared" ref="I26:I37" si="17">H26*12</f>
        <v>286.44</v>
      </c>
      <c r="J26" s="14">
        <f t="shared" ref="J26:J37" si="18">H26*13.33</f>
        <v>318.1871</v>
      </c>
      <c r="K26" s="21">
        <f t="shared" ref="K26:K37" si="19">H26*14</f>
        <v>334.18</v>
      </c>
      <c r="L26" s="29"/>
      <c r="M26" s="56"/>
      <c r="O26" s="12">
        <v>21.9</v>
      </c>
      <c r="P26" s="89">
        <f t="shared" si="5"/>
        <v>23.87</v>
      </c>
      <c r="Q26" s="70">
        <f t="shared" si="6"/>
        <v>0.0899543378995435</v>
      </c>
      <c r="R26" s="25">
        <f t="shared" si="7"/>
        <v>318.1871</v>
      </c>
    </row>
    <row r="27" spans="1:18">
      <c r="A27" s="18" t="s">
        <v>213</v>
      </c>
      <c r="B27" s="18">
        <v>0.356</v>
      </c>
      <c r="C27" s="19">
        <f t="shared" si="16"/>
        <v>14.01572</v>
      </c>
      <c r="D27" s="26" t="s">
        <v>26</v>
      </c>
      <c r="E27" s="20">
        <f>B27+0.07</f>
        <v>0.426</v>
      </c>
      <c r="F27" s="18" t="s">
        <v>136</v>
      </c>
      <c r="G27" s="18" t="s">
        <v>29</v>
      </c>
      <c r="H27" s="12">
        <v>13.85</v>
      </c>
      <c r="I27" s="21">
        <f t="shared" si="17"/>
        <v>166.2</v>
      </c>
      <c r="J27" s="14">
        <f t="shared" si="18"/>
        <v>184.6205</v>
      </c>
      <c r="K27" s="21">
        <f t="shared" si="19"/>
        <v>193.9</v>
      </c>
      <c r="L27" s="29"/>
      <c r="M27" s="56"/>
      <c r="O27" s="12">
        <v>12.71</v>
      </c>
      <c r="P27" s="89">
        <f t="shared" si="5"/>
        <v>13.85</v>
      </c>
      <c r="Q27" s="70">
        <f t="shared" si="6"/>
        <v>0.089693154996066</v>
      </c>
      <c r="R27" s="25">
        <f t="shared" si="7"/>
        <v>184.6205</v>
      </c>
    </row>
    <row r="28" spans="1:18">
      <c r="A28" s="18" t="s">
        <v>213</v>
      </c>
      <c r="B28" s="18">
        <v>0.356</v>
      </c>
      <c r="C28" s="19">
        <f t="shared" si="16"/>
        <v>14.01572</v>
      </c>
      <c r="D28" s="26" t="s">
        <v>42</v>
      </c>
      <c r="E28" s="20">
        <f>(C28+3.6)/39.37</f>
        <v>0.447440182880366</v>
      </c>
      <c r="F28" s="18" t="s">
        <v>137</v>
      </c>
      <c r="G28" s="18" t="s">
        <v>29</v>
      </c>
      <c r="H28" s="12">
        <v>19.09</v>
      </c>
      <c r="I28" s="21">
        <f t="shared" si="17"/>
        <v>229.08</v>
      </c>
      <c r="J28" s="14">
        <f t="shared" si="18"/>
        <v>254.4697</v>
      </c>
      <c r="K28" s="21">
        <f t="shared" si="19"/>
        <v>267.26</v>
      </c>
      <c r="L28" s="29"/>
      <c r="M28" s="56"/>
      <c r="O28" s="12">
        <v>17.51</v>
      </c>
      <c r="P28" s="89">
        <f t="shared" si="5"/>
        <v>19.09</v>
      </c>
      <c r="Q28" s="70">
        <f t="shared" si="6"/>
        <v>0.0902341519131924</v>
      </c>
      <c r="R28" s="25">
        <f t="shared" si="7"/>
        <v>254.4697</v>
      </c>
    </row>
    <row r="29" spans="1:18">
      <c r="A29" s="18" t="s">
        <v>213</v>
      </c>
      <c r="B29" s="18">
        <v>0.356</v>
      </c>
      <c r="C29" s="19">
        <f t="shared" si="16"/>
        <v>14.01572</v>
      </c>
      <c r="D29" s="26" t="s">
        <v>31</v>
      </c>
      <c r="E29" s="20">
        <f>B29+0.14</f>
        <v>0.496</v>
      </c>
      <c r="F29" s="18" t="s">
        <v>137</v>
      </c>
      <c r="G29" s="18" t="s">
        <v>29</v>
      </c>
      <c r="H29" s="12">
        <v>23.84</v>
      </c>
      <c r="I29" s="21">
        <f t="shared" si="17"/>
        <v>286.08</v>
      </c>
      <c r="J29" s="14">
        <f t="shared" si="18"/>
        <v>317.7872</v>
      </c>
      <c r="K29" s="21">
        <f t="shared" si="19"/>
        <v>333.76</v>
      </c>
      <c r="L29" s="29"/>
      <c r="M29" s="56"/>
      <c r="O29" s="12">
        <v>21.87</v>
      </c>
      <c r="P29" s="89">
        <f t="shared" si="5"/>
        <v>23.84</v>
      </c>
      <c r="Q29" s="70">
        <f t="shared" si="6"/>
        <v>0.0900777320530406</v>
      </c>
      <c r="R29" s="25">
        <f t="shared" si="7"/>
        <v>317.7872</v>
      </c>
    </row>
    <row r="30" spans="1:18">
      <c r="A30" s="18" t="s">
        <v>213</v>
      </c>
      <c r="B30" s="18">
        <v>0.356</v>
      </c>
      <c r="C30" s="19">
        <f t="shared" si="16"/>
        <v>14.01572</v>
      </c>
      <c r="D30" s="26" t="s">
        <v>59</v>
      </c>
      <c r="E30" s="20">
        <f>B30+0.28</f>
        <v>0.636</v>
      </c>
      <c r="F30" s="18" t="s">
        <v>137</v>
      </c>
      <c r="G30" s="18" t="s">
        <v>29</v>
      </c>
      <c r="H30" s="12">
        <v>54.4</v>
      </c>
      <c r="I30" s="21">
        <f t="shared" si="17"/>
        <v>652.8</v>
      </c>
      <c r="J30" s="14">
        <f t="shared" si="18"/>
        <v>725.152</v>
      </c>
      <c r="K30" s="21">
        <f t="shared" si="19"/>
        <v>761.6</v>
      </c>
      <c r="L30" s="29"/>
      <c r="M30" s="56"/>
      <c r="O30" s="12">
        <v>49.91</v>
      </c>
      <c r="P30" s="89">
        <f t="shared" si="5"/>
        <v>54.4</v>
      </c>
      <c r="Q30" s="70">
        <f t="shared" si="6"/>
        <v>0.089961931476658</v>
      </c>
      <c r="R30" s="25">
        <f t="shared" si="7"/>
        <v>725.152</v>
      </c>
    </row>
    <row r="31" spans="1:18">
      <c r="A31" s="18" t="s">
        <v>213</v>
      </c>
      <c r="B31" s="18">
        <v>0.456</v>
      </c>
      <c r="C31" s="19">
        <f t="shared" si="16"/>
        <v>17.95272</v>
      </c>
      <c r="D31" s="26" t="s">
        <v>31</v>
      </c>
      <c r="E31" s="20">
        <f>B31+0.14</f>
        <v>0.596</v>
      </c>
      <c r="F31" s="18" t="s">
        <v>214</v>
      </c>
      <c r="G31" s="18" t="s">
        <v>29</v>
      </c>
      <c r="H31" s="12">
        <v>25.54</v>
      </c>
      <c r="I31" s="21">
        <f t="shared" si="17"/>
        <v>306.48</v>
      </c>
      <c r="J31" s="14">
        <f t="shared" si="18"/>
        <v>340.4482</v>
      </c>
      <c r="K31" s="21">
        <f t="shared" si="19"/>
        <v>357.56</v>
      </c>
      <c r="L31" s="29"/>
      <c r="M31" s="56"/>
      <c r="O31" s="12">
        <v>23.43</v>
      </c>
      <c r="P31" s="89">
        <f t="shared" si="5"/>
        <v>25.54</v>
      </c>
      <c r="Q31" s="70">
        <f t="shared" si="6"/>
        <v>0.0900554844216816</v>
      </c>
      <c r="R31" s="25">
        <f t="shared" si="7"/>
        <v>340.4482</v>
      </c>
    </row>
    <row r="32" spans="1:18">
      <c r="A32" s="18" t="s">
        <v>213</v>
      </c>
      <c r="B32" s="18">
        <v>0.51</v>
      </c>
      <c r="C32" s="19">
        <f t="shared" si="16"/>
        <v>20.0787</v>
      </c>
      <c r="D32" s="26" t="s">
        <v>26</v>
      </c>
      <c r="E32" s="20">
        <f>B32+0.07</f>
        <v>0.58</v>
      </c>
      <c r="F32" s="18" t="s">
        <v>171</v>
      </c>
      <c r="G32" s="18" t="s">
        <v>29</v>
      </c>
      <c r="H32" s="12">
        <v>14.12</v>
      </c>
      <c r="I32" s="21">
        <f t="shared" si="17"/>
        <v>169.44</v>
      </c>
      <c r="J32" s="14">
        <f t="shared" si="18"/>
        <v>188.2196</v>
      </c>
      <c r="K32" s="21">
        <f t="shared" si="19"/>
        <v>197.68</v>
      </c>
      <c r="L32" s="29"/>
      <c r="M32" s="56"/>
      <c r="O32" s="12">
        <v>12.95</v>
      </c>
      <c r="P32" s="89">
        <f t="shared" si="5"/>
        <v>14.12</v>
      </c>
      <c r="Q32" s="70">
        <f t="shared" si="6"/>
        <v>0.0903474903474903</v>
      </c>
      <c r="R32" s="25">
        <f t="shared" si="7"/>
        <v>188.2196</v>
      </c>
    </row>
    <row r="33" spans="1:18">
      <c r="A33" s="18" t="s">
        <v>213</v>
      </c>
      <c r="B33" s="18">
        <v>0.56</v>
      </c>
      <c r="C33" s="19">
        <f t="shared" si="16"/>
        <v>22.0472</v>
      </c>
      <c r="D33" s="26" t="s">
        <v>34</v>
      </c>
      <c r="E33" s="20">
        <f>B33+0.07</f>
        <v>0.63</v>
      </c>
      <c r="F33" s="18" t="s">
        <v>172</v>
      </c>
      <c r="G33" s="18" t="s">
        <v>29</v>
      </c>
      <c r="H33" s="12">
        <v>35.59</v>
      </c>
      <c r="I33" s="21">
        <f t="shared" si="17"/>
        <v>427.08</v>
      </c>
      <c r="J33" s="14">
        <f t="shared" si="18"/>
        <v>474.4147</v>
      </c>
      <c r="K33" s="21">
        <f t="shared" si="19"/>
        <v>498.26</v>
      </c>
      <c r="L33" s="29"/>
      <c r="M33" s="56"/>
      <c r="O33" s="12">
        <v>32.65</v>
      </c>
      <c r="P33" s="89">
        <f t="shared" si="5"/>
        <v>35.59</v>
      </c>
      <c r="Q33" s="70">
        <f t="shared" si="6"/>
        <v>0.0900459418070446</v>
      </c>
      <c r="R33" s="25">
        <f t="shared" si="7"/>
        <v>474.4147</v>
      </c>
    </row>
    <row r="34" spans="1:18">
      <c r="A34" s="18" t="s">
        <v>213</v>
      </c>
      <c r="B34" s="18">
        <v>0.61</v>
      </c>
      <c r="C34" s="19">
        <f t="shared" si="16"/>
        <v>24.0157</v>
      </c>
      <c r="D34" s="26" t="s">
        <v>31</v>
      </c>
      <c r="E34" s="20">
        <f>B34+0.14</f>
        <v>0.75</v>
      </c>
      <c r="F34" s="18" t="s">
        <v>172</v>
      </c>
      <c r="G34" s="18" t="s">
        <v>29</v>
      </c>
      <c r="H34" s="12">
        <v>26.09</v>
      </c>
      <c r="I34" s="21">
        <f t="shared" si="17"/>
        <v>313.08</v>
      </c>
      <c r="J34" s="14">
        <f t="shared" si="18"/>
        <v>347.7797</v>
      </c>
      <c r="K34" s="21">
        <f t="shared" si="19"/>
        <v>365.26</v>
      </c>
      <c r="L34" s="29"/>
      <c r="M34" s="56"/>
      <c r="O34" s="12">
        <v>23.94</v>
      </c>
      <c r="P34" s="89">
        <f t="shared" si="5"/>
        <v>26.09</v>
      </c>
      <c r="Q34" s="70">
        <f t="shared" si="6"/>
        <v>0.0898078529657476</v>
      </c>
      <c r="R34" s="25">
        <f t="shared" si="7"/>
        <v>347.7797</v>
      </c>
    </row>
    <row r="35" spans="1:18">
      <c r="A35" s="18" t="s">
        <v>213</v>
      </c>
      <c r="B35" s="18">
        <v>0.61</v>
      </c>
      <c r="C35" s="19">
        <f t="shared" si="16"/>
        <v>24.0157</v>
      </c>
      <c r="D35" s="26" t="s">
        <v>59</v>
      </c>
      <c r="E35" s="20">
        <f>B35+0.28</f>
        <v>0.89</v>
      </c>
      <c r="F35" s="18" t="s">
        <v>172</v>
      </c>
      <c r="G35" s="18" t="s">
        <v>29</v>
      </c>
      <c r="H35" s="12">
        <v>54.04</v>
      </c>
      <c r="I35" s="21">
        <f t="shared" si="17"/>
        <v>648.48</v>
      </c>
      <c r="J35" s="14">
        <f t="shared" si="18"/>
        <v>720.3532</v>
      </c>
      <c r="K35" s="21">
        <f t="shared" si="19"/>
        <v>756.56</v>
      </c>
      <c r="L35" s="29"/>
      <c r="M35" s="91"/>
      <c r="O35" s="12">
        <v>49.58</v>
      </c>
      <c r="P35" s="89">
        <f t="shared" si="5"/>
        <v>54.04</v>
      </c>
      <c r="Q35" s="70">
        <f t="shared" ref="Q34:Q47" si="20">(P35-O35)/O35</f>
        <v>0.0899556272690601</v>
      </c>
      <c r="R35" s="25">
        <f t="shared" ref="R34:R47" si="21">P35*13.33</f>
        <v>720.3532</v>
      </c>
    </row>
    <row r="36" spans="1:18">
      <c r="A36" s="18" t="s">
        <v>213</v>
      </c>
      <c r="B36" s="18">
        <v>0.71</v>
      </c>
      <c r="C36" s="19">
        <f t="shared" si="16"/>
        <v>27.9527</v>
      </c>
      <c r="D36" s="26" t="s">
        <v>31</v>
      </c>
      <c r="E36" s="20">
        <f>B36+0.14</f>
        <v>0.85</v>
      </c>
      <c r="F36" s="18" t="s">
        <v>175</v>
      </c>
      <c r="G36" s="18" t="s">
        <v>29</v>
      </c>
      <c r="H36" s="12">
        <v>26.79</v>
      </c>
      <c r="I36" s="21">
        <f t="shared" si="17"/>
        <v>321.48</v>
      </c>
      <c r="J36" s="14">
        <f t="shared" si="18"/>
        <v>357.1107</v>
      </c>
      <c r="K36" s="21">
        <f t="shared" si="19"/>
        <v>375.06</v>
      </c>
      <c r="L36" s="29"/>
      <c r="M36" s="56"/>
      <c r="O36" s="12">
        <v>24.58</v>
      </c>
      <c r="P36" s="89">
        <f t="shared" si="5"/>
        <v>26.79</v>
      </c>
      <c r="Q36" s="70">
        <f t="shared" si="20"/>
        <v>0.0899104963384866</v>
      </c>
      <c r="R36" s="25">
        <f t="shared" si="21"/>
        <v>357.1107</v>
      </c>
    </row>
    <row r="37" spans="1:18">
      <c r="A37" s="18" t="s">
        <v>213</v>
      </c>
      <c r="B37" s="18">
        <v>0.762</v>
      </c>
      <c r="C37" s="19">
        <f t="shared" ref="C37:C47" si="22">B37*39.37</f>
        <v>29.99994</v>
      </c>
      <c r="D37" s="26" t="s">
        <v>34</v>
      </c>
      <c r="E37" s="20">
        <f t="shared" ref="E37:E42" si="23">B37+0.21</f>
        <v>0.972</v>
      </c>
      <c r="F37" s="18" t="s">
        <v>175</v>
      </c>
      <c r="G37" s="18" t="s">
        <v>29</v>
      </c>
      <c r="H37" s="12">
        <v>38.62</v>
      </c>
      <c r="I37" s="21">
        <f t="shared" si="17"/>
        <v>463.44</v>
      </c>
      <c r="J37" s="14">
        <f t="shared" si="18"/>
        <v>514.8046</v>
      </c>
      <c r="K37" s="21">
        <f t="shared" si="19"/>
        <v>540.68</v>
      </c>
      <c r="L37" s="29"/>
      <c r="M37" s="56"/>
      <c r="O37" s="12">
        <v>35.43</v>
      </c>
      <c r="P37" s="89">
        <f t="shared" si="5"/>
        <v>38.62</v>
      </c>
      <c r="Q37" s="70">
        <f t="shared" si="20"/>
        <v>0.0900366920688681</v>
      </c>
      <c r="R37" s="25">
        <f t="shared" si="21"/>
        <v>514.8046</v>
      </c>
    </row>
    <row r="38" spans="1:18">
      <c r="A38" s="18" t="s">
        <v>213</v>
      </c>
      <c r="B38" s="18">
        <v>0.81</v>
      </c>
      <c r="C38" s="19">
        <f t="shared" si="22"/>
        <v>31.8897</v>
      </c>
      <c r="D38" s="26" t="s">
        <v>26</v>
      </c>
      <c r="E38" s="20">
        <f>B38+0.07</f>
        <v>0.88</v>
      </c>
      <c r="F38" s="18" t="s">
        <v>175</v>
      </c>
      <c r="G38" s="18" t="s">
        <v>29</v>
      </c>
      <c r="H38" s="12">
        <v>17.17</v>
      </c>
      <c r="I38" s="21">
        <f t="shared" ref="I38:I47" si="24">H38*12</f>
        <v>206.04</v>
      </c>
      <c r="J38" s="14">
        <f t="shared" ref="J38:J47" si="25">H38*13.33</f>
        <v>228.8761</v>
      </c>
      <c r="K38" s="21">
        <f t="shared" ref="K38:K47" si="26">H38*14</f>
        <v>240.38</v>
      </c>
      <c r="L38" s="29"/>
      <c r="M38" s="56"/>
      <c r="O38" s="12">
        <v>15.75</v>
      </c>
      <c r="P38" s="89">
        <f t="shared" si="5"/>
        <v>17.17</v>
      </c>
      <c r="Q38" s="70">
        <f t="shared" si="20"/>
        <v>0.0901587301587303</v>
      </c>
      <c r="R38" s="25">
        <f t="shared" si="21"/>
        <v>228.8761</v>
      </c>
    </row>
    <row r="39" spans="1:18">
      <c r="A39" s="18" t="s">
        <v>213</v>
      </c>
      <c r="B39" s="18">
        <v>0.991</v>
      </c>
      <c r="C39" s="19">
        <f t="shared" si="22"/>
        <v>39.01567</v>
      </c>
      <c r="D39" s="26" t="s">
        <v>34</v>
      </c>
      <c r="E39" s="20">
        <f t="shared" si="23"/>
        <v>1.201</v>
      </c>
      <c r="F39" s="18" t="s">
        <v>145</v>
      </c>
      <c r="G39" s="18" t="s">
        <v>29</v>
      </c>
      <c r="H39" s="12">
        <v>41.22</v>
      </c>
      <c r="I39" s="21">
        <f t="shared" si="24"/>
        <v>494.64</v>
      </c>
      <c r="J39" s="14">
        <f t="shared" si="25"/>
        <v>549.4626</v>
      </c>
      <c r="K39" s="21">
        <f t="shared" si="26"/>
        <v>577.08</v>
      </c>
      <c r="L39" s="29"/>
      <c r="M39" s="56"/>
      <c r="O39" s="12">
        <v>37.82</v>
      </c>
      <c r="P39" s="89">
        <f t="shared" si="5"/>
        <v>41.22</v>
      </c>
      <c r="Q39" s="70">
        <f t="shared" si="20"/>
        <v>0.0898995240613432</v>
      </c>
      <c r="R39" s="25">
        <f t="shared" si="21"/>
        <v>549.4626</v>
      </c>
    </row>
    <row r="40" spans="1:18">
      <c r="A40" s="18" t="s">
        <v>213</v>
      </c>
      <c r="B40" s="18">
        <v>1.041</v>
      </c>
      <c r="C40" s="19">
        <f t="shared" si="22"/>
        <v>40.98417</v>
      </c>
      <c r="D40" s="26" t="s">
        <v>34</v>
      </c>
      <c r="E40" s="20">
        <f t="shared" si="23"/>
        <v>1.251</v>
      </c>
      <c r="F40" s="18" t="s">
        <v>146</v>
      </c>
      <c r="G40" s="18" t="s">
        <v>29</v>
      </c>
      <c r="H40" s="12">
        <v>43.21</v>
      </c>
      <c r="I40" s="21">
        <f t="shared" si="24"/>
        <v>518.52</v>
      </c>
      <c r="J40" s="14">
        <f t="shared" si="25"/>
        <v>575.9893</v>
      </c>
      <c r="K40" s="21">
        <f t="shared" si="26"/>
        <v>604.94</v>
      </c>
      <c r="L40" s="29"/>
      <c r="M40" s="56"/>
      <c r="O40" s="12">
        <v>39.64</v>
      </c>
      <c r="P40" s="89">
        <f t="shared" si="5"/>
        <v>43.21</v>
      </c>
      <c r="Q40" s="70">
        <f t="shared" si="20"/>
        <v>0.0900605449041372</v>
      </c>
      <c r="R40" s="25">
        <f t="shared" si="21"/>
        <v>575.9893</v>
      </c>
    </row>
    <row r="41" spans="1:18">
      <c r="A41" s="18" t="s">
        <v>213</v>
      </c>
      <c r="B41" s="18">
        <v>1.27</v>
      </c>
      <c r="C41" s="19">
        <f t="shared" si="22"/>
        <v>49.9999</v>
      </c>
      <c r="D41" s="26" t="s">
        <v>34</v>
      </c>
      <c r="E41" s="20">
        <f t="shared" si="23"/>
        <v>1.48</v>
      </c>
      <c r="F41" s="18" t="s">
        <v>147</v>
      </c>
      <c r="G41" s="18" t="s">
        <v>29</v>
      </c>
      <c r="H41" s="12">
        <v>45.49</v>
      </c>
      <c r="I41" s="21">
        <f t="shared" si="24"/>
        <v>545.88</v>
      </c>
      <c r="J41" s="14">
        <f t="shared" si="25"/>
        <v>606.3817</v>
      </c>
      <c r="K41" s="21">
        <f t="shared" si="26"/>
        <v>636.86</v>
      </c>
      <c r="L41" s="29"/>
      <c r="M41" s="56"/>
      <c r="O41" s="12">
        <v>41.73</v>
      </c>
      <c r="P41" s="89">
        <f t="shared" si="5"/>
        <v>45.49</v>
      </c>
      <c r="Q41" s="70">
        <f t="shared" si="20"/>
        <v>0.0901030433740715</v>
      </c>
      <c r="R41" s="25">
        <f t="shared" si="21"/>
        <v>606.3817</v>
      </c>
    </row>
    <row r="42" spans="1:18">
      <c r="A42" s="18" t="s">
        <v>213</v>
      </c>
      <c r="B42" s="18">
        <v>1.321</v>
      </c>
      <c r="C42" s="19">
        <f t="shared" si="22"/>
        <v>52.00777</v>
      </c>
      <c r="D42" s="26" t="s">
        <v>31</v>
      </c>
      <c r="E42" s="20">
        <f t="shared" ref="E42:E44" si="27">B42+0.14</f>
        <v>1.461</v>
      </c>
      <c r="F42" s="18" t="s">
        <v>147</v>
      </c>
      <c r="G42" s="18" t="s">
        <v>29</v>
      </c>
      <c r="H42" s="12">
        <v>32.77</v>
      </c>
      <c r="I42" s="21">
        <f t="shared" si="24"/>
        <v>393.24</v>
      </c>
      <c r="J42" s="14">
        <f t="shared" si="25"/>
        <v>436.8241</v>
      </c>
      <c r="K42" s="21">
        <f t="shared" si="26"/>
        <v>458.78</v>
      </c>
      <c r="L42" s="29"/>
      <c r="M42" s="56"/>
      <c r="O42" s="12">
        <v>30.06</v>
      </c>
      <c r="P42" s="89">
        <f t="shared" si="5"/>
        <v>32.77</v>
      </c>
      <c r="Q42" s="70">
        <f t="shared" si="20"/>
        <v>0.0901530272787759</v>
      </c>
      <c r="R42" s="25">
        <f t="shared" si="21"/>
        <v>436.8241</v>
      </c>
    </row>
    <row r="43" spans="1:18">
      <c r="A43" s="18" t="s">
        <v>213</v>
      </c>
      <c r="B43" s="18">
        <v>1.372</v>
      </c>
      <c r="C43" s="19">
        <f t="shared" si="22"/>
        <v>54.01564</v>
      </c>
      <c r="D43" s="26" t="s">
        <v>44</v>
      </c>
      <c r="E43" s="20">
        <f>B43+0.1</f>
        <v>1.472</v>
      </c>
      <c r="F43" s="18" t="s">
        <v>147</v>
      </c>
      <c r="G43" s="18" t="s">
        <v>29</v>
      </c>
      <c r="H43" s="12">
        <v>29.5</v>
      </c>
      <c r="I43" s="21">
        <f t="shared" si="24"/>
        <v>354</v>
      </c>
      <c r="J43" s="14">
        <f t="shared" si="25"/>
        <v>393.235</v>
      </c>
      <c r="K43" s="21">
        <f t="shared" si="26"/>
        <v>413</v>
      </c>
      <c r="L43" s="29"/>
      <c r="M43" s="56"/>
      <c r="O43" s="12">
        <v>27.06</v>
      </c>
      <c r="P43" s="89">
        <f t="shared" si="5"/>
        <v>29.5</v>
      </c>
      <c r="Q43" s="70">
        <f t="shared" si="20"/>
        <v>0.090169992609017</v>
      </c>
      <c r="R43" s="25">
        <f t="shared" si="21"/>
        <v>393.235</v>
      </c>
    </row>
    <row r="44" spans="1:18">
      <c r="A44" s="18" t="s">
        <v>213</v>
      </c>
      <c r="B44" s="18">
        <v>1.676</v>
      </c>
      <c r="C44" s="19">
        <f t="shared" si="22"/>
        <v>65.98412</v>
      </c>
      <c r="D44" s="26" t="s">
        <v>34</v>
      </c>
      <c r="E44" s="20">
        <f>B44+0.21</f>
        <v>1.886</v>
      </c>
      <c r="F44" s="18" t="s">
        <v>149</v>
      </c>
      <c r="G44" s="18" t="s">
        <v>29</v>
      </c>
      <c r="H44" s="12">
        <v>49.87</v>
      </c>
      <c r="I44" s="21">
        <f t="shared" si="24"/>
        <v>598.44</v>
      </c>
      <c r="J44" s="14">
        <f t="shared" si="25"/>
        <v>664.7671</v>
      </c>
      <c r="K44" s="21">
        <f t="shared" si="26"/>
        <v>698.18</v>
      </c>
      <c r="L44" s="29"/>
      <c r="M44" s="56"/>
      <c r="O44" s="12">
        <v>45.75</v>
      </c>
      <c r="P44" s="89">
        <f t="shared" si="5"/>
        <v>49.87</v>
      </c>
      <c r="Q44" s="70">
        <f t="shared" si="20"/>
        <v>0.0900546448087431</v>
      </c>
      <c r="R44" s="25">
        <f t="shared" si="21"/>
        <v>664.7671</v>
      </c>
    </row>
    <row r="45" spans="1:18">
      <c r="A45" s="18" t="s">
        <v>213</v>
      </c>
      <c r="B45" s="18">
        <v>1.703</v>
      </c>
      <c r="C45" s="19">
        <f t="shared" si="22"/>
        <v>67.04711</v>
      </c>
      <c r="D45" s="26" t="s">
        <v>59</v>
      </c>
      <c r="E45" s="20">
        <f>B45+0.28</f>
        <v>1.983</v>
      </c>
      <c r="F45" s="18" t="s">
        <v>149</v>
      </c>
      <c r="G45" s="18" t="s">
        <v>29</v>
      </c>
      <c r="H45" s="12">
        <v>66.93</v>
      </c>
      <c r="I45" s="21">
        <f t="shared" si="24"/>
        <v>803.16</v>
      </c>
      <c r="J45" s="14">
        <f t="shared" si="25"/>
        <v>892.1769</v>
      </c>
      <c r="K45" s="21">
        <f t="shared" si="26"/>
        <v>937.02</v>
      </c>
      <c r="O45" s="12">
        <v>61.4</v>
      </c>
      <c r="P45" s="89">
        <f t="shared" si="5"/>
        <v>66.93</v>
      </c>
      <c r="Q45" s="70">
        <f t="shared" si="20"/>
        <v>0.0900651465798047</v>
      </c>
      <c r="R45" s="25">
        <f t="shared" si="21"/>
        <v>892.1769</v>
      </c>
    </row>
    <row r="46" spans="1:18">
      <c r="A46" s="18" t="s">
        <v>213</v>
      </c>
      <c r="B46" s="18">
        <v>1.88</v>
      </c>
      <c r="C46" s="27">
        <f t="shared" si="22"/>
        <v>74.0156</v>
      </c>
      <c r="D46" s="26" t="s">
        <v>215</v>
      </c>
      <c r="E46" s="20">
        <f>B46+0.35</f>
        <v>2.23</v>
      </c>
      <c r="F46" s="18" t="s">
        <v>150</v>
      </c>
      <c r="G46" s="18" t="s">
        <v>29</v>
      </c>
      <c r="H46" s="12">
        <v>78.21</v>
      </c>
      <c r="I46" s="21">
        <f t="shared" si="24"/>
        <v>938.52</v>
      </c>
      <c r="J46" s="14">
        <f t="shared" si="25"/>
        <v>1042.5393</v>
      </c>
      <c r="K46" s="21">
        <f t="shared" si="26"/>
        <v>1094.94</v>
      </c>
      <c r="O46" s="12">
        <v>71.75</v>
      </c>
      <c r="P46" s="89">
        <f t="shared" si="5"/>
        <v>78.21</v>
      </c>
      <c r="Q46" s="70">
        <f t="shared" si="20"/>
        <v>0.0900348432055748</v>
      </c>
      <c r="R46" s="25">
        <f t="shared" si="21"/>
        <v>1042.5393</v>
      </c>
    </row>
    <row r="47" spans="1:18">
      <c r="A47" s="18" t="s">
        <v>213</v>
      </c>
      <c r="B47" s="18">
        <v>2.997</v>
      </c>
      <c r="C47" s="19">
        <f t="shared" si="22"/>
        <v>117.99189</v>
      </c>
      <c r="D47" s="26" t="s">
        <v>34</v>
      </c>
      <c r="E47" s="20">
        <f>B47+0.21</f>
        <v>3.207</v>
      </c>
      <c r="F47" s="18" t="s">
        <v>180</v>
      </c>
      <c r="G47" s="18" t="s">
        <v>29</v>
      </c>
      <c r="H47" s="12">
        <v>61.29</v>
      </c>
      <c r="I47" s="21">
        <f t="shared" si="24"/>
        <v>735.48</v>
      </c>
      <c r="J47" s="14">
        <f t="shared" si="25"/>
        <v>816.9957</v>
      </c>
      <c r="K47" s="21">
        <f t="shared" si="26"/>
        <v>858.06</v>
      </c>
      <c r="M47" s="92"/>
      <c r="O47" s="12">
        <v>57.82</v>
      </c>
      <c r="P47" s="89">
        <f>ROUND(O47*1.06,2)</f>
        <v>61.29</v>
      </c>
      <c r="Q47" s="70">
        <f t="shared" si="20"/>
        <v>0.0600138360428917</v>
      </c>
      <c r="R47" s="25">
        <f t="shared" si="21"/>
        <v>816.9957</v>
      </c>
    </row>
    <row r="49" ht="30" spans="1:18">
      <c r="A49" s="30" t="s">
        <v>10</v>
      </c>
      <c r="B49" s="30" t="s">
        <v>79</v>
      </c>
      <c r="C49" s="31" t="s">
        <v>201</v>
      </c>
      <c r="D49" s="30" t="s">
        <v>81</v>
      </c>
      <c r="E49" s="30" t="s">
        <v>82</v>
      </c>
      <c r="F49" s="12" t="s">
        <v>202</v>
      </c>
      <c r="G49" s="12"/>
      <c r="H49" s="12"/>
    </row>
    <row r="50" ht="49" customHeight="1" spans="1:18">
      <c r="A50" s="30" t="s">
        <v>84</v>
      </c>
      <c r="B50" s="30" t="s">
        <v>85</v>
      </c>
      <c r="C50" s="31" t="s">
        <v>86</v>
      </c>
      <c r="D50" s="30" t="s">
        <v>87</v>
      </c>
      <c r="E50" s="30" t="s">
        <v>88</v>
      </c>
      <c r="F50" s="20" t="s">
        <v>203</v>
      </c>
      <c r="G50" s="20" t="s">
        <v>204</v>
      </c>
      <c r="H50" s="20" t="s">
        <v>205</v>
      </c>
      <c r="O50" s="15" t="s">
        <v>20</v>
      </c>
      <c r="P50" s="16" t="s">
        <v>21</v>
      </c>
      <c r="Q50" s="17" t="s">
        <v>22</v>
      </c>
      <c r="R50" s="15" t="s">
        <v>93</v>
      </c>
    </row>
    <row r="51" spans="1:18">
      <c r="A51" s="30" t="s">
        <v>216</v>
      </c>
      <c r="B51" s="30">
        <v>7628</v>
      </c>
      <c r="C51" s="33">
        <v>0.48</v>
      </c>
      <c r="D51" s="30">
        <v>150</v>
      </c>
      <c r="E51" s="31" t="s">
        <v>96</v>
      </c>
      <c r="F51" s="74">
        <v>1.983</v>
      </c>
      <c r="G51" s="34">
        <f t="shared" ref="G51:G62" si="28">H51/D51</f>
        <v>26.02357</v>
      </c>
      <c r="H51" s="21">
        <f>F51*1968.5</f>
        <v>3903.5355</v>
      </c>
      <c r="O51" s="74">
        <v>1.803</v>
      </c>
      <c r="P51" s="82">
        <f>ROUND(O51*1.1,3)</f>
        <v>1.983</v>
      </c>
      <c r="Q51" s="70">
        <f>P51/O51-1</f>
        <v>0.0998336106489186</v>
      </c>
      <c r="R51" s="93">
        <f>P51*3937/300</f>
        <v>26.02357</v>
      </c>
    </row>
    <row r="52" spans="1:18">
      <c r="A52" s="30" t="s">
        <v>216</v>
      </c>
      <c r="B52" s="30">
        <v>7628</v>
      </c>
      <c r="C52" s="33">
        <v>0.5</v>
      </c>
      <c r="D52" s="30">
        <v>150</v>
      </c>
      <c r="E52" s="31" t="s">
        <v>96</v>
      </c>
      <c r="F52" s="74">
        <v>2.075</v>
      </c>
      <c r="G52" s="34">
        <f t="shared" si="28"/>
        <v>27.2309166666667</v>
      </c>
      <c r="H52" s="21">
        <f>F52*1968.5</f>
        <v>4084.6375</v>
      </c>
      <c r="O52" s="74">
        <v>1.886</v>
      </c>
      <c r="P52" s="82">
        <f>ROUND(O52*1.1,3)</f>
        <v>2.075</v>
      </c>
      <c r="Q52" s="70">
        <f t="shared" ref="Q52:Q62" si="29">P52/O52-1</f>
        <v>0.100212089077413</v>
      </c>
      <c r="R52" s="93">
        <f t="shared" ref="R52:R62" si="30">P52*3937/300</f>
        <v>27.2309166666667</v>
      </c>
    </row>
    <row r="53" spans="1:18">
      <c r="A53" s="30" t="s">
        <v>216</v>
      </c>
      <c r="B53" s="30">
        <v>2116</v>
      </c>
      <c r="C53" s="33">
        <v>0.53</v>
      </c>
      <c r="D53" s="30">
        <v>300</v>
      </c>
      <c r="E53" s="31" t="s">
        <v>96</v>
      </c>
      <c r="F53" s="74">
        <v>1.891</v>
      </c>
      <c r="G53" s="34">
        <f t="shared" si="28"/>
        <v>24.8162233333333</v>
      </c>
      <c r="H53" s="21">
        <f t="shared" ref="H53:H62" si="31">F53*3937</f>
        <v>7444.867</v>
      </c>
      <c r="O53" s="74">
        <v>1.735</v>
      </c>
      <c r="P53" s="82">
        <f>ROUND(O53*1.09,3)</f>
        <v>1.891</v>
      </c>
      <c r="Q53" s="70">
        <f t="shared" si="29"/>
        <v>0.0899135446685879</v>
      </c>
      <c r="R53" s="93">
        <f t="shared" si="30"/>
        <v>24.8162233333333</v>
      </c>
    </row>
    <row r="54" spans="1:18">
      <c r="A54" s="30" t="s">
        <v>216</v>
      </c>
      <c r="B54" s="30">
        <v>2116</v>
      </c>
      <c r="C54" s="33" t="s">
        <v>217</v>
      </c>
      <c r="D54" s="30">
        <v>300</v>
      </c>
      <c r="E54" s="31" t="s">
        <v>96</v>
      </c>
      <c r="F54" s="74">
        <v>1.882</v>
      </c>
      <c r="G54" s="34">
        <f t="shared" si="28"/>
        <v>24.6981133333333</v>
      </c>
      <c r="H54" s="21">
        <f t="shared" si="31"/>
        <v>7409.434</v>
      </c>
      <c r="O54" s="74">
        <v>1.711</v>
      </c>
      <c r="P54" s="82">
        <f>ROUND(O54*1.1,3)</f>
        <v>1.882</v>
      </c>
      <c r="Q54" s="70">
        <f t="shared" si="29"/>
        <v>0.0999415546464055</v>
      </c>
      <c r="R54" s="93">
        <f t="shared" si="30"/>
        <v>24.6981133333333</v>
      </c>
    </row>
    <row r="55" spans="1:18">
      <c r="A55" s="30" t="s">
        <v>216</v>
      </c>
      <c r="B55" s="30">
        <v>2116</v>
      </c>
      <c r="C55" s="33">
        <v>0.59</v>
      </c>
      <c r="D55" s="30">
        <v>300</v>
      </c>
      <c r="E55" s="31" t="s">
        <v>96</v>
      </c>
      <c r="F55" s="74">
        <v>1.964</v>
      </c>
      <c r="G55" s="34">
        <f t="shared" si="28"/>
        <v>25.7742266666667</v>
      </c>
      <c r="H55" s="21">
        <f t="shared" si="31"/>
        <v>7732.268</v>
      </c>
      <c r="O55" s="74">
        <v>1.785</v>
      </c>
      <c r="P55" s="82">
        <f>ROUND(O55*1.1,3)</f>
        <v>1.964</v>
      </c>
      <c r="Q55" s="70">
        <f t="shared" si="29"/>
        <v>0.100280112044818</v>
      </c>
      <c r="R55" s="93">
        <f t="shared" si="30"/>
        <v>25.7742266666667</v>
      </c>
    </row>
    <row r="56" spans="1:18">
      <c r="A56" s="30" t="s">
        <v>216</v>
      </c>
      <c r="B56" s="30">
        <v>2116</v>
      </c>
      <c r="C56" s="33">
        <v>0.61</v>
      </c>
      <c r="D56" s="30">
        <v>300</v>
      </c>
      <c r="E56" s="31" t="s">
        <v>96</v>
      </c>
      <c r="F56" s="74">
        <v>2.006</v>
      </c>
      <c r="G56" s="34">
        <f t="shared" si="28"/>
        <v>26.3254066666667</v>
      </c>
      <c r="H56" s="21">
        <f t="shared" si="31"/>
        <v>7897.622</v>
      </c>
      <c r="O56" s="74">
        <v>1.824</v>
      </c>
      <c r="P56" s="82">
        <f>ROUND(O56*1.1,3)</f>
        <v>2.006</v>
      </c>
      <c r="Q56" s="70">
        <f t="shared" si="29"/>
        <v>0.0997807017543859</v>
      </c>
      <c r="R56" s="93">
        <f t="shared" si="30"/>
        <v>26.3254066666667</v>
      </c>
    </row>
    <row r="57" spans="1:18">
      <c r="A57" s="30" t="s">
        <v>216</v>
      </c>
      <c r="B57" s="30">
        <v>1080</v>
      </c>
      <c r="C57" s="33">
        <v>0.62</v>
      </c>
      <c r="D57" s="30">
        <v>300</v>
      </c>
      <c r="E57" s="31" t="s">
        <v>96</v>
      </c>
      <c r="F57" s="74">
        <v>1.87</v>
      </c>
      <c r="G57" s="34">
        <f t="shared" si="28"/>
        <v>24.5406333333333</v>
      </c>
      <c r="H57" s="21">
        <f t="shared" si="31"/>
        <v>7362.19</v>
      </c>
      <c r="O57" s="74">
        <v>1.67</v>
      </c>
      <c r="P57" s="82">
        <f t="shared" ref="P57:P62" si="32">ROUND(O57*1.12,3)</f>
        <v>1.87</v>
      </c>
      <c r="Q57" s="70">
        <f t="shared" si="29"/>
        <v>0.119760479041916</v>
      </c>
      <c r="R57" s="93">
        <f t="shared" si="30"/>
        <v>24.5406333333333</v>
      </c>
    </row>
    <row r="58" spans="1:18">
      <c r="A58" s="30" t="s">
        <v>216</v>
      </c>
      <c r="B58" s="30">
        <v>1080</v>
      </c>
      <c r="C58" s="33">
        <v>0.66</v>
      </c>
      <c r="D58" s="30">
        <v>300</v>
      </c>
      <c r="E58" s="31" t="s">
        <v>96</v>
      </c>
      <c r="F58" s="74">
        <v>1.924</v>
      </c>
      <c r="G58" s="34">
        <f t="shared" si="28"/>
        <v>25.2492933333333</v>
      </c>
      <c r="H58" s="21">
        <f t="shared" si="31"/>
        <v>7574.788</v>
      </c>
      <c r="O58" s="74">
        <v>1.718</v>
      </c>
      <c r="P58" s="82">
        <f t="shared" si="32"/>
        <v>1.924</v>
      </c>
      <c r="Q58" s="70">
        <f t="shared" si="29"/>
        <v>0.119906868451688</v>
      </c>
      <c r="R58" s="93">
        <f t="shared" si="30"/>
        <v>25.2492933333333</v>
      </c>
    </row>
    <row r="59" spans="1:18">
      <c r="A59" s="30" t="s">
        <v>216</v>
      </c>
      <c r="B59" s="30">
        <v>1080</v>
      </c>
      <c r="C59" s="33">
        <v>0.67</v>
      </c>
      <c r="D59" s="30">
        <v>300</v>
      </c>
      <c r="E59" s="31" t="s">
        <v>96</v>
      </c>
      <c r="F59" s="74">
        <v>1.869</v>
      </c>
      <c r="G59" s="34">
        <f t="shared" si="28"/>
        <v>24.52751</v>
      </c>
      <c r="H59" s="21">
        <f t="shared" si="31"/>
        <v>7358.253</v>
      </c>
      <c r="J59" s="22"/>
      <c r="O59" s="74">
        <v>1.669</v>
      </c>
      <c r="P59" s="82">
        <f t="shared" si="32"/>
        <v>1.869</v>
      </c>
      <c r="Q59" s="70">
        <f t="shared" si="29"/>
        <v>0.11983223487118</v>
      </c>
      <c r="R59" s="93">
        <f t="shared" si="30"/>
        <v>24.52751</v>
      </c>
    </row>
    <row r="60" spans="1:18">
      <c r="A60" s="30" t="s">
        <v>216</v>
      </c>
      <c r="B60" s="30">
        <v>1080</v>
      </c>
      <c r="C60" s="33" t="s">
        <v>99</v>
      </c>
      <c r="D60" s="30">
        <v>300</v>
      </c>
      <c r="E60" s="31" t="s">
        <v>96</v>
      </c>
      <c r="F60" s="74">
        <v>1.976</v>
      </c>
      <c r="G60" s="34">
        <f t="shared" si="28"/>
        <v>25.9317066666667</v>
      </c>
      <c r="H60" s="21">
        <f t="shared" si="31"/>
        <v>7779.512</v>
      </c>
      <c r="M60" s="92"/>
      <c r="O60" s="74">
        <v>1.796</v>
      </c>
      <c r="P60" s="82">
        <f>ROUND(O60*1.1,3)</f>
        <v>1.976</v>
      </c>
      <c r="Q60" s="70">
        <f t="shared" si="29"/>
        <v>0.10022271714922</v>
      </c>
      <c r="R60" s="93">
        <f t="shared" si="30"/>
        <v>25.9317066666667</v>
      </c>
    </row>
    <row r="61" spans="1:18">
      <c r="A61" s="30" t="s">
        <v>216</v>
      </c>
      <c r="B61" s="30">
        <v>106</v>
      </c>
      <c r="C61" s="33">
        <v>0.76</v>
      </c>
      <c r="D61" s="30">
        <v>300</v>
      </c>
      <c r="E61" s="31" t="s">
        <v>96</v>
      </c>
      <c r="F61" s="74">
        <v>1.963</v>
      </c>
      <c r="G61" s="34">
        <f t="shared" si="28"/>
        <v>25.7611033333333</v>
      </c>
      <c r="H61" s="21">
        <f t="shared" si="31"/>
        <v>7728.331</v>
      </c>
      <c r="O61" s="74">
        <v>1.753</v>
      </c>
      <c r="P61" s="82">
        <f t="shared" si="32"/>
        <v>1.963</v>
      </c>
      <c r="Q61" s="70">
        <f t="shared" si="29"/>
        <v>0.119794637763833</v>
      </c>
      <c r="R61" s="93">
        <f t="shared" si="30"/>
        <v>25.7611033333333</v>
      </c>
    </row>
    <row r="62" spans="1:18">
      <c r="A62" s="30" t="s">
        <v>216</v>
      </c>
      <c r="B62" s="30">
        <v>106</v>
      </c>
      <c r="C62" s="33">
        <v>0.78</v>
      </c>
      <c r="D62" s="30">
        <v>300</v>
      </c>
      <c r="E62" s="31" t="s">
        <v>96</v>
      </c>
      <c r="F62" s="74">
        <v>2.101</v>
      </c>
      <c r="G62" s="34">
        <f t="shared" si="28"/>
        <v>27.5721233333333</v>
      </c>
      <c r="H62" s="21">
        <f t="shared" si="31"/>
        <v>8271.637</v>
      </c>
      <c r="M62" s="92"/>
      <c r="O62" s="74">
        <v>1.876</v>
      </c>
      <c r="P62" s="82">
        <f t="shared" si="32"/>
        <v>2.101</v>
      </c>
      <c r="Q62" s="70">
        <f t="shared" si="29"/>
        <v>0.119936034115139</v>
      </c>
      <c r="R62" s="93">
        <f t="shared" si="30"/>
        <v>27.5721233333333</v>
      </c>
    </row>
  </sheetData>
  <autoFilter xmlns:etc="http://www.wps.cn/officeDocument/2017/etCustomData" ref="A9:R47" etc:filterBottomFollowUsedRange="0">
    <extLst/>
  </autoFilter>
  <mergeCells count="3">
    <mergeCell ref="A2:K2"/>
    <mergeCell ref="A3:K3"/>
    <mergeCell ref="F49:H49"/>
  </mergeCells>
  <pageMargins left="0.75" right="0.75" top="1" bottom="1" header="0.5" footer="0.5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"/>
  <sheetViews>
    <sheetView zoomScale="88" zoomScaleNormal="88" topLeftCell="A5" workbookViewId="0">
      <pane ySplit="5" topLeftCell="A10" activePane="bottomLeft" state="frozen"/>
      <selection/>
      <selection pane="bottomLeft" activeCell="M5" sqref="M$1:N$1048576"/>
    </sheetView>
  </sheetViews>
  <sheetFormatPr defaultColWidth="8.66666666666667" defaultRowHeight="15.6"/>
  <cols>
    <col min="1" max="1" width="9.43333333333333" style="1" customWidth="1"/>
    <col min="2" max="5" width="8.66666666666667" style="1"/>
    <col min="6" max="6" width="14.6666666666667" style="1" customWidth="1"/>
    <col min="7" max="11" width="8.66666666666667" style="1"/>
    <col min="12" max="12" width="11.3583333333333" style="1" customWidth="1"/>
    <col min="13" max="13" width="8.66666666666667" style="83"/>
    <col min="14" max="14" width="8.05833333333333" style="1" customWidth="1"/>
    <col min="15" max="16384" width="8.66666666666667" style="1"/>
  </cols>
  <sheetData>
    <row r="1" ht="45" customHeight="1" spans="1:18">
      <c r="A1" s="2"/>
      <c r="B1" s="2"/>
      <c r="C1" s="2"/>
      <c r="D1" s="2"/>
      <c r="E1" s="2"/>
      <c r="F1" s="3"/>
      <c r="G1" s="4"/>
      <c r="H1" s="2"/>
      <c r="I1" s="4"/>
      <c r="J1" s="3"/>
      <c r="K1" s="4"/>
      <c r="L1" s="4"/>
      <c r="M1" s="84"/>
    </row>
    <row r="2" spans="1:18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85"/>
    </row>
    <row r="3" spans="1:18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85"/>
    </row>
    <row r="4" spans="1:18">
      <c r="A4" s="6" t="s">
        <v>189</v>
      </c>
      <c r="B4" s="6"/>
      <c r="C4" s="6"/>
      <c r="D4" s="6"/>
      <c r="E4" s="6"/>
      <c r="F4" s="7"/>
      <c r="G4" s="6"/>
      <c r="H4" s="6"/>
      <c r="I4" s="6" t="s">
        <v>3</v>
      </c>
      <c r="J4" s="8"/>
      <c r="K4" s="6"/>
      <c r="L4" s="6"/>
      <c r="M4" s="86"/>
    </row>
    <row r="5" spans="1:18">
      <c r="A5" s="6" t="s">
        <v>4</v>
      </c>
      <c r="B5" s="46"/>
      <c r="C5" s="46"/>
      <c r="D5" s="46"/>
      <c r="E5" s="52"/>
      <c r="F5" s="52"/>
      <c r="G5" s="41"/>
      <c r="H5" s="46"/>
      <c r="I5" s="79" t="s">
        <v>5</v>
      </c>
      <c r="J5" s="8"/>
      <c r="K5" s="6"/>
      <c r="L5" s="6"/>
      <c r="M5" s="86"/>
    </row>
    <row r="6" spans="1:18">
      <c r="A6" s="6" t="s">
        <v>6</v>
      </c>
      <c r="B6" s="46"/>
      <c r="C6" s="46"/>
      <c r="D6" s="46"/>
      <c r="E6" s="52"/>
      <c r="F6" s="52"/>
      <c r="G6" s="41"/>
      <c r="H6" s="46"/>
      <c r="I6" s="9" t="s">
        <v>7</v>
      </c>
      <c r="J6" s="8"/>
      <c r="K6" s="6"/>
      <c r="L6" s="6"/>
      <c r="M6" s="86"/>
    </row>
    <row r="7" spans="1:18">
      <c r="A7" s="6"/>
      <c r="B7" s="6"/>
      <c r="C7" s="6"/>
      <c r="D7" s="6"/>
      <c r="E7" s="6"/>
      <c r="F7" s="6"/>
      <c r="G7" s="6"/>
      <c r="H7" s="6"/>
      <c r="I7" s="6" t="s">
        <v>211</v>
      </c>
      <c r="J7" s="8"/>
      <c r="K7" s="6"/>
      <c r="L7" s="6"/>
      <c r="M7" s="86"/>
    </row>
    <row r="8" spans="1:18">
      <c r="A8" s="10" t="s">
        <v>218</v>
      </c>
      <c r="B8" s="11"/>
      <c r="C8" s="11"/>
      <c r="D8" s="11"/>
      <c r="E8" s="11"/>
      <c r="F8" s="11"/>
      <c r="G8" s="11"/>
      <c r="H8" s="11"/>
      <c r="I8" s="76" t="s">
        <v>9</v>
      </c>
      <c r="J8" s="11"/>
      <c r="K8" s="11"/>
      <c r="L8" s="11"/>
      <c r="M8" s="87"/>
    </row>
    <row r="9" ht="45" spans="1:18">
      <c r="A9" s="12" t="s">
        <v>191</v>
      </c>
      <c r="B9" s="12" t="s">
        <v>192</v>
      </c>
      <c r="C9" s="12" t="s">
        <v>193</v>
      </c>
      <c r="D9" s="13" t="s">
        <v>14</v>
      </c>
      <c r="E9" s="13" t="s">
        <v>194</v>
      </c>
      <c r="F9" s="12" t="s">
        <v>195</v>
      </c>
      <c r="G9" s="12" t="s">
        <v>15</v>
      </c>
      <c r="H9" s="12" t="s">
        <v>196</v>
      </c>
      <c r="I9" s="14" t="s">
        <v>197</v>
      </c>
      <c r="J9" s="14" t="s">
        <v>198</v>
      </c>
      <c r="K9" s="14" t="s">
        <v>199</v>
      </c>
      <c r="L9" s="53"/>
      <c r="M9" s="88"/>
      <c r="O9" s="15" t="s">
        <v>20</v>
      </c>
      <c r="P9" s="16" t="s">
        <v>21</v>
      </c>
      <c r="Q9" s="17" t="s">
        <v>22</v>
      </c>
      <c r="R9" s="15" t="s">
        <v>23</v>
      </c>
    </row>
    <row r="10" spans="1:18">
      <c r="A10" s="18" t="s">
        <v>219</v>
      </c>
      <c r="B10" s="12">
        <v>0.064</v>
      </c>
      <c r="C10" s="27">
        <f t="shared" ref="C10:C13" si="0">B10*39.37</f>
        <v>2.51968</v>
      </c>
      <c r="D10" s="13" t="s">
        <v>43</v>
      </c>
      <c r="E10" s="20">
        <f t="shared" ref="E10:E13" si="1">B10+0.03</f>
        <v>0.094</v>
      </c>
      <c r="F10" s="12" t="s">
        <v>220</v>
      </c>
      <c r="G10" s="18" t="s">
        <v>29</v>
      </c>
      <c r="H10" s="12">
        <v>6.84</v>
      </c>
      <c r="I10" s="21">
        <f t="shared" ref="I10:I13" si="2">H10*12</f>
        <v>82.08</v>
      </c>
      <c r="J10" s="14">
        <f t="shared" ref="J10:J13" si="3">H10*13.33</f>
        <v>91.1772</v>
      </c>
      <c r="K10" s="21">
        <f t="shared" ref="K10:K13" si="4">H10*14</f>
        <v>95.76</v>
      </c>
      <c r="L10" s="53"/>
      <c r="M10" s="88"/>
      <c r="O10" s="12">
        <v>6.33</v>
      </c>
      <c r="P10" s="89">
        <f>ROUND(O10*1.08,2)</f>
        <v>6.84</v>
      </c>
      <c r="Q10" s="70">
        <f>(P10-O10)/O10</f>
        <v>0.0805687203791469</v>
      </c>
      <c r="R10" s="25">
        <f>P10*13.33</f>
        <v>91.1772</v>
      </c>
    </row>
    <row r="11" spans="1:18">
      <c r="A11" s="18" t="s">
        <v>219</v>
      </c>
      <c r="B11" s="12">
        <v>0.1</v>
      </c>
      <c r="C11" s="19">
        <f t="shared" si="0"/>
        <v>3.937</v>
      </c>
      <c r="D11" s="26" t="s">
        <v>28</v>
      </c>
      <c r="E11" s="20">
        <f t="shared" si="1"/>
        <v>0.13</v>
      </c>
      <c r="F11" s="12" t="s">
        <v>126</v>
      </c>
      <c r="G11" s="18" t="s">
        <v>29</v>
      </c>
      <c r="H11" s="12">
        <v>7.59</v>
      </c>
      <c r="I11" s="21">
        <f t="shared" si="2"/>
        <v>91.08</v>
      </c>
      <c r="J11" s="14">
        <f t="shared" si="3"/>
        <v>101.1747</v>
      </c>
      <c r="K11" s="21">
        <f t="shared" si="4"/>
        <v>106.26</v>
      </c>
      <c r="L11" s="53"/>
      <c r="M11" s="88"/>
      <c r="O11" s="12">
        <v>7.03</v>
      </c>
      <c r="P11" s="89">
        <f t="shared" ref="P11:P26" si="5">ROUND(O11*1.08,2)</f>
        <v>7.59</v>
      </c>
      <c r="Q11" s="70">
        <f t="shared" ref="Q11:Q26" si="6">(P11-O11)/O11</f>
        <v>0.0796586059743954</v>
      </c>
      <c r="R11" s="25">
        <f t="shared" ref="R11:R26" si="7">P11*13.33</f>
        <v>101.1747</v>
      </c>
    </row>
    <row r="12" spans="1:18">
      <c r="A12" s="18" t="s">
        <v>219</v>
      </c>
      <c r="B12" s="12">
        <v>0.1</v>
      </c>
      <c r="C12" s="19">
        <f t="shared" si="0"/>
        <v>3.937</v>
      </c>
      <c r="D12" s="26" t="s">
        <v>26</v>
      </c>
      <c r="E12" s="20">
        <f t="shared" ref="E12:E16" si="8">B12+0.07</f>
        <v>0.17</v>
      </c>
      <c r="F12" s="12" t="s">
        <v>126</v>
      </c>
      <c r="G12" s="18" t="s">
        <v>29</v>
      </c>
      <c r="H12" s="12">
        <v>10.95</v>
      </c>
      <c r="I12" s="21">
        <f t="shared" si="2"/>
        <v>131.4</v>
      </c>
      <c r="J12" s="14">
        <f t="shared" si="3"/>
        <v>145.9635</v>
      </c>
      <c r="K12" s="21">
        <f t="shared" si="4"/>
        <v>153.3</v>
      </c>
      <c r="L12" s="29"/>
      <c r="M12" s="90"/>
      <c r="O12" s="12">
        <v>10.14</v>
      </c>
      <c r="P12" s="89">
        <f t="shared" si="5"/>
        <v>10.95</v>
      </c>
      <c r="Q12" s="70">
        <f t="shared" si="6"/>
        <v>0.0798816568047336</v>
      </c>
      <c r="R12" s="25">
        <f t="shared" si="7"/>
        <v>145.9635</v>
      </c>
    </row>
    <row r="13" spans="1:18">
      <c r="A13" s="18" t="s">
        <v>219</v>
      </c>
      <c r="B13" s="12">
        <v>0.114</v>
      </c>
      <c r="C13" s="27">
        <f t="shared" si="0"/>
        <v>4.48818</v>
      </c>
      <c r="D13" s="26" t="s">
        <v>28</v>
      </c>
      <c r="E13" s="20">
        <f t="shared" si="1"/>
        <v>0.144</v>
      </c>
      <c r="F13" s="12" t="s">
        <v>126</v>
      </c>
      <c r="G13" s="18" t="s">
        <v>29</v>
      </c>
      <c r="H13" s="12">
        <v>7.59</v>
      </c>
      <c r="I13" s="21">
        <f t="shared" si="2"/>
        <v>91.08</v>
      </c>
      <c r="J13" s="14">
        <f t="shared" si="3"/>
        <v>101.1747</v>
      </c>
      <c r="K13" s="21">
        <f t="shared" si="4"/>
        <v>106.26</v>
      </c>
      <c r="L13" s="29"/>
      <c r="M13" s="90"/>
      <c r="O13" s="12">
        <v>7.03</v>
      </c>
      <c r="P13" s="89">
        <f t="shared" si="5"/>
        <v>7.59</v>
      </c>
      <c r="Q13" s="70">
        <f t="shared" si="6"/>
        <v>0.0796586059743954</v>
      </c>
      <c r="R13" s="25">
        <f t="shared" si="7"/>
        <v>101.1747</v>
      </c>
    </row>
    <row r="14" ht="14" customHeight="1" spans="1:18">
      <c r="A14" s="18" t="s">
        <v>219</v>
      </c>
      <c r="B14" s="12">
        <v>0.127</v>
      </c>
      <c r="C14" s="19">
        <f t="shared" ref="C14:C17" si="9">B14*39.37</f>
        <v>4.99999</v>
      </c>
      <c r="D14" s="26" t="s">
        <v>28</v>
      </c>
      <c r="E14" s="20">
        <f t="shared" ref="E14:E17" si="10">B14+0.03</f>
        <v>0.157</v>
      </c>
      <c r="F14" s="12" t="s">
        <v>126</v>
      </c>
      <c r="G14" s="18" t="s">
        <v>29</v>
      </c>
      <c r="H14" s="12">
        <v>7.69</v>
      </c>
      <c r="I14" s="21">
        <f t="shared" ref="I14:I17" si="11">H14*12</f>
        <v>92.28</v>
      </c>
      <c r="J14" s="14">
        <f t="shared" ref="J14:J17" si="12">H14*13.33</f>
        <v>102.5077</v>
      </c>
      <c r="K14" s="21">
        <f t="shared" ref="K14:K17" si="13">H14*14</f>
        <v>107.66</v>
      </c>
      <c r="L14" s="29"/>
      <c r="M14" s="91"/>
      <c r="O14" s="12">
        <v>7.12</v>
      </c>
      <c r="P14" s="89">
        <f t="shared" si="5"/>
        <v>7.69</v>
      </c>
      <c r="Q14" s="70">
        <f t="shared" si="6"/>
        <v>0.0800561797752809</v>
      </c>
      <c r="R14" s="25">
        <f t="shared" si="7"/>
        <v>102.5077</v>
      </c>
    </row>
    <row r="15" ht="14" customHeight="1" spans="1:18">
      <c r="A15" s="18" t="s">
        <v>219</v>
      </c>
      <c r="B15" s="12">
        <v>0.127</v>
      </c>
      <c r="C15" s="19">
        <f t="shared" si="9"/>
        <v>4.99999</v>
      </c>
      <c r="D15" s="26" t="s">
        <v>26</v>
      </c>
      <c r="E15" s="20">
        <f t="shared" si="8"/>
        <v>0.197</v>
      </c>
      <c r="F15" s="12" t="s">
        <v>126</v>
      </c>
      <c r="G15" s="18" t="s">
        <v>29</v>
      </c>
      <c r="H15" s="12">
        <v>11.12</v>
      </c>
      <c r="I15" s="21">
        <f t="shared" si="11"/>
        <v>133.44</v>
      </c>
      <c r="J15" s="14">
        <f t="shared" si="12"/>
        <v>148.2296</v>
      </c>
      <c r="K15" s="21">
        <f t="shared" si="13"/>
        <v>155.68</v>
      </c>
      <c r="L15" s="29"/>
      <c r="M15" s="56"/>
      <c r="O15" s="12">
        <v>10.3</v>
      </c>
      <c r="P15" s="89">
        <f t="shared" si="5"/>
        <v>11.12</v>
      </c>
      <c r="Q15" s="70">
        <f t="shared" si="6"/>
        <v>0.0796116504854367</v>
      </c>
      <c r="R15" s="25">
        <f t="shared" si="7"/>
        <v>148.2296</v>
      </c>
    </row>
    <row r="16" ht="14" customHeight="1" spans="1:18">
      <c r="A16" s="18" t="s">
        <v>219</v>
      </c>
      <c r="B16" s="12">
        <v>0.15</v>
      </c>
      <c r="C16" s="19">
        <f t="shared" si="9"/>
        <v>5.9055</v>
      </c>
      <c r="D16" s="26" t="s">
        <v>28</v>
      </c>
      <c r="E16" s="20">
        <f t="shared" si="10"/>
        <v>0.18</v>
      </c>
      <c r="F16" s="12" t="s">
        <v>129</v>
      </c>
      <c r="G16" s="18" t="s">
        <v>29</v>
      </c>
      <c r="H16" s="12">
        <v>8.15</v>
      </c>
      <c r="I16" s="21">
        <f t="shared" si="11"/>
        <v>97.8</v>
      </c>
      <c r="J16" s="14">
        <f t="shared" si="12"/>
        <v>108.6395</v>
      </c>
      <c r="K16" s="21">
        <f t="shared" si="13"/>
        <v>114.1</v>
      </c>
      <c r="L16" s="29"/>
      <c r="M16" s="91"/>
      <c r="O16" s="12">
        <v>7.55</v>
      </c>
      <c r="P16" s="89">
        <f t="shared" si="5"/>
        <v>8.15</v>
      </c>
      <c r="Q16" s="70">
        <f t="shared" si="6"/>
        <v>0.0794701986754968</v>
      </c>
      <c r="R16" s="25">
        <f t="shared" si="7"/>
        <v>108.6395</v>
      </c>
    </row>
    <row r="17" ht="14" customHeight="1" spans="1:18">
      <c r="A17" s="18" t="s">
        <v>219</v>
      </c>
      <c r="B17" s="12">
        <v>0.15</v>
      </c>
      <c r="C17" s="19">
        <f t="shared" si="9"/>
        <v>5.9055</v>
      </c>
      <c r="D17" s="26" t="s">
        <v>26</v>
      </c>
      <c r="E17" s="20">
        <f t="shared" ref="E17:E22" si="14">B17+0.07</f>
        <v>0.22</v>
      </c>
      <c r="F17" s="12" t="s">
        <v>129</v>
      </c>
      <c r="G17" s="18" t="s">
        <v>29</v>
      </c>
      <c r="H17" s="12">
        <v>12.12</v>
      </c>
      <c r="I17" s="21">
        <f t="shared" si="11"/>
        <v>145.44</v>
      </c>
      <c r="J17" s="14">
        <f t="shared" si="12"/>
        <v>161.5596</v>
      </c>
      <c r="K17" s="21">
        <f t="shared" si="13"/>
        <v>169.68</v>
      </c>
      <c r="L17" s="29"/>
      <c r="M17" s="91"/>
      <c r="O17" s="12">
        <v>11.22</v>
      </c>
      <c r="P17" s="89">
        <f t="shared" si="5"/>
        <v>12.12</v>
      </c>
      <c r="Q17" s="70">
        <f t="shared" si="6"/>
        <v>0.0802139037433154</v>
      </c>
      <c r="R17" s="25">
        <f t="shared" si="7"/>
        <v>161.5596</v>
      </c>
    </row>
    <row r="18" spans="1:18">
      <c r="A18" s="18" t="s">
        <v>219</v>
      </c>
      <c r="B18" s="12">
        <v>0.15</v>
      </c>
      <c r="C18" s="19">
        <f t="shared" ref="C18:C22" si="15">B18*39.37</f>
        <v>5.9055</v>
      </c>
      <c r="D18" s="26" t="s">
        <v>26</v>
      </c>
      <c r="E18" s="20">
        <f t="shared" si="14"/>
        <v>0.22</v>
      </c>
      <c r="F18" s="12" t="s">
        <v>128</v>
      </c>
      <c r="G18" s="18" t="s">
        <v>29</v>
      </c>
      <c r="H18" s="12">
        <v>12.19</v>
      </c>
      <c r="I18" s="21">
        <f t="shared" ref="I18:I22" si="16">H18*12</f>
        <v>146.28</v>
      </c>
      <c r="J18" s="14">
        <f t="shared" ref="J18:J22" si="17">H18*13.33</f>
        <v>162.4927</v>
      </c>
      <c r="K18" s="21">
        <f t="shared" ref="K18:K22" si="18">H18*14</f>
        <v>170.66</v>
      </c>
      <c r="L18" s="29"/>
      <c r="M18" s="56"/>
      <c r="O18" s="12">
        <v>11.29</v>
      </c>
      <c r="P18" s="89">
        <f t="shared" si="5"/>
        <v>12.19</v>
      </c>
      <c r="Q18" s="70">
        <f t="shared" si="6"/>
        <v>0.0797165633303809</v>
      </c>
      <c r="R18" s="25">
        <f t="shared" si="7"/>
        <v>162.4927</v>
      </c>
    </row>
    <row r="19" spans="1:18">
      <c r="A19" s="18" t="s">
        <v>219</v>
      </c>
      <c r="B19" s="12">
        <v>0.15</v>
      </c>
      <c r="C19" s="19">
        <f t="shared" si="15"/>
        <v>5.9055</v>
      </c>
      <c r="D19" s="26" t="s">
        <v>34</v>
      </c>
      <c r="E19" s="20">
        <f t="shared" si="14"/>
        <v>0.22</v>
      </c>
      <c r="F19" s="12" t="s">
        <v>128</v>
      </c>
      <c r="G19" s="18" t="s">
        <v>29</v>
      </c>
      <c r="H19" s="12">
        <v>34.99</v>
      </c>
      <c r="I19" s="21">
        <f t="shared" si="16"/>
        <v>419.88</v>
      </c>
      <c r="J19" s="14">
        <f t="shared" si="17"/>
        <v>466.4167</v>
      </c>
      <c r="K19" s="21">
        <f t="shared" si="18"/>
        <v>489.86</v>
      </c>
      <c r="L19" s="29"/>
      <c r="M19" s="91"/>
      <c r="O19" s="12">
        <v>32.4</v>
      </c>
      <c r="P19" s="89">
        <f t="shared" si="5"/>
        <v>34.99</v>
      </c>
      <c r="Q19" s="70">
        <f t="shared" si="6"/>
        <v>0.0799382716049384</v>
      </c>
      <c r="R19" s="25">
        <f t="shared" si="7"/>
        <v>466.4167</v>
      </c>
    </row>
    <row r="20" spans="1:18">
      <c r="A20" s="18" t="s">
        <v>219</v>
      </c>
      <c r="B20" s="12">
        <v>0.178</v>
      </c>
      <c r="C20" s="19">
        <f t="shared" si="15"/>
        <v>7.00786</v>
      </c>
      <c r="D20" s="26" t="s">
        <v>31</v>
      </c>
      <c r="E20" s="20">
        <f>B20+0.14</f>
        <v>0.318</v>
      </c>
      <c r="F20" s="12" t="s">
        <v>130</v>
      </c>
      <c r="G20" s="18" t="s">
        <v>29</v>
      </c>
      <c r="H20" s="12">
        <v>22.84</v>
      </c>
      <c r="I20" s="21">
        <f t="shared" si="16"/>
        <v>274.08</v>
      </c>
      <c r="J20" s="14">
        <f t="shared" si="17"/>
        <v>304.4572</v>
      </c>
      <c r="K20" s="21">
        <f t="shared" si="18"/>
        <v>319.76</v>
      </c>
      <c r="L20" s="29"/>
      <c r="M20" s="56"/>
      <c r="O20" s="12">
        <v>21.15</v>
      </c>
      <c r="P20" s="89">
        <f t="shared" si="5"/>
        <v>22.84</v>
      </c>
      <c r="Q20" s="70">
        <f t="shared" si="6"/>
        <v>0.0799054373522459</v>
      </c>
      <c r="R20" s="25">
        <f t="shared" si="7"/>
        <v>304.4572</v>
      </c>
    </row>
    <row r="21" spans="1:18">
      <c r="A21" s="18" t="s">
        <v>219</v>
      </c>
      <c r="B21" s="12">
        <v>0.2</v>
      </c>
      <c r="C21" s="19">
        <f t="shared" si="15"/>
        <v>7.874</v>
      </c>
      <c r="D21" s="26" t="s">
        <v>26</v>
      </c>
      <c r="E21" s="20">
        <f t="shared" si="14"/>
        <v>0.27</v>
      </c>
      <c r="F21" s="12" t="s">
        <v>130</v>
      </c>
      <c r="G21" s="18" t="s">
        <v>29</v>
      </c>
      <c r="H21" s="12">
        <v>11.34</v>
      </c>
      <c r="I21" s="21">
        <f t="shared" si="16"/>
        <v>136.08</v>
      </c>
      <c r="J21" s="14">
        <f t="shared" si="17"/>
        <v>151.1622</v>
      </c>
      <c r="K21" s="21">
        <f t="shared" si="18"/>
        <v>158.76</v>
      </c>
      <c r="L21" s="29"/>
      <c r="M21" s="56"/>
      <c r="O21" s="12">
        <v>10.5</v>
      </c>
      <c r="P21" s="89">
        <f t="shared" si="5"/>
        <v>11.34</v>
      </c>
      <c r="Q21" s="70">
        <f t="shared" si="6"/>
        <v>0.08</v>
      </c>
      <c r="R21" s="25">
        <f t="shared" si="7"/>
        <v>151.1622</v>
      </c>
    </row>
    <row r="22" spans="1:18">
      <c r="A22" s="18" t="s">
        <v>219</v>
      </c>
      <c r="B22" s="12">
        <v>0.25</v>
      </c>
      <c r="C22" s="19">
        <f t="shared" si="15"/>
        <v>9.8425</v>
      </c>
      <c r="D22" s="26" t="s">
        <v>28</v>
      </c>
      <c r="E22" s="20">
        <f>B22+0.03</f>
        <v>0.28</v>
      </c>
      <c r="F22" s="12" t="s">
        <v>131</v>
      </c>
      <c r="G22" s="18" t="s">
        <v>29</v>
      </c>
      <c r="H22" s="12">
        <v>9.57</v>
      </c>
      <c r="I22" s="21">
        <f t="shared" si="16"/>
        <v>114.84</v>
      </c>
      <c r="J22" s="14">
        <f t="shared" si="17"/>
        <v>127.5681</v>
      </c>
      <c r="K22" s="21">
        <f t="shared" si="18"/>
        <v>133.98</v>
      </c>
      <c r="L22" s="29"/>
      <c r="M22" s="91"/>
      <c r="O22" s="12">
        <v>8.86</v>
      </c>
      <c r="P22" s="89">
        <f t="shared" si="5"/>
        <v>9.57</v>
      </c>
      <c r="Q22" s="70">
        <f t="shared" si="6"/>
        <v>0.080135440180587</v>
      </c>
      <c r="R22" s="25">
        <f t="shared" si="7"/>
        <v>127.5681</v>
      </c>
    </row>
    <row r="23" spans="1:18">
      <c r="A23" s="18" t="s">
        <v>219</v>
      </c>
      <c r="B23" s="12">
        <v>0.25</v>
      </c>
      <c r="C23" s="19">
        <f t="shared" ref="C23:C48" si="19">B23*39.37</f>
        <v>9.8425</v>
      </c>
      <c r="D23" s="26" t="s">
        <v>26</v>
      </c>
      <c r="E23" s="20">
        <f>B23+0.07</f>
        <v>0.32</v>
      </c>
      <c r="F23" s="12" t="s">
        <v>131</v>
      </c>
      <c r="G23" s="18" t="s">
        <v>29</v>
      </c>
      <c r="H23" s="12">
        <v>12.6</v>
      </c>
      <c r="I23" s="21">
        <f t="shared" ref="I23:I48" si="20">H23*12</f>
        <v>151.2</v>
      </c>
      <c r="J23" s="14">
        <f t="shared" ref="J23:J48" si="21">H23*13.33</f>
        <v>167.958</v>
      </c>
      <c r="K23" s="21">
        <f t="shared" ref="K23:K48" si="22">H23*14</f>
        <v>176.4</v>
      </c>
      <c r="L23" s="29"/>
      <c r="M23" s="91"/>
      <c r="O23" s="12">
        <v>11.67</v>
      </c>
      <c r="P23" s="89">
        <f t="shared" si="5"/>
        <v>12.6</v>
      </c>
      <c r="Q23" s="70">
        <f t="shared" si="6"/>
        <v>0.0796915167095116</v>
      </c>
      <c r="R23" s="25">
        <f t="shared" si="7"/>
        <v>167.958</v>
      </c>
    </row>
    <row r="24" spans="1:18">
      <c r="A24" s="18" t="s">
        <v>219</v>
      </c>
      <c r="B24" s="12">
        <v>0.25</v>
      </c>
      <c r="C24" s="19">
        <f t="shared" si="19"/>
        <v>9.8425</v>
      </c>
      <c r="D24" s="26" t="s">
        <v>31</v>
      </c>
      <c r="E24" s="20">
        <f>B24+0.14</f>
        <v>0.39</v>
      </c>
      <c r="F24" s="12" t="s">
        <v>131</v>
      </c>
      <c r="G24" s="18" t="s">
        <v>29</v>
      </c>
      <c r="H24" s="12">
        <v>22.19</v>
      </c>
      <c r="I24" s="21">
        <f t="shared" si="20"/>
        <v>266.28</v>
      </c>
      <c r="J24" s="14">
        <f t="shared" si="21"/>
        <v>295.7927</v>
      </c>
      <c r="K24" s="21">
        <f t="shared" si="22"/>
        <v>310.66</v>
      </c>
      <c r="L24" s="29"/>
      <c r="M24" s="56"/>
      <c r="O24" s="12">
        <v>20.55</v>
      </c>
      <c r="P24" s="89">
        <f t="shared" si="5"/>
        <v>22.19</v>
      </c>
      <c r="Q24" s="70">
        <f t="shared" si="6"/>
        <v>0.0798053527980535</v>
      </c>
      <c r="R24" s="25">
        <f t="shared" si="7"/>
        <v>295.7927</v>
      </c>
    </row>
    <row r="25" spans="1:18">
      <c r="A25" s="18" t="s">
        <v>219</v>
      </c>
      <c r="B25" s="12">
        <v>0.25</v>
      </c>
      <c r="C25" s="19">
        <f t="shared" si="19"/>
        <v>9.8425</v>
      </c>
      <c r="D25" s="26" t="s">
        <v>31</v>
      </c>
      <c r="E25" s="20">
        <f>B25+0.14</f>
        <v>0.39</v>
      </c>
      <c r="F25" s="12" t="s">
        <v>133</v>
      </c>
      <c r="G25" s="18" t="s">
        <v>29</v>
      </c>
      <c r="H25" s="12">
        <v>24.97</v>
      </c>
      <c r="I25" s="21">
        <f t="shared" si="20"/>
        <v>299.64</v>
      </c>
      <c r="J25" s="14">
        <f t="shared" si="21"/>
        <v>332.8501</v>
      </c>
      <c r="K25" s="21">
        <f t="shared" si="22"/>
        <v>349.58</v>
      </c>
      <c r="L25" s="29"/>
      <c r="M25" s="56"/>
      <c r="O25" s="12">
        <v>23.12</v>
      </c>
      <c r="P25" s="89">
        <f t="shared" si="5"/>
        <v>24.97</v>
      </c>
      <c r="Q25" s="70">
        <f t="shared" si="6"/>
        <v>0.0800173010380622</v>
      </c>
      <c r="R25" s="25">
        <f t="shared" si="7"/>
        <v>332.8501</v>
      </c>
    </row>
    <row r="26" spans="1:18">
      <c r="A26" s="18" t="s">
        <v>219</v>
      </c>
      <c r="B26" s="12">
        <v>0.305</v>
      </c>
      <c r="C26" s="19">
        <f t="shared" si="19"/>
        <v>12.00785</v>
      </c>
      <c r="D26" s="26" t="s">
        <v>26</v>
      </c>
      <c r="E26" s="20">
        <f>B26+0.07</f>
        <v>0.375</v>
      </c>
      <c r="F26" s="12" t="s">
        <v>135</v>
      </c>
      <c r="G26" s="18" t="s">
        <v>29</v>
      </c>
      <c r="H26" s="12">
        <v>13.23</v>
      </c>
      <c r="I26" s="21">
        <f t="shared" si="20"/>
        <v>158.76</v>
      </c>
      <c r="J26" s="14">
        <f t="shared" si="21"/>
        <v>176.3559</v>
      </c>
      <c r="K26" s="21">
        <f t="shared" si="22"/>
        <v>185.22</v>
      </c>
      <c r="L26" s="29"/>
      <c r="M26" s="91"/>
      <c r="O26" s="12">
        <v>12.25</v>
      </c>
      <c r="P26" s="89">
        <f t="shared" si="5"/>
        <v>13.23</v>
      </c>
      <c r="Q26" s="70">
        <f t="shared" si="6"/>
        <v>0.08</v>
      </c>
      <c r="R26" s="25">
        <f t="shared" si="7"/>
        <v>176.3559</v>
      </c>
    </row>
    <row r="28" ht="30" spans="1:18">
      <c r="A28" s="30" t="s">
        <v>10</v>
      </c>
      <c r="B28" s="30" t="s">
        <v>79</v>
      </c>
      <c r="C28" s="31" t="s">
        <v>201</v>
      </c>
      <c r="D28" s="30" t="s">
        <v>81</v>
      </c>
      <c r="E28" s="30" t="s">
        <v>82</v>
      </c>
      <c r="F28" s="12" t="s">
        <v>202</v>
      </c>
      <c r="G28" s="12"/>
      <c r="H28" s="12"/>
    </row>
    <row r="29" ht="49" customHeight="1" spans="1:18">
      <c r="A29" s="30" t="s">
        <v>84</v>
      </c>
      <c r="B29" s="30" t="s">
        <v>85</v>
      </c>
      <c r="C29" s="31" t="s">
        <v>86</v>
      </c>
      <c r="D29" s="30" t="s">
        <v>87</v>
      </c>
      <c r="E29" s="30" t="s">
        <v>88</v>
      </c>
      <c r="F29" s="20" t="s">
        <v>203</v>
      </c>
      <c r="G29" s="20" t="s">
        <v>204</v>
      </c>
      <c r="H29" s="20" t="s">
        <v>205</v>
      </c>
      <c r="O29" s="15" t="s">
        <v>20</v>
      </c>
      <c r="P29" s="16" t="s">
        <v>21</v>
      </c>
      <c r="Q29" s="17" t="s">
        <v>22</v>
      </c>
      <c r="R29" s="15" t="s">
        <v>93</v>
      </c>
    </row>
    <row r="30" spans="1:18">
      <c r="A30" s="30" t="s">
        <v>221</v>
      </c>
      <c r="B30" s="30">
        <v>7628</v>
      </c>
      <c r="C30" s="33">
        <v>0.48</v>
      </c>
      <c r="D30" s="30">
        <v>150</v>
      </c>
      <c r="E30" s="31" t="s">
        <v>96</v>
      </c>
      <c r="F30" s="74">
        <v>2.02</v>
      </c>
      <c r="G30" s="34">
        <f t="shared" ref="G30:G41" si="23">H30/D30</f>
        <v>26.5091333333333</v>
      </c>
      <c r="H30" s="21">
        <f>F30*1968.5</f>
        <v>3976.37</v>
      </c>
      <c r="O30" s="74">
        <v>1.803</v>
      </c>
      <c r="P30" s="89">
        <f>ROUND(O30*1.12,2)</f>
        <v>2.02</v>
      </c>
      <c r="Q30" s="70">
        <f>(P30-O30)/O30</f>
        <v>0.120354963948974</v>
      </c>
      <c r="R30" s="25">
        <f>P30*13.33</f>
        <v>26.9266</v>
      </c>
    </row>
    <row r="31" spans="1:18">
      <c r="A31" s="30" t="s">
        <v>221</v>
      </c>
      <c r="B31" s="30">
        <v>7628</v>
      </c>
      <c r="C31" s="33">
        <v>0.5</v>
      </c>
      <c r="D31" s="30">
        <v>150</v>
      </c>
      <c r="E31" s="31" t="s">
        <v>96</v>
      </c>
      <c r="F31" s="74">
        <v>2.11</v>
      </c>
      <c r="G31" s="34">
        <f t="shared" si="23"/>
        <v>27.6902333333333</v>
      </c>
      <c r="H31" s="21">
        <f>F31*1968.5</f>
        <v>4153.535</v>
      </c>
      <c r="O31" s="74">
        <v>1.886</v>
      </c>
      <c r="P31" s="89">
        <f t="shared" ref="P31:P41" si="24">ROUND(O31*1.12,2)</f>
        <v>2.11</v>
      </c>
      <c r="Q31" s="70">
        <f t="shared" ref="Q31:Q41" si="25">(P31-O31)/O31</f>
        <v>0.118769883351007</v>
      </c>
      <c r="R31" s="25">
        <f t="shared" ref="R31:R41" si="26">P31*13.33</f>
        <v>28.1263</v>
      </c>
    </row>
    <row r="32" spans="1:18">
      <c r="A32" s="30" t="s">
        <v>221</v>
      </c>
      <c r="B32" s="30">
        <v>2116</v>
      </c>
      <c r="C32" s="33">
        <v>0.53</v>
      </c>
      <c r="D32" s="30">
        <v>300</v>
      </c>
      <c r="E32" s="31" t="s">
        <v>96</v>
      </c>
      <c r="F32" s="74">
        <v>1.94</v>
      </c>
      <c r="G32" s="34">
        <f t="shared" si="23"/>
        <v>25.4592666666667</v>
      </c>
      <c r="H32" s="21">
        <f t="shared" ref="H32:H41" si="27">F32*3937</f>
        <v>7637.78</v>
      </c>
      <c r="O32" s="74">
        <v>1.735</v>
      </c>
      <c r="P32" s="89">
        <f t="shared" si="24"/>
        <v>1.94</v>
      </c>
      <c r="Q32" s="70">
        <f t="shared" si="25"/>
        <v>0.118155619596542</v>
      </c>
      <c r="R32" s="25">
        <f t="shared" si="26"/>
        <v>25.8602</v>
      </c>
    </row>
    <row r="33" spans="1:18">
      <c r="A33" s="30" t="s">
        <v>221</v>
      </c>
      <c r="B33" s="30">
        <v>2116</v>
      </c>
      <c r="C33" s="33" t="s">
        <v>217</v>
      </c>
      <c r="D33" s="30">
        <v>300</v>
      </c>
      <c r="E33" s="31" t="s">
        <v>96</v>
      </c>
      <c r="F33" s="74">
        <v>1.92</v>
      </c>
      <c r="G33" s="34">
        <f t="shared" si="23"/>
        <v>25.1968</v>
      </c>
      <c r="H33" s="21">
        <f t="shared" si="27"/>
        <v>7559.04</v>
      </c>
      <c r="O33" s="74">
        <v>1.711</v>
      </c>
      <c r="P33" s="89">
        <f t="shared" si="24"/>
        <v>1.92</v>
      </c>
      <c r="Q33" s="70">
        <f t="shared" si="25"/>
        <v>0.122150789012273</v>
      </c>
      <c r="R33" s="25">
        <f t="shared" si="26"/>
        <v>25.5936</v>
      </c>
    </row>
    <row r="34" spans="1:18">
      <c r="A34" s="30" t="s">
        <v>221</v>
      </c>
      <c r="B34" s="30">
        <v>2116</v>
      </c>
      <c r="C34" s="33">
        <v>0.59</v>
      </c>
      <c r="D34" s="30">
        <v>300</v>
      </c>
      <c r="E34" s="31" t="s">
        <v>96</v>
      </c>
      <c r="F34" s="74">
        <v>2</v>
      </c>
      <c r="G34" s="34">
        <f t="shared" si="23"/>
        <v>26.2466666666667</v>
      </c>
      <c r="H34" s="21">
        <f t="shared" si="27"/>
        <v>7874</v>
      </c>
      <c r="O34" s="74">
        <v>1.785</v>
      </c>
      <c r="P34" s="89">
        <f t="shared" si="24"/>
        <v>2</v>
      </c>
      <c r="Q34" s="70">
        <f t="shared" si="25"/>
        <v>0.120448179271709</v>
      </c>
      <c r="R34" s="25">
        <f t="shared" si="26"/>
        <v>26.66</v>
      </c>
    </row>
    <row r="35" spans="1:18">
      <c r="A35" s="30" t="s">
        <v>221</v>
      </c>
      <c r="B35" s="30">
        <v>2116</v>
      </c>
      <c r="C35" s="33">
        <v>0.61</v>
      </c>
      <c r="D35" s="30">
        <v>300</v>
      </c>
      <c r="E35" s="31" t="s">
        <v>96</v>
      </c>
      <c r="F35" s="74">
        <v>2.04</v>
      </c>
      <c r="G35" s="34">
        <f t="shared" si="23"/>
        <v>26.7716</v>
      </c>
      <c r="H35" s="21">
        <f t="shared" si="27"/>
        <v>8031.48</v>
      </c>
      <c r="O35" s="74">
        <v>1.824</v>
      </c>
      <c r="P35" s="89">
        <f t="shared" si="24"/>
        <v>2.04</v>
      </c>
      <c r="Q35" s="70">
        <f t="shared" si="25"/>
        <v>0.118421052631579</v>
      </c>
      <c r="R35" s="25">
        <f t="shared" si="26"/>
        <v>27.1932</v>
      </c>
    </row>
    <row r="36" spans="1:18">
      <c r="A36" s="30" t="s">
        <v>221</v>
      </c>
      <c r="B36" s="30">
        <v>1080</v>
      </c>
      <c r="C36" s="33">
        <v>0.62</v>
      </c>
      <c r="D36" s="30">
        <v>300</v>
      </c>
      <c r="E36" s="31" t="s">
        <v>96</v>
      </c>
      <c r="F36" s="74">
        <v>1.87</v>
      </c>
      <c r="G36" s="34">
        <f t="shared" si="23"/>
        <v>24.5406333333333</v>
      </c>
      <c r="H36" s="21">
        <f t="shared" si="27"/>
        <v>7362.19</v>
      </c>
      <c r="O36" s="74">
        <v>1.67</v>
      </c>
      <c r="P36" s="89">
        <f t="shared" si="24"/>
        <v>1.87</v>
      </c>
      <c r="Q36" s="70">
        <f t="shared" si="25"/>
        <v>0.119760479041916</v>
      </c>
      <c r="R36" s="25">
        <f t="shared" si="26"/>
        <v>24.9271</v>
      </c>
    </row>
    <row r="37" spans="1:18">
      <c r="A37" s="30" t="s">
        <v>221</v>
      </c>
      <c r="B37" s="30">
        <v>1080</v>
      </c>
      <c r="C37" s="33">
        <v>0.66</v>
      </c>
      <c r="D37" s="30">
        <v>300</v>
      </c>
      <c r="E37" s="31" t="s">
        <v>96</v>
      </c>
      <c r="F37" s="74">
        <v>1.92</v>
      </c>
      <c r="G37" s="34">
        <f t="shared" si="23"/>
        <v>25.1968</v>
      </c>
      <c r="H37" s="21">
        <f t="shared" si="27"/>
        <v>7559.04</v>
      </c>
      <c r="O37" s="74">
        <v>1.718</v>
      </c>
      <c r="P37" s="89">
        <f t="shared" si="24"/>
        <v>1.92</v>
      </c>
      <c r="Q37" s="70">
        <f t="shared" si="25"/>
        <v>0.117578579743888</v>
      </c>
      <c r="R37" s="25">
        <f t="shared" si="26"/>
        <v>25.5936</v>
      </c>
    </row>
    <row r="38" spans="1:18">
      <c r="A38" s="30" t="s">
        <v>221</v>
      </c>
      <c r="B38" s="30">
        <v>1080</v>
      </c>
      <c r="C38" s="33">
        <v>0.67</v>
      </c>
      <c r="D38" s="30">
        <v>300</v>
      </c>
      <c r="E38" s="31" t="s">
        <v>96</v>
      </c>
      <c r="F38" s="74">
        <v>1.87</v>
      </c>
      <c r="G38" s="34">
        <f t="shared" si="23"/>
        <v>24.5406333333333</v>
      </c>
      <c r="H38" s="21">
        <f t="shared" si="27"/>
        <v>7362.19</v>
      </c>
      <c r="J38" s="22"/>
      <c r="O38" s="74">
        <v>1.669</v>
      </c>
      <c r="P38" s="89">
        <f t="shared" si="24"/>
        <v>1.87</v>
      </c>
      <c r="Q38" s="70">
        <f t="shared" si="25"/>
        <v>0.120431396045536</v>
      </c>
      <c r="R38" s="25">
        <f t="shared" si="26"/>
        <v>24.9271</v>
      </c>
    </row>
    <row r="39" spans="1:18">
      <c r="A39" s="30" t="s">
        <v>221</v>
      </c>
      <c r="B39" s="30">
        <v>1080</v>
      </c>
      <c r="C39" s="33" t="s">
        <v>99</v>
      </c>
      <c r="D39" s="30">
        <v>300</v>
      </c>
      <c r="E39" s="31" t="s">
        <v>96</v>
      </c>
      <c r="F39" s="74">
        <v>2.01</v>
      </c>
      <c r="G39" s="34">
        <f t="shared" si="23"/>
        <v>26.3779</v>
      </c>
      <c r="H39" s="21">
        <f t="shared" si="27"/>
        <v>7913.37</v>
      </c>
      <c r="M39" s="92"/>
      <c r="O39" s="74">
        <v>1.796</v>
      </c>
      <c r="P39" s="89">
        <f t="shared" si="24"/>
        <v>2.01</v>
      </c>
      <c r="Q39" s="70">
        <f t="shared" si="25"/>
        <v>0.119153674832962</v>
      </c>
      <c r="R39" s="25">
        <f t="shared" si="26"/>
        <v>26.7933</v>
      </c>
    </row>
    <row r="40" spans="1:18">
      <c r="A40" s="30" t="s">
        <v>221</v>
      </c>
      <c r="B40" s="30">
        <v>106</v>
      </c>
      <c r="C40" s="33">
        <v>0.76</v>
      </c>
      <c r="D40" s="30">
        <v>300</v>
      </c>
      <c r="E40" s="31" t="s">
        <v>96</v>
      </c>
      <c r="F40" s="74">
        <v>1.96</v>
      </c>
      <c r="G40" s="34">
        <f t="shared" si="23"/>
        <v>25.7217333333333</v>
      </c>
      <c r="H40" s="21">
        <f t="shared" si="27"/>
        <v>7716.52</v>
      </c>
      <c r="O40" s="74">
        <v>1.753</v>
      </c>
      <c r="P40" s="89">
        <f t="shared" si="24"/>
        <v>1.96</v>
      </c>
      <c r="Q40" s="70">
        <f t="shared" si="25"/>
        <v>0.118083285795779</v>
      </c>
      <c r="R40" s="25">
        <f t="shared" si="26"/>
        <v>26.1268</v>
      </c>
    </row>
    <row r="41" spans="1:18">
      <c r="A41" s="30" t="s">
        <v>221</v>
      </c>
      <c r="B41" s="30">
        <v>106</v>
      </c>
      <c r="C41" s="33">
        <v>0.78</v>
      </c>
      <c r="D41" s="30">
        <v>300</v>
      </c>
      <c r="E41" s="31" t="s">
        <v>96</v>
      </c>
      <c r="F41" s="74">
        <v>2.1</v>
      </c>
      <c r="G41" s="34">
        <f t="shared" si="23"/>
        <v>27.559</v>
      </c>
      <c r="H41" s="21">
        <f t="shared" si="27"/>
        <v>8267.7</v>
      </c>
      <c r="M41" s="92"/>
      <c r="O41" s="74">
        <v>1.876</v>
      </c>
      <c r="P41" s="89">
        <f t="shared" si="24"/>
        <v>2.1</v>
      </c>
      <c r="Q41" s="70">
        <f t="shared" si="25"/>
        <v>0.119402985074627</v>
      </c>
      <c r="R41" s="25">
        <f t="shared" si="26"/>
        <v>27.993</v>
      </c>
    </row>
  </sheetData>
  <autoFilter xmlns:etc="http://www.wps.cn/officeDocument/2017/etCustomData" ref="A9:N26" etc:filterBottomFollowUsedRange="0">
    <extLst/>
  </autoFilter>
  <mergeCells count="3">
    <mergeCell ref="A2:K2"/>
    <mergeCell ref="A3:K3"/>
    <mergeCell ref="F28:H28"/>
  </mergeCells>
  <pageMargins left="0.75" right="0.75" top="1" bottom="1" header="0.5" footer="0.5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zoomScale="90" zoomScaleNormal="90" workbookViewId="0">
      <selection activeCell="J26" sqref="J26"/>
    </sheetView>
  </sheetViews>
  <sheetFormatPr defaultColWidth="8.8" defaultRowHeight="15.6"/>
  <cols>
    <col min="1" max="1" width="13.1" style="1" customWidth="1"/>
    <col min="2" max="12" width="8.8" style="1"/>
    <col min="13" max="13" width="8.8" style="78"/>
    <col min="14" max="14" width="8.8" style="75"/>
    <col min="15" max="15" width="4.9" style="1" customWidth="1"/>
    <col min="16" max="16" width="9.5" style="1"/>
    <col min="17" max="16384" width="8.8" style="1"/>
  </cols>
  <sheetData>
    <row r="1" ht="42" customHeight="1"/>
    <row r="2" spans="1:16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6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6">
      <c r="A4" s="6" t="s">
        <v>189</v>
      </c>
      <c r="B4" s="6"/>
      <c r="C4" s="6"/>
      <c r="D4" s="6"/>
      <c r="E4" s="6"/>
      <c r="F4" s="7"/>
      <c r="G4" s="6"/>
      <c r="H4" s="6"/>
      <c r="I4" s="6" t="s">
        <v>3</v>
      </c>
      <c r="J4" s="8"/>
      <c r="K4" s="6"/>
    </row>
    <row r="5" spans="1:16">
      <c r="A5" s="6" t="s">
        <v>4</v>
      </c>
      <c r="B5" s="46"/>
      <c r="C5" s="46"/>
      <c r="D5" s="46"/>
      <c r="E5" s="52"/>
      <c r="F5" s="52"/>
      <c r="G5" s="41"/>
      <c r="H5" s="46"/>
      <c r="I5" s="79" t="s">
        <v>5</v>
      </c>
      <c r="J5" s="8"/>
      <c r="K5" s="6"/>
    </row>
    <row r="6" spans="1:16">
      <c r="A6" s="6" t="s">
        <v>6</v>
      </c>
      <c r="B6" s="46"/>
      <c r="C6" s="46"/>
      <c r="D6" s="46"/>
      <c r="E6" s="52"/>
      <c r="F6" s="52"/>
      <c r="G6" s="41"/>
      <c r="H6" s="46"/>
      <c r="I6" s="9" t="s">
        <v>7</v>
      </c>
      <c r="J6" s="8"/>
      <c r="K6" s="6"/>
    </row>
    <row r="7" spans="1:16">
      <c r="A7" s="6"/>
      <c r="B7" s="6"/>
      <c r="C7" s="6"/>
      <c r="D7" s="6"/>
      <c r="E7" s="6"/>
      <c r="F7" s="6"/>
      <c r="G7" s="6"/>
      <c r="H7" s="6"/>
      <c r="I7" s="6" t="s">
        <v>222</v>
      </c>
      <c r="J7" s="8"/>
      <c r="K7" s="6"/>
    </row>
    <row r="8" spans="1:16">
      <c r="I8" s="76" t="s">
        <v>9</v>
      </c>
    </row>
    <row r="9" spans="1:16">
      <c r="A9" s="10" t="s">
        <v>223</v>
      </c>
    </row>
    <row r="10" ht="45" spans="1:16">
      <c r="A10" s="12" t="s">
        <v>191</v>
      </c>
      <c r="B10" s="80" t="s">
        <v>224</v>
      </c>
      <c r="C10" s="12" t="s">
        <v>225</v>
      </c>
      <c r="D10" s="13" t="s">
        <v>14</v>
      </c>
      <c r="E10" s="13" t="s">
        <v>226</v>
      </c>
      <c r="F10" s="12" t="s">
        <v>227</v>
      </c>
      <c r="G10" s="12" t="s">
        <v>15</v>
      </c>
      <c r="H10" s="12" t="s">
        <v>196</v>
      </c>
      <c r="I10" s="14" t="s">
        <v>197</v>
      </c>
      <c r="J10" s="14" t="s">
        <v>198</v>
      </c>
      <c r="K10" s="14" t="s">
        <v>199</v>
      </c>
      <c r="M10" s="15" t="s">
        <v>20</v>
      </c>
      <c r="N10" s="16" t="s">
        <v>21</v>
      </c>
      <c r="O10" s="17" t="s">
        <v>22</v>
      </c>
      <c r="P10" s="15" t="s">
        <v>23</v>
      </c>
    </row>
    <row r="11" spans="1:16">
      <c r="A11" s="18" t="s">
        <v>228</v>
      </c>
      <c r="B11" s="20">
        <v>0.102</v>
      </c>
      <c r="C11" s="19">
        <f>B11*39.37</f>
        <v>4.01574</v>
      </c>
      <c r="D11" s="26" t="s">
        <v>26</v>
      </c>
      <c r="E11" s="21">
        <f>(C11+2.4)/39.37</f>
        <v>0.162960121920244</v>
      </c>
      <c r="F11" s="18" t="s">
        <v>125</v>
      </c>
      <c r="G11" s="18" t="s">
        <v>29</v>
      </c>
      <c r="H11" s="21">
        <v>12.02</v>
      </c>
      <c r="I11" s="21">
        <f>H11*12</f>
        <v>144.24</v>
      </c>
      <c r="J11" s="14">
        <f>H11*13.33</f>
        <v>160.2266</v>
      </c>
      <c r="K11" s="21">
        <f>H11*14</f>
        <v>168.28</v>
      </c>
      <c r="M11" s="21">
        <v>10.93</v>
      </c>
      <c r="N11" s="23">
        <f>ROUND(M11*1.1,2)</f>
        <v>12.02</v>
      </c>
      <c r="O11" s="22">
        <f>N11/M11-1</f>
        <v>0.0997255260750229</v>
      </c>
      <c r="P11" s="35">
        <f>N11*13.33</f>
        <v>160.2266</v>
      </c>
    </row>
    <row r="12" spans="1:16">
      <c r="A12" s="18" t="s">
        <v>228</v>
      </c>
      <c r="B12" s="20">
        <v>0.152</v>
      </c>
      <c r="C12" s="19">
        <f>B12*39.37</f>
        <v>5.98424</v>
      </c>
      <c r="D12" s="26" t="s">
        <v>26</v>
      </c>
      <c r="E12" s="21">
        <f>(C12+2.4)/39.37</f>
        <v>0.212960121920244</v>
      </c>
      <c r="F12" s="18" t="s">
        <v>129</v>
      </c>
      <c r="G12" s="18" t="s">
        <v>29</v>
      </c>
      <c r="H12" s="21">
        <v>12.39</v>
      </c>
      <c r="I12" s="21">
        <f>H12*12</f>
        <v>148.68</v>
      </c>
      <c r="J12" s="14">
        <f>H12*13.33</f>
        <v>165.1587</v>
      </c>
      <c r="K12" s="21">
        <f>H12*14</f>
        <v>173.46</v>
      </c>
      <c r="M12" s="21">
        <v>11.26</v>
      </c>
      <c r="N12" s="23">
        <f>ROUND(M12*1.1,2)</f>
        <v>12.39</v>
      </c>
      <c r="O12" s="22">
        <f>N12/M12-1</f>
        <v>0.100355239786856</v>
      </c>
      <c r="P12" s="35">
        <f>N12*13.33</f>
        <v>165.1587</v>
      </c>
    </row>
    <row r="13" spans="1:16">
      <c r="A13" s="18" t="s">
        <v>228</v>
      </c>
      <c r="B13" s="20">
        <v>0.203</v>
      </c>
      <c r="C13" s="19">
        <f>B13*39.37</f>
        <v>7.99211</v>
      </c>
      <c r="D13" s="26" t="s">
        <v>31</v>
      </c>
      <c r="E13" s="21">
        <f>(C13+4.8)/39.37</f>
        <v>0.324920243840488</v>
      </c>
      <c r="F13" s="18" t="s">
        <v>130</v>
      </c>
      <c r="G13" s="18" t="s">
        <v>29</v>
      </c>
      <c r="H13" s="21">
        <v>22.48</v>
      </c>
      <c r="I13" s="21">
        <f>H13*12</f>
        <v>269.76</v>
      </c>
      <c r="J13" s="14">
        <f>H13*13.33</f>
        <v>299.6584</v>
      </c>
      <c r="K13" s="21">
        <f>H13*14</f>
        <v>314.72</v>
      </c>
      <c r="M13" s="21">
        <v>20.44</v>
      </c>
      <c r="N13" s="23">
        <f>ROUND(M13*1.1,2)</f>
        <v>22.48</v>
      </c>
      <c r="O13" s="22">
        <f>N13/M13-1</f>
        <v>0.0998043052837574</v>
      </c>
      <c r="P13" s="35">
        <f>N13*13.33</f>
        <v>299.6584</v>
      </c>
    </row>
    <row r="14" spans="1:16">
      <c r="A14" s="18" t="s">
        <v>228</v>
      </c>
      <c r="B14" s="20">
        <v>0.254</v>
      </c>
      <c r="C14" s="19">
        <f>B14*39.37</f>
        <v>9.99998</v>
      </c>
      <c r="D14" s="26" t="s">
        <v>31</v>
      </c>
      <c r="E14" s="21">
        <f>(C14+4.8)/39.37</f>
        <v>0.375920243840488</v>
      </c>
      <c r="F14" s="18" t="s">
        <v>131</v>
      </c>
      <c r="G14" s="18" t="s">
        <v>29</v>
      </c>
      <c r="H14" s="21">
        <v>23.67</v>
      </c>
      <c r="I14" s="21">
        <f>H14*12</f>
        <v>284.04</v>
      </c>
      <c r="J14" s="14">
        <f>H14*13.33</f>
        <v>315.5211</v>
      </c>
      <c r="K14" s="21">
        <f>H14*14</f>
        <v>331.38</v>
      </c>
      <c r="M14" s="21">
        <v>21.52</v>
      </c>
      <c r="N14" s="23">
        <f>ROUND(M14*1.1,2)</f>
        <v>23.67</v>
      </c>
      <c r="O14" s="22">
        <f>N14/M14-1</f>
        <v>0.099907063197026</v>
      </c>
      <c r="P14" s="35">
        <f>N14*13.33</f>
        <v>315.5211</v>
      </c>
    </row>
    <row r="15" spans="1:16">
      <c r="A15" s="18" t="s">
        <v>228</v>
      </c>
      <c r="B15" s="20">
        <v>0.381</v>
      </c>
      <c r="C15" s="19">
        <f>B15*39.37</f>
        <v>14.99997</v>
      </c>
      <c r="D15" s="26" t="s">
        <v>31</v>
      </c>
      <c r="E15" s="21">
        <f>(C15+4.8)/39.37</f>
        <v>0.502920243840488</v>
      </c>
      <c r="F15" s="18" t="s">
        <v>137</v>
      </c>
      <c r="G15" s="18" t="s">
        <v>29</v>
      </c>
      <c r="H15" s="21">
        <v>24.5</v>
      </c>
      <c r="I15" s="21">
        <f>H15*12</f>
        <v>294</v>
      </c>
      <c r="J15" s="14">
        <f>H15*13.33</f>
        <v>326.585</v>
      </c>
      <c r="K15" s="21">
        <f>H15*14</f>
        <v>343</v>
      </c>
      <c r="M15" s="21">
        <v>22.27</v>
      </c>
      <c r="N15" s="23">
        <f>ROUND(M15*1.1,2)</f>
        <v>24.5</v>
      </c>
      <c r="O15" s="22">
        <f>N15/M15-1</f>
        <v>0.100134710372699</v>
      </c>
      <c r="P15" s="35">
        <f>N15*13.33</f>
        <v>326.585</v>
      </c>
    </row>
    <row r="16" spans="1:16">
      <c r="O16" s="22"/>
    </row>
    <row r="17" spans="1:16">
      <c r="O17" s="22"/>
    </row>
    <row r="18" spans="1:16">
      <c r="A18" s="10" t="s">
        <v>229</v>
      </c>
      <c r="B18" s="81"/>
      <c r="C18" s="11"/>
      <c r="D18" s="11"/>
      <c r="E18" s="11"/>
      <c r="F18" s="11"/>
      <c r="G18" s="11"/>
      <c r="H18" s="11"/>
      <c r="O18" s="22"/>
    </row>
    <row r="19" ht="45" spans="1:16">
      <c r="A19" s="30" t="s">
        <v>84</v>
      </c>
      <c r="B19" s="30" t="s">
        <v>85</v>
      </c>
      <c r="C19" s="31" t="s">
        <v>86</v>
      </c>
      <c r="D19" s="30" t="s">
        <v>87</v>
      </c>
      <c r="E19" s="30" t="s">
        <v>88</v>
      </c>
      <c r="F19" s="20" t="s">
        <v>203</v>
      </c>
      <c r="G19" s="20" t="s">
        <v>204</v>
      </c>
      <c r="H19" s="20" t="s">
        <v>205</v>
      </c>
      <c r="M19" s="15" t="s">
        <v>20</v>
      </c>
      <c r="N19" s="16" t="s">
        <v>21</v>
      </c>
      <c r="O19" s="70" t="s">
        <v>22</v>
      </c>
      <c r="P19" s="15" t="s">
        <v>93</v>
      </c>
    </row>
    <row r="20" spans="1:16">
      <c r="A20" s="30" t="s">
        <v>230</v>
      </c>
      <c r="B20" s="30">
        <v>1080</v>
      </c>
      <c r="C20" s="33">
        <v>0.69</v>
      </c>
      <c r="D20" s="30">
        <v>300</v>
      </c>
      <c r="E20" s="31" t="s">
        <v>96</v>
      </c>
      <c r="F20" s="74">
        <v>2.131</v>
      </c>
      <c r="G20" s="34">
        <f>H20/D20</f>
        <v>27.9658233333333</v>
      </c>
      <c r="H20" s="21">
        <f>F20*3937</f>
        <v>8389.747</v>
      </c>
      <c r="M20" s="74">
        <v>1.903</v>
      </c>
      <c r="N20" s="82">
        <f>ROUND(M20*1.12,3)</f>
        <v>2.131</v>
      </c>
      <c r="O20" s="22">
        <f>N20/M20-1</f>
        <v>0.119810825013137</v>
      </c>
      <c r="P20" s="35">
        <f>N20*3937/300</f>
        <v>27.9658233333333</v>
      </c>
    </row>
    <row r="21" spans="1:16">
      <c r="A21" s="30" t="s">
        <v>230</v>
      </c>
      <c r="B21" s="30">
        <v>2313</v>
      </c>
      <c r="C21" s="33">
        <v>0.6</v>
      </c>
      <c r="D21" s="30">
        <v>300</v>
      </c>
      <c r="E21" s="31" t="s">
        <v>96</v>
      </c>
      <c r="F21" s="74">
        <v>2.192</v>
      </c>
      <c r="G21" s="34">
        <f>H21/D21</f>
        <v>28.7663466666667</v>
      </c>
      <c r="H21" s="21">
        <f>F21*3937</f>
        <v>8629.904</v>
      </c>
      <c r="M21" s="74">
        <v>1.993</v>
      </c>
      <c r="N21" s="82">
        <f>ROUND(M21*1.1,3)</f>
        <v>2.192</v>
      </c>
      <c r="O21" s="22">
        <f>N21/M21-1</f>
        <v>0.0998494731560462</v>
      </c>
      <c r="P21" s="35">
        <f>N21*3937/300</f>
        <v>28.7663466666667</v>
      </c>
    </row>
    <row r="22" spans="1:16">
      <c r="A22" s="30" t="s">
        <v>230</v>
      </c>
      <c r="B22" s="30">
        <v>2116</v>
      </c>
      <c r="C22" s="33">
        <v>0.59</v>
      </c>
      <c r="D22" s="30">
        <v>300</v>
      </c>
      <c r="E22" s="31" t="s">
        <v>96</v>
      </c>
      <c r="F22" s="74">
        <v>2.318</v>
      </c>
      <c r="G22" s="34">
        <f>H22/D22</f>
        <v>30.4198866666667</v>
      </c>
      <c r="H22" s="21">
        <f>F22*3937</f>
        <v>9125.966</v>
      </c>
      <c r="M22" s="74">
        <v>2.107</v>
      </c>
      <c r="N22" s="82">
        <f>ROUND(M22*1.1,3)</f>
        <v>2.318</v>
      </c>
      <c r="O22" s="22">
        <f>N22/M22-1</f>
        <v>0.100142382534409</v>
      </c>
      <c r="P22" s="35">
        <f>N22*3937/300</f>
        <v>30.4198866666667</v>
      </c>
    </row>
    <row r="23" spans="1:16">
      <c r="A23" s="30" t="s">
        <v>230</v>
      </c>
      <c r="B23" s="30">
        <v>1506</v>
      </c>
      <c r="C23" s="33">
        <v>0.5</v>
      </c>
      <c r="D23" s="30">
        <v>150</v>
      </c>
      <c r="E23" s="31" t="s">
        <v>96</v>
      </c>
      <c r="F23" s="74">
        <v>2.531</v>
      </c>
      <c r="G23" s="34">
        <f>H23/D23</f>
        <v>33.2151566666667</v>
      </c>
      <c r="H23" s="21">
        <f>F23*3937/2</f>
        <v>4982.2735</v>
      </c>
      <c r="M23" s="74">
        <v>2.301</v>
      </c>
      <c r="N23" s="82">
        <f>ROUND(M23*1.1,3)</f>
        <v>2.531</v>
      </c>
      <c r="O23" s="22">
        <f>N23/M23-1</f>
        <v>0.0999565406345067</v>
      </c>
      <c r="P23" s="35">
        <f>N23*3937/300</f>
        <v>33.2151566666667</v>
      </c>
    </row>
    <row r="24" spans="1:16">
      <c r="A24" s="30" t="s">
        <v>230</v>
      </c>
      <c r="B24" s="30">
        <v>7628</v>
      </c>
      <c r="C24" s="33">
        <v>0.5</v>
      </c>
      <c r="D24" s="30">
        <v>150</v>
      </c>
      <c r="E24" s="31" t="s">
        <v>96</v>
      </c>
      <c r="F24" s="74">
        <v>2.717</v>
      </c>
      <c r="G24" s="34">
        <f>H24/D24</f>
        <v>35.6560966666667</v>
      </c>
      <c r="H24" s="21">
        <f>F24*3937/2</f>
        <v>5348.4145</v>
      </c>
      <c r="M24" s="74">
        <v>2.47</v>
      </c>
      <c r="N24" s="82">
        <f>ROUND(M24*1.1,3)</f>
        <v>2.717</v>
      </c>
      <c r="O24" s="22">
        <f>N24/M24-1</f>
        <v>0.0999999999999999</v>
      </c>
      <c r="P24" s="35">
        <f>N24*3937/300</f>
        <v>35.6560966666667</v>
      </c>
    </row>
  </sheetData>
  <mergeCells count="2">
    <mergeCell ref="A2:K2"/>
    <mergeCell ref="A3:K3"/>
  </mergeCells>
  <pageMargins left="0.75" right="0.75" top="1" bottom="1" header="0.5" footer="0.5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zoomScale="90" zoomScaleNormal="90" workbookViewId="0">
      <selection activeCell="F25" sqref="F25:O29"/>
    </sheetView>
  </sheetViews>
  <sheetFormatPr defaultColWidth="8.66666666666667" defaultRowHeight="15.6"/>
  <cols>
    <col min="1" max="1" width="17.1666666666667" customWidth="1"/>
    <col min="6" max="6" width="14.6666666666667" customWidth="1"/>
    <col min="12" max="12" width="6.4" customWidth="1"/>
    <col min="13" max="13" width="12.2" customWidth="1"/>
    <col min="14" max="14" width="8.66666666666667" style="75"/>
    <col min="16" max="16" width="10.6"/>
  </cols>
  <sheetData>
    <row r="1" ht="42" customHeight="1" spans="1:16">
      <c r="B1" s="2"/>
      <c r="C1" s="2"/>
      <c r="D1" s="2"/>
      <c r="E1" s="2"/>
      <c r="F1" s="3"/>
      <c r="G1" s="4"/>
      <c r="H1" s="2"/>
      <c r="I1" s="4"/>
      <c r="J1" s="3"/>
      <c r="K1" s="4"/>
    </row>
    <row r="2" spans="1:16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6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6">
      <c r="A4" s="6" t="s">
        <v>189</v>
      </c>
      <c r="B4" s="6"/>
      <c r="C4" s="6"/>
      <c r="D4" s="6"/>
      <c r="E4" s="6"/>
      <c r="F4" s="7"/>
      <c r="G4" s="6"/>
      <c r="H4" s="6"/>
      <c r="I4" s="6" t="s">
        <v>3</v>
      </c>
      <c r="J4" s="8"/>
      <c r="K4" s="6"/>
    </row>
    <row r="5" spans="1:16">
      <c r="A5" s="6" t="s">
        <v>4</v>
      </c>
      <c r="B5" s="6"/>
      <c r="C5" s="6"/>
      <c r="D5" s="6"/>
      <c r="E5" s="6"/>
      <c r="F5" s="7"/>
      <c r="G5" s="6"/>
      <c r="H5" s="6"/>
      <c r="I5" s="6" t="s">
        <v>5</v>
      </c>
      <c r="J5" s="8"/>
      <c r="K5" s="6"/>
    </row>
    <row r="6" spans="1:16">
      <c r="A6" s="6" t="s">
        <v>231</v>
      </c>
      <c r="B6" s="6"/>
      <c r="C6" s="6"/>
      <c r="D6" s="6"/>
      <c r="E6" s="6"/>
      <c r="F6" s="7"/>
      <c r="G6" s="6"/>
      <c r="H6" s="6"/>
      <c r="I6" s="76" t="s">
        <v>9</v>
      </c>
      <c r="J6" s="8"/>
      <c r="K6" s="6"/>
    </row>
    <row r="7" spans="1:16">
      <c r="A7" s="6" t="s">
        <v>232</v>
      </c>
      <c r="B7" s="6"/>
      <c r="C7" s="6"/>
      <c r="D7" s="6"/>
      <c r="E7" s="6"/>
      <c r="F7" s="6"/>
      <c r="G7" s="6"/>
      <c r="H7" s="6"/>
      <c r="I7" s="9" t="s">
        <v>7</v>
      </c>
      <c r="J7" s="8"/>
      <c r="K7" s="6"/>
    </row>
    <row r="8" spans="1:16">
      <c r="A8" s="6"/>
      <c r="B8" s="6"/>
      <c r="C8" s="6"/>
      <c r="D8" s="6"/>
      <c r="E8" s="6"/>
      <c r="F8" s="6"/>
      <c r="G8" s="6"/>
      <c r="H8" s="6"/>
      <c r="I8" s="6" t="s">
        <v>211</v>
      </c>
      <c r="J8" s="8"/>
      <c r="K8" s="6"/>
    </row>
    <row r="9" spans="1:16">
      <c r="A9" s="10" t="s">
        <v>233</v>
      </c>
      <c r="B9" s="11"/>
      <c r="C9" s="11"/>
      <c r="D9" s="11"/>
      <c r="E9" s="11"/>
      <c r="F9" s="11"/>
      <c r="G9" s="11"/>
      <c r="H9" s="11"/>
      <c r="I9" s="11"/>
      <c r="J9" s="11"/>
      <c r="K9" s="11"/>
    </row>
    <row r="10" ht="45" spans="1:16">
      <c r="A10" s="12" t="s">
        <v>191</v>
      </c>
      <c r="B10" s="12" t="s">
        <v>192</v>
      </c>
      <c r="C10" s="12" t="s">
        <v>193</v>
      </c>
      <c r="D10" s="13" t="s">
        <v>14</v>
      </c>
      <c r="E10" s="13" t="s">
        <v>194</v>
      </c>
      <c r="F10" s="12" t="s">
        <v>195</v>
      </c>
      <c r="G10" s="12" t="s">
        <v>15</v>
      </c>
      <c r="H10" s="12" t="s">
        <v>196</v>
      </c>
      <c r="I10" s="14" t="s">
        <v>197</v>
      </c>
      <c r="J10" s="14" t="s">
        <v>198</v>
      </c>
      <c r="K10" s="14" t="s">
        <v>199</v>
      </c>
      <c r="M10" s="15" t="s">
        <v>20</v>
      </c>
      <c r="N10" s="16" t="s">
        <v>21</v>
      </c>
      <c r="O10" s="17" t="s">
        <v>22</v>
      </c>
      <c r="P10" s="15" t="s">
        <v>23</v>
      </c>
    </row>
    <row r="11" spans="1:16">
      <c r="A11" s="18" t="s">
        <v>234</v>
      </c>
      <c r="B11" s="12">
        <v>0.127</v>
      </c>
      <c r="C11" s="19">
        <f t="shared" ref="C11:C19" si="0">B11*39.37</f>
        <v>4.99999</v>
      </c>
      <c r="D11" s="26" t="s">
        <v>26</v>
      </c>
      <c r="E11" s="20">
        <f>(C11+2.4)/39.37</f>
        <v>0.187960121920244</v>
      </c>
      <c r="F11" s="12" t="s">
        <v>126</v>
      </c>
      <c r="G11" s="18" t="s">
        <v>29</v>
      </c>
      <c r="H11" s="12">
        <v>11.76</v>
      </c>
      <c r="I11" s="21">
        <f t="shared" ref="I11:I19" si="1">H11*12</f>
        <v>141.12</v>
      </c>
      <c r="J11" s="14">
        <f t="shared" ref="J11:J19" si="2">H11*13.33</f>
        <v>156.7608</v>
      </c>
      <c r="K11" s="21">
        <f t="shared" ref="K11:K19" si="3">H11*14</f>
        <v>164.64</v>
      </c>
      <c r="M11" s="12">
        <v>10.69</v>
      </c>
      <c r="N11" s="23">
        <f>ROUND(M11*1.1,2)</f>
        <v>11.76</v>
      </c>
      <c r="O11" s="24">
        <f t="shared" ref="O11:O19" si="4">N11/M11-1</f>
        <v>0.100093545369504</v>
      </c>
      <c r="P11" s="25">
        <f t="shared" ref="P11:P19" si="5">N11*13.33</f>
        <v>156.7608</v>
      </c>
    </row>
    <row r="12" spans="1:16">
      <c r="A12" s="18" t="s">
        <v>234</v>
      </c>
      <c r="B12" s="12">
        <v>0.18</v>
      </c>
      <c r="C12" s="19">
        <f t="shared" si="0"/>
        <v>7.0866</v>
      </c>
      <c r="D12" s="26" t="s">
        <v>26</v>
      </c>
      <c r="E12" s="20">
        <f>(C12+2.4)/39.37</f>
        <v>0.240960121920244</v>
      </c>
      <c r="F12" s="12" t="s">
        <v>130</v>
      </c>
      <c r="G12" s="18" t="s">
        <v>29</v>
      </c>
      <c r="H12" s="12">
        <v>12.29</v>
      </c>
      <c r="I12" s="21">
        <f t="shared" si="1"/>
        <v>147.48</v>
      </c>
      <c r="J12" s="14">
        <f t="shared" si="2"/>
        <v>163.8257</v>
      </c>
      <c r="K12" s="21">
        <f t="shared" si="3"/>
        <v>172.06</v>
      </c>
      <c r="M12" s="12">
        <v>11.17</v>
      </c>
      <c r="N12" s="23">
        <f t="shared" ref="N12:N19" si="6">ROUND(M12*1.1,2)</f>
        <v>12.29</v>
      </c>
      <c r="O12" s="24">
        <f t="shared" si="4"/>
        <v>0.100268576544315</v>
      </c>
      <c r="P12" s="25">
        <f t="shared" si="5"/>
        <v>163.8257</v>
      </c>
    </row>
    <row r="13" spans="1:16">
      <c r="A13" s="18" t="s">
        <v>234</v>
      </c>
      <c r="B13" s="12">
        <v>0.2</v>
      </c>
      <c r="C13" s="19">
        <f t="shared" si="0"/>
        <v>7.874</v>
      </c>
      <c r="D13" s="26" t="s">
        <v>26</v>
      </c>
      <c r="E13" s="20">
        <f>(C13+2.4)/39.37</f>
        <v>0.260960121920244</v>
      </c>
      <c r="F13" s="12" t="s">
        <v>130</v>
      </c>
      <c r="G13" s="18" t="s">
        <v>29</v>
      </c>
      <c r="H13" s="12">
        <v>12.29</v>
      </c>
      <c r="I13" s="21">
        <f t="shared" si="1"/>
        <v>147.48</v>
      </c>
      <c r="J13" s="14">
        <f t="shared" si="2"/>
        <v>163.8257</v>
      </c>
      <c r="K13" s="21">
        <f t="shared" si="3"/>
        <v>172.06</v>
      </c>
      <c r="M13" s="12">
        <v>11.17</v>
      </c>
      <c r="N13" s="23">
        <f t="shared" si="6"/>
        <v>12.29</v>
      </c>
      <c r="O13" s="24">
        <f t="shared" si="4"/>
        <v>0.100268576544315</v>
      </c>
      <c r="P13" s="25">
        <f t="shared" si="5"/>
        <v>163.8257</v>
      </c>
    </row>
    <row r="14" spans="1:16">
      <c r="A14" s="18" t="s">
        <v>234</v>
      </c>
      <c r="B14" s="12">
        <v>0.25</v>
      </c>
      <c r="C14" s="19">
        <f t="shared" si="0"/>
        <v>9.8425</v>
      </c>
      <c r="D14" s="26" t="s">
        <v>26</v>
      </c>
      <c r="E14" s="20">
        <f>(C14+2.4)/39.37</f>
        <v>0.310960121920244</v>
      </c>
      <c r="F14" s="12" t="s">
        <v>131</v>
      </c>
      <c r="G14" s="18" t="s">
        <v>29</v>
      </c>
      <c r="H14" s="12">
        <v>13.38</v>
      </c>
      <c r="I14" s="21">
        <f t="shared" si="1"/>
        <v>160.56</v>
      </c>
      <c r="J14" s="14">
        <f t="shared" si="2"/>
        <v>178.3554</v>
      </c>
      <c r="K14" s="21">
        <f t="shared" si="3"/>
        <v>187.32</v>
      </c>
      <c r="M14" s="12">
        <v>12.16</v>
      </c>
      <c r="N14" s="23">
        <f t="shared" si="6"/>
        <v>13.38</v>
      </c>
      <c r="O14" s="24">
        <f t="shared" si="4"/>
        <v>0.100328947368421</v>
      </c>
      <c r="P14" s="25">
        <f t="shared" si="5"/>
        <v>178.3554</v>
      </c>
    </row>
    <row r="15" spans="1:16">
      <c r="A15" s="18" t="s">
        <v>234</v>
      </c>
      <c r="B15" s="12">
        <v>0.356</v>
      </c>
      <c r="C15" s="19">
        <f t="shared" si="0"/>
        <v>14.01572</v>
      </c>
      <c r="D15" s="26" t="s">
        <v>26</v>
      </c>
      <c r="E15" s="20">
        <f>(C15+2.4)/39.37</f>
        <v>0.416960121920244</v>
      </c>
      <c r="F15" s="12" t="s">
        <v>137</v>
      </c>
      <c r="G15" s="18" t="s">
        <v>29</v>
      </c>
      <c r="H15" s="12">
        <v>13.89</v>
      </c>
      <c r="I15" s="21">
        <f t="shared" si="1"/>
        <v>166.68</v>
      </c>
      <c r="J15" s="14">
        <f t="shared" si="2"/>
        <v>185.1537</v>
      </c>
      <c r="K15" s="21">
        <f t="shared" si="3"/>
        <v>194.46</v>
      </c>
      <c r="M15" s="12">
        <v>12.63</v>
      </c>
      <c r="N15" s="23">
        <f t="shared" si="6"/>
        <v>13.89</v>
      </c>
      <c r="O15" s="24">
        <f t="shared" si="4"/>
        <v>0.0997624703087885</v>
      </c>
      <c r="P15" s="25">
        <f t="shared" si="5"/>
        <v>185.1537</v>
      </c>
    </row>
    <row r="16" spans="1:16">
      <c r="A16" s="18" t="s">
        <v>234</v>
      </c>
      <c r="B16" s="12">
        <v>0.356</v>
      </c>
      <c r="C16" s="19">
        <f t="shared" si="0"/>
        <v>14.01572</v>
      </c>
      <c r="D16" s="26" t="s">
        <v>31</v>
      </c>
      <c r="E16" s="20">
        <f>(C16+4.8)/39.37</f>
        <v>0.477920243840488</v>
      </c>
      <c r="F16" s="12" t="s">
        <v>137</v>
      </c>
      <c r="G16" s="18" t="s">
        <v>29</v>
      </c>
      <c r="H16" s="12">
        <v>23.21</v>
      </c>
      <c r="I16" s="21">
        <f t="shared" si="1"/>
        <v>278.52</v>
      </c>
      <c r="J16" s="14">
        <f t="shared" si="2"/>
        <v>309.3893</v>
      </c>
      <c r="K16" s="21">
        <f t="shared" si="3"/>
        <v>324.94</v>
      </c>
      <c r="M16" s="12">
        <v>21.1</v>
      </c>
      <c r="N16" s="23">
        <f t="shared" si="6"/>
        <v>23.21</v>
      </c>
      <c r="O16" s="24">
        <f t="shared" si="4"/>
        <v>0.0999999999999999</v>
      </c>
      <c r="P16" s="25">
        <f t="shared" si="5"/>
        <v>309.3893</v>
      </c>
    </row>
    <row r="17" spans="1:16">
      <c r="A17" s="18" t="s">
        <v>234</v>
      </c>
      <c r="B17" s="77">
        <v>0.99</v>
      </c>
      <c r="C17" s="19">
        <f t="shared" si="0"/>
        <v>38.9763</v>
      </c>
      <c r="D17" s="26" t="s">
        <v>26</v>
      </c>
      <c r="E17" s="20">
        <f>(C17+2.4)/39.37</f>
        <v>1.05096012192024</v>
      </c>
      <c r="F17" s="12" t="s">
        <v>145</v>
      </c>
      <c r="G17" s="18" t="s">
        <v>29</v>
      </c>
      <c r="H17" s="12">
        <v>19.4</v>
      </c>
      <c r="I17" s="21">
        <f t="shared" si="1"/>
        <v>232.8</v>
      </c>
      <c r="J17" s="14">
        <f t="shared" si="2"/>
        <v>258.602</v>
      </c>
      <c r="K17" s="21">
        <f t="shared" si="3"/>
        <v>271.6</v>
      </c>
      <c r="M17" s="12">
        <v>17.64</v>
      </c>
      <c r="N17" s="23">
        <f t="shared" si="6"/>
        <v>19.4</v>
      </c>
      <c r="O17" s="24">
        <f t="shared" si="4"/>
        <v>0.0997732426303854</v>
      </c>
      <c r="P17" s="25">
        <f t="shared" si="5"/>
        <v>258.602</v>
      </c>
    </row>
    <row r="18" spans="1:16">
      <c r="A18" s="18" t="s">
        <v>234</v>
      </c>
      <c r="B18" s="12">
        <v>1.42</v>
      </c>
      <c r="C18" s="19">
        <f t="shared" si="0"/>
        <v>55.9054</v>
      </c>
      <c r="D18" s="26" t="s">
        <v>28</v>
      </c>
      <c r="E18" s="20">
        <f>(C18+1.2)/39.37</f>
        <v>1.45048006096012</v>
      </c>
      <c r="F18" s="12" t="s">
        <v>148</v>
      </c>
      <c r="G18" s="18" t="s">
        <v>29</v>
      </c>
      <c r="H18" s="12">
        <v>19.35</v>
      </c>
      <c r="I18" s="21">
        <f t="shared" si="1"/>
        <v>232.2</v>
      </c>
      <c r="J18" s="14">
        <f t="shared" si="2"/>
        <v>257.9355</v>
      </c>
      <c r="K18" s="21">
        <f t="shared" si="3"/>
        <v>270.9</v>
      </c>
      <c r="M18" s="12">
        <v>17.59</v>
      </c>
      <c r="N18" s="23">
        <f t="shared" si="6"/>
        <v>19.35</v>
      </c>
      <c r="O18" s="24">
        <f t="shared" si="4"/>
        <v>0.100056850483229</v>
      </c>
      <c r="P18" s="25">
        <f t="shared" si="5"/>
        <v>257.9355</v>
      </c>
    </row>
    <row r="19" spans="1:16">
      <c r="A19" s="18" t="s">
        <v>234</v>
      </c>
      <c r="B19" s="12">
        <v>1.42</v>
      </c>
      <c r="C19" s="19">
        <f t="shared" si="0"/>
        <v>55.9054</v>
      </c>
      <c r="D19" s="26" t="s">
        <v>26</v>
      </c>
      <c r="E19" s="20">
        <f>(C19+2.4)/39.37</f>
        <v>1.48096012192024</v>
      </c>
      <c r="F19" s="12" t="s">
        <v>148</v>
      </c>
      <c r="G19" s="18" t="s">
        <v>29</v>
      </c>
      <c r="H19" s="12">
        <v>22.64</v>
      </c>
      <c r="I19" s="21">
        <f t="shared" si="1"/>
        <v>271.68</v>
      </c>
      <c r="J19" s="14">
        <f t="shared" si="2"/>
        <v>301.7912</v>
      </c>
      <c r="K19" s="21">
        <f t="shared" si="3"/>
        <v>316.96</v>
      </c>
      <c r="M19" s="12">
        <v>20.58</v>
      </c>
      <c r="N19" s="23">
        <f t="shared" si="6"/>
        <v>22.64</v>
      </c>
      <c r="O19" s="24">
        <f t="shared" si="4"/>
        <v>0.100097181729835</v>
      </c>
      <c r="P19" s="25">
        <f t="shared" si="5"/>
        <v>301.7912</v>
      </c>
    </row>
    <row r="20" spans="1:16">
      <c r="N20" s="23"/>
      <c r="O20" s="39"/>
    </row>
    <row r="23" ht="30" spans="1:16">
      <c r="A23" s="30" t="s">
        <v>10</v>
      </c>
      <c r="B23" s="30" t="s">
        <v>79</v>
      </c>
      <c r="C23" s="31" t="s">
        <v>201</v>
      </c>
      <c r="D23" s="30" t="s">
        <v>81</v>
      </c>
      <c r="E23" s="30" t="s">
        <v>82</v>
      </c>
      <c r="F23" s="12" t="s">
        <v>235</v>
      </c>
      <c r="G23" s="12"/>
      <c r="H23" s="12"/>
      <c r="I23" s="1"/>
    </row>
    <row r="24" ht="45" spans="1:16">
      <c r="A24" s="30" t="s">
        <v>84</v>
      </c>
      <c r="B24" s="30" t="s">
        <v>85</v>
      </c>
      <c r="C24" s="31" t="s">
        <v>86</v>
      </c>
      <c r="D24" s="30" t="s">
        <v>87</v>
      </c>
      <c r="E24" s="30" t="s">
        <v>88</v>
      </c>
      <c r="F24" s="20" t="s">
        <v>203</v>
      </c>
      <c r="G24" s="20" t="s">
        <v>204</v>
      </c>
      <c r="H24" s="20" t="s">
        <v>205</v>
      </c>
      <c r="I24" s="1"/>
      <c r="M24" s="15" t="s">
        <v>20</v>
      </c>
      <c r="N24" s="16" t="s">
        <v>21</v>
      </c>
      <c r="O24" s="17" t="s">
        <v>22</v>
      </c>
      <c r="P24" s="15" t="s">
        <v>93</v>
      </c>
    </row>
    <row r="25" spans="1:16">
      <c r="A25" s="18" t="s">
        <v>236</v>
      </c>
      <c r="B25" s="30">
        <v>1080</v>
      </c>
      <c r="C25" s="33">
        <v>0.68</v>
      </c>
      <c r="D25" s="30">
        <v>300</v>
      </c>
      <c r="E25" s="31" t="s">
        <v>96</v>
      </c>
      <c r="F25" s="20">
        <v>2.304</v>
      </c>
      <c r="G25" s="34">
        <f t="shared" ref="G25:G32" si="7">H25/D25</f>
        <v>30.23616</v>
      </c>
      <c r="H25" s="21">
        <f>F25*3937</f>
        <v>9070.848</v>
      </c>
      <c r="I25" s="1"/>
      <c r="M25" s="20">
        <v>2.057</v>
      </c>
      <c r="N25" s="36">
        <f>ROUND(M25*1.12,3)</f>
        <v>2.304</v>
      </c>
      <c r="O25" s="37">
        <f>N25/M25-1</f>
        <v>0.120077783179387</v>
      </c>
      <c r="P25" s="25">
        <f>N25*3937/300</f>
        <v>30.23616</v>
      </c>
    </row>
    <row r="26" spans="1:16">
      <c r="A26" s="18" t="s">
        <v>236</v>
      </c>
      <c r="B26" s="30">
        <v>1080</v>
      </c>
      <c r="C26" s="33">
        <v>0.7</v>
      </c>
      <c r="D26" s="30">
        <v>300</v>
      </c>
      <c r="E26" s="31" t="s">
        <v>96</v>
      </c>
      <c r="F26" s="20">
        <v>2.425</v>
      </c>
      <c r="G26" s="34">
        <f t="shared" si="7"/>
        <v>31.8240833333333</v>
      </c>
      <c r="H26" s="21">
        <f>F26*3937</f>
        <v>9547.225</v>
      </c>
      <c r="I26" s="1"/>
      <c r="M26" s="20">
        <v>2.165</v>
      </c>
      <c r="N26" s="36">
        <f>ROUND(M26*1.12,3)</f>
        <v>2.425</v>
      </c>
      <c r="O26" s="37">
        <f t="shared" ref="O26:O32" si="8">N26/M26-1</f>
        <v>0.120092378752887</v>
      </c>
      <c r="P26" s="25">
        <f t="shared" ref="P26:P32" si="9">N26*3937/300</f>
        <v>31.8240833333333</v>
      </c>
    </row>
    <row r="27" spans="1:16">
      <c r="A27" s="18" t="s">
        <v>236</v>
      </c>
      <c r="B27" s="30">
        <v>2116</v>
      </c>
      <c r="C27" s="33">
        <v>0.55</v>
      </c>
      <c r="D27" s="30">
        <v>300</v>
      </c>
      <c r="E27" s="31" t="s">
        <v>96</v>
      </c>
      <c r="F27" s="74">
        <v>2.187</v>
      </c>
      <c r="G27" s="34">
        <f t="shared" si="7"/>
        <v>28.70073</v>
      </c>
      <c r="H27" s="21">
        <f>F27*3937</f>
        <v>8610.219</v>
      </c>
      <c r="I27" s="1"/>
      <c r="M27" s="74">
        <v>1.988</v>
      </c>
      <c r="N27" s="36">
        <f t="shared" ref="N27:N32" si="10">ROUND(M27*1.1,3)</f>
        <v>2.187</v>
      </c>
      <c r="O27" s="37">
        <f t="shared" si="8"/>
        <v>0.10010060362173</v>
      </c>
      <c r="P27" s="25">
        <f t="shared" si="9"/>
        <v>28.70073</v>
      </c>
    </row>
    <row r="28" spans="1:16">
      <c r="A28" s="18" t="s">
        <v>236</v>
      </c>
      <c r="B28" s="30">
        <v>2116</v>
      </c>
      <c r="C28" s="33">
        <v>0.58</v>
      </c>
      <c r="D28" s="30">
        <v>300</v>
      </c>
      <c r="E28" s="31" t="s">
        <v>96</v>
      </c>
      <c r="F28" s="20">
        <v>2.3</v>
      </c>
      <c r="G28" s="34">
        <f t="shared" si="7"/>
        <v>30.1836666666667</v>
      </c>
      <c r="H28" s="21">
        <f>F28*3937</f>
        <v>9055.1</v>
      </c>
      <c r="I28" s="1"/>
      <c r="M28" s="20">
        <v>2.091</v>
      </c>
      <c r="N28" s="36">
        <f t="shared" si="10"/>
        <v>2.3</v>
      </c>
      <c r="O28" s="37">
        <f t="shared" si="8"/>
        <v>0.0999521759923481</v>
      </c>
      <c r="P28" s="25">
        <f t="shared" si="9"/>
        <v>30.1836666666667</v>
      </c>
    </row>
    <row r="29" spans="1:16">
      <c r="A29" s="18" t="s">
        <v>236</v>
      </c>
      <c r="B29" s="30">
        <v>1506</v>
      </c>
      <c r="C29" s="33">
        <v>0.48</v>
      </c>
      <c r="D29" s="30">
        <v>150</v>
      </c>
      <c r="E29" s="31" t="s">
        <v>96</v>
      </c>
      <c r="F29" s="20">
        <v>2.505</v>
      </c>
      <c r="G29" s="34">
        <f t="shared" si="7"/>
        <v>32.87395</v>
      </c>
      <c r="H29" s="21">
        <f>F29*1968.5</f>
        <v>4931.0925</v>
      </c>
      <c r="I29" s="1"/>
      <c r="M29" s="20">
        <v>2.277</v>
      </c>
      <c r="N29" s="36">
        <f t="shared" si="10"/>
        <v>2.505</v>
      </c>
      <c r="O29" s="37">
        <f t="shared" si="8"/>
        <v>0.100131752305665</v>
      </c>
      <c r="P29" s="25">
        <f t="shared" si="9"/>
        <v>32.87395</v>
      </c>
    </row>
    <row r="30" spans="1:16">
      <c r="A30" s="18" t="s">
        <v>236</v>
      </c>
      <c r="B30" s="30">
        <v>7628</v>
      </c>
      <c r="C30" s="33">
        <v>0.48</v>
      </c>
      <c r="D30" s="30">
        <v>150</v>
      </c>
      <c r="E30" s="31" t="s">
        <v>96</v>
      </c>
      <c r="F30" s="74">
        <v>2.676</v>
      </c>
      <c r="G30" s="34">
        <f t="shared" si="7"/>
        <v>35.11804</v>
      </c>
      <c r="H30" s="21">
        <f t="shared" ref="H30:H32" si="11">F30*1968.5</f>
        <v>5267.706</v>
      </c>
      <c r="I30" s="1"/>
      <c r="M30" s="74">
        <v>2.433</v>
      </c>
      <c r="N30" s="36">
        <f t="shared" si="10"/>
        <v>2.676</v>
      </c>
      <c r="O30" s="37">
        <f t="shared" si="8"/>
        <v>0.0998766954377313</v>
      </c>
      <c r="P30" s="25">
        <f t="shared" si="9"/>
        <v>35.11804</v>
      </c>
    </row>
    <row r="31" spans="1:16">
      <c r="A31" s="18" t="s">
        <v>236</v>
      </c>
      <c r="B31" s="30">
        <v>7628</v>
      </c>
      <c r="C31" s="33">
        <v>0.5</v>
      </c>
      <c r="D31" s="30">
        <v>150</v>
      </c>
      <c r="E31" s="31" t="s">
        <v>96</v>
      </c>
      <c r="F31" s="74">
        <v>2.814</v>
      </c>
      <c r="G31" s="34">
        <f t="shared" si="7"/>
        <v>36.92906</v>
      </c>
      <c r="H31" s="21">
        <f t="shared" si="11"/>
        <v>5539.359</v>
      </c>
      <c r="I31" s="1"/>
      <c r="M31" s="74">
        <v>2.558</v>
      </c>
      <c r="N31" s="36">
        <f t="shared" si="10"/>
        <v>2.814</v>
      </c>
      <c r="O31" s="37">
        <f t="shared" si="8"/>
        <v>0.100078186082877</v>
      </c>
      <c r="P31" s="25">
        <f t="shared" si="9"/>
        <v>36.92906</v>
      </c>
    </row>
    <row r="32" spans="1:16">
      <c r="A32" s="18" t="s">
        <v>236</v>
      </c>
      <c r="B32" s="30">
        <v>7628</v>
      </c>
      <c r="C32" s="33">
        <v>0.52</v>
      </c>
      <c r="D32" s="30">
        <v>150</v>
      </c>
      <c r="E32" s="31" t="s">
        <v>96</v>
      </c>
      <c r="F32" s="74">
        <v>2.996</v>
      </c>
      <c r="G32" s="34">
        <f t="shared" si="7"/>
        <v>39.3175066666667</v>
      </c>
      <c r="H32" s="21">
        <f t="shared" si="11"/>
        <v>5897.626</v>
      </c>
      <c r="I32" s="1"/>
      <c r="M32" s="74">
        <v>2.724</v>
      </c>
      <c r="N32" s="36">
        <f t="shared" si="10"/>
        <v>2.996</v>
      </c>
      <c r="O32" s="37">
        <f t="shared" si="8"/>
        <v>0.0998531571218795</v>
      </c>
      <c r="P32" s="25">
        <f t="shared" si="9"/>
        <v>39.3175066666667</v>
      </c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</sheetData>
  <autoFilter xmlns:etc="http://www.wps.cn/officeDocument/2017/etCustomData" ref="A10:K19" etc:filterBottomFollowUsedRange="0">
    <extLst/>
  </autoFilter>
  <mergeCells count="3">
    <mergeCell ref="A2:K2"/>
    <mergeCell ref="A3:K3"/>
    <mergeCell ref="F23:H23"/>
  </mergeCells>
  <pageMargins left="0.75" right="0.75" top="1" bottom="1" header="0.5" footer="0.5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zoomScale="85" zoomScaleNormal="85" workbookViewId="0">
      <selection activeCell="L12" sqref="L$1:M$1048576"/>
    </sheetView>
  </sheetViews>
  <sheetFormatPr defaultColWidth="8.66666666666667" defaultRowHeight="17.4"/>
  <cols>
    <col min="1" max="1" width="17.1666666666667" style="63" customWidth="1"/>
    <col min="2" max="5" width="8.66666666666667" style="63"/>
    <col min="6" max="6" width="14.6666666666667" style="63" customWidth="1"/>
    <col min="7" max="9" width="8.66666666666667" style="63"/>
    <col min="10" max="10" width="12.6666666666667" style="63"/>
    <col min="11" max="12" width="8.66666666666667" style="63"/>
    <col min="13" max="14" width="8.66666666666667" style="71"/>
    <col min="15" max="15" width="8.66666666666667" style="64"/>
    <col min="16" max="16384" width="8.66666666666667" style="71"/>
  </cols>
  <sheetData>
    <row r="1" ht="46" customHeight="1" spans="1:17">
      <c r="A1" s="65"/>
      <c r="B1" s="65"/>
      <c r="C1" s="65"/>
      <c r="D1" s="65"/>
      <c r="E1" s="65"/>
      <c r="F1" s="66"/>
      <c r="G1" s="67"/>
      <c r="H1" s="65"/>
      <c r="I1" s="67"/>
      <c r="J1" s="66"/>
      <c r="K1" s="67"/>
      <c r="L1" s="67"/>
    </row>
    <row r="2" spans="1:17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7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7">
      <c r="A4" s="6" t="s">
        <v>189</v>
      </c>
      <c r="B4" s="6"/>
      <c r="C4" s="6"/>
      <c r="D4" s="6"/>
      <c r="E4" s="6"/>
      <c r="F4" s="7"/>
      <c r="G4" s="6"/>
      <c r="H4" s="6"/>
      <c r="I4" s="6" t="s">
        <v>3</v>
      </c>
      <c r="J4" s="8"/>
      <c r="K4" s="6"/>
      <c r="L4" s="6"/>
    </row>
    <row r="5" spans="1:17">
      <c r="A5" s="6" t="s">
        <v>4</v>
      </c>
      <c r="B5" s="6"/>
      <c r="C5" s="6"/>
      <c r="D5" s="6"/>
      <c r="E5" s="6"/>
      <c r="F5" s="7"/>
      <c r="G5" s="6"/>
      <c r="H5" s="6"/>
      <c r="I5" s="6" t="s">
        <v>5</v>
      </c>
      <c r="J5" s="8"/>
      <c r="K5" s="6"/>
      <c r="L5" s="6"/>
    </row>
    <row r="6" spans="1:17">
      <c r="A6" s="6" t="s">
        <v>231</v>
      </c>
      <c r="B6" s="6"/>
      <c r="C6" s="6"/>
      <c r="D6" s="6"/>
      <c r="E6" s="6"/>
      <c r="F6" s="7"/>
      <c r="G6" s="6"/>
      <c r="H6" s="6"/>
      <c r="I6" s="6" t="s">
        <v>237</v>
      </c>
      <c r="J6" s="8"/>
      <c r="K6" s="6"/>
      <c r="L6" s="6"/>
    </row>
    <row r="7" spans="1:17">
      <c r="A7" s="6" t="s">
        <v>232</v>
      </c>
      <c r="B7" s="6"/>
      <c r="C7" s="6"/>
      <c r="D7" s="6"/>
      <c r="E7" s="6"/>
      <c r="F7" s="6"/>
      <c r="G7" s="6"/>
      <c r="H7" s="6"/>
      <c r="I7" s="9" t="s">
        <v>7</v>
      </c>
      <c r="J7" s="8"/>
      <c r="K7" s="6"/>
      <c r="L7" s="6"/>
      <c r="M7" s="63"/>
    </row>
    <row r="8" spans="1:17">
      <c r="A8" s="6"/>
      <c r="B8" s="6"/>
      <c r="C8" s="6"/>
      <c r="D8" s="6"/>
      <c r="E8" s="6"/>
      <c r="F8" s="6"/>
      <c r="G8" s="6"/>
      <c r="H8" s="6"/>
      <c r="I8" s="6" t="s">
        <v>211</v>
      </c>
      <c r="J8" s="8"/>
      <c r="K8" s="6"/>
      <c r="L8" s="6"/>
      <c r="M8" s="63"/>
    </row>
    <row r="9" spans="1:17">
      <c r="A9" s="10" t="s">
        <v>238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3"/>
    </row>
    <row r="10" ht="45" spans="1:17">
      <c r="A10" s="12" t="s">
        <v>191</v>
      </c>
      <c r="B10" s="12" t="s">
        <v>192</v>
      </c>
      <c r="C10" s="12" t="s">
        <v>193</v>
      </c>
      <c r="D10" s="13" t="s">
        <v>14</v>
      </c>
      <c r="E10" s="13" t="s">
        <v>194</v>
      </c>
      <c r="F10" s="12" t="s">
        <v>195</v>
      </c>
      <c r="G10" s="12" t="s">
        <v>15</v>
      </c>
      <c r="H10" s="12" t="s">
        <v>196</v>
      </c>
      <c r="I10" s="14" t="s">
        <v>197</v>
      </c>
      <c r="J10" s="14" t="s">
        <v>198</v>
      </c>
      <c r="K10" s="14" t="s">
        <v>199</v>
      </c>
      <c r="L10" s="53"/>
      <c r="M10" s="63"/>
      <c r="N10" s="15" t="s">
        <v>20</v>
      </c>
      <c r="O10" s="16" t="s">
        <v>21</v>
      </c>
      <c r="P10" s="17" t="s">
        <v>22</v>
      </c>
      <c r="Q10" s="15" t="s">
        <v>23</v>
      </c>
    </row>
    <row r="11" spans="1:17">
      <c r="A11" s="18" t="s">
        <v>239</v>
      </c>
      <c r="B11" s="12">
        <v>0.102</v>
      </c>
      <c r="C11" s="19">
        <f t="shared" ref="C11:C16" si="0">B11*39.37</f>
        <v>4.01574</v>
      </c>
      <c r="D11" s="26" t="s">
        <v>26</v>
      </c>
      <c r="E11" s="20">
        <f>(C11+2.4)/39.37</f>
        <v>0.162960121920244</v>
      </c>
      <c r="F11" s="12" t="s">
        <v>126</v>
      </c>
      <c r="G11" s="18" t="s">
        <v>29</v>
      </c>
      <c r="H11" s="14">
        <v>11.77</v>
      </c>
      <c r="I11" s="21">
        <f t="shared" ref="I11:I16" si="1">H11*12</f>
        <v>141.24</v>
      </c>
      <c r="J11" s="14">
        <f t="shared" ref="J11:J16" si="2">H11*13.33</f>
        <v>156.8941</v>
      </c>
      <c r="K11" s="21">
        <f t="shared" ref="K11:K16" si="3">H11*14</f>
        <v>164.78</v>
      </c>
      <c r="L11" s="29"/>
      <c r="M11" s="63"/>
      <c r="N11" s="14">
        <v>10.7</v>
      </c>
      <c r="O11" s="23">
        <f t="shared" ref="O11:O16" si="4">ROUND(N11*1.1,2)</f>
        <v>11.77</v>
      </c>
      <c r="P11" s="24">
        <f t="shared" ref="P11:P16" si="5">O11/N11-1</f>
        <v>0.1</v>
      </c>
      <c r="Q11" s="25">
        <f t="shared" ref="Q11:Q16" si="6">O11*13.33</f>
        <v>156.8941</v>
      </c>
    </row>
    <row r="12" spans="1:17">
      <c r="A12" s="18" t="s">
        <v>239</v>
      </c>
      <c r="B12" s="12">
        <v>0.15</v>
      </c>
      <c r="C12" s="19">
        <f t="shared" si="0"/>
        <v>5.9055</v>
      </c>
      <c r="D12" s="26" t="s">
        <v>59</v>
      </c>
      <c r="E12" s="20">
        <f>(C12+9.6)/39.37</f>
        <v>0.393840487680975</v>
      </c>
      <c r="F12" s="12" t="s">
        <v>129</v>
      </c>
      <c r="G12" s="18" t="s">
        <v>29</v>
      </c>
      <c r="H12" s="14">
        <v>47.45</v>
      </c>
      <c r="I12" s="21">
        <f t="shared" si="1"/>
        <v>569.4</v>
      </c>
      <c r="J12" s="14">
        <f t="shared" si="2"/>
        <v>632.5085</v>
      </c>
      <c r="K12" s="21">
        <f t="shared" si="3"/>
        <v>664.3</v>
      </c>
      <c r="L12" s="29"/>
      <c r="M12" s="63"/>
      <c r="N12" s="14">
        <v>43.14</v>
      </c>
      <c r="O12" s="23">
        <f t="shared" si="4"/>
        <v>47.45</v>
      </c>
      <c r="P12" s="24">
        <f t="shared" si="5"/>
        <v>0.0999072786277237</v>
      </c>
      <c r="Q12" s="25">
        <f t="shared" si="6"/>
        <v>632.5085</v>
      </c>
    </row>
    <row r="13" spans="1:17">
      <c r="A13" s="18" t="s">
        <v>239</v>
      </c>
      <c r="B13" s="12">
        <v>0.15</v>
      </c>
      <c r="C13" s="19">
        <f t="shared" si="0"/>
        <v>5.9055</v>
      </c>
      <c r="D13" s="26" t="s">
        <v>240</v>
      </c>
      <c r="E13" s="20">
        <f>(C13+7.2)/39.37</f>
        <v>0.332880365760732</v>
      </c>
      <c r="F13" s="12" t="s">
        <v>129</v>
      </c>
      <c r="G13" s="18" t="s">
        <v>29</v>
      </c>
      <c r="H13" s="14">
        <v>38.07</v>
      </c>
      <c r="I13" s="21">
        <f t="shared" si="1"/>
        <v>456.84</v>
      </c>
      <c r="J13" s="14">
        <f t="shared" si="2"/>
        <v>507.4731</v>
      </c>
      <c r="K13" s="21">
        <f t="shared" si="3"/>
        <v>532.98</v>
      </c>
      <c r="L13" s="29"/>
      <c r="M13" s="63"/>
      <c r="N13" s="14">
        <v>34.61</v>
      </c>
      <c r="O13" s="23">
        <f t="shared" si="4"/>
        <v>38.07</v>
      </c>
      <c r="P13" s="24">
        <f t="shared" si="5"/>
        <v>0.0999711066165849</v>
      </c>
      <c r="Q13" s="25">
        <f t="shared" si="6"/>
        <v>507.4731</v>
      </c>
    </row>
    <row r="14" spans="1:17">
      <c r="A14" s="18" t="s">
        <v>239</v>
      </c>
      <c r="B14" s="12">
        <v>0.36</v>
      </c>
      <c r="C14" s="19">
        <f t="shared" si="0"/>
        <v>14.1732</v>
      </c>
      <c r="D14" s="26" t="s">
        <v>31</v>
      </c>
      <c r="E14" s="20">
        <f>(C14+4.8)/39.37</f>
        <v>0.481920243840488</v>
      </c>
      <c r="F14" s="12" t="s">
        <v>137</v>
      </c>
      <c r="G14" s="18" t="s">
        <v>29</v>
      </c>
      <c r="H14" s="14">
        <v>28.05</v>
      </c>
      <c r="I14" s="21">
        <f t="shared" si="1"/>
        <v>336.6</v>
      </c>
      <c r="J14" s="14">
        <f t="shared" si="2"/>
        <v>373.9065</v>
      </c>
      <c r="K14" s="21">
        <f t="shared" si="3"/>
        <v>392.7</v>
      </c>
      <c r="L14" s="29"/>
      <c r="M14" s="63"/>
      <c r="N14" s="14">
        <v>25.5</v>
      </c>
      <c r="O14" s="23">
        <f t="shared" si="4"/>
        <v>28.05</v>
      </c>
      <c r="P14" s="24">
        <f t="shared" si="5"/>
        <v>0.1</v>
      </c>
      <c r="Q14" s="25">
        <f t="shared" si="6"/>
        <v>373.9065</v>
      </c>
    </row>
    <row r="15" spans="1:17">
      <c r="A15" s="18" t="s">
        <v>239</v>
      </c>
      <c r="B15" s="12">
        <v>0.36</v>
      </c>
      <c r="C15" s="19">
        <f t="shared" si="0"/>
        <v>14.1732</v>
      </c>
      <c r="D15" s="26" t="s">
        <v>34</v>
      </c>
      <c r="E15" s="20">
        <f>B15+0.21</f>
        <v>0.57</v>
      </c>
      <c r="F15" s="12" t="s">
        <v>137</v>
      </c>
      <c r="G15" s="18" t="s">
        <v>29</v>
      </c>
      <c r="H15" s="14">
        <v>40.85</v>
      </c>
      <c r="I15" s="21">
        <f t="shared" si="1"/>
        <v>490.2</v>
      </c>
      <c r="J15" s="14">
        <f t="shared" si="2"/>
        <v>544.5305</v>
      </c>
      <c r="K15" s="21">
        <f t="shared" si="3"/>
        <v>571.9</v>
      </c>
      <c r="L15" s="56"/>
      <c r="N15" s="14">
        <v>37.14</v>
      </c>
      <c r="O15" s="23">
        <f t="shared" si="4"/>
        <v>40.85</v>
      </c>
      <c r="P15" s="24">
        <f t="shared" si="5"/>
        <v>0.0998922994076468</v>
      </c>
      <c r="Q15" s="25">
        <f t="shared" si="6"/>
        <v>544.5305</v>
      </c>
    </row>
    <row r="16" spans="1:17">
      <c r="A16" s="18" t="s">
        <v>239</v>
      </c>
      <c r="B16" s="18">
        <v>0.81</v>
      </c>
      <c r="C16" s="19">
        <f t="shared" si="0"/>
        <v>31.8897</v>
      </c>
      <c r="D16" s="26" t="s">
        <v>26</v>
      </c>
      <c r="E16" s="20">
        <f>(C16+2.4)/39.37</f>
        <v>0.870960121920244</v>
      </c>
      <c r="F16" s="18" t="s">
        <v>241</v>
      </c>
      <c r="G16" s="18" t="s">
        <v>29</v>
      </c>
      <c r="H16" s="14">
        <v>21</v>
      </c>
      <c r="I16" s="21">
        <f t="shared" si="1"/>
        <v>252</v>
      </c>
      <c r="J16" s="14">
        <f t="shared" si="2"/>
        <v>279.93</v>
      </c>
      <c r="K16" s="21">
        <f t="shared" si="3"/>
        <v>294</v>
      </c>
      <c r="L16" s="29"/>
      <c r="M16" s="63"/>
      <c r="N16" s="14">
        <v>19.09</v>
      </c>
      <c r="O16" s="23">
        <f t="shared" si="4"/>
        <v>21</v>
      </c>
      <c r="P16" s="24">
        <f t="shared" si="5"/>
        <v>0.100052383446831</v>
      </c>
      <c r="Q16" s="25">
        <f t="shared" si="6"/>
        <v>279.93</v>
      </c>
    </row>
    <row r="17" spans="1:17">
      <c r="M17" s="63"/>
      <c r="P17" s="72"/>
    </row>
    <row r="18" spans="1:17">
      <c r="M18" s="63"/>
      <c r="P18" s="72"/>
    </row>
    <row r="19" spans="1:17">
      <c r="M19" s="63"/>
      <c r="P19" s="72"/>
    </row>
    <row r="20" ht="30" spans="1:17">
      <c r="A20" s="30" t="s">
        <v>10</v>
      </c>
      <c r="B20" s="30" t="s">
        <v>79</v>
      </c>
      <c r="C20" s="31" t="s">
        <v>201</v>
      </c>
      <c r="D20" s="30" t="s">
        <v>81</v>
      </c>
      <c r="E20" s="30" t="s">
        <v>82</v>
      </c>
      <c r="F20" s="12" t="s">
        <v>235</v>
      </c>
      <c r="G20" s="12"/>
      <c r="H20" s="12"/>
      <c r="M20" s="63"/>
      <c r="P20" s="72"/>
    </row>
    <row r="21" ht="45" spans="1:17">
      <c r="A21" s="30" t="s">
        <v>84</v>
      </c>
      <c r="B21" s="30" t="s">
        <v>85</v>
      </c>
      <c r="C21" s="31" t="s">
        <v>86</v>
      </c>
      <c r="D21" s="30" t="s">
        <v>87</v>
      </c>
      <c r="E21" s="30" t="s">
        <v>88</v>
      </c>
      <c r="F21" s="20" t="s">
        <v>203</v>
      </c>
      <c r="G21" s="20" t="s">
        <v>204</v>
      </c>
      <c r="H21" s="20" t="s">
        <v>205</v>
      </c>
      <c r="N21" s="15" t="s">
        <v>20</v>
      </c>
      <c r="O21" s="16" t="s">
        <v>21</v>
      </c>
      <c r="P21" s="70" t="s">
        <v>22</v>
      </c>
      <c r="Q21" s="15" t="s">
        <v>93</v>
      </c>
    </row>
    <row r="22" spans="1:17">
      <c r="A22" s="30" t="s">
        <v>239</v>
      </c>
      <c r="B22" s="30">
        <v>1080</v>
      </c>
      <c r="C22" s="33">
        <v>0.71</v>
      </c>
      <c r="D22" s="30">
        <v>300</v>
      </c>
      <c r="E22" s="31" t="s">
        <v>96</v>
      </c>
      <c r="F22" s="20">
        <v>2.454</v>
      </c>
      <c r="G22" s="34">
        <f t="shared" ref="G22:G28" si="7">H22/D22</f>
        <v>32.20466</v>
      </c>
      <c r="H22" s="21">
        <f>F22*3937</f>
        <v>9661.398</v>
      </c>
      <c r="N22" s="20">
        <v>2.191</v>
      </c>
      <c r="O22" s="36">
        <f>ROUND(N22*1.12,3)</f>
        <v>2.454</v>
      </c>
      <c r="P22" s="37">
        <f t="shared" ref="P22:P28" si="8">O22/N22-1</f>
        <v>0.120036513007759</v>
      </c>
      <c r="Q22" s="25">
        <f t="shared" ref="Q22:Q28" si="9">O22*3937/300</f>
        <v>32.20466</v>
      </c>
    </row>
    <row r="23" spans="1:17">
      <c r="A23" s="30" t="s">
        <v>239</v>
      </c>
      <c r="B23" s="30">
        <v>106</v>
      </c>
      <c r="C23" s="33">
        <v>0.74</v>
      </c>
      <c r="D23" s="30">
        <v>300</v>
      </c>
      <c r="E23" s="31" t="s">
        <v>96</v>
      </c>
      <c r="F23" s="20">
        <v>2.197</v>
      </c>
      <c r="G23" s="34">
        <f t="shared" si="7"/>
        <v>28.8319633333333</v>
      </c>
      <c r="H23" s="21">
        <f>F23*3937</f>
        <v>8649.589</v>
      </c>
      <c r="N23" s="20">
        <v>1.962</v>
      </c>
      <c r="O23" s="36">
        <f>ROUND(N23*1.12,3)</f>
        <v>2.197</v>
      </c>
      <c r="P23" s="37">
        <f t="shared" si="8"/>
        <v>0.119775739041794</v>
      </c>
      <c r="Q23" s="25">
        <f t="shared" si="9"/>
        <v>28.8319633333333</v>
      </c>
    </row>
    <row r="24" spans="1:17">
      <c r="A24" s="30" t="s">
        <v>239</v>
      </c>
      <c r="B24" s="30">
        <v>2116</v>
      </c>
      <c r="C24" s="33">
        <v>0.55</v>
      </c>
      <c r="D24" s="30">
        <v>300</v>
      </c>
      <c r="E24" s="31" t="s">
        <v>96</v>
      </c>
      <c r="F24" s="73">
        <v>2.299</v>
      </c>
      <c r="G24" s="34">
        <f t="shared" si="7"/>
        <v>30.1705433333333</v>
      </c>
      <c r="H24" s="21">
        <f>F24*3937</f>
        <v>9051.163</v>
      </c>
      <c r="N24" s="73">
        <v>2.053</v>
      </c>
      <c r="O24" s="36">
        <f>ROUND(N24*1.12,3)</f>
        <v>2.299</v>
      </c>
      <c r="P24" s="37">
        <f t="shared" si="8"/>
        <v>0.119824646858256</v>
      </c>
      <c r="Q24" s="25">
        <f t="shared" si="9"/>
        <v>30.1705433333333</v>
      </c>
    </row>
    <row r="25" spans="1:17">
      <c r="A25" s="30" t="s">
        <v>239</v>
      </c>
      <c r="B25" s="30">
        <v>2116</v>
      </c>
      <c r="C25" s="33" t="s">
        <v>242</v>
      </c>
      <c r="D25" s="30">
        <v>300</v>
      </c>
      <c r="E25" s="31" t="s">
        <v>96</v>
      </c>
      <c r="F25" s="20">
        <v>2.601</v>
      </c>
      <c r="G25" s="34">
        <f t="shared" si="7"/>
        <v>34.13379</v>
      </c>
      <c r="H25" s="21">
        <f>F25*3937</f>
        <v>10240.137</v>
      </c>
      <c r="N25" s="20">
        <v>2.322</v>
      </c>
      <c r="O25" s="36">
        <f>ROUND(N25*1.12,3)</f>
        <v>2.601</v>
      </c>
      <c r="P25" s="37">
        <f t="shared" si="8"/>
        <v>0.12015503875969</v>
      </c>
      <c r="Q25" s="25">
        <f t="shared" si="9"/>
        <v>34.13379</v>
      </c>
    </row>
    <row r="26" spans="1:17">
      <c r="A26" s="30" t="s">
        <v>239</v>
      </c>
      <c r="B26" s="30">
        <v>7628</v>
      </c>
      <c r="C26" s="33">
        <v>0.48</v>
      </c>
      <c r="D26" s="30">
        <v>150</v>
      </c>
      <c r="E26" s="31" t="s">
        <v>96</v>
      </c>
      <c r="F26" s="74">
        <v>2.965</v>
      </c>
      <c r="G26" s="34">
        <f t="shared" si="7"/>
        <v>38.9106833333333</v>
      </c>
      <c r="H26" s="21">
        <f t="shared" ref="H26:H28" si="10">F26*1968.5</f>
        <v>5836.6025</v>
      </c>
      <c r="N26" s="74">
        <v>2.695</v>
      </c>
      <c r="O26" s="36">
        <f>ROUND(N26*1.1,3)</f>
        <v>2.965</v>
      </c>
      <c r="P26" s="37">
        <f t="shared" si="8"/>
        <v>0.100185528756957</v>
      </c>
      <c r="Q26" s="25">
        <f t="shared" si="9"/>
        <v>38.9106833333333</v>
      </c>
    </row>
    <row r="27" spans="1:17">
      <c r="A27" s="30" t="s">
        <v>239</v>
      </c>
      <c r="B27" s="30">
        <v>7628</v>
      </c>
      <c r="C27" s="33">
        <v>0.5</v>
      </c>
      <c r="D27" s="30">
        <v>150</v>
      </c>
      <c r="E27" s="31" t="s">
        <v>96</v>
      </c>
      <c r="F27" s="74">
        <v>3.112</v>
      </c>
      <c r="G27" s="34">
        <f t="shared" si="7"/>
        <v>40.8398133333333</v>
      </c>
      <c r="H27" s="21">
        <f t="shared" si="10"/>
        <v>6125.972</v>
      </c>
      <c r="I27" s="69"/>
      <c r="N27" s="74">
        <v>2.829</v>
      </c>
      <c r="O27" s="36">
        <f>ROUND(N27*1.1,3)</f>
        <v>3.112</v>
      </c>
      <c r="P27" s="37">
        <f t="shared" si="8"/>
        <v>0.100035348179569</v>
      </c>
      <c r="Q27" s="25">
        <f t="shared" si="9"/>
        <v>40.8398133333333</v>
      </c>
    </row>
    <row r="28" spans="1:17">
      <c r="A28" s="30" t="s">
        <v>239</v>
      </c>
      <c r="B28" s="30">
        <v>1506</v>
      </c>
      <c r="C28" s="33">
        <v>0.51</v>
      </c>
      <c r="D28" s="30">
        <v>150</v>
      </c>
      <c r="E28" s="31" t="s">
        <v>96</v>
      </c>
      <c r="F28" s="74">
        <v>3.477</v>
      </c>
      <c r="G28" s="34">
        <f t="shared" si="7"/>
        <v>45.62983</v>
      </c>
      <c r="H28" s="21">
        <f t="shared" si="10"/>
        <v>6844.4745</v>
      </c>
      <c r="M28" s="63"/>
      <c r="N28" s="74">
        <v>3.161</v>
      </c>
      <c r="O28" s="36">
        <f>ROUND(N28*1.1,3)</f>
        <v>3.477</v>
      </c>
      <c r="P28" s="37">
        <f t="shared" si="8"/>
        <v>0.0999683644416323</v>
      </c>
      <c r="Q28" s="25">
        <f t="shared" si="9"/>
        <v>45.62983</v>
      </c>
    </row>
    <row r="29" spans="1:17">
      <c r="M29" s="63"/>
    </row>
    <row r="30" spans="1:17">
      <c r="M30" s="63"/>
    </row>
    <row r="31" spans="1:17">
      <c r="M31" s="63"/>
    </row>
    <row r="32" spans="1:17">
      <c r="M32" s="63"/>
    </row>
  </sheetData>
  <autoFilter xmlns:etc="http://www.wps.cn/officeDocument/2017/etCustomData" ref="A10:K16" etc:filterBottomFollowUsedRange="0">
    <extLst/>
  </autoFilter>
  <mergeCells count="3">
    <mergeCell ref="A2:K2"/>
    <mergeCell ref="A3:K3"/>
    <mergeCell ref="F20:H20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5"/>
  <sheetViews>
    <sheetView zoomScale="90" zoomScaleNormal="90" workbookViewId="0">
      <selection activeCell="L1" sqref="L$1:M$1048576"/>
    </sheetView>
  </sheetViews>
  <sheetFormatPr defaultColWidth="8.66666666666667" defaultRowHeight="17.4"/>
  <cols>
    <col min="1" max="1" width="17.1666666666667" style="63" customWidth="1"/>
    <col min="2" max="5" width="8.66666666666667" style="63"/>
    <col min="6" max="6" width="14.6666666666667" style="63" customWidth="1"/>
    <col min="7" max="11" width="8.66666666666667" style="63"/>
    <col min="12" max="13" width="9.1" style="41"/>
    <col min="14" max="14" width="8.66666666666667" style="63"/>
    <col min="15" max="15" width="8.66666666666667" style="64"/>
    <col min="16" max="16" width="7.8" style="63" customWidth="1"/>
    <col min="17" max="16384" width="8.66666666666667" style="63"/>
  </cols>
  <sheetData>
    <row r="1" ht="42" customHeight="1" spans="1:17">
      <c r="B1" s="65"/>
      <c r="C1" s="65"/>
      <c r="D1" s="65"/>
      <c r="E1" s="65"/>
      <c r="F1" s="66"/>
      <c r="G1" s="67"/>
      <c r="H1" s="65"/>
      <c r="I1" s="67"/>
      <c r="J1" s="66"/>
      <c r="K1" s="67"/>
    </row>
    <row r="2" spans="1:17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7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7">
      <c r="A4" s="6" t="s">
        <v>189</v>
      </c>
      <c r="B4" s="6"/>
      <c r="C4" s="6"/>
      <c r="D4" s="6"/>
      <c r="E4" s="6"/>
      <c r="F4" s="7"/>
      <c r="G4" s="6"/>
      <c r="H4" s="6"/>
      <c r="I4" s="6" t="s">
        <v>3</v>
      </c>
      <c r="J4" s="8"/>
      <c r="K4" s="6"/>
    </row>
    <row r="5" spans="1:17">
      <c r="A5" s="6" t="s">
        <v>4</v>
      </c>
      <c r="B5" s="6"/>
      <c r="C5" s="6"/>
      <c r="D5" s="6"/>
      <c r="E5" s="6"/>
      <c r="F5" s="7"/>
      <c r="G5" s="6"/>
      <c r="H5" s="6"/>
      <c r="I5" s="6" t="s">
        <v>5</v>
      </c>
      <c r="J5" s="8"/>
      <c r="K5" s="6"/>
    </row>
    <row r="6" spans="1:17">
      <c r="A6" s="6" t="s">
        <v>231</v>
      </c>
      <c r="B6" s="6"/>
      <c r="C6" s="6"/>
      <c r="D6" s="6"/>
      <c r="E6" s="6"/>
      <c r="F6" s="7"/>
      <c r="G6" s="6"/>
      <c r="H6" s="6"/>
      <c r="I6" s="6" t="s">
        <v>237</v>
      </c>
      <c r="J6" s="8"/>
      <c r="K6" s="6"/>
    </row>
    <row r="7" spans="1:17">
      <c r="A7" s="6" t="s">
        <v>232</v>
      </c>
      <c r="B7" s="6"/>
      <c r="C7" s="6"/>
      <c r="D7" s="6"/>
      <c r="E7" s="6"/>
      <c r="F7" s="6"/>
      <c r="G7" s="6"/>
      <c r="H7" s="6"/>
      <c r="I7" s="9" t="s">
        <v>7</v>
      </c>
      <c r="J7" s="8"/>
      <c r="K7" s="6"/>
    </row>
    <row r="8" spans="1:17">
      <c r="A8" s="6"/>
      <c r="B8" s="6"/>
      <c r="C8" s="6"/>
      <c r="D8" s="6"/>
      <c r="E8" s="6"/>
      <c r="F8" s="6"/>
      <c r="G8" s="6"/>
      <c r="H8" s="6"/>
      <c r="I8" s="6" t="s">
        <v>222</v>
      </c>
      <c r="J8" s="8"/>
      <c r="K8" s="6"/>
    </row>
    <row r="9" spans="1:17">
      <c r="A9" s="10" t="s">
        <v>243</v>
      </c>
      <c r="B9" s="68"/>
      <c r="C9" s="68"/>
      <c r="D9" s="68"/>
      <c r="E9" s="68"/>
      <c r="F9" s="68"/>
      <c r="G9" s="68"/>
      <c r="H9" s="68"/>
      <c r="I9" s="68"/>
      <c r="J9" s="68"/>
      <c r="K9" s="68"/>
    </row>
    <row r="10" s="63" customFormat="1" ht="45" spans="1:17">
      <c r="A10" s="12" t="s">
        <v>191</v>
      </c>
      <c r="B10" s="12" t="s">
        <v>192</v>
      </c>
      <c r="C10" s="12" t="s">
        <v>193</v>
      </c>
      <c r="D10" s="13" t="s">
        <v>14</v>
      </c>
      <c r="E10" s="13" t="s">
        <v>194</v>
      </c>
      <c r="F10" s="12" t="s">
        <v>195</v>
      </c>
      <c r="G10" s="12" t="s">
        <v>15</v>
      </c>
      <c r="H10" s="12" t="s">
        <v>196</v>
      </c>
      <c r="I10" s="14" t="s">
        <v>197</v>
      </c>
      <c r="J10" s="14" t="s">
        <v>198</v>
      </c>
      <c r="K10" s="14" t="s">
        <v>199</v>
      </c>
      <c r="L10" s="41"/>
      <c r="M10" s="41"/>
      <c r="N10" s="15" t="s">
        <v>20</v>
      </c>
      <c r="O10" s="16" t="s">
        <v>21</v>
      </c>
      <c r="P10" s="17" t="s">
        <v>22</v>
      </c>
      <c r="Q10" s="15" t="s">
        <v>23</v>
      </c>
    </row>
    <row r="11" s="63" customFormat="1" spans="1:17">
      <c r="A11" s="18" t="s">
        <v>244</v>
      </c>
      <c r="B11" s="12">
        <v>0.064</v>
      </c>
      <c r="C11" s="27">
        <f>B11*39.37</f>
        <v>2.51968</v>
      </c>
      <c r="D11" s="26" t="s">
        <v>26</v>
      </c>
      <c r="E11" s="20">
        <f>B11+0.07</f>
        <v>0.134</v>
      </c>
      <c r="F11" s="12" t="s">
        <v>245</v>
      </c>
      <c r="G11" s="18" t="s">
        <v>27</v>
      </c>
      <c r="H11" s="12">
        <v>12.82</v>
      </c>
      <c r="I11" s="21">
        <f>H11*12</f>
        <v>153.84</v>
      </c>
      <c r="J11" s="14">
        <f>H11*13.33</f>
        <v>170.8906</v>
      </c>
      <c r="K11" s="21">
        <f>H11*14</f>
        <v>179.48</v>
      </c>
      <c r="L11" s="41"/>
      <c r="M11" s="41"/>
      <c r="N11" s="12">
        <v>11.87</v>
      </c>
      <c r="O11" s="23">
        <f>ROUND(N11*1.08,2)</f>
        <v>12.82</v>
      </c>
      <c r="P11" s="59">
        <f>O11/N11-1</f>
        <v>0.0800336983993262</v>
      </c>
      <c r="Q11" s="25">
        <f>O11*13.33</f>
        <v>170.8906</v>
      </c>
    </row>
    <row r="12" s="63" customFormat="1" spans="1:17">
      <c r="A12" s="18" t="s">
        <v>244</v>
      </c>
      <c r="B12" s="12">
        <v>0.076</v>
      </c>
      <c r="C12" s="19">
        <f>B12*39.37</f>
        <v>2.99212</v>
      </c>
      <c r="D12" s="26" t="s">
        <v>28</v>
      </c>
      <c r="E12" s="20">
        <f>B12+0.03</f>
        <v>0.106</v>
      </c>
      <c r="F12" s="12" t="s">
        <v>25</v>
      </c>
      <c r="G12" s="18" t="s">
        <v>27</v>
      </c>
      <c r="H12" s="12">
        <v>8.98</v>
      </c>
      <c r="I12" s="21">
        <f>H12*12</f>
        <v>107.76</v>
      </c>
      <c r="J12" s="14">
        <f>H12*13.33</f>
        <v>119.7034</v>
      </c>
      <c r="K12" s="21">
        <f>H12*14</f>
        <v>125.72</v>
      </c>
      <c r="L12" s="59"/>
      <c r="M12" s="41"/>
      <c r="N12" s="12">
        <v>8.98</v>
      </c>
      <c r="O12" s="23">
        <f>ROUND(N12*1,2)</f>
        <v>8.98</v>
      </c>
      <c r="P12" s="59">
        <f>O12/N12-1</f>
        <v>0</v>
      </c>
      <c r="Q12" s="25">
        <f>O12*13.33</f>
        <v>119.7034</v>
      </c>
    </row>
    <row r="13" s="63" customFormat="1" spans="1:17">
      <c r="A13" s="18" t="s">
        <v>244</v>
      </c>
      <c r="B13" s="12">
        <v>0.102</v>
      </c>
      <c r="C13" s="19">
        <f>B13*39.37</f>
        <v>4.01574</v>
      </c>
      <c r="D13" s="26" t="s">
        <v>28</v>
      </c>
      <c r="E13" s="20">
        <f t="shared" ref="E13:E18" si="0">B13+0.03</f>
        <v>0.132</v>
      </c>
      <c r="F13" s="12" t="s">
        <v>36</v>
      </c>
      <c r="G13" s="18" t="s">
        <v>27</v>
      </c>
      <c r="H13" s="12">
        <v>10.47</v>
      </c>
      <c r="I13" s="21">
        <f t="shared" ref="I13:I26" si="1">H13*12</f>
        <v>125.64</v>
      </c>
      <c r="J13" s="14">
        <f t="shared" ref="J13:J26" si="2">H13*13.33</f>
        <v>139.5651</v>
      </c>
      <c r="K13" s="21">
        <f t="shared" ref="K13:K26" si="3">H13*14</f>
        <v>146.58</v>
      </c>
      <c r="L13" s="59"/>
      <c r="M13" s="41"/>
      <c r="N13" s="12">
        <v>9.69</v>
      </c>
      <c r="O13" s="23">
        <f>ROUND(N13*1.08,2)</f>
        <v>10.47</v>
      </c>
      <c r="P13" s="59">
        <f>O13/N13-1</f>
        <v>0.0804953560371517</v>
      </c>
      <c r="Q13" s="25">
        <f>O13*13.33</f>
        <v>139.5651</v>
      </c>
    </row>
    <row r="14" s="63" customFormat="1" spans="1:17">
      <c r="A14" s="18" t="s">
        <v>244</v>
      </c>
      <c r="B14" s="12">
        <v>0.102</v>
      </c>
      <c r="C14" s="19">
        <f>B14*39.37</f>
        <v>4.01574</v>
      </c>
      <c r="D14" s="26" t="s">
        <v>28</v>
      </c>
      <c r="E14" s="20">
        <f t="shared" si="0"/>
        <v>0.132</v>
      </c>
      <c r="F14" s="12" t="s">
        <v>246</v>
      </c>
      <c r="G14" s="18" t="s">
        <v>27</v>
      </c>
      <c r="H14" s="12">
        <v>10.47</v>
      </c>
      <c r="I14" s="21">
        <f t="shared" si="1"/>
        <v>125.64</v>
      </c>
      <c r="J14" s="14">
        <f t="shared" si="2"/>
        <v>139.5651</v>
      </c>
      <c r="K14" s="21">
        <f t="shared" si="3"/>
        <v>146.58</v>
      </c>
      <c r="L14" s="59"/>
      <c r="M14" s="41"/>
      <c r="N14" s="12">
        <v>9.69</v>
      </c>
      <c r="O14" s="23">
        <f t="shared" ref="O14:O26" si="4">ROUND(N14*1.08,2)</f>
        <v>10.47</v>
      </c>
      <c r="P14" s="59">
        <f t="shared" ref="P14:P26" si="5">O14/N14-1</f>
        <v>0.0804953560371517</v>
      </c>
      <c r="Q14" s="25">
        <f t="shared" ref="Q14:Q26" si="6">O14*13.33</f>
        <v>139.5651</v>
      </c>
    </row>
    <row r="15" s="63" customFormat="1" spans="1:17">
      <c r="A15" s="18" t="s">
        <v>244</v>
      </c>
      <c r="B15" s="12">
        <v>0.102</v>
      </c>
      <c r="C15" s="19">
        <f t="shared" ref="C15:C26" si="7">B15*39.37</f>
        <v>4.01574</v>
      </c>
      <c r="D15" s="26" t="s">
        <v>28</v>
      </c>
      <c r="E15" s="20">
        <f t="shared" si="0"/>
        <v>0.132</v>
      </c>
      <c r="F15" s="12" t="s">
        <v>35</v>
      </c>
      <c r="G15" s="18" t="s">
        <v>27</v>
      </c>
      <c r="H15" s="12">
        <v>9.6</v>
      </c>
      <c r="I15" s="21">
        <f t="shared" si="1"/>
        <v>115.2</v>
      </c>
      <c r="J15" s="14">
        <f t="shared" si="2"/>
        <v>127.968</v>
      </c>
      <c r="K15" s="21">
        <f t="shared" si="3"/>
        <v>134.4</v>
      </c>
      <c r="L15" s="59"/>
      <c r="M15" s="41"/>
      <c r="N15" s="12">
        <v>8.89</v>
      </c>
      <c r="O15" s="23">
        <f t="shared" si="4"/>
        <v>9.6</v>
      </c>
      <c r="P15" s="59">
        <f t="shared" si="5"/>
        <v>0.0798650168728907</v>
      </c>
      <c r="Q15" s="25">
        <f t="shared" si="6"/>
        <v>127.968</v>
      </c>
    </row>
    <row r="16" s="63" customFormat="1" spans="1:17">
      <c r="A16" s="18" t="s">
        <v>244</v>
      </c>
      <c r="B16" s="12">
        <v>0.102</v>
      </c>
      <c r="C16" s="19">
        <f t="shared" si="7"/>
        <v>4.01574</v>
      </c>
      <c r="D16" s="26" t="s">
        <v>26</v>
      </c>
      <c r="E16" s="20">
        <f>B16+0.07</f>
        <v>0.172</v>
      </c>
      <c r="F16" s="12" t="s">
        <v>35</v>
      </c>
      <c r="G16" s="18" t="s">
        <v>27</v>
      </c>
      <c r="H16" s="12">
        <v>15.42</v>
      </c>
      <c r="I16" s="21">
        <f t="shared" si="1"/>
        <v>185.04</v>
      </c>
      <c r="J16" s="14">
        <f t="shared" si="2"/>
        <v>205.5486</v>
      </c>
      <c r="K16" s="21">
        <f t="shared" si="3"/>
        <v>215.88</v>
      </c>
      <c r="L16" s="59"/>
      <c r="M16" s="41"/>
      <c r="N16" s="12">
        <v>14.28</v>
      </c>
      <c r="O16" s="23">
        <f t="shared" si="4"/>
        <v>15.42</v>
      </c>
      <c r="P16" s="59">
        <f t="shared" si="5"/>
        <v>0.0798319327731092</v>
      </c>
      <c r="Q16" s="25">
        <f t="shared" si="6"/>
        <v>205.5486</v>
      </c>
    </row>
    <row r="17" s="63" customFormat="1" spans="1:19">
      <c r="A17" s="18" t="s">
        <v>244</v>
      </c>
      <c r="B17" s="12">
        <v>0.102</v>
      </c>
      <c r="C17" s="19">
        <f t="shared" si="7"/>
        <v>4.01574</v>
      </c>
      <c r="D17" s="26" t="s">
        <v>31</v>
      </c>
      <c r="E17" s="20">
        <f>B17+0.14</f>
        <v>0.242</v>
      </c>
      <c r="F17" s="12" t="s">
        <v>35</v>
      </c>
      <c r="G17" s="18" t="s">
        <v>27</v>
      </c>
      <c r="H17" s="12">
        <v>27.16</v>
      </c>
      <c r="I17" s="21">
        <f t="shared" si="1"/>
        <v>325.92</v>
      </c>
      <c r="J17" s="14">
        <f t="shared" si="2"/>
        <v>362.0428</v>
      </c>
      <c r="K17" s="21">
        <f t="shared" si="3"/>
        <v>380.24</v>
      </c>
      <c r="L17" s="59"/>
      <c r="M17" s="41"/>
      <c r="N17" s="12">
        <v>25.15</v>
      </c>
      <c r="O17" s="23">
        <f t="shared" si="4"/>
        <v>27.16</v>
      </c>
      <c r="P17" s="59">
        <f t="shared" si="5"/>
        <v>0.0799204771371771</v>
      </c>
      <c r="Q17" s="25">
        <f t="shared" si="6"/>
        <v>362.0428</v>
      </c>
    </row>
    <row r="18" s="63" customFormat="1" spans="1:19">
      <c r="A18" s="18" t="s">
        <v>244</v>
      </c>
      <c r="B18" s="12">
        <v>0.127</v>
      </c>
      <c r="C18" s="19">
        <f t="shared" si="7"/>
        <v>4.99999</v>
      </c>
      <c r="D18" s="26" t="s">
        <v>28</v>
      </c>
      <c r="E18" s="20">
        <f t="shared" si="0"/>
        <v>0.157</v>
      </c>
      <c r="F18" s="12" t="s">
        <v>33</v>
      </c>
      <c r="G18" s="18" t="s">
        <v>27</v>
      </c>
      <c r="H18" s="12">
        <v>9.69</v>
      </c>
      <c r="I18" s="21">
        <f t="shared" si="1"/>
        <v>116.28</v>
      </c>
      <c r="J18" s="14">
        <f t="shared" si="2"/>
        <v>129.1677</v>
      </c>
      <c r="K18" s="21">
        <f t="shared" si="3"/>
        <v>135.66</v>
      </c>
      <c r="L18" s="59"/>
      <c r="M18" s="41"/>
      <c r="N18" s="12">
        <v>8.97</v>
      </c>
      <c r="O18" s="23">
        <f t="shared" si="4"/>
        <v>9.69</v>
      </c>
      <c r="P18" s="59">
        <f t="shared" si="5"/>
        <v>0.080267558528428</v>
      </c>
      <c r="Q18" s="25">
        <f t="shared" si="6"/>
        <v>129.1677</v>
      </c>
    </row>
    <row r="19" s="63" customFormat="1" spans="1:19">
      <c r="A19" s="18" t="s">
        <v>244</v>
      </c>
      <c r="B19" s="12">
        <v>0.127</v>
      </c>
      <c r="C19" s="19">
        <f t="shared" si="7"/>
        <v>4.99999</v>
      </c>
      <c r="D19" s="26" t="s">
        <v>26</v>
      </c>
      <c r="E19" s="20">
        <f t="shared" ref="E19:E26" si="8">B19+0.07</f>
        <v>0.197</v>
      </c>
      <c r="F19" s="12" t="s">
        <v>33</v>
      </c>
      <c r="G19" s="18" t="s">
        <v>27</v>
      </c>
      <c r="H19" s="12">
        <v>13.33</v>
      </c>
      <c r="I19" s="21">
        <f t="shared" si="1"/>
        <v>159.96</v>
      </c>
      <c r="J19" s="14">
        <f t="shared" si="2"/>
        <v>177.6889</v>
      </c>
      <c r="K19" s="21">
        <f t="shared" si="3"/>
        <v>186.62</v>
      </c>
      <c r="L19" s="41"/>
      <c r="M19" s="41"/>
      <c r="N19" s="12">
        <v>12.34</v>
      </c>
      <c r="O19" s="23">
        <f t="shared" si="4"/>
        <v>13.33</v>
      </c>
      <c r="P19" s="59">
        <f t="shared" si="5"/>
        <v>0.0802269043760129</v>
      </c>
      <c r="Q19" s="25">
        <f t="shared" si="6"/>
        <v>177.6889</v>
      </c>
    </row>
    <row r="20" s="63" customFormat="1" spans="1:19">
      <c r="A20" s="18" t="s">
        <v>244</v>
      </c>
      <c r="B20" s="12">
        <v>0.152</v>
      </c>
      <c r="C20" s="19">
        <f t="shared" si="7"/>
        <v>5.98424</v>
      </c>
      <c r="D20" s="26" t="s">
        <v>28</v>
      </c>
      <c r="E20" s="20">
        <f>B20+0.03</f>
        <v>0.182</v>
      </c>
      <c r="F20" s="12" t="s">
        <v>247</v>
      </c>
      <c r="G20" s="18" t="s">
        <v>27</v>
      </c>
      <c r="H20" s="12">
        <v>11.01</v>
      </c>
      <c r="I20" s="21">
        <f t="shared" si="1"/>
        <v>132.12</v>
      </c>
      <c r="J20" s="14">
        <f t="shared" si="2"/>
        <v>146.7633</v>
      </c>
      <c r="K20" s="21">
        <f t="shared" si="3"/>
        <v>154.14</v>
      </c>
      <c r="L20" s="59"/>
      <c r="M20" s="41"/>
      <c r="N20" s="12">
        <v>10.19</v>
      </c>
      <c r="O20" s="23">
        <f t="shared" si="4"/>
        <v>11.01</v>
      </c>
      <c r="P20" s="59">
        <f t="shared" si="5"/>
        <v>0.0804710500490677</v>
      </c>
      <c r="Q20" s="25">
        <f t="shared" si="6"/>
        <v>146.7633</v>
      </c>
    </row>
    <row r="21" s="63" customFormat="1" spans="1:19">
      <c r="A21" s="18" t="s">
        <v>244</v>
      </c>
      <c r="B21" s="12">
        <v>0.25</v>
      </c>
      <c r="C21" s="19">
        <f t="shared" si="7"/>
        <v>9.8425</v>
      </c>
      <c r="D21" s="26" t="s">
        <v>30</v>
      </c>
      <c r="E21" s="20">
        <f>B21+0.05</f>
        <v>0.3</v>
      </c>
      <c r="F21" s="12" t="s">
        <v>41</v>
      </c>
      <c r="G21" s="18" t="s">
        <v>27</v>
      </c>
      <c r="H21" s="12">
        <v>14.08</v>
      </c>
      <c r="I21" s="21">
        <f t="shared" si="1"/>
        <v>168.96</v>
      </c>
      <c r="J21" s="14">
        <f t="shared" si="2"/>
        <v>187.6864</v>
      </c>
      <c r="K21" s="21">
        <f t="shared" si="3"/>
        <v>197.12</v>
      </c>
      <c r="L21" s="41"/>
      <c r="M21" s="41"/>
      <c r="N21" s="12">
        <v>13.04</v>
      </c>
      <c r="O21" s="23">
        <f t="shared" si="4"/>
        <v>14.08</v>
      </c>
      <c r="P21" s="59">
        <f t="shared" si="5"/>
        <v>0.0797546012269938</v>
      </c>
      <c r="Q21" s="25">
        <f t="shared" si="6"/>
        <v>187.6864</v>
      </c>
    </row>
    <row r="22" s="63" customFormat="1" spans="1:19">
      <c r="A22" s="18" t="s">
        <v>244</v>
      </c>
      <c r="B22" s="12">
        <v>0.508</v>
      </c>
      <c r="C22" s="19">
        <f t="shared" si="7"/>
        <v>19.99996</v>
      </c>
      <c r="D22" s="26" t="s">
        <v>26</v>
      </c>
      <c r="E22" s="20">
        <f t="shared" si="8"/>
        <v>0.578</v>
      </c>
      <c r="F22" s="12" t="s">
        <v>248</v>
      </c>
      <c r="G22" s="18" t="s">
        <v>27</v>
      </c>
      <c r="H22" s="12">
        <v>19.18</v>
      </c>
      <c r="I22" s="21">
        <f t="shared" si="1"/>
        <v>230.16</v>
      </c>
      <c r="J22" s="14">
        <f t="shared" si="2"/>
        <v>255.6694</v>
      </c>
      <c r="K22" s="21">
        <f t="shared" si="3"/>
        <v>268.52</v>
      </c>
      <c r="L22" s="41"/>
      <c r="M22" s="41"/>
      <c r="N22" s="12">
        <v>17.76</v>
      </c>
      <c r="O22" s="23">
        <f t="shared" si="4"/>
        <v>19.18</v>
      </c>
      <c r="P22" s="59">
        <f t="shared" si="5"/>
        <v>0.0799549549549547</v>
      </c>
      <c r="Q22" s="25">
        <f t="shared" si="6"/>
        <v>255.6694</v>
      </c>
    </row>
    <row r="23" s="63" customFormat="1" spans="1:19">
      <c r="A23" s="18" t="s">
        <v>244</v>
      </c>
      <c r="B23" s="12">
        <v>0.61</v>
      </c>
      <c r="C23" s="19">
        <f t="shared" si="7"/>
        <v>24.0157</v>
      </c>
      <c r="D23" s="26" t="s">
        <v>26</v>
      </c>
      <c r="E23" s="20">
        <f t="shared" si="8"/>
        <v>0.68</v>
      </c>
      <c r="F23" s="12" t="s">
        <v>52</v>
      </c>
      <c r="G23" s="18" t="s">
        <v>27</v>
      </c>
      <c r="H23" s="12">
        <v>19.18</v>
      </c>
      <c r="I23" s="21">
        <f t="shared" si="1"/>
        <v>230.16</v>
      </c>
      <c r="J23" s="14">
        <f t="shared" si="2"/>
        <v>255.6694</v>
      </c>
      <c r="K23" s="21">
        <f t="shared" si="3"/>
        <v>268.52</v>
      </c>
      <c r="L23" s="59"/>
      <c r="M23" s="41"/>
      <c r="N23" s="12">
        <v>17.76</v>
      </c>
      <c r="O23" s="23">
        <f t="shared" si="4"/>
        <v>19.18</v>
      </c>
      <c r="P23" s="59">
        <f t="shared" si="5"/>
        <v>0.0799549549549547</v>
      </c>
      <c r="Q23" s="25">
        <f t="shared" si="6"/>
        <v>255.6694</v>
      </c>
    </row>
    <row r="24" s="63" customFormat="1" spans="1:19">
      <c r="A24" s="18" t="s">
        <v>244</v>
      </c>
      <c r="B24" s="12">
        <v>0.61</v>
      </c>
      <c r="C24" s="19">
        <f t="shared" si="7"/>
        <v>24.0157</v>
      </c>
      <c r="D24" s="26" t="s">
        <v>26</v>
      </c>
      <c r="E24" s="20">
        <f t="shared" si="8"/>
        <v>0.68</v>
      </c>
      <c r="F24" s="12" t="s">
        <v>248</v>
      </c>
      <c r="G24" s="18" t="s">
        <v>27</v>
      </c>
      <c r="H24" s="12">
        <v>21.23</v>
      </c>
      <c r="I24" s="21">
        <f t="shared" si="1"/>
        <v>254.76</v>
      </c>
      <c r="J24" s="14">
        <f t="shared" si="2"/>
        <v>282.9959</v>
      </c>
      <c r="K24" s="21">
        <f t="shared" si="3"/>
        <v>297.22</v>
      </c>
      <c r="L24" s="41"/>
      <c r="M24" s="41"/>
      <c r="N24" s="12">
        <v>19.66</v>
      </c>
      <c r="O24" s="23">
        <f t="shared" si="4"/>
        <v>21.23</v>
      </c>
      <c r="P24" s="59">
        <f t="shared" si="5"/>
        <v>0.0798575788402849</v>
      </c>
      <c r="Q24" s="25">
        <f t="shared" si="6"/>
        <v>282.9959</v>
      </c>
    </row>
    <row r="25" s="63" customFormat="1" spans="1:19">
      <c r="A25" s="18" t="s">
        <v>244</v>
      </c>
      <c r="B25" s="12">
        <v>0.81</v>
      </c>
      <c r="C25" s="19">
        <f t="shared" si="7"/>
        <v>31.8897</v>
      </c>
      <c r="D25" s="26" t="s">
        <v>26</v>
      </c>
      <c r="E25" s="20">
        <f t="shared" si="8"/>
        <v>0.88</v>
      </c>
      <c r="F25" s="12" t="s">
        <v>54</v>
      </c>
      <c r="G25" s="18" t="s">
        <v>27</v>
      </c>
      <c r="H25" s="12">
        <v>22.81</v>
      </c>
      <c r="I25" s="21">
        <f t="shared" si="1"/>
        <v>273.72</v>
      </c>
      <c r="J25" s="14">
        <f t="shared" si="2"/>
        <v>304.0573</v>
      </c>
      <c r="K25" s="21">
        <f t="shared" si="3"/>
        <v>319.34</v>
      </c>
      <c r="L25" s="59"/>
      <c r="M25" s="41"/>
      <c r="N25" s="12">
        <v>21.12</v>
      </c>
      <c r="O25" s="23">
        <f t="shared" si="4"/>
        <v>22.81</v>
      </c>
      <c r="P25" s="59">
        <f t="shared" si="5"/>
        <v>0.0800189393939392</v>
      </c>
      <c r="Q25" s="25">
        <f t="shared" si="6"/>
        <v>304.0573</v>
      </c>
    </row>
    <row r="26" s="1" customFormat="1" spans="1:19">
      <c r="A26" s="18" t="s">
        <v>244</v>
      </c>
      <c r="B26" s="12">
        <v>0.81</v>
      </c>
      <c r="C26" s="19">
        <f t="shared" si="7"/>
        <v>31.8897</v>
      </c>
      <c r="D26" s="26" t="s">
        <v>26</v>
      </c>
      <c r="E26" s="20">
        <f t="shared" si="8"/>
        <v>0.88</v>
      </c>
      <c r="F26" s="12" t="s">
        <v>249</v>
      </c>
      <c r="G26" s="18" t="s">
        <v>27</v>
      </c>
      <c r="H26" s="12">
        <v>26.68</v>
      </c>
      <c r="I26" s="21">
        <f t="shared" si="1"/>
        <v>320.16</v>
      </c>
      <c r="J26" s="14">
        <f t="shared" si="2"/>
        <v>355.6444</v>
      </c>
      <c r="K26" s="21">
        <f t="shared" si="3"/>
        <v>373.52</v>
      </c>
      <c r="L26" s="59"/>
      <c r="M26" s="41"/>
      <c r="N26" s="12">
        <v>24.7</v>
      </c>
      <c r="O26" s="23">
        <f t="shared" si="4"/>
        <v>26.68</v>
      </c>
      <c r="P26" s="59">
        <f t="shared" si="5"/>
        <v>0.0801619433198382</v>
      </c>
      <c r="Q26" s="25">
        <f t="shared" si="6"/>
        <v>355.6444</v>
      </c>
      <c r="R26" s="63"/>
      <c r="S26" s="63"/>
    </row>
    <row r="27" spans="1:19">
      <c r="P27" s="69"/>
    </row>
    <row r="28" s="63" customFormat="1" ht="30" spans="1:19">
      <c r="A28" s="30" t="s">
        <v>10</v>
      </c>
      <c r="B28" s="30" t="s">
        <v>79</v>
      </c>
      <c r="C28" s="31" t="s">
        <v>201</v>
      </c>
      <c r="D28" s="30" t="s">
        <v>81</v>
      </c>
      <c r="E28" s="30" t="s">
        <v>82</v>
      </c>
      <c r="F28" s="12" t="s">
        <v>235</v>
      </c>
      <c r="G28" s="12"/>
      <c r="H28" s="12"/>
      <c r="I28" s="63"/>
      <c r="J28" s="63"/>
      <c r="K28" s="63"/>
      <c r="L28" s="41"/>
      <c r="M28" s="41"/>
      <c r="N28" s="63"/>
      <c r="O28" s="64"/>
      <c r="P28" s="69"/>
    </row>
    <row r="29" s="63" customFormat="1" ht="45" spans="1:19">
      <c r="A29" s="30" t="s">
        <v>84</v>
      </c>
      <c r="B29" s="30" t="s">
        <v>85</v>
      </c>
      <c r="C29" s="31" t="s">
        <v>86</v>
      </c>
      <c r="D29" s="30" t="s">
        <v>87</v>
      </c>
      <c r="E29" s="30" t="s">
        <v>88</v>
      </c>
      <c r="F29" s="20" t="s">
        <v>203</v>
      </c>
      <c r="G29" s="20" t="s">
        <v>204</v>
      </c>
      <c r="H29" s="20" t="s">
        <v>205</v>
      </c>
      <c r="I29" s="63"/>
      <c r="J29" s="63"/>
      <c r="K29" s="63"/>
      <c r="L29" s="41"/>
      <c r="M29" s="41"/>
      <c r="N29" s="15" t="s">
        <v>20</v>
      </c>
      <c r="O29" s="16" t="s">
        <v>21</v>
      </c>
      <c r="P29" s="70" t="s">
        <v>22</v>
      </c>
      <c r="Q29" s="15" t="s">
        <v>93</v>
      </c>
    </row>
    <row r="30" s="63" customFormat="1" spans="1:19">
      <c r="A30" s="18" t="s">
        <v>250</v>
      </c>
      <c r="B30" s="30">
        <v>2113</v>
      </c>
      <c r="C30" s="33">
        <v>0.54</v>
      </c>
      <c r="D30" s="30">
        <v>200</v>
      </c>
      <c r="E30" s="31" t="s">
        <v>96</v>
      </c>
      <c r="F30" s="20">
        <v>2.55</v>
      </c>
      <c r="G30" s="34">
        <f t="shared" ref="G30:G32" si="9">H30/D30</f>
        <v>33.464925</v>
      </c>
      <c r="H30" s="21">
        <f t="shared" ref="H30:H34" si="10">F30*2624.7</f>
        <v>6692.985</v>
      </c>
      <c r="L30" s="41"/>
      <c r="M30" s="41"/>
      <c r="N30" s="20">
        <v>2.318</v>
      </c>
      <c r="O30" s="36">
        <f>ROUND(N30*1.1,3)</f>
        <v>2.55</v>
      </c>
      <c r="P30" s="57">
        <f>O30/N30-1</f>
        <v>0.100086281276963</v>
      </c>
      <c r="Q30" s="25">
        <f>O30*3937/300</f>
        <v>33.4645</v>
      </c>
    </row>
    <row r="31" s="63" customFormat="1" spans="1:19">
      <c r="A31" s="18" t="s">
        <v>250</v>
      </c>
      <c r="B31" s="30">
        <v>2116</v>
      </c>
      <c r="C31" s="33">
        <v>0.53</v>
      </c>
      <c r="D31" s="30">
        <v>200</v>
      </c>
      <c r="E31" s="31" t="s">
        <v>96</v>
      </c>
      <c r="F31" s="20">
        <v>2.626</v>
      </c>
      <c r="G31" s="34">
        <f t="shared" si="9"/>
        <v>34.462311</v>
      </c>
      <c r="H31" s="21">
        <f t="shared" si="10"/>
        <v>6892.4622</v>
      </c>
      <c r="L31" s="41"/>
      <c r="M31" s="41"/>
      <c r="N31" s="20">
        <v>2.387</v>
      </c>
      <c r="O31" s="36">
        <f t="shared" ref="O31:O45" si="11">ROUND(N31*1.1,3)</f>
        <v>2.626</v>
      </c>
      <c r="P31" s="57">
        <f t="shared" ref="P31:P45" si="12">O31/N31-1</f>
        <v>0.100125680770842</v>
      </c>
      <c r="Q31" s="25">
        <f t="shared" ref="Q31:Q45" si="13">O31*3937/300</f>
        <v>34.4618733333333</v>
      </c>
    </row>
    <row r="32" s="63" customFormat="1" spans="1:19">
      <c r="A32" s="18" t="s">
        <v>250</v>
      </c>
      <c r="B32" s="30">
        <v>2116</v>
      </c>
      <c r="C32" s="33">
        <v>0.57</v>
      </c>
      <c r="D32" s="30">
        <v>200</v>
      </c>
      <c r="E32" s="31" t="s">
        <v>96</v>
      </c>
      <c r="F32" s="20">
        <v>2.778</v>
      </c>
      <c r="G32" s="34">
        <f t="shared" si="9"/>
        <v>36.457083</v>
      </c>
      <c r="H32" s="21">
        <f t="shared" si="10"/>
        <v>7291.4166</v>
      </c>
      <c r="L32" s="59"/>
      <c r="M32" s="41"/>
      <c r="N32" s="20">
        <v>2.525</v>
      </c>
      <c r="O32" s="36">
        <f t="shared" si="11"/>
        <v>2.778</v>
      </c>
      <c r="P32" s="57">
        <f t="shared" si="12"/>
        <v>0.10019801980198</v>
      </c>
      <c r="Q32" s="25">
        <f t="shared" si="13"/>
        <v>36.45662</v>
      </c>
    </row>
    <row r="33" s="63" customFormat="1" spans="1:17">
      <c r="A33" s="18" t="s">
        <v>250</v>
      </c>
      <c r="B33" s="30">
        <v>2116</v>
      </c>
      <c r="C33" s="33" t="s">
        <v>103</v>
      </c>
      <c r="D33" s="30">
        <v>200</v>
      </c>
      <c r="E33" s="31" t="s">
        <v>96</v>
      </c>
      <c r="F33" s="20">
        <v>2.859</v>
      </c>
      <c r="G33" s="34">
        <f t="shared" ref="G33:G42" si="14">H33/D33</f>
        <v>37.5200865</v>
      </c>
      <c r="H33" s="21">
        <f t="shared" si="10"/>
        <v>7504.0173</v>
      </c>
      <c r="L33" s="41"/>
      <c r="M33" s="41"/>
      <c r="N33" s="20">
        <v>2.599</v>
      </c>
      <c r="O33" s="36">
        <f t="shared" si="11"/>
        <v>2.859</v>
      </c>
      <c r="P33" s="57">
        <f t="shared" si="12"/>
        <v>0.100038476337053</v>
      </c>
      <c r="Q33" s="25">
        <f t="shared" si="13"/>
        <v>37.51961</v>
      </c>
    </row>
    <row r="34" s="63" customFormat="1" spans="1:17">
      <c r="A34" s="18" t="s">
        <v>250</v>
      </c>
      <c r="B34" s="30">
        <v>2116</v>
      </c>
      <c r="C34" s="33">
        <v>0.62</v>
      </c>
      <c r="D34" s="30">
        <v>200</v>
      </c>
      <c r="E34" s="31" t="s">
        <v>96</v>
      </c>
      <c r="F34" s="20">
        <v>3.059</v>
      </c>
      <c r="G34" s="34">
        <f t="shared" si="14"/>
        <v>40.1447865</v>
      </c>
      <c r="H34" s="21">
        <f t="shared" si="10"/>
        <v>8028.9573</v>
      </c>
      <c r="L34" s="59"/>
      <c r="M34" s="41"/>
      <c r="N34" s="20">
        <v>2.781</v>
      </c>
      <c r="O34" s="36">
        <f t="shared" si="11"/>
        <v>3.059</v>
      </c>
      <c r="P34" s="57">
        <f t="shared" si="12"/>
        <v>0.0999640417116145</v>
      </c>
      <c r="Q34" s="25">
        <f t="shared" si="13"/>
        <v>40.1442766666667</v>
      </c>
    </row>
    <row r="35" s="63" customFormat="1" spans="1:17">
      <c r="A35" s="18" t="s">
        <v>250</v>
      </c>
      <c r="B35" s="30">
        <v>3313</v>
      </c>
      <c r="C35" s="33">
        <v>0.61</v>
      </c>
      <c r="D35" s="30">
        <v>300</v>
      </c>
      <c r="E35" s="31" t="s">
        <v>96</v>
      </c>
      <c r="F35" s="20">
        <v>2.886</v>
      </c>
      <c r="G35" s="34">
        <f t="shared" si="14"/>
        <v>37.87394</v>
      </c>
      <c r="H35" s="21">
        <f t="shared" ref="H35:H37" si="15">F35*3937</f>
        <v>11362.182</v>
      </c>
      <c r="L35" s="41"/>
      <c r="M35" s="41"/>
      <c r="N35" s="20">
        <v>2.624</v>
      </c>
      <c r="O35" s="36">
        <f t="shared" si="11"/>
        <v>2.886</v>
      </c>
      <c r="P35" s="57">
        <f t="shared" si="12"/>
        <v>0.0998475609756098</v>
      </c>
      <c r="Q35" s="25">
        <f t="shared" si="13"/>
        <v>37.87394</v>
      </c>
    </row>
    <row r="36" s="63" customFormat="1" spans="1:17">
      <c r="A36" s="18" t="s">
        <v>250</v>
      </c>
      <c r="B36" s="30">
        <v>1078</v>
      </c>
      <c r="C36" s="33">
        <v>0.62</v>
      </c>
      <c r="D36" s="30">
        <v>300</v>
      </c>
      <c r="E36" s="31" t="s">
        <v>96</v>
      </c>
      <c r="F36" s="20">
        <v>2.561</v>
      </c>
      <c r="G36" s="34">
        <f t="shared" si="14"/>
        <v>33.6088566666667</v>
      </c>
      <c r="H36" s="21">
        <f t="shared" si="15"/>
        <v>10082.657</v>
      </c>
      <c r="L36" s="41"/>
      <c r="M36" s="41"/>
      <c r="N36" s="20">
        <v>2.328</v>
      </c>
      <c r="O36" s="36">
        <f t="shared" si="11"/>
        <v>2.561</v>
      </c>
      <c r="P36" s="57">
        <f t="shared" si="12"/>
        <v>0.100085910652921</v>
      </c>
      <c r="Q36" s="25">
        <f t="shared" si="13"/>
        <v>33.6088566666667</v>
      </c>
    </row>
    <row r="37" s="63" customFormat="1" spans="1:17">
      <c r="A37" s="18" t="s">
        <v>250</v>
      </c>
      <c r="B37" s="30">
        <v>1078</v>
      </c>
      <c r="C37" s="33">
        <v>0.65</v>
      </c>
      <c r="D37" s="30">
        <v>300</v>
      </c>
      <c r="E37" s="31" t="s">
        <v>96</v>
      </c>
      <c r="F37" s="20">
        <v>2.741</v>
      </c>
      <c r="G37" s="34">
        <f t="shared" si="14"/>
        <v>35.9710566666667</v>
      </c>
      <c r="H37" s="21">
        <f t="shared" si="15"/>
        <v>10791.317</v>
      </c>
      <c r="L37" s="59"/>
      <c r="M37" s="41"/>
      <c r="N37" s="20">
        <v>2.492</v>
      </c>
      <c r="O37" s="36">
        <f t="shared" si="11"/>
        <v>2.741</v>
      </c>
      <c r="P37" s="57">
        <f t="shared" si="12"/>
        <v>0.0999197431781702</v>
      </c>
      <c r="Q37" s="25">
        <f t="shared" si="13"/>
        <v>35.9710566666667</v>
      </c>
    </row>
    <row r="38" s="63" customFormat="1" spans="1:17">
      <c r="A38" s="18" t="s">
        <v>250</v>
      </c>
      <c r="B38" s="30">
        <v>1080</v>
      </c>
      <c r="C38" s="33" t="s">
        <v>97</v>
      </c>
      <c r="D38" s="30">
        <v>300</v>
      </c>
      <c r="E38" s="31" t="s">
        <v>96</v>
      </c>
      <c r="F38" s="20">
        <v>2.543</v>
      </c>
      <c r="G38" s="34">
        <f t="shared" ref="G38:G45" si="16">H38/D38</f>
        <v>33.3726366666667</v>
      </c>
      <c r="H38" s="21">
        <f t="shared" ref="H38:H42" si="17">F38*3937</f>
        <v>10011.791</v>
      </c>
      <c r="L38" s="59"/>
      <c r="M38" s="41"/>
      <c r="N38" s="20">
        <v>2.312</v>
      </c>
      <c r="O38" s="36">
        <f t="shared" si="11"/>
        <v>2.543</v>
      </c>
      <c r="P38" s="57">
        <f t="shared" si="12"/>
        <v>0.0999134948096887</v>
      </c>
      <c r="Q38" s="25">
        <f t="shared" si="13"/>
        <v>33.3726366666667</v>
      </c>
    </row>
    <row r="39" s="63" customFormat="1" spans="1:17">
      <c r="A39" s="18" t="s">
        <v>250</v>
      </c>
      <c r="B39" s="30">
        <v>1080</v>
      </c>
      <c r="C39" s="33" t="s">
        <v>251</v>
      </c>
      <c r="D39" s="30">
        <v>300</v>
      </c>
      <c r="E39" s="31" t="s">
        <v>96</v>
      </c>
      <c r="F39" s="20">
        <v>2.599</v>
      </c>
      <c r="G39" s="34">
        <f t="shared" si="16"/>
        <v>34.1075433333333</v>
      </c>
      <c r="H39" s="21">
        <f t="shared" si="17"/>
        <v>10232.263</v>
      </c>
      <c r="L39" s="41"/>
      <c r="M39" s="41"/>
      <c r="N39" s="20">
        <v>2.363</v>
      </c>
      <c r="O39" s="36">
        <f t="shared" si="11"/>
        <v>2.599</v>
      </c>
      <c r="P39" s="57">
        <f t="shared" si="12"/>
        <v>0.0998730427422769</v>
      </c>
      <c r="Q39" s="25">
        <f t="shared" si="13"/>
        <v>34.1075433333333</v>
      </c>
    </row>
    <row r="40" s="63" customFormat="1" spans="1:17">
      <c r="A40" s="18" t="s">
        <v>250</v>
      </c>
      <c r="B40" s="30">
        <v>1080</v>
      </c>
      <c r="C40" s="33">
        <v>0.72</v>
      </c>
      <c r="D40" s="30">
        <v>300</v>
      </c>
      <c r="E40" s="31" t="s">
        <v>96</v>
      </c>
      <c r="F40" s="20">
        <v>2.874</v>
      </c>
      <c r="G40" s="34">
        <f t="shared" si="16"/>
        <v>37.71646</v>
      </c>
      <c r="H40" s="21">
        <f t="shared" si="17"/>
        <v>11314.938</v>
      </c>
      <c r="L40" s="41"/>
      <c r="M40" s="41"/>
      <c r="N40" s="20">
        <v>2.613</v>
      </c>
      <c r="O40" s="36">
        <f t="shared" si="11"/>
        <v>2.874</v>
      </c>
      <c r="P40" s="57">
        <f t="shared" si="12"/>
        <v>0.0998851894374282</v>
      </c>
      <c r="Q40" s="25">
        <f t="shared" si="13"/>
        <v>37.71646</v>
      </c>
    </row>
    <row r="41" s="63" customFormat="1" spans="1:17">
      <c r="A41" s="18" t="s">
        <v>250</v>
      </c>
      <c r="B41" s="30">
        <v>1067</v>
      </c>
      <c r="C41" s="33">
        <v>0.72</v>
      </c>
      <c r="D41" s="30">
        <v>300</v>
      </c>
      <c r="E41" s="31" t="s">
        <v>96</v>
      </c>
      <c r="F41" s="20">
        <v>2.465</v>
      </c>
      <c r="G41" s="34">
        <f t="shared" si="16"/>
        <v>32.3490166666667</v>
      </c>
      <c r="H41" s="21">
        <f t="shared" si="17"/>
        <v>9704.705</v>
      </c>
      <c r="L41" s="59"/>
      <c r="M41" s="41"/>
      <c r="N41" s="20">
        <v>2.241</v>
      </c>
      <c r="O41" s="36">
        <f t="shared" si="11"/>
        <v>2.465</v>
      </c>
      <c r="P41" s="57">
        <f t="shared" si="12"/>
        <v>0.0999553770638106</v>
      </c>
      <c r="Q41" s="25">
        <f t="shared" si="13"/>
        <v>32.3490166666667</v>
      </c>
    </row>
    <row r="42" s="63" customFormat="1" spans="1:17">
      <c r="A42" s="18" t="s">
        <v>250</v>
      </c>
      <c r="B42" s="30">
        <v>1067</v>
      </c>
      <c r="C42" s="33">
        <v>0.75</v>
      </c>
      <c r="D42" s="30">
        <v>300</v>
      </c>
      <c r="E42" s="31" t="s">
        <v>96</v>
      </c>
      <c r="F42" s="20">
        <v>2.637</v>
      </c>
      <c r="G42" s="34">
        <f t="shared" si="16"/>
        <v>34.60623</v>
      </c>
      <c r="H42" s="21">
        <f t="shared" si="17"/>
        <v>10381.869</v>
      </c>
      <c r="L42" s="59"/>
      <c r="M42" s="41"/>
      <c r="N42" s="20">
        <v>2.397</v>
      </c>
      <c r="O42" s="36">
        <f t="shared" si="11"/>
        <v>2.637</v>
      </c>
      <c r="P42" s="57">
        <f t="shared" si="12"/>
        <v>0.100125156445557</v>
      </c>
      <c r="Q42" s="25">
        <f t="shared" si="13"/>
        <v>34.60623</v>
      </c>
    </row>
    <row r="43" spans="1:17">
      <c r="A43" s="18" t="s">
        <v>250</v>
      </c>
      <c r="B43" s="30">
        <v>7628</v>
      </c>
      <c r="C43" s="33">
        <v>0.47</v>
      </c>
      <c r="D43" s="30">
        <v>150</v>
      </c>
      <c r="E43" s="31" t="s">
        <v>96</v>
      </c>
      <c r="F43" s="20">
        <v>3.326</v>
      </c>
      <c r="G43" s="34">
        <f t="shared" si="16"/>
        <v>43.6482066666667</v>
      </c>
      <c r="H43" s="21">
        <f>F43*1968.5</f>
        <v>6547.231</v>
      </c>
      <c r="L43" s="59"/>
      <c r="N43" s="20">
        <v>3.024</v>
      </c>
      <c r="O43" s="36">
        <f t="shared" si="11"/>
        <v>3.326</v>
      </c>
      <c r="P43" s="57">
        <f t="shared" si="12"/>
        <v>0.0998677248677249</v>
      </c>
      <c r="Q43" s="25">
        <f t="shared" si="13"/>
        <v>43.6482066666667</v>
      </c>
    </row>
    <row r="44" spans="1:17">
      <c r="A44" s="18" t="s">
        <v>250</v>
      </c>
      <c r="B44" s="30">
        <v>106</v>
      </c>
      <c r="C44" s="33">
        <v>0.72</v>
      </c>
      <c r="D44" s="30">
        <v>300</v>
      </c>
      <c r="E44" s="31" t="s">
        <v>96</v>
      </c>
      <c r="F44" s="20">
        <v>2.512</v>
      </c>
      <c r="G44" s="34">
        <f t="shared" si="16"/>
        <v>32.9658133333333</v>
      </c>
      <c r="H44" s="21">
        <f>F44*3937</f>
        <v>9889.744</v>
      </c>
      <c r="L44" s="59"/>
      <c r="N44" s="20">
        <v>2.284</v>
      </c>
      <c r="O44" s="36">
        <f t="shared" si="11"/>
        <v>2.512</v>
      </c>
      <c r="P44" s="57">
        <f t="shared" si="12"/>
        <v>0.0998248686514887</v>
      </c>
      <c r="Q44" s="25">
        <f t="shared" si="13"/>
        <v>32.9658133333333</v>
      </c>
    </row>
    <row r="45" spans="1:17">
      <c r="A45" s="18" t="s">
        <v>250</v>
      </c>
      <c r="B45" s="30">
        <v>106</v>
      </c>
      <c r="C45" s="33">
        <v>0.75</v>
      </c>
      <c r="D45" s="30">
        <v>300</v>
      </c>
      <c r="E45" s="31" t="s">
        <v>96</v>
      </c>
      <c r="F45" s="20">
        <v>2.604</v>
      </c>
      <c r="G45" s="34">
        <f t="shared" si="16"/>
        <v>34.17316</v>
      </c>
      <c r="H45" s="21">
        <f>F45*3937</f>
        <v>10251.948</v>
      </c>
      <c r="L45" s="59"/>
      <c r="N45" s="20">
        <v>2.367</v>
      </c>
      <c r="O45" s="36">
        <f t="shared" si="11"/>
        <v>2.604</v>
      </c>
      <c r="P45" s="57">
        <f t="shared" si="12"/>
        <v>0.100126742712294</v>
      </c>
      <c r="Q45" s="25">
        <f t="shared" si="13"/>
        <v>34.17316</v>
      </c>
    </row>
  </sheetData>
  <autoFilter xmlns:etc="http://www.wps.cn/officeDocument/2017/etCustomData" ref="A10:K26" etc:filterBottomFollowUsedRange="0">
    <extLst/>
  </autoFilter>
  <mergeCells count="3">
    <mergeCell ref="A2:K2"/>
    <mergeCell ref="A3:K3"/>
    <mergeCell ref="F28:H28"/>
  </mergeCells>
  <pageMargins left="0.75" right="0.75" top="1" bottom="1" header="0.5" footer="0.5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5"/>
  <sheetViews>
    <sheetView zoomScale="80" zoomScaleNormal="80" topLeftCell="A5" workbookViewId="0">
      <pane ySplit="6" topLeftCell="A11" activePane="bottomLeft" state="frozen"/>
      <selection/>
      <selection pane="bottomLeft" activeCell="G56" sqref="G56:P62"/>
    </sheetView>
  </sheetViews>
  <sheetFormatPr defaultColWidth="8.66666666666667" defaultRowHeight="15"/>
  <cols>
    <col min="1" max="1" width="17.1666666666667" style="41" customWidth="1"/>
    <col min="2" max="5" width="8.66666666666667" style="41"/>
    <col min="6" max="6" width="14.6666666666667" style="41" customWidth="1"/>
    <col min="7" max="7" width="8.66666666666667" style="41"/>
    <col min="8" max="8" width="9.4" style="41"/>
    <col min="9" max="11" width="8.66666666666667" style="41"/>
    <col min="12" max="12" width="11.2" style="41" customWidth="1"/>
    <col min="13" max="13" width="8.66666666666667" style="61"/>
    <col min="14" max="14" width="8.66666666666667" style="41"/>
    <col min="15" max="15" width="15.5583333333333" style="41" customWidth="1"/>
    <col min="16" max="16" width="8.66666666666667" style="42"/>
    <col min="17" max="17" width="9.1" style="41"/>
    <col min="18" max="20" width="8.66666666666667" style="41"/>
    <col min="21" max="21" width="12.8" style="41"/>
    <col min="22" max="16384" width="8.66666666666667" style="41"/>
  </cols>
  <sheetData>
    <row r="1" ht="42" customHeight="1" spans="1:18">
      <c r="B1" s="43"/>
      <c r="C1" s="43"/>
      <c r="D1" s="43"/>
      <c r="E1" s="43"/>
      <c r="F1" s="44"/>
      <c r="G1" s="45"/>
      <c r="H1" s="43"/>
      <c r="I1" s="45"/>
      <c r="J1" s="44"/>
      <c r="K1" s="45"/>
      <c r="L1" s="45"/>
    </row>
    <row r="2" spans="1:18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8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8">
      <c r="A4" s="6" t="s">
        <v>189</v>
      </c>
      <c r="B4" s="6"/>
      <c r="C4" s="6"/>
      <c r="D4" s="6"/>
      <c r="E4" s="6"/>
      <c r="F4" s="7"/>
      <c r="G4" s="6"/>
      <c r="H4" s="6"/>
      <c r="I4" s="6" t="s">
        <v>3</v>
      </c>
      <c r="J4" s="8"/>
      <c r="K4" s="6"/>
      <c r="L4" s="6"/>
    </row>
    <row r="5" spans="1:18">
      <c r="A5" s="6" t="s">
        <v>4</v>
      </c>
      <c r="B5" s="6"/>
      <c r="C5" s="6"/>
      <c r="D5" s="6"/>
      <c r="E5" s="6"/>
      <c r="F5" s="7"/>
      <c r="G5" s="6"/>
      <c r="H5" s="6"/>
      <c r="I5" s="6" t="s">
        <v>5</v>
      </c>
      <c r="J5" s="8"/>
      <c r="K5" s="6"/>
      <c r="L5" s="6"/>
    </row>
    <row r="6" spans="1:18">
      <c r="A6" s="6" t="s">
        <v>231</v>
      </c>
      <c r="B6" s="6"/>
      <c r="C6" s="6"/>
      <c r="D6" s="6"/>
      <c r="E6" s="6"/>
      <c r="F6" s="7"/>
      <c r="G6" s="6"/>
      <c r="H6" s="6"/>
      <c r="I6" s="6" t="s">
        <v>237</v>
      </c>
      <c r="J6" s="8"/>
      <c r="K6" s="6"/>
      <c r="L6" s="6"/>
    </row>
    <row r="7" spans="1:18">
      <c r="A7" s="6" t="s">
        <v>232</v>
      </c>
      <c r="B7" s="6"/>
      <c r="C7" s="6"/>
      <c r="D7" s="6"/>
      <c r="E7" s="6"/>
      <c r="F7" s="6"/>
      <c r="G7" s="6"/>
      <c r="H7" s="6"/>
      <c r="I7" s="9" t="s">
        <v>7</v>
      </c>
      <c r="J7" s="8"/>
      <c r="K7" s="6"/>
      <c r="L7" s="6"/>
    </row>
    <row r="8" spans="1:18">
      <c r="A8" s="6"/>
      <c r="B8" s="6"/>
      <c r="C8" s="6"/>
      <c r="D8" s="6"/>
      <c r="E8" s="6"/>
      <c r="F8" s="6"/>
      <c r="G8" s="6"/>
      <c r="H8" s="6"/>
      <c r="I8" s="6" t="s">
        <v>222</v>
      </c>
      <c r="J8" s="8"/>
      <c r="K8" s="6"/>
      <c r="L8" s="6"/>
    </row>
    <row r="9" ht="15.6" spans="1:18">
      <c r="A9" s="10" t="s">
        <v>252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</row>
    <row r="10" ht="45" spans="1:18">
      <c r="A10" s="12" t="s">
        <v>191</v>
      </c>
      <c r="B10" s="12" t="s">
        <v>192</v>
      </c>
      <c r="C10" s="12" t="s">
        <v>193</v>
      </c>
      <c r="D10" s="13" t="s">
        <v>14</v>
      </c>
      <c r="E10" s="13" t="s">
        <v>194</v>
      </c>
      <c r="F10" s="12" t="s">
        <v>195</v>
      </c>
      <c r="G10" s="12" t="s">
        <v>15</v>
      </c>
      <c r="H10" s="12" t="s">
        <v>196</v>
      </c>
      <c r="I10" s="14" t="s">
        <v>197</v>
      </c>
      <c r="J10" s="14" t="s">
        <v>198</v>
      </c>
      <c r="K10" s="14" t="s">
        <v>199</v>
      </c>
      <c r="L10" s="53"/>
      <c r="O10" s="15" t="s">
        <v>20</v>
      </c>
      <c r="P10" s="16" t="s">
        <v>21</v>
      </c>
      <c r="Q10" s="17" t="s">
        <v>22</v>
      </c>
      <c r="R10" s="15" t="s">
        <v>23</v>
      </c>
    </row>
    <row r="11" spans="1:18">
      <c r="A11" s="18" t="s">
        <v>253</v>
      </c>
      <c r="B11" s="12">
        <v>0.051</v>
      </c>
      <c r="C11" s="58">
        <f t="shared" ref="C11:C16" si="0">B11*39.37</f>
        <v>2.00787</v>
      </c>
      <c r="D11" s="26" t="s">
        <v>28</v>
      </c>
      <c r="E11" s="20">
        <f t="shared" ref="E11:E16" si="1">(C11+2.4)/39.37</f>
        <v>0.111960121920244</v>
      </c>
      <c r="F11" s="12" t="s">
        <v>254</v>
      </c>
      <c r="G11" s="18" t="s">
        <v>27</v>
      </c>
      <c r="H11" s="12">
        <v>9.4</v>
      </c>
      <c r="I11" s="21">
        <f t="shared" ref="I11:I16" si="2">H11*12</f>
        <v>112.8</v>
      </c>
      <c r="J11" s="14">
        <f t="shared" ref="J11:J16" si="3">H11*13.33</f>
        <v>125.302</v>
      </c>
      <c r="K11" s="21">
        <f t="shared" ref="K11:K16" si="4">H11*14</f>
        <v>131.6</v>
      </c>
      <c r="L11" s="29"/>
      <c r="O11" s="12">
        <v>8.7</v>
      </c>
      <c r="P11" s="23">
        <f>ROUND(O11*1.08,2)</f>
        <v>9.4</v>
      </c>
      <c r="Q11" s="24">
        <f>P11/O11-1</f>
        <v>0.0804597701149428</v>
      </c>
      <c r="R11" s="25">
        <f>P11*13.33</f>
        <v>125.302</v>
      </c>
    </row>
    <row r="12" spans="1:18">
      <c r="A12" s="18" t="s">
        <v>253</v>
      </c>
      <c r="B12" s="12">
        <v>0.051</v>
      </c>
      <c r="C12" s="58">
        <f t="shared" si="0"/>
        <v>2.00787</v>
      </c>
      <c r="D12" s="26" t="s">
        <v>28</v>
      </c>
      <c r="E12" s="20">
        <f t="shared" si="1"/>
        <v>0.111960121920244</v>
      </c>
      <c r="F12" s="12" t="s">
        <v>254</v>
      </c>
      <c r="G12" s="18" t="s">
        <v>255</v>
      </c>
      <c r="H12" s="12">
        <v>9.9</v>
      </c>
      <c r="I12" s="21">
        <f t="shared" si="2"/>
        <v>118.8</v>
      </c>
      <c r="J12" s="14">
        <f t="shared" si="3"/>
        <v>131.967</v>
      </c>
      <c r="K12" s="21">
        <f t="shared" si="4"/>
        <v>138.6</v>
      </c>
      <c r="L12" s="29"/>
      <c r="O12" s="12">
        <v>9.17</v>
      </c>
      <c r="P12" s="23">
        <f t="shared" ref="P12:P41" si="5">ROUND(O12*1.08,2)</f>
        <v>9.9</v>
      </c>
      <c r="Q12" s="24">
        <f t="shared" ref="Q12:Q50" si="6">P12/O12-1</f>
        <v>0.0796074154852782</v>
      </c>
      <c r="R12" s="25">
        <f t="shared" ref="R12:R50" si="7">P12*13.33</f>
        <v>131.967</v>
      </c>
    </row>
    <row r="13" spans="1:18">
      <c r="A13" s="18" t="s">
        <v>253</v>
      </c>
      <c r="B13" s="12">
        <v>0.064</v>
      </c>
      <c r="C13" s="58">
        <f t="shared" si="0"/>
        <v>2.51968</v>
      </c>
      <c r="D13" s="26" t="s">
        <v>26</v>
      </c>
      <c r="E13" s="20">
        <f>B13+0.07</f>
        <v>0.134</v>
      </c>
      <c r="F13" s="12" t="s">
        <v>245</v>
      </c>
      <c r="G13" s="18" t="s">
        <v>27</v>
      </c>
      <c r="H13" s="12">
        <v>13.04</v>
      </c>
      <c r="I13" s="21">
        <f t="shared" si="2"/>
        <v>156.48</v>
      </c>
      <c r="J13" s="14">
        <f t="shared" si="3"/>
        <v>173.8232</v>
      </c>
      <c r="K13" s="21">
        <f t="shared" si="4"/>
        <v>182.56</v>
      </c>
      <c r="L13" s="29"/>
      <c r="O13" s="12">
        <v>12.07</v>
      </c>
      <c r="P13" s="23">
        <f t="shared" si="5"/>
        <v>13.04</v>
      </c>
      <c r="Q13" s="24">
        <f t="shared" si="6"/>
        <v>0.0803645401822699</v>
      </c>
      <c r="R13" s="25">
        <f t="shared" si="7"/>
        <v>173.8232</v>
      </c>
    </row>
    <row r="14" spans="1:18">
      <c r="A14" s="18" t="s">
        <v>253</v>
      </c>
      <c r="B14" s="12">
        <v>0.076</v>
      </c>
      <c r="C14" s="48">
        <f t="shared" si="0"/>
        <v>2.99212</v>
      </c>
      <c r="D14" s="26" t="s">
        <v>26</v>
      </c>
      <c r="E14" s="20">
        <f t="shared" si="1"/>
        <v>0.136960121920244</v>
      </c>
      <c r="F14" s="12" t="s">
        <v>120</v>
      </c>
      <c r="G14" s="18" t="s">
        <v>255</v>
      </c>
      <c r="H14" s="12">
        <v>13.59</v>
      </c>
      <c r="I14" s="21">
        <f t="shared" si="2"/>
        <v>163.08</v>
      </c>
      <c r="J14" s="14">
        <f t="shared" si="3"/>
        <v>181.1547</v>
      </c>
      <c r="K14" s="21">
        <f t="shared" si="4"/>
        <v>190.26</v>
      </c>
      <c r="L14" s="29"/>
      <c r="O14" s="12">
        <v>12.58</v>
      </c>
      <c r="P14" s="23">
        <f t="shared" si="5"/>
        <v>13.59</v>
      </c>
      <c r="Q14" s="24">
        <f t="shared" si="6"/>
        <v>0.0802861685214626</v>
      </c>
      <c r="R14" s="25">
        <f t="shared" si="7"/>
        <v>181.1547</v>
      </c>
    </row>
    <row r="15" spans="1:18">
      <c r="A15" s="18" t="s">
        <v>253</v>
      </c>
      <c r="B15" s="12">
        <v>0.076</v>
      </c>
      <c r="C15" s="48">
        <f t="shared" si="0"/>
        <v>2.99212</v>
      </c>
      <c r="D15" s="26" t="s">
        <v>30</v>
      </c>
      <c r="E15" s="20">
        <f t="shared" si="1"/>
        <v>0.136960121920244</v>
      </c>
      <c r="F15" s="12" t="s">
        <v>121</v>
      </c>
      <c r="G15" s="18" t="s">
        <v>27</v>
      </c>
      <c r="H15" s="12">
        <v>12.68</v>
      </c>
      <c r="I15" s="21">
        <f t="shared" si="2"/>
        <v>152.16</v>
      </c>
      <c r="J15" s="14">
        <f t="shared" si="3"/>
        <v>169.0244</v>
      </c>
      <c r="K15" s="21">
        <f t="shared" si="4"/>
        <v>177.52</v>
      </c>
      <c r="L15" s="29"/>
      <c r="O15" s="12">
        <v>11.74</v>
      </c>
      <c r="P15" s="23">
        <f t="shared" si="5"/>
        <v>12.68</v>
      </c>
      <c r="Q15" s="24">
        <f t="shared" si="6"/>
        <v>0.080068143100511</v>
      </c>
      <c r="R15" s="25">
        <f t="shared" si="7"/>
        <v>169.0244</v>
      </c>
    </row>
    <row r="16" spans="1:18">
      <c r="A16" s="18" t="s">
        <v>253</v>
      </c>
      <c r="B16" s="12">
        <v>0.089</v>
      </c>
      <c r="C16" s="58">
        <f t="shared" si="0"/>
        <v>3.50393</v>
      </c>
      <c r="D16" s="26" t="s">
        <v>26</v>
      </c>
      <c r="E16" s="20">
        <f t="shared" si="1"/>
        <v>0.149960121920244</v>
      </c>
      <c r="F16" s="12" t="s">
        <v>256</v>
      </c>
      <c r="G16" s="18" t="s">
        <v>27</v>
      </c>
      <c r="H16" s="12">
        <v>13.89</v>
      </c>
      <c r="I16" s="21">
        <f t="shared" si="2"/>
        <v>166.68</v>
      </c>
      <c r="J16" s="14">
        <f t="shared" si="3"/>
        <v>185.1537</v>
      </c>
      <c r="K16" s="21">
        <f t="shared" si="4"/>
        <v>194.46</v>
      </c>
      <c r="L16" s="29"/>
      <c r="M16" s="62"/>
      <c r="O16" s="12">
        <v>12.86</v>
      </c>
      <c r="P16" s="23">
        <f t="shared" si="5"/>
        <v>13.89</v>
      </c>
      <c r="Q16" s="24">
        <f t="shared" si="6"/>
        <v>0.0800933125972008</v>
      </c>
      <c r="R16" s="25">
        <f t="shared" si="7"/>
        <v>185.1537</v>
      </c>
    </row>
    <row r="17" spans="1:18">
      <c r="A17" s="18" t="s">
        <v>253</v>
      </c>
      <c r="B17" s="12">
        <v>0.102</v>
      </c>
      <c r="C17" s="48">
        <f t="shared" ref="C17:C20" si="8">B17*39.37</f>
        <v>4.01574</v>
      </c>
      <c r="D17" s="26" t="s">
        <v>26</v>
      </c>
      <c r="E17" s="20">
        <f t="shared" ref="E17:E20" si="9">(C17+2.4)/39.37</f>
        <v>0.162960121920244</v>
      </c>
      <c r="F17" s="12" t="s">
        <v>126</v>
      </c>
      <c r="G17" s="18" t="s">
        <v>255</v>
      </c>
      <c r="H17" s="12">
        <v>13.59</v>
      </c>
      <c r="I17" s="21">
        <f t="shared" ref="I17:I20" si="10">H17*12</f>
        <v>163.08</v>
      </c>
      <c r="J17" s="14">
        <f t="shared" ref="J17:J20" si="11">H17*13.33</f>
        <v>181.1547</v>
      </c>
      <c r="K17" s="21">
        <f t="shared" ref="K17:K20" si="12">H17*14</f>
        <v>190.26</v>
      </c>
      <c r="L17" s="29"/>
      <c r="O17" s="12">
        <v>12.58</v>
      </c>
      <c r="P17" s="23">
        <f t="shared" si="5"/>
        <v>13.59</v>
      </c>
      <c r="Q17" s="24">
        <f t="shared" si="6"/>
        <v>0.0802861685214626</v>
      </c>
      <c r="R17" s="25">
        <f t="shared" si="7"/>
        <v>181.1547</v>
      </c>
    </row>
    <row r="18" spans="1:18">
      <c r="A18" s="18" t="s">
        <v>253</v>
      </c>
      <c r="B18" s="12">
        <v>0.102</v>
      </c>
      <c r="C18" s="48">
        <f t="shared" si="8"/>
        <v>4.01574</v>
      </c>
      <c r="D18" s="26" t="s">
        <v>28</v>
      </c>
      <c r="E18" s="20">
        <f t="shared" si="9"/>
        <v>0.162960121920244</v>
      </c>
      <c r="F18" s="12" t="s">
        <v>126</v>
      </c>
      <c r="G18" s="18" t="s">
        <v>255</v>
      </c>
      <c r="H18" s="12">
        <v>9.42</v>
      </c>
      <c r="I18" s="21">
        <f t="shared" si="10"/>
        <v>113.04</v>
      </c>
      <c r="J18" s="14">
        <f t="shared" si="11"/>
        <v>125.5686</v>
      </c>
      <c r="K18" s="21">
        <f t="shared" si="12"/>
        <v>131.88</v>
      </c>
      <c r="L18" s="29"/>
      <c r="O18" s="12">
        <v>8.72</v>
      </c>
      <c r="P18" s="23">
        <f t="shared" si="5"/>
        <v>9.42</v>
      </c>
      <c r="Q18" s="24">
        <f t="shared" si="6"/>
        <v>0.0802752293577982</v>
      </c>
      <c r="R18" s="25">
        <f t="shared" si="7"/>
        <v>125.5686</v>
      </c>
    </row>
    <row r="19" spans="1:18">
      <c r="A19" s="18" t="s">
        <v>253</v>
      </c>
      <c r="B19" s="12">
        <v>0.102</v>
      </c>
      <c r="C19" s="48">
        <f t="shared" si="8"/>
        <v>4.01574</v>
      </c>
      <c r="D19" s="26" t="s">
        <v>28</v>
      </c>
      <c r="E19" s="20">
        <f t="shared" si="9"/>
        <v>0.162960121920244</v>
      </c>
      <c r="F19" s="12" t="s">
        <v>124</v>
      </c>
      <c r="G19" s="18" t="s">
        <v>255</v>
      </c>
      <c r="H19" s="12">
        <v>10.15</v>
      </c>
      <c r="I19" s="21">
        <f t="shared" si="10"/>
        <v>121.8</v>
      </c>
      <c r="J19" s="14">
        <f t="shared" si="11"/>
        <v>135.2995</v>
      </c>
      <c r="K19" s="21">
        <f t="shared" si="12"/>
        <v>142.1</v>
      </c>
      <c r="L19" s="29"/>
      <c r="O19" s="12">
        <v>9.4</v>
      </c>
      <c r="P19" s="23">
        <f t="shared" si="5"/>
        <v>10.15</v>
      </c>
      <c r="Q19" s="24">
        <f t="shared" si="6"/>
        <v>0.0797872340425532</v>
      </c>
      <c r="R19" s="25">
        <f t="shared" si="7"/>
        <v>135.2995</v>
      </c>
    </row>
    <row r="20" spans="1:18">
      <c r="A20" s="18" t="s">
        <v>253</v>
      </c>
      <c r="B20" s="12">
        <v>0.102</v>
      </c>
      <c r="C20" s="48">
        <f t="shared" si="8"/>
        <v>4.01574</v>
      </c>
      <c r="D20" s="26" t="s">
        <v>26</v>
      </c>
      <c r="E20" s="20">
        <f t="shared" si="9"/>
        <v>0.162960121920244</v>
      </c>
      <c r="F20" s="12" t="s">
        <v>124</v>
      </c>
      <c r="G20" s="18" t="s">
        <v>27</v>
      </c>
      <c r="H20" s="12">
        <v>15.41</v>
      </c>
      <c r="I20" s="21">
        <f t="shared" si="10"/>
        <v>184.92</v>
      </c>
      <c r="J20" s="14">
        <f t="shared" si="11"/>
        <v>205.4153</v>
      </c>
      <c r="K20" s="21">
        <f t="shared" si="12"/>
        <v>215.74</v>
      </c>
      <c r="L20" s="29"/>
      <c r="O20" s="12">
        <v>14.27</v>
      </c>
      <c r="P20" s="23">
        <f t="shared" si="5"/>
        <v>15.41</v>
      </c>
      <c r="Q20" s="24">
        <f t="shared" si="6"/>
        <v>0.0798878766643307</v>
      </c>
      <c r="R20" s="25">
        <f t="shared" si="7"/>
        <v>205.4153</v>
      </c>
    </row>
    <row r="21" spans="1:18">
      <c r="A21" s="18" t="s">
        <v>253</v>
      </c>
      <c r="B21" s="12">
        <v>0.102</v>
      </c>
      <c r="C21" s="48">
        <f t="shared" ref="C21:C30" si="13">B21*39.37</f>
        <v>4.01574</v>
      </c>
      <c r="D21" s="26" t="s">
        <v>28</v>
      </c>
      <c r="E21" s="20">
        <f t="shared" ref="E21:E27" si="14">(C21+2.4)/39.37</f>
        <v>0.162960121920244</v>
      </c>
      <c r="F21" s="12" t="s">
        <v>127</v>
      </c>
      <c r="G21" s="18" t="s">
        <v>255</v>
      </c>
      <c r="H21" s="12">
        <v>11.02</v>
      </c>
      <c r="I21" s="21">
        <f t="shared" ref="I21:I30" si="15">H21*12</f>
        <v>132.24</v>
      </c>
      <c r="J21" s="14">
        <f t="shared" ref="J21:J30" si="16">H21*13.33</f>
        <v>146.8966</v>
      </c>
      <c r="K21" s="21">
        <f t="shared" ref="K21:K30" si="17">H21*14</f>
        <v>154.28</v>
      </c>
      <c r="L21" s="29"/>
      <c r="O21" s="12">
        <v>10.2</v>
      </c>
      <c r="P21" s="23">
        <f t="shared" si="5"/>
        <v>11.02</v>
      </c>
      <c r="Q21" s="24">
        <f t="shared" si="6"/>
        <v>0.080392156862745</v>
      </c>
      <c r="R21" s="25">
        <f t="shared" si="7"/>
        <v>146.8966</v>
      </c>
    </row>
    <row r="22" spans="1:18">
      <c r="A22" s="18" t="s">
        <v>253</v>
      </c>
      <c r="B22" s="12">
        <v>0.102</v>
      </c>
      <c r="C22" s="48">
        <f t="shared" si="13"/>
        <v>4.01574</v>
      </c>
      <c r="D22" s="26" t="s">
        <v>28</v>
      </c>
      <c r="E22" s="20">
        <f t="shared" si="14"/>
        <v>0.162960121920244</v>
      </c>
      <c r="F22" s="12" t="s">
        <v>257</v>
      </c>
      <c r="G22" s="18" t="s">
        <v>255</v>
      </c>
      <c r="H22" s="12">
        <v>10.52</v>
      </c>
      <c r="I22" s="21">
        <f t="shared" si="15"/>
        <v>126.24</v>
      </c>
      <c r="J22" s="14">
        <f t="shared" si="16"/>
        <v>140.2316</v>
      </c>
      <c r="K22" s="21">
        <f t="shared" si="17"/>
        <v>147.28</v>
      </c>
      <c r="L22" s="29"/>
      <c r="O22" s="12">
        <v>9.74</v>
      </c>
      <c r="P22" s="23">
        <f t="shared" si="5"/>
        <v>10.52</v>
      </c>
      <c r="Q22" s="24">
        <f t="shared" si="6"/>
        <v>0.0800821355236139</v>
      </c>
      <c r="R22" s="25">
        <f t="shared" si="7"/>
        <v>140.2316</v>
      </c>
    </row>
    <row r="23" spans="1:18">
      <c r="A23" s="18" t="s">
        <v>253</v>
      </c>
      <c r="B23" s="12">
        <v>0.102</v>
      </c>
      <c r="C23" s="48">
        <f t="shared" si="13"/>
        <v>4.01574</v>
      </c>
      <c r="D23" s="26" t="s">
        <v>26</v>
      </c>
      <c r="E23" s="20">
        <f t="shared" si="14"/>
        <v>0.162960121920244</v>
      </c>
      <c r="F23" s="12" t="s">
        <v>127</v>
      </c>
      <c r="G23" s="18" t="s">
        <v>255</v>
      </c>
      <c r="H23" s="12">
        <v>14.74</v>
      </c>
      <c r="I23" s="21">
        <f t="shared" si="15"/>
        <v>176.88</v>
      </c>
      <c r="J23" s="14">
        <f t="shared" si="16"/>
        <v>196.4842</v>
      </c>
      <c r="K23" s="21">
        <f t="shared" si="17"/>
        <v>206.36</v>
      </c>
      <c r="L23" s="29"/>
      <c r="O23" s="12">
        <v>13.65</v>
      </c>
      <c r="P23" s="23">
        <f t="shared" si="5"/>
        <v>14.74</v>
      </c>
      <c r="Q23" s="24">
        <f t="shared" si="6"/>
        <v>0.0798534798534798</v>
      </c>
      <c r="R23" s="25">
        <f t="shared" si="7"/>
        <v>196.4842</v>
      </c>
    </row>
    <row r="24" spans="1:18">
      <c r="A24" s="18" t="s">
        <v>253</v>
      </c>
      <c r="B24" s="12">
        <v>0.102</v>
      </c>
      <c r="C24" s="48">
        <f t="shared" si="13"/>
        <v>4.01574</v>
      </c>
      <c r="D24" s="26" t="s">
        <v>31</v>
      </c>
      <c r="E24" s="20">
        <f>(C24+4.8)/39.37</f>
        <v>0.223920243840488</v>
      </c>
      <c r="F24" s="12" t="s">
        <v>126</v>
      </c>
      <c r="G24" s="18" t="s">
        <v>27</v>
      </c>
      <c r="H24" s="12">
        <v>23.21</v>
      </c>
      <c r="I24" s="21">
        <f t="shared" si="15"/>
        <v>278.52</v>
      </c>
      <c r="J24" s="14">
        <f t="shared" si="16"/>
        <v>309.3893</v>
      </c>
      <c r="K24" s="21">
        <f t="shared" si="17"/>
        <v>324.94</v>
      </c>
      <c r="L24" s="29"/>
      <c r="O24" s="12">
        <v>21.49</v>
      </c>
      <c r="P24" s="23">
        <f t="shared" si="5"/>
        <v>23.21</v>
      </c>
      <c r="Q24" s="24">
        <f t="shared" si="6"/>
        <v>0.0800372266170313</v>
      </c>
      <c r="R24" s="25">
        <f t="shared" si="7"/>
        <v>309.3893</v>
      </c>
    </row>
    <row r="25" spans="1:18">
      <c r="A25" s="18" t="s">
        <v>253</v>
      </c>
      <c r="B25" s="12">
        <v>0.127</v>
      </c>
      <c r="C25" s="48">
        <f t="shared" si="13"/>
        <v>4.99999</v>
      </c>
      <c r="D25" s="26" t="s">
        <v>28</v>
      </c>
      <c r="E25" s="20">
        <f t="shared" si="14"/>
        <v>0.187960121920244</v>
      </c>
      <c r="F25" s="12" t="s">
        <v>126</v>
      </c>
      <c r="G25" s="18" t="s">
        <v>27</v>
      </c>
      <c r="H25" s="12">
        <v>9.91</v>
      </c>
      <c r="I25" s="21">
        <f t="shared" si="15"/>
        <v>118.92</v>
      </c>
      <c r="J25" s="14">
        <f t="shared" si="16"/>
        <v>132.1003</v>
      </c>
      <c r="K25" s="21">
        <f t="shared" si="17"/>
        <v>138.74</v>
      </c>
      <c r="L25" s="29"/>
      <c r="M25" s="62"/>
      <c r="O25" s="12">
        <v>9.18</v>
      </c>
      <c r="P25" s="23">
        <f t="shared" si="5"/>
        <v>9.91</v>
      </c>
      <c r="Q25" s="24">
        <f t="shared" si="6"/>
        <v>0.079520697167756</v>
      </c>
      <c r="R25" s="25">
        <f t="shared" si="7"/>
        <v>132.1003</v>
      </c>
    </row>
    <row r="26" spans="1:18">
      <c r="A26" s="18" t="s">
        <v>253</v>
      </c>
      <c r="B26" s="12">
        <v>0.127</v>
      </c>
      <c r="C26" s="48">
        <f t="shared" si="13"/>
        <v>4.99999</v>
      </c>
      <c r="D26" s="26" t="s">
        <v>28</v>
      </c>
      <c r="E26" s="20">
        <f t="shared" si="14"/>
        <v>0.187960121920244</v>
      </c>
      <c r="F26" s="12" t="s">
        <v>126</v>
      </c>
      <c r="G26" s="18" t="s">
        <v>255</v>
      </c>
      <c r="H26" s="12">
        <v>10.09</v>
      </c>
      <c r="I26" s="21">
        <f t="shared" si="15"/>
        <v>121.08</v>
      </c>
      <c r="J26" s="14">
        <f t="shared" si="16"/>
        <v>134.4997</v>
      </c>
      <c r="K26" s="21">
        <f t="shared" si="17"/>
        <v>141.26</v>
      </c>
      <c r="L26" s="29"/>
      <c r="O26" s="12">
        <v>9.34</v>
      </c>
      <c r="P26" s="23">
        <f t="shared" si="5"/>
        <v>10.09</v>
      </c>
      <c r="Q26" s="24">
        <f t="shared" si="6"/>
        <v>0.0802997858672376</v>
      </c>
      <c r="R26" s="25">
        <f t="shared" si="7"/>
        <v>134.4997</v>
      </c>
    </row>
    <row r="27" spans="1:18">
      <c r="A27" s="18" t="s">
        <v>253</v>
      </c>
      <c r="B27" s="12">
        <v>0.127</v>
      </c>
      <c r="C27" s="48">
        <f t="shared" si="13"/>
        <v>4.99999</v>
      </c>
      <c r="D27" s="26" t="s">
        <v>26</v>
      </c>
      <c r="E27" s="20">
        <f t="shared" si="14"/>
        <v>0.187960121920244</v>
      </c>
      <c r="F27" s="12" t="s">
        <v>126</v>
      </c>
      <c r="G27" s="18" t="s">
        <v>255</v>
      </c>
      <c r="H27" s="12">
        <v>14.9</v>
      </c>
      <c r="I27" s="21">
        <f t="shared" si="15"/>
        <v>178.8</v>
      </c>
      <c r="J27" s="14">
        <f t="shared" si="16"/>
        <v>198.617</v>
      </c>
      <c r="K27" s="21">
        <f t="shared" si="17"/>
        <v>208.6</v>
      </c>
      <c r="L27" s="29"/>
      <c r="O27" s="12">
        <v>13.8</v>
      </c>
      <c r="P27" s="23">
        <f t="shared" si="5"/>
        <v>14.9</v>
      </c>
      <c r="Q27" s="24">
        <f t="shared" si="6"/>
        <v>0.0797101449275361</v>
      </c>
      <c r="R27" s="25">
        <f t="shared" si="7"/>
        <v>198.617</v>
      </c>
    </row>
    <row r="28" spans="1:18">
      <c r="A28" s="18" t="s">
        <v>253</v>
      </c>
      <c r="B28" s="12">
        <v>0.127</v>
      </c>
      <c r="C28" s="48">
        <f t="shared" si="13"/>
        <v>4.99999</v>
      </c>
      <c r="D28" s="26" t="s">
        <v>31</v>
      </c>
      <c r="E28" s="20">
        <f>(C28+4.8)/39.37</f>
        <v>0.248920243840488</v>
      </c>
      <c r="F28" s="12" t="s">
        <v>126</v>
      </c>
      <c r="G28" s="18" t="s">
        <v>27</v>
      </c>
      <c r="H28" s="12">
        <v>26.89</v>
      </c>
      <c r="I28" s="21">
        <f t="shared" si="15"/>
        <v>322.68</v>
      </c>
      <c r="J28" s="14">
        <f t="shared" si="16"/>
        <v>358.4437</v>
      </c>
      <c r="K28" s="21">
        <f t="shared" si="17"/>
        <v>376.46</v>
      </c>
      <c r="L28" s="29"/>
      <c r="O28" s="12">
        <v>24.9</v>
      </c>
      <c r="P28" s="23">
        <f t="shared" si="5"/>
        <v>26.89</v>
      </c>
      <c r="Q28" s="24">
        <f t="shared" si="6"/>
        <v>0.0799196787148595</v>
      </c>
      <c r="R28" s="25">
        <f t="shared" si="7"/>
        <v>358.4437</v>
      </c>
    </row>
    <row r="29" spans="1:18">
      <c r="A29" s="18" t="s">
        <v>253</v>
      </c>
      <c r="B29" s="12">
        <v>0.127</v>
      </c>
      <c r="C29" s="48">
        <f t="shared" si="13"/>
        <v>4.99999</v>
      </c>
      <c r="D29" s="26" t="s">
        <v>26</v>
      </c>
      <c r="E29" s="20">
        <f>(C29+2.4)/39.37</f>
        <v>0.187960121920244</v>
      </c>
      <c r="F29" s="12" t="s">
        <v>165</v>
      </c>
      <c r="G29" s="18" t="s">
        <v>255</v>
      </c>
      <c r="H29" s="12">
        <v>17.74</v>
      </c>
      <c r="I29" s="21">
        <f t="shared" si="15"/>
        <v>212.88</v>
      </c>
      <c r="J29" s="14">
        <f t="shared" si="16"/>
        <v>236.4742</v>
      </c>
      <c r="K29" s="21">
        <f t="shared" si="17"/>
        <v>248.36</v>
      </c>
      <c r="L29" s="29"/>
      <c r="O29" s="12">
        <v>16.43</v>
      </c>
      <c r="P29" s="23">
        <f t="shared" si="5"/>
        <v>17.74</v>
      </c>
      <c r="Q29" s="24">
        <f t="shared" si="6"/>
        <v>0.0797321972002434</v>
      </c>
      <c r="R29" s="25">
        <f t="shared" si="7"/>
        <v>236.4742</v>
      </c>
    </row>
    <row r="30" spans="1:18">
      <c r="A30" s="18" t="s">
        <v>253</v>
      </c>
      <c r="B30" s="12">
        <v>0.127</v>
      </c>
      <c r="C30" s="48">
        <f t="shared" si="13"/>
        <v>4.99999</v>
      </c>
      <c r="D30" s="26" t="s">
        <v>163</v>
      </c>
      <c r="E30" s="20">
        <f>(C30+1.8)/39.37</f>
        <v>0.172720091440183</v>
      </c>
      <c r="F30" s="12" t="s">
        <v>165</v>
      </c>
      <c r="G30" s="18" t="s">
        <v>255</v>
      </c>
      <c r="H30" s="12">
        <v>14.67</v>
      </c>
      <c r="I30" s="21">
        <f t="shared" si="15"/>
        <v>176.04</v>
      </c>
      <c r="J30" s="14">
        <f t="shared" si="16"/>
        <v>195.5511</v>
      </c>
      <c r="K30" s="21">
        <f t="shared" si="17"/>
        <v>205.38</v>
      </c>
      <c r="L30" s="29"/>
      <c r="O30" s="12">
        <v>13.58</v>
      </c>
      <c r="P30" s="23">
        <f t="shared" si="5"/>
        <v>14.67</v>
      </c>
      <c r="Q30" s="24">
        <f t="shared" si="6"/>
        <v>0.0802650957290132</v>
      </c>
      <c r="R30" s="25">
        <f t="shared" si="7"/>
        <v>195.5511</v>
      </c>
    </row>
    <row r="31" spans="1:18">
      <c r="A31" s="18" t="s">
        <v>253</v>
      </c>
      <c r="B31" s="12">
        <v>0.152</v>
      </c>
      <c r="C31" s="48">
        <f t="shared" ref="C31:C37" si="18">B31*39.37</f>
        <v>5.98424</v>
      </c>
      <c r="D31" s="26" t="s">
        <v>28</v>
      </c>
      <c r="E31" s="20">
        <f>(C31+1.2)/39.37</f>
        <v>0.182480060960122</v>
      </c>
      <c r="F31" s="12" t="s">
        <v>165</v>
      </c>
      <c r="G31" s="18" t="s">
        <v>255</v>
      </c>
      <c r="H31" s="12">
        <v>11.29</v>
      </c>
      <c r="I31" s="21">
        <f t="shared" ref="I31:I36" si="19">H31*12</f>
        <v>135.48</v>
      </c>
      <c r="J31" s="14">
        <f t="shared" ref="J31:J36" si="20">H31*13.33</f>
        <v>150.4957</v>
      </c>
      <c r="K31" s="21">
        <f t="shared" ref="K31:K36" si="21">H31*14</f>
        <v>158.06</v>
      </c>
      <c r="L31" s="29"/>
      <c r="O31" s="12">
        <v>10.45</v>
      </c>
      <c r="P31" s="23">
        <f t="shared" si="5"/>
        <v>11.29</v>
      </c>
      <c r="Q31" s="24">
        <f t="shared" si="6"/>
        <v>0.0803827751196171</v>
      </c>
      <c r="R31" s="25">
        <f t="shared" si="7"/>
        <v>150.4957</v>
      </c>
    </row>
    <row r="32" spans="1:18">
      <c r="A32" s="18" t="s">
        <v>253</v>
      </c>
      <c r="B32" s="12">
        <v>0.152</v>
      </c>
      <c r="C32" s="48">
        <f t="shared" si="18"/>
        <v>5.98424</v>
      </c>
      <c r="D32" s="26" t="s">
        <v>26</v>
      </c>
      <c r="E32" s="20">
        <f>B32+0.07</f>
        <v>0.222</v>
      </c>
      <c r="F32" s="12" t="s">
        <v>129</v>
      </c>
      <c r="G32" s="18" t="s">
        <v>255</v>
      </c>
      <c r="H32" s="12">
        <v>13.66</v>
      </c>
      <c r="I32" s="21">
        <f t="shared" si="19"/>
        <v>163.92</v>
      </c>
      <c r="J32" s="14">
        <f t="shared" si="20"/>
        <v>182.0878</v>
      </c>
      <c r="K32" s="21">
        <f t="shared" si="21"/>
        <v>191.24</v>
      </c>
      <c r="L32" s="29"/>
      <c r="O32" s="12">
        <v>12.65</v>
      </c>
      <c r="P32" s="23">
        <f t="shared" si="5"/>
        <v>13.66</v>
      </c>
      <c r="Q32" s="24">
        <f t="shared" si="6"/>
        <v>0.0798418972332016</v>
      </c>
      <c r="R32" s="25">
        <f t="shared" si="7"/>
        <v>182.0878</v>
      </c>
    </row>
    <row r="33" spans="1:18">
      <c r="A33" s="18" t="s">
        <v>253</v>
      </c>
      <c r="B33" s="12">
        <v>0.152</v>
      </c>
      <c r="C33" s="48">
        <f t="shared" si="18"/>
        <v>5.98424</v>
      </c>
      <c r="D33" s="26" t="s">
        <v>31</v>
      </c>
      <c r="E33" s="20">
        <f>(C33+4.8)/39.37</f>
        <v>0.273920243840488</v>
      </c>
      <c r="F33" s="12" t="s">
        <v>129</v>
      </c>
      <c r="G33" s="18" t="s">
        <v>27</v>
      </c>
      <c r="H33" s="12">
        <v>24.56</v>
      </c>
      <c r="I33" s="21">
        <f t="shared" si="19"/>
        <v>294.72</v>
      </c>
      <c r="J33" s="14">
        <f t="shared" si="20"/>
        <v>327.3848</v>
      </c>
      <c r="K33" s="21">
        <f t="shared" si="21"/>
        <v>343.84</v>
      </c>
      <c r="L33" s="29"/>
      <c r="O33" s="12">
        <v>22.74</v>
      </c>
      <c r="P33" s="23">
        <f t="shared" si="5"/>
        <v>24.56</v>
      </c>
      <c r="Q33" s="24">
        <f t="shared" si="6"/>
        <v>0.0800351802990324</v>
      </c>
      <c r="R33" s="25">
        <f t="shared" si="7"/>
        <v>327.3848</v>
      </c>
    </row>
    <row r="34" spans="1:18">
      <c r="A34" s="18" t="s">
        <v>253</v>
      </c>
      <c r="B34" s="12">
        <v>0.152</v>
      </c>
      <c r="C34" s="48">
        <f t="shared" si="18"/>
        <v>5.98424</v>
      </c>
      <c r="D34" s="26" t="s">
        <v>26</v>
      </c>
      <c r="E34" s="20">
        <f>B34+0.07</f>
        <v>0.222</v>
      </c>
      <c r="F34" s="12" t="s">
        <v>128</v>
      </c>
      <c r="G34" s="18" t="s">
        <v>255</v>
      </c>
      <c r="H34" s="12">
        <v>17.11</v>
      </c>
      <c r="I34" s="21">
        <f t="shared" si="19"/>
        <v>205.32</v>
      </c>
      <c r="J34" s="14">
        <f t="shared" si="20"/>
        <v>228.0763</v>
      </c>
      <c r="K34" s="21">
        <f t="shared" si="21"/>
        <v>239.54</v>
      </c>
      <c r="L34" s="29"/>
      <c r="O34" s="12">
        <v>15.84</v>
      </c>
      <c r="P34" s="23">
        <f t="shared" si="5"/>
        <v>17.11</v>
      </c>
      <c r="Q34" s="24">
        <f t="shared" si="6"/>
        <v>0.0801767676767677</v>
      </c>
      <c r="R34" s="25">
        <f t="shared" si="7"/>
        <v>228.0763</v>
      </c>
    </row>
    <row r="35" spans="1:18">
      <c r="A35" s="18" t="s">
        <v>253</v>
      </c>
      <c r="B35" s="12">
        <v>0.203</v>
      </c>
      <c r="C35" s="48">
        <f t="shared" si="18"/>
        <v>7.99211</v>
      </c>
      <c r="D35" s="26" t="s">
        <v>28</v>
      </c>
      <c r="E35" s="20">
        <f>(C35+1.2)/39.37</f>
        <v>0.233480060960122</v>
      </c>
      <c r="F35" s="12" t="s">
        <v>131</v>
      </c>
      <c r="G35" s="18" t="s">
        <v>27</v>
      </c>
      <c r="H35" s="12">
        <v>11.05</v>
      </c>
      <c r="I35" s="21">
        <f t="shared" si="19"/>
        <v>132.6</v>
      </c>
      <c r="J35" s="14">
        <f t="shared" si="20"/>
        <v>147.2965</v>
      </c>
      <c r="K35" s="21">
        <f t="shared" si="21"/>
        <v>154.7</v>
      </c>
      <c r="L35" s="29"/>
      <c r="O35" s="12">
        <v>10.23</v>
      </c>
      <c r="P35" s="23">
        <f t="shared" si="5"/>
        <v>11.05</v>
      </c>
      <c r="Q35" s="24">
        <f t="shared" si="6"/>
        <v>0.0801564027370478</v>
      </c>
      <c r="R35" s="25">
        <f t="shared" si="7"/>
        <v>147.2965</v>
      </c>
    </row>
    <row r="36" spans="1:18">
      <c r="A36" s="18" t="s">
        <v>253</v>
      </c>
      <c r="B36" s="12">
        <v>0.203</v>
      </c>
      <c r="C36" s="48">
        <f t="shared" si="18"/>
        <v>7.99211</v>
      </c>
      <c r="D36" s="26" t="s">
        <v>28</v>
      </c>
      <c r="E36" s="20">
        <f>(C36+1.2)/39.37</f>
        <v>0.233480060960122</v>
      </c>
      <c r="F36" s="12" t="s">
        <v>131</v>
      </c>
      <c r="G36" s="18" t="s">
        <v>255</v>
      </c>
      <c r="H36" s="12">
        <v>11.8</v>
      </c>
      <c r="I36" s="21">
        <f t="shared" si="19"/>
        <v>141.6</v>
      </c>
      <c r="J36" s="14">
        <f t="shared" si="20"/>
        <v>157.294</v>
      </c>
      <c r="K36" s="21">
        <f t="shared" si="21"/>
        <v>165.2</v>
      </c>
      <c r="L36" s="29"/>
      <c r="O36" s="12">
        <v>10.93</v>
      </c>
      <c r="P36" s="23">
        <f t="shared" si="5"/>
        <v>11.8</v>
      </c>
      <c r="Q36" s="24">
        <f t="shared" si="6"/>
        <v>0.0795974382433671</v>
      </c>
      <c r="R36" s="25">
        <f t="shared" si="7"/>
        <v>157.294</v>
      </c>
    </row>
    <row r="37" spans="1:18">
      <c r="A37" s="18" t="s">
        <v>253</v>
      </c>
      <c r="B37" s="12">
        <v>0.203</v>
      </c>
      <c r="C37" s="48">
        <f t="shared" si="18"/>
        <v>7.99211</v>
      </c>
      <c r="D37" s="26" t="s">
        <v>26</v>
      </c>
      <c r="E37" s="20">
        <f>(C37+2.4)/39.37</f>
        <v>0.263960121920244</v>
      </c>
      <c r="F37" s="12" t="s">
        <v>130</v>
      </c>
      <c r="G37" s="18" t="s">
        <v>255</v>
      </c>
      <c r="H37" s="12">
        <v>14.53</v>
      </c>
      <c r="I37" s="21">
        <f t="shared" ref="I37:I45" si="22">H37*12</f>
        <v>174.36</v>
      </c>
      <c r="J37" s="14">
        <f t="shared" ref="J37:J45" si="23">H37*13.33</f>
        <v>193.6849</v>
      </c>
      <c r="K37" s="21">
        <f t="shared" ref="K37:K45" si="24">H37*14</f>
        <v>203.42</v>
      </c>
      <c r="L37" s="29"/>
      <c r="O37" s="12">
        <v>13.45</v>
      </c>
      <c r="P37" s="23">
        <f t="shared" si="5"/>
        <v>14.53</v>
      </c>
      <c r="Q37" s="24">
        <f t="shared" si="6"/>
        <v>0.0802973977695167</v>
      </c>
      <c r="R37" s="25">
        <f t="shared" si="7"/>
        <v>193.6849</v>
      </c>
    </row>
    <row r="38" spans="1:18">
      <c r="A38" s="18" t="s">
        <v>253</v>
      </c>
      <c r="B38" s="12">
        <v>0.203</v>
      </c>
      <c r="C38" s="48">
        <f t="shared" ref="C38:C45" si="25">B38*39.37</f>
        <v>7.99211</v>
      </c>
      <c r="D38" s="26" t="s">
        <v>26</v>
      </c>
      <c r="E38" s="20">
        <f>(C38+2.4)/39.37</f>
        <v>0.263960121920244</v>
      </c>
      <c r="F38" s="12" t="s">
        <v>167</v>
      </c>
      <c r="G38" s="18" t="s">
        <v>255</v>
      </c>
      <c r="H38" s="12">
        <v>15.62</v>
      </c>
      <c r="I38" s="21">
        <f t="shared" si="22"/>
        <v>187.44</v>
      </c>
      <c r="J38" s="14">
        <f t="shared" si="23"/>
        <v>208.2146</v>
      </c>
      <c r="K38" s="21">
        <f t="shared" si="24"/>
        <v>218.68</v>
      </c>
      <c r="L38" s="29"/>
      <c r="O38" s="12">
        <v>14.46</v>
      </c>
      <c r="P38" s="23">
        <f t="shared" si="5"/>
        <v>15.62</v>
      </c>
      <c r="Q38" s="24">
        <f t="shared" si="6"/>
        <v>0.0802213001383125</v>
      </c>
      <c r="R38" s="25">
        <f t="shared" si="7"/>
        <v>208.2146</v>
      </c>
    </row>
    <row r="39" spans="1:18">
      <c r="A39" s="18" t="s">
        <v>253</v>
      </c>
      <c r="B39" s="12">
        <v>0.254</v>
      </c>
      <c r="C39" s="48">
        <f t="shared" si="25"/>
        <v>9.99998</v>
      </c>
      <c r="D39" s="26" t="s">
        <v>26</v>
      </c>
      <c r="E39" s="20">
        <f>B39+0.07</f>
        <v>0.324</v>
      </c>
      <c r="F39" s="12" t="s">
        <v>167</v>
      </c>
      <c r="G39" s="18" t="s">
        <v>255</v>
      </c>
      <c r="H39" s="12">
        <v>15.62</v>
      </c>
      <c r="I39" s="21">
        <f t="shared" si="22"/>
        <v>187.44</v>
      </c>
      <c r="J39" s="14">
        <f t="shared" si="23"/>
        <v>208.2146</v>
      </c>
      <c r="K39" s="21">
        <f t="shared" si="24"/>
        <v>218.68</v>
      </c>
      <c r="L39" s="29"/>
      <c r="O39" s="12">
        <v>14.46</v>
      </c>
      <c r="P39" s="23">
        <f t="shared" si="5"/>
        <v>15.62</v>
      </c>
      <c r="Q39" s="24">
        <f t="shared" si="6"/>
        <v>0.0802213001383125</v>
      </c>
      <c r="R39" s="25">
        <f t="shared" si="7"/>
        <v>208.2146</v>
      </c>
    </row>
    <row r="40" spans="1:18">
      <c r="A40" s="18" t="s">
        <v>253</v>
      </c>
      <c r="B40" s="12">
        <v>0.305</v>
      </c>
      <c r="C40" s="48">
        <f t="shared" si="25"/>
        <v>12.00785</v>
      </c>
      <c r="D40" s="26" t="s">
        <v>28</v>
      </c>
      <c r="E40" s="20">
        <f>(C40+1.2)/39.37</f>
        <v>0.335480060960122</v>
      </c>
      <c r="F40" s="12" t="s">
        <v>135</v>
      </c>
      <c r="G40" s="18" t="s">
        <v>27</v>
      </c>
      <c r="H40" s="12">
        <v>12.55</v>
      </c>
      <c r="I40" s="21">
        <f t="shared" si="22"/>
        <v>150.6</v>
      </c>
      <c r="J40" s="14">
        <f t="shared" si="23"/>
        <v>167.2915</v>
      </c>
      <c r="K40" s="21">
        <f t="shared" si="24"/>
        <v>175.7</v>
      </c>
      <c r="L40" s="29"/>
      <c r="O40" s="12">
        <v>11.62</v>
      </c>
      <c r="P40" s="23">
        <f t="shared" si="5"/>
        <v>12.55</v>
      </c>
      <c r="Q40" s="24">
        <f t="shared" si="6"/>
        <v>0.0800344234079176</v>
      </c>
      <c r="R40" s="25">
        <f t="shared" si="7"/>
        <v>167.2915</v>
      </c>
    </row>
    <row r="41" spans="1:18">
      <c r="A41" s="18" t="s">
        <v>253</v>
      </c>
      <c r="B41" s="12">
        <v>0.305</v>
      </c>
      <c r="C41" s="48">
        <f t="shared" si="25"/>
        <v>12.00785</v>
      </c>
      <c r="D41" s="26" t="s">
        <v>26</v>
      </c>
      <c r="E41" s="20">
        <f>B41+0.07</f>
        <v>0.375</v>
      </c>
      <c r="F41" s="12" t="s">
        <v>135</v>
      </c>
      <c r="G41" s="18" t="s">
        <v>27</v>
      </c>
      <c r="H41" s="12">
        <v>17.6</v>
      </c>
      <c r="I41" s="21">
        <f t="shared" si="22"/>
        <v>211.2</v>
      </c>
      <c r="J41" s="14">
        <f t="shared" si="23"/>
        <v>234.608</v>
      </c>
      <c r="K41" s="21">
        <f t="shared" si="24"/>
        <v>246.4</v>
      </c>
      <c r="L41" s="29"/>
      <c r="O41" s="12">
        <v>16.3</v>
      </c>
      <c r="P41" s="23">
        <f t="shared" si="5"/>
        <v>17.6</v>
      </c>
      <c r="Q41" s="24">
        <f t="shared" si="6"/>
        <v>0.0797546012269938</v>
      </c>
      <c r="R41" s="25">
        <f t="shared" si="7"/>
        <v>234.608</v>
      </c>
    </row>
    <row r="42" s="41" customFormat="1" spans="1:18">
      <c r="A42" s="18" t="s">
        <v>253</v>
      </c>
      <c r="B42" s="12">
        <v>0.356</v>
      </c>
      <c r="C42" s="48">
        <f t="shared" si="25"/>
        <v>14.01572</v>
      </c>
      <c r="D42" s="26" t="s">
        <v>31</v>
      </c>
      <c r="E42" s="20">
        <f>(C42+4.8)/39.37</f>
        <v>0.477920243840488</v>
      </c>
      <c r="F42" s="12" t="s">
        <v>137</v>
      </c>
      <c r="G42" s="18" t="s">
        <v>27</v>
      </c>
      <c r="H42" s="12">
        <v>26.23</v>
      </c>
      <c r="I42" s="21">
        <f t="shared" si="22"/>
        <v>314.76</v>
      </c>
      <c r="J42" s="14">
        <f t="shared" si="23"/>
        <v>349.6459</v>
      </c>
      <c r="K42" s="21">
        <f t="shared" si="24"/>
        <v>367.22</v>
      </c>
      <c r="L42" s="29"/>
      <c r="M42" s="61"/>
      <c r="N42" s="41"/>
      <c r="O42" s="12">
        <v>26.23</v>
      </c>
      <c r="P42" s="23">
        <f>ROUND(O42*1,2)</f>
        <v>26.23</v>
      </c>
      <c r="Q42" s="24">
        <f t="shared" si="6"/>
        <v>0</v>
      </c>
      <c r="R42" s="25">
        <f t="shared" si="7"/>
        <v>349.6459</v>
      </c>
    </row>
    <row r="43" spans="1:18">
      <c r="A43" s="18" t="s">
        <v>253</v>
      </c>
      <c r="B43" s="12">
        <v>0.381</v>
      </c>
      <c r="C43" s="48">
        <f t="shared" si="25"/>
        <v>14.99997</v>
      </c>
      <c r="D43" s="26" t="s">
        <v>31</v>
      </c>
      <c r="E43" s="20">
        <f>(C43+4.8)/39.37</f>
        <v>0.502920243840488</v>
      </c>
      <c r="F43" s="12" t="s">
        <v>137</v>
      </c>
      <c r="G43" s="18" t="s">
        <v>27</v>
      </c>
      <c r="H43" s="12">
        <v>26.23</v>
      </c>
      <c r="I43" s="21">
        <f t="shared" si="22"/>
        <v>314.76</v>
      </c>
      <c r="J43" s="14">
        <f t="shared" si="23"/>
        <v>349.6459</v>
      </c>
      <c r="K43" s="21">
        <f t="shared" si="24"/>
        <v>367.22</v>
      </c>
      <c r="L43" s="29"/>
      <c r="O43" s="12">
        <v>26.23</v>
      </c>
      <c r="P43" s="23">
        <f>ROUND(O43*1,2)</f>
        <v>26.23</v>
      </c>
      <c r="Q43" s="24">
        <f t="shared" si="6"/>
        <v>0</v>
      </c>
      <c r="R43" s="25">
        <f t="shared" si="7"/>
        <v>349.6459</v>
      </c>
    </row>
    <row r="44" spans="1:18">
      <c r="A44" s="18" t="s">
        <v>253</v>
      </c>
      <c r="B44" s="12">
        <v>0.61</v>
      </c>
      <c r="C44" s="48">
        <f t="shared" si="25"/>
        <v>24.0157</v>
      </c>
      <c r="D44" s="26" t="s">
        <v>28</v>
      </c>
      <c r="E44" s="20">
        <f>(C44+1.2)/39.37</f>
        <v>0.640480060960122</v>
      </c>
      <c r="F44" s="12" t="s">
        <v>258</v>
      </c>
      <c r="G44" s="18" t="s">
        <v>27</v>
      </c>
      <c r="H44" s="12">
        <v>19.75</v>
      </c>
      <c r="I44" s="21">
        <f t="shared" si="22"/>
        <v>237</v>
      </c>
      <c r="J44" s="14">
        <f t="shared" si="23"/>
        <v>263.2675</v>
      </c>
      <c r="K44" s="21">
        <f t="shared" si="24"/>
        <v>276.5</v>
      </c>
      <c r="L44" s="29"/>
      <c r="M44" s="62"/>
      <c r="O44" s="12">
        <v>18.29</v>
      </c>
      <c r="P44" s="23">
        <f>ROUND(O44*1.08,2)</f>
        <v>19.75</v>
      </c>
      <c r="Q44" s="24">
        <f t="shared" ref="Q44:Q52" si="26">P44/O44-1</f>
        <v>0.0798250410060142</v>
      </c>
      <c r="R44" s="25">
        <f t="shared" ref="R44:R52" si="27">P44*13.33</f>
        <v>263.2675</v>
      </c>
    </row>
    <row r="45" spans="1:18">
      <c r="A45" s="18" t="s">
        <v>253</v>
      </c>
      <c r="B45" s="12">
        <v>0.61</v>
      </c>
      <c r="C45" s="48">
        <f t="shared" si="25"/>
        <v>24.0157</v>
      </c>
      <c r="D45" s="26" t="s">
        <v>26</v>
      </c>
      <c r="E45" s="20">
        <f>B45+0.07</f>
        <v>0.68</v>
      </c>
      <c r="F45" s="12" t="s">
        <v>52</v>
      </c>
      <c r="G45" s="18" t="s">
        <v>255</v>
      </c>
      <c r="H45" s="12">
        <v>21.58</v>
      </c>
      <c r="I45" s="21">
        <f t="shared" si="22"/>
        <v>258.96</v>
      </c>
      <c r="J45" s="14">
        <f t="shared" si="23"/>
        <v>287.6614</v>
      </c>
      <c r="K45" s="21">
        <f t="shared" si="24"/>
        <v>302.12</v>
      </c>
      <c r="L45" s="29"/>
      <c r="M45" s="62"/>
      <c r="O45" s="12">
        <v>19.98</v>
      </c>
      <c r="P45" s="23">
        <f t="shared" ref="P45:P52" si="28">ROUND(O45*1.08,2)</f>
        <v>21.58</v>
      </c>
      <c r="Q45" s="24">
        <f t="shared" si="26"/>
        <v>0.0800800800800801</v>
      </c>
      <c r="R45" s="25">
        <f t="shared" si="27"/>
        <v>287.6614</v>
      </c>
    </row>
    <row r="46" spans="1:18">
      <c r="A46" s="18" t="s">
        <v>253</v>
      </c>
      <c r="B46" s="12">
        <v>0.81</v>
      </c>
      <c r="C46" s="48">
        <f t="shared" ref="C46:C52" si="29">B46*39.37</f>
        <v>31.8897</v>
      </c>
      <c r="D46" s="26" t="s">
        <v>26</v>
      </c>
      <c r="E46" s="20">
        <f t="shared" ref="E46:E52" si="30">B46+0.07</f>
        <v>0.88</v>
      </c>
      <c r="F46" s="12" t="s">
        <v>54</v>
      </c>
      <c r="G46" s="18" t="s">
        <v>27</v>
      </c>
      <c r="H46" s="12">
        <v>21.76</v>
      </c>
      <c r="I46" s="21">
        <f t="shared" ref="I46:I52" si="31">H46*12</f>
        <v>261.12</v>
      </c>
      <c r="J46" s="14">
        <f t="shared" ref="J46:J52" si="32">H46*13.33</f>
        <v>290.0608</v>
      </c>
      <c r="K46" s="21">
        <f t="shared" ref="K46:K52" si="33">H46*14</f>
        <v>304.64</v>
      </c>
      <c r="L46" s="29"/>
      <c r="O46" s="12">
        <v>20.15</v>
      </c>
      <c r="P46" s="23">
        <f t="shared" si="28"/>
        <v>21.76</v>
      </c>
      <c r="Q46" s="24">
        <f t="shared" si="26"/>
        <v>0.0799007444168736</v>
      </c>
      <c r="R46" s="25">
        <f t="shared" si="27"/>
        <v>290.0608</v>
      </c>
    </row>
    <row r="47" spans="1:18">
      <c r="A47" s="18" t="s">
        <v>253</v>
      </c>
      <c r="B47" s="12">
        <v>0.81</v>
      </c>
      <c r="C47" s="48">
        <f t="shared" si="29"/>
        <v>31.8897</v>
      </c>
      <c r="D47" s="26" t="s">
        <v>26</v>
      </c>
      <c r="E47" s="20">
        <f t="shared" si="30"/>
        <v>0.88</v>
      </c>
      <c r="F47" s="12" t="s">
        <v>249</v>
      </c>
      <c r="G47" s="18" t="s">
        <v>255</v>
      </c>
      <c r="H47" s="12">
        <v>28.03</v>
      </c>
      <c r="I47" s="21">
        <f t="shared" si="31"/>
        <v>336.36</v>
      </c>
      <c r="J47" s="14">
        <f t="shared" si="32"/>
        <v>373.6399</v>
      </c>
      <c r="K47" s="21">
        <f t="shared" si="33"/>
        <v>392.42</v>
      </c>
      <c r="L47" s="29"/>
      <c r="O47" s="12">
        <v>25.95</v>
      </c>
      <c r="P47" s="23">
        <f t="shared" si="28"/>
        <v>28.03</v>
      </c>
      <c r="Q47" s="24">
        <f t="shared" si="26"/>
        <v>0.0801541425818884</v>
      </c>
      <c r="R47" s="25">
        <f t="shared" si="27"/>
        <v>373.6399</v>
      </c>
    </row>
    <row r="48" spans="1:18">
      <c r="A48" s="18" t="s">
        <v>253</v>
      </c>
      <c r="B48" s="12">
        <v>0.99</v>
      </c>
      <c r="C48" s="58">
        <f t="shared" si="29"/>
        <v>38.9763</v>
      </c>
      <c r="D48" s="26" t="s">
        <v>26</v>
      </c>
      <c r="E48" s="20">
        <f t="shared" si="30"/>
        <v>1.06</v>
      </c>
      <c r="F48" s="12" t="s">
        <v>57</v>
      </c>
      <c r="G48" s="18" t="s">
        <v>255</v>
      </c>
      <c r="H48" s="12">
        <v>26.07</v>
      </c>
      <c r="I48" s="21">
        <f t="shared" si="31"/>
        <v>312.84</v>
      </c>
      <c r="J48" s="14">
        <f t="shared" si="32"/>
        <v>347.5131</v>
      </c>
      <c r="K48" s="21">
        <f t="shared" si="33"/>
        <v>364.98</v>
      </c>
      <c r="L48" s="29"/>
      <c r="O48" s="12">
        <v>24.14</v>
      </c>
      <c r="P48" s="23">
        <f t="shared" si="28"/>
        <v>26.07</v>
      </c>
      <c r="Q48" s="24">
        <f t="shared" si="26"/>
        <v>0.079950289975145</v>
      </c>
      <c r="R48" s="25">
        <f t="shared" si="27"/>
        <v>347.5131</v>
      </c>
    </row>
    <row r="49" spans="1:18">
      <c r="A49" s="18" t="s">
        <v>253</v>
      </c>
      <c r="B49" s="12">
        <v>1.042</v>
      </c>
      <c r="C49" s="58">
        <f t="shared" si="29"/>
        <v>41.02354</v>
      </c>
      <c r="D49" s="26" t="s">
        <v>26</v>
      </c>
      <c r="E49" s="20">
        <f t="shared" si="30"/>
        <v>1.112</v>
      </c>
      <c r="F49" s="12" t="s">
        <v>57</v>
      </c>
      <c r="G49" s="18" t="s">
        <v>255</v>
      </c>
      <c r="H49" s="12">
        <v>26.86</v>
      </c>
      <c r="I49" s="21">
        <f t="shared" si="31"/>
        <v>322.32</v>
      </c>
      <c r="J49" s="14">
        <f t="shared" si="32"/>
        <v>358.0438</v>
      </c>
      <c r="K49" s="21">
        <f t="shared" si="33"/>
        <v>376.04</v>
      </c>
      <c r="L49" s="29"/>
      <c r="O49" s="12">
        <v>24.87</v>
      </c>
      <c r="P49" s="23">
        <f t="shared" si="28"/>
        <v>26.86</v>
      </c>
      <c r="Q49" s="24">
        <f t="shared" si="26"/>
        <v>0.0800160836349013</v>
      </c>
      <c r="R49" s="25">
        <f t="shared" si="27"/>
        <v>358.0438</v>
      </c>
    </row>
    <row r="50" spans="1:18">
      <c r="A50" s="18" t="s">
        <v>253</v>
      </c>
      <c r="B50" s="12">
        <v>1.118</v>
      </c>
      <c r="C50" s="58">
        <f t="shared" si="29"/>
        <v>44.01566</v>
      </c>
      <c r="D50" s="26" t="s">
        <v>26</v>
      </c>
      <c r="E50" s="20">
        <f t="shared" si="30"/>
        <v>1.188</v>
      </c>
      <c r="F50" s="12" t="s">
        <v>58</v>
      </c>
      <c r="G50" s="18" t="s">
        <v>27</v>
      </c>
      <c r="H50" s="12">
        <v>28.84</v>
      </c>
      <c r="I50" s="21">
        <f t="shared" si="31"/>
        <v>346.08</v>
      </c>
      <c r="J50" s="14">
        <f t="shared" si="32"/>
        <v>384.4372</v>
      </c>
      <c r="K50" s="21">
        <f t="shared" si="33"/>
        <v>403.76</v>
      </c>
      <c r="L50" s="29"/>
      <c r="O50" s="12">
        <v>26.7</v>
      </c>
      <c r="P50" s="23">
        <f t="shared" si="28"/>
        <v>28.84</v>
      </c>
      <c r="Q50" s="24">
        <f t="shared" si="26"/>
        <v>0.0801498127340825</v>
      </c>
      <c r="R50" s="25">
        <f t="shared" si="27"/>
        <v>384.4372</v>
      </c>
    </row>
    <row r="51" spans="1:18">
      <c r="A51" s="18" t="s">
        <v>253</v>
      </c>
      <c r="B51" s="12">
        <v>1.144</v>
      </c>
      <c r="C51" s="58">
        <f t="shared" si="29"/>
        <v>45.03928</v>
      </c>
      <c r="D51" s="26" t="s">
        <v>26</v>
      </c>
      <c r="E51" s="20">
        <f t="shared" si="30"/>
        <v>1.214</v>
      </c>
      <c r="F51" s="12" t="s">
        <v>58</v>
      </c>
      <c r="G51" s="18" t="s">
        <v>27</v>
      </c>
      <c r="H51" s="12">
        <v>28.93</v>
      </c>
      <c r="I51" s="21">
        <f t="shared" si="31"/>
        <v>347.16</v>
      </c>
      <c r="J51" s="14">
        <f t="shared" si="32"/>
        <v>385.6369</v>
      </c>
      <c r="K51" s="21">
        <f t="shared" si="33"/>
        <v>405.02</v>
      </c>
      <c r="L51" s="29"/>
      <c r="O51" s="12">
        <v>26.79</v>
      </c>
      <c r="P51" s="23">
        <f t="shared" si="28"/>
        <v>28.93</v>
      </c>
      <c r="Q51" s="24">
        <f t="shared" si="26"/>
        <v>0.0798805524449422</v>
      </c>
      <c r="R51" s="25">
        <f t="shared" si="27"/>
        <v>385.6369</v>
      </c>
    </row>
    <row r="52" spans="1:18">
      <c r="A52" s="18" t="s">
        <v>253</v>
      </c>
      <c r="B52" s="12">
        <v>1.626</v>
      </c>
      <c r="C52" s="58">
        <f t="shared" si="29"/>
        <v>64.01562</v>
      </c>
      <c r="D52" s="26" t="s">
        <v>28</v>
      </c>
      <c r="E52" s="20">
        <f>B52+0.035</f>
        <v>1.661</v>
      </c>
      <c r="F52" s="12" t="s">
        <v>61</v>
      </c>
      <c r="G52" s="18" t="s">
        <v>27</v>
      </c>
      <c r="H52" s="12">
        <v>32.63</v>
      </c>
      <c r="I52" s="21">
        <f t="shared" si="31"/>
        <v>391.56</v>
      </c>
      <c r="J52" s="14">
        <f t="shared" si="32"/>
        <v>434.9579</v>
      </c>
      <c r="K52" s="21">
        <f t="shared" si="33"/>
        <v>456.82</v>
      </c>
      <c r="L52" s="29"/>
      <c r="O52" s="12">
        <v>30.21</v>
      </c>
      <c r="P52" s="23">
        <f t="shared" si="28"/>
        <v>32.63</v>
      </c>
      <c r="Q52" s="24">
        <f t="shared" si="26"/>
        <v>0.0801059251903344</v>
      </c>
      <c r="R52" s="25">
        <f t="shared" si="27"/>
        <v>434.9579</v>
      </c>
    </row>
    <row r="54" ht="30" spans="1:18">
      <c r="A54" s="30" t="s">
        <v>10</v>
      </c>
      <c r="B54" s="30" t="s">
        <v>79</v>
      </c>
      <c r="C54" s="31" t="s">
        <v>201</v>
      </c>
      <c r="D54" s="30" t="s">
        <v>81</v>
      </c>
      <c r="E54" s="30" t="s">
        <v>82</v>
      </c>
      <c r="F54" s="12" t="s">
        <v>235</v>
      </c>
      <c r="G54" s="12"/>
      <c r="H54" s="12"/>
    </row>
    <row r="55" ht="45" spans="1:18">
      <c r="A55" s="30" t="s">
        <v>84</v>
      </c>
      <c r="B55" s="30" t="s">
        <v>85</v>
      </c>
      <c r="C55" s="31" t="s">
        <v>86</v>
      </c>
      <c r="D55" s="30" t="s">
        <v>87</v>
      </c>
      <c r="E55" s="30" t="s">
        <v>88</v>
      </c>
      <c r="F55" s="20" t="s">
        <v>203</v>
      </c>
      <c r="G55" s="20" t="s">
        <v>204</v>
      </c>
      <c r="H55" s="20" t="s">
        <v>205</v>
      </c>
      <c r="O55" s="15" t="s">
        <v>20</v>
      </c>
      <c r="P55" s="16" t="s">
        <v>21</v>
      </c>
      <c r="Q55" s="17" t="s">
        <v>22</v>
      </c>
      <c r="R55" s="15" t="s">
        <v>93</v>
      </c>
    </row>
    <row r="56" spans="1:18">
      <c r="A56" s="18" t="s">
        <v>259</v>
      </c>
      <c r="B56" s="30">
        <v>106</v>
      </c>
      <c r="C56" s="60">
        <v>0.715</v>
      </c>
      <c r="D56" s="30">
        <v>300</v>
      </c>
      <c r="E56" s="31" t="s">
        <v>96</v>
      </c>
      <c r="F56" s="20">
        <v>2.467</v>
      </c>
      <c r="G56" s="34">
        <f t="shared" ref="G56:G64" si="34">H56/D56</f>
        <v>32.3752633333333</v>
      </c>
      <c r="H56" s="21">
        <f t="shared" ref="H56:H64" si="35">F56*3937</f>
        <v>9712.579</v>
      </c>
      <c r="O56" s="20">
        <v>2.243</v>
      </c>
      <c r="P56" s="36">
        <f>ROUND(O56*1.1,3)</f>
        <v>2.467</v>
      </c>
      <c r="Q56" s="37">
        <f>P56/O56-1</f>
        <v>0.0998662505572894</v>
      </c>
      <c r="R56" s="25">
        <f>P56*3937/300</f>
        <v>32.3752633333333</v>
      </c>
    </row>
    <row r="57" spans="1:18">
      <c r="A57" s="18" t="s">
        <v>259</v>
      </c>
      <c r="B57" s="30">
        <v>106</v>
      </c>
      <c r="C57" s="60" t="s">
        <v>260</v>
      </c>
      <c r="D57" s="30">
        <v>300</v>
      </c>
      <c r="E57" s="31" t="s">
        <v>96</v>
      </c>
      <c r="F57" s="20">
        <v>2.659</v>
      </c>
      <c r="G57" s="34">
        <f t="shared" si="34"/>
        <v>34.8949433333333</v>
      </c>
      <c r="H57" s="21">
        <f t="shared" si="35"/>
        <v>10468.483</v>
      </c>
      <c r="O57" s="20">
        <v>2.417</v>
      </c>
      <c r="P57" s="36">
        <f t="shared" ref="P57:P75" si="36">ROUND(O57*1.1,3)</f>
        <v>2.659</v>
      </c>
      <c r="Q57" s="37">
        <f t="shared" ref="Q57:Q75" si="37">P57/O57-1</f>
        <v>0.100124120810923</v>
      </c>
      <c r="R57" s="25">
        <f t="shared" ref="R57:R75" si="38">P57*3937/300</f>
        <v>34.8949433333333</v>
      </c>
    </row>
    <row r="58" spans="1:18">
      <c r="A58" s="18" t="s">
        <v>259</v>
      </c>
      <c r="B58" s="30">
        <v>1067</v>
      </c>
      <c r="C58" s="60">
        <v>0.7</v>
      </c>
      <c r="D58" s="30">
        <v>300</v>
      </c>
      <c r="E58" s="31" t="s">
        <v>96</v>
      </c>
      <c r="F58" s="20">
        <v>2.908</v>
      </c>
      <c r="G58" s="34">
        <f t="shared" si="34"/>
        <v>38.1626533333333</v>
      </c>
      <c r="H58" s="21">
        <f t="shared" si="35"/>
        <v>11448.796</v>
      </c>
      <c r="O58" s="20">
        <v>2.644</v>
      </c>
      <c r="P58" s="36">
        <f t="shared" si="36"/>
        <v>2.908</v>
      </c>
      <c r="Q58" s="37">
        <f t="shared" si="37"/>
        <v>0.0998487140695914</v>
      </c>
      <c r="R58" s="25">
        <f t="shared" si="38"/>
        <v>38.1626533333333</v>
      </c>
    </row>
    <row r="59" spans="1:18">
      <c r="A59" s="18" t="s">
        <v>259</v>
      </c>
      <c r="B59" s="30">
        <v>1067</v>
      </c>
      <c r="C59" s="60">
        <v>0.73</v>
      </c>
      <c r="D59" s="30">
        <v>300</v>
      </c>
      <c r="E59" s="31" t="s">
        <v>96</v>
      </c>
      <c r="F59" s="20">
        <v>3.395</v>
      </c>
      <c r="G59" s="34">
        <f t="shared" si="34"/>
        <v>44.5537166666667</v>
      </c>
      <c r="H59" s="21">
        <f t="shared" si="35"/>
        <v>13366.115</v>
      </c>
      <c r="M59" s="62"/>
      <c r="O59" s="20">
        <v>3.086</v>
      </c>
      <c r="P59" s="36">
        <f t="shared" si="36"/>
        <v>3.395</v>
      </c>
      <c r="Q59" s="37">
        <f t="shared" si="37"/>
        <v>0.100129617627998</v>
      </c>
      <c r="R59" s="25">
        <f t="shared" si="38"/>
        <v>44.5537166666667</v>
      </c>
    </row>
    <row r="60" spans="1:18">
      <c r="A60" s="18" t="s">
        <v>259</v>
      </c>
      <c r="B60" s="30">
        <v>1078</v>
      </c>
      <c r="C60" s="33">
        <v>0.65</v>
      </c>
      <c r="D60" s="30">
        <v>300</v>
      </c>
      <c r="E60" s="31" t="s">
        <v>96</v>
      </c>
      <c r="F60" s="20">
        <v>2.773</v>
      </c>
      <c r="G60" s="34">
        <f t="shared" si="34"/>
        <v>36.3910033333333</v>
      </c>
      <c r="H60" s="21">
        <f t="shared" si="35"/>
        <v>10917.301</v>
      </c>
      <c r="O60" s="20">
        <v>2.521</v>
      </c>
      <c r="P60" s="36">
        <f t="shared" si="36"/>
        <v>2.773</v>
      </c>
      <c r="Q60" s="37">
        <f t="shared" si="37"/>
        <v>0.0999603332011108</v>
      </c>
      <c r="R60" s="25">
        <f t="shared" si="38"/>
        <v>36.3910033333333</v>
      </c>
    </row>
    <row r="61" spans="1:18">
      <c r="A61" s="18" t="s">
        <v>259</v>
      </c>
      <c r="B61" s="30">
        <v>1080</v>
      </c>
      <c r="C61" s="33">
        <v>0.62</v>
      </c>
      <c r="D61" s="30">
        <v>300</v>
      </c>
      <c r="E61" s="31" t="s">
        <v>96</v>
      </c>
      <c r="F61" s="20">
        <v>2.644</v>
      </c>
      <c r="G61" s="34">
        <f t="shared" si="34"/>
        <v>34.6980933333333</v>
      </c>
      <c r="H61" s="21">
        <f t="shared" si="35"/>
        <v>10409.428</v>
      </c>
      <c r="O61" s="20">
        <v>2.404</v>
      </c>
      <c r="P61" s="36">
        <f t="shared" si="36"/>
        <v>2.644</v>
      </c>
      <c r="Q61" s="37">
        <f t="shared" si="37"/>
        <v>0.0998336106489186</v>
      </c>
      <c r="R61" s="25">
        <f t="shared" si="38"/>
        <v>34.6980933333333</v>
      </c>
    </row>
    <row r="62" spans="1:18">
      <c r="A62" s="18" t="s">
        <v>259</v>
      </c>
      <c r="B62" s="30">
        <v>1080</v>
      </c>
      <c r="C62" s="33" t="s">
        <v>97</v>
      </c>
      <c r="D62" s="30">
        <v>300</v>
      </c>
      <c r="E62" s="31" t="s">
        <v>96</v>
      </c>
      <c r="F62" s="20">
        <v>2.822</v>
      </c>
      <c r="G62" s="34">
        <f t="shared" si="34"/>
        <v>37.0340466666667</v>
      </c>
      <c r="H62" s="21">
        <f t="shared" si="35"/>
        <v>11110.214</v>
      </c>
      <c r="O62" s="20">
        <v>2.565</v>
      </c>
      <c r="P62" s="36">
        <f t="shared" si="36"/>
        <v>2.822</v>
      </c>
      <c r="Q62" s="37">
        <f t="shared" si="37"/>
        <v>0.100194931773879</v>
      </c>
      <c r="R62" s="25">
        <f t="shared" si="38"/>
        <v>37.0340466666667</v>
      </c>
    </row>
    <row r="63" spans="1:18">
      <c r="A63" s="18" t="s">
        <v>259</v>
      </c>
      <c r="B63" s="30">
        <v>1080</v>
      </c>
      <c r="C63" s="33">
        <v>0.69</v>
      </c>
      <c r="D63" s="30">
        <v>300</v>
      </c>
      <c r="E63" s="31" t="s">
        <v>96</v>
      </c>
      <c r="F63" s="20">
        <v>3.045</v>
      </c>
      <c r="G63" s="34">
        <f t="shared" si="34"/>
        <v>39.96055</v>
      </c>
      <c r="H63" s="21">
        <f t="shared" si="35"/>
        <v>11988.165</v>
      </c>
      <c r="O63" s="20">
        <v>2.768</v>
      </c>
      <c r="P63" s="36">
        <f t="shared" si="36"/>
        <v>3.045</v>
      </c>
      <c r="Q63" s="37">
        <f t="shared" si="37"/>
        <v>0.10007225433526</v>
      </c>
      <c r="R63" s="25">
        <f t="shared" si="38"/>
        <v>39.96055</v>
      </c>
    </row>
    <row r="64" spans="1:18">
      <c r="A64" s="18" t="s">
        <v>259</v>
      </c>
      <c r="B64" s="30">
        <v>1080</v>
      </c>
      <c r="C64" s="33">
        <v>0.72</v>
      </c>
      <c r="D64" s="30">
        <v>300</v>
      </c>
      <c r="E64" s="31" t="s">
        <v>96</v>
      </c>
      <c r="F64" s="20">
        <v>3.268</v>
      </c>
      <c r="G64" s="34">
        <f t="shared" si="34"/>
        <v>42.8870533333333</v>
      </c>
      <c r="H64" s="21">
        <f t="shared" si="35"/>
        <v>12866.116</v>
      </c>
      <c r="O64" s="20">
        <v>2.971</v>
      </c>
      <c r="P64" s="36">
        <f t="shared" si="36"/>
        <v>3.268</v>
      </c>
      <c r="Q64" s="37">
        <f t="shared" si="37"/>
        <v>0.0999663412992258</v>
      </c>
      <c r="R64" s="25">
        <f t="shared" si="38"/>
        <v>42.8870533333333</v>
      </c>
    </row>
    <row r="65" spans="1:18">
      <c r="A65" s="18" t="s">
        <v>259</v>
      </c>
      <c r="B65" s="30">
        <v>2116</v>
      </c>
      <c r="C65" s="33" t="s">
        <v>261</v>
      </c>
      <c r="D65" s="30">
        <v>300</v>
      </c>
      <c r="E65" s="31" t="s">
        <v>96</v>
      </c>
      <c r="F65" s="20">
        <v>3.384</v>
      </c>
      <c r="G65" s="34">
        <f t="shared" ref="G65:G75" si="39">H65/D65</f>
        <v>44.40936</v>
      </c>
      <c r="H65" s="21">
        <f t="shared" ref="H65:H71" si="40">F65*3937</f>
        <v>13322.808</v>
      </c>
      <c r="O65" s="20">
        <v>3.076</v>
      </c>
      <c r="P65" s="36">
        <f t="shared" si="36"/>
        <v>3.384</v>
      </c>
      <c r="Q65" s="37">
        <f t="shared" si="37"/>
        <v>0.100130039011703</v>
      </c>
      <c r="R65" s="25">
        <f t="shared" si="38"/>
        <v>44.40936</v>
      </c>
    </row>
    <row r="66" spans="1:18">
      <c r="A66" s="18" t="s">
        <v>259</v>
      </c>
      <c r="B66" s="30">
        <v>2116</v>
      </c>
      <c r="C66" s="33" t="s">
        <v>262</v>
      </c>
      <c r="D66" s="30">
        <v>300</v>
      </c>
      <c r="E66" s="31" t="s">
        <v>96</v>
      </c>
      <c r="F66" s="20">
        <v>3.631</v>
      </c>
      <c r="G66" s="34">
        <f t="shared" si="39"/>
        <v>47.6508233333333</v>
      </c>
      <c r="H66" s="21">
        <f t="shared" si="40"/>
        <v>14295.247</v>
      </c>
      <c r="O66" s="20">
        <v>3.301</v>
      </c>
      <c r="P66" s="36">
        <f t="shared" si="36"/>
        <v>3.631</v>
      </c>
      <c r="Q66" s="37">
        <f t="shared" si="37"/>
        <v>0.0999697061496514</v>
      </c>
      <c r="R66" s="25">
        <f t="shared" si="38"/>
        <v>47.6508233333333</v>
      </c>
    </row>
    <row r="67" spans="1:18">
      <c r="A67" s="18" t="s">
        <v>259</v>
      </c>
      <c r="B67" s="30">
        <v>2116</v>
      </c>
      <c r="C67" s="33">
        <v>0.62</v>
      </c>
      <c r="D67" s="30">
        <v>300</v>
      </c>
      <c r="E67" s="31" t="s">
        <v>96</v>
      </c>
      <c r="F67" s="20">
        <v>3.698</v>
      </c>
      <c r="G67" s="34">
        <f t="shared" si="39"/>
        <v>48.5300866666667</v>
      </c>
      <c r="H67" s="21">
        <f t="shared" si="40"/>
        <v>14559.026</v>
      </c>
      <c r="O67" s="20">
        <v>3.362</v>
      </c>
      <c r="P67" s="36">
        <f t="shared" si="36"/>
        <v>3.698</v>
      </c>
      <c r="Q67" s="37">
        <f t="shared" si="37"/>
        <v>0.0999405116002379</v>
      </c>
      <c r="R67" s="25">
        <f t="shared" si="38"/>
        <v>48.5300866666667</v>
      </c>
    </row>
    <row r="68" spans="1:18">
      <c r="A68" s="18" t="s">
        <v>259</v>
      </c>
      <c r="B68" s="30">
        <v>3313</v>
      </c>
      <c r="C68" s="33">
        <v>0.55</v>
      </c>
      <c r="D68" s="30">
        <v>300</v>
      </c>
      <c r="E68" s="31" t="s">
        <v>96</v>
      </c>
      <c r="F68" s="20">
        <v>3.075</v>
      </c>
      <c r="G68" s="34">
        <f t="shared" si="39"/>
        <v>40.35425</v>
      </c>
      <c r="H68" s="21">
        <f t="shared" si="40"/>
        <v>12106.275</v>
      </c>
      <c r="O68" s="20">
        <v>2.795</v>
      </c>
      <c r="P68" s="36">
        <f t="shared" si="36"/>
        <v>3.075</v>
      </c>
      <c r="Q68" s="37">
        <f t="shared" si="37"/>
        <v>0.100178890876565</v>
      </c>
      <c r="R68" s="25">
        <f t="shared" si="38"/>
        <v>40.35425</v>
      </c>
    </row>
    <row r="69" spans="1:18">
      <c r="A69" s="18" t="s">
        <v>259</v>
      </c>
      <c r="B69" s="30">
        <v>3313</v>
      </c>
      <c r="C69" s="33">
        <v>0.57</v>
      </c>
      <c r="D69" s="30">
        <v>300</v>
      </c>
      <c r="E69" s="31" t="s">
        <v>96</v>
      </c>
      <c r="F69" s="20">
        <v>3.237</v>
      </c>
      <c r="G69" s="34">
        <f t="shared" si="39"/>
        <v>42.48023</v>
      </c>
      <c r="H69" s="21">
        <f t="shared" si="40"/>
        <v>12744.069</v>
      </c>
      <c r="O69" s="20">
        <v>2.943</v>
      </c>
      <c r="P69" s="36">
        <f t="shared" si="36"/>
        <v>3.237</v>
      </c>
      <c r="Q69" s="37">
        <f t="shared" si="37"/>
        <v>0.0998980632008155</v>
      </c>
      <c r="R69" s="25">
        <f t="shared" si="38"/>
        <v>42.48023</v>
      </c>
    </row>
    <row r="70" spans="1:18">
      <c r="A70" s="18" t="s">
        <v>259</v>
      </c>
      <c r="B70" s="30">
        <v>3313</v>
      </c>
      <c r="C70" s="33" t="s">
        <v>103</v>
      </c>
      <c r="D70" s="30">
        <v>300</v>
      </c>
      <c r="E70" s="31" t="s">
        <v>96</v>
      </c>
      <c r="F70" s="20">
        <v>3.34</v>
      </c>
      <c r="G70" s="34">
        <f t="shared" si="39"/>
        <v>43.8319333333333</v>
      </c>
      <c r="H70" s="21">
        <f t="shared" si="40"/>
        <v>13149.58</v>
      </c>
      <c r="O70" s="20">
        <v>3.036</v>
      </c>
      <c r="P70" s="36">
        <f t="shared" si="36"/>
        <v>3.34</v>
      </c>
      <c r="Q70" s="37">
        <f t="shared" si="37"/>
        <v>0.100131752305665</v>
      </c>
      <c r="R70" s="25">
        <f t="shared" si="38"/>
        <v>43.8319333333333</v>
      </c>
    </row>
    <row r="71" spans="1:18">
      <c r="A71" s="18" t="s">
        <v>259</v>
      </c>
      <c r="B71" s="30">
        <v>3313</v>
      </c>
      <c r="C71" s="33">
        <v>0.61</v>
      </c>
      <c r="D71" s="30">
        <v>300</v>
      </c>
      <c r="E71" s="31" t="s">
        <v>96</v>
      </c>
      <c r="F71" s="20">
        <v>3.633</v>
      </c>
      <c r="G71" s="34">
        <f t="shared" si="39"/>
        <v>47.67707</v>
      </c>
      <c r="H71" s="21">
        <f t="shared" si="40"/>
        <v>14303.121</v>
      </c>
      <c r="M71" s="62"/>
      <c r="O71" s="20">
        <v>3.303</v>
      </c>
      <c r="P71" s="36">
        <f t="shared" si="36"/>
        <v>3.633</v>
      </c>
      <c r="Q71" s="37">
        <f t="shared" si="37"/>
        <v>0.0999091734786557</v>
      </c>
      <c r="R71" s="25">
        <f t="shared" si="38"/>
        <v>47.67707</v>
      </c>
    </row>
    <row r="72" spans="1:18">
      <c r="A72" s="18" t="s">
        <v>259</v>
      </c>
      <c r="B72" s="30">
        <v>1506</v>
      </c>
      <c r="C72" s="33">
        <v>0.48</v>
      </c>
      <c r="D72" s="30">
        <v>150</v>
      </c>
      <c r="E72" s="31" t="s">
        <v>96</v>
      </c>
      <c r="F72" s="20">
        <v>3.792</v>
      </c>
      <c r="G72" s="34">
        <f t="shared" si="39"/>
        <v>49.76368</v>
      </c>
      <c r="H72" s="21">
        <f t="shared" ref="H72:H75" si="41">F72*1968.5</f>
        <v>7464.552</v>
      </c>
      <c r="O72" s="20">
        <v>3.447</v>
      </c>
      <c r="P72" s="36">
        <f t="shared" si="36"/>
        <v>3.792</v>
      </c>
      <c r="Q72" s="37">
        <f t="shared" si="37"/>
        <v>0.100087032201915</v>
      </c>
      <c r="R72" s="25">
        <f t="shared" si="38"/>
        <v>49.76368</v>
      </c>
    </row>
    <row r="73" spans="1:18">
      <c r="A73" s="18" t="s">
        <v>259</v>
      </c>
      <c r="B73" s="30">
        <v>7628</v>
      </c>
      <c r="C73" s="33">
        <v>0.46</v>
      </c>
      <c r="D73" s="30">
        <v>150</v>
      </c>
      <c r="E73" s="31" t="s">
        <v>96</v>
      </c>
      <c r="F73" s="20">
        <v>3.62</v>
      </c>
      <c r="G73" s="34">
        <f t="shared" si="39"/>
        <v>47.5064666666667</v>
      </c>
      <c r="H73" s="21">
        <f t="shared" si="41"/>
        <v>7125.97</v>
      </c>
      <c r="O73" s="20">
        <v>3.291</v>
      </c>
      <c r="P73" s="36">
        <f t="shared" si="36"/>
        <v>3.62</v>
      </c>
      <c r="Q73" s="37">
        <f t="shared" si="37"/>
        <v>0.099969614099058</v>
      </c>
      <c r="R73" s="25">
        <f t="shared" si="38"/>
        <v>47.5064666666667</v>
      </c>
    </row>
    <row r="74" spans="1:18">
      <c r="A74" s="18" t="s">
        <v>259</v>
      </c>
      <c r="B74" s="30">
        <v>7628</v>
      </c>
      <c r="C74" s="33" t="s">
        <v>108</v>
      </c>
      <c r="D74" s="30">
        <v>150</v>
      </c>
      <c r="E74" s="31" t="s">
        <v>96</v>
      </c>
      <c r="F74" s="20">
        <v>3.781</v>
      </c>
      <c r="G74" s="34">
        <f t="shared" si="39"/>
        <v>49.6193233333333</v>
      </c>
      <c r="H74" s="21">
        <f t="shared" si="41"/>
        <v>7442.8985</v>
      </c>
      <c r="O74" s="20">
        <v>3.437</v>
      </c>
      <c r="P74" s="36">
        <f t="shared" si="36"/>
        <v>3.781</v>
      </c>
      <c r="Q74" s="37">
        <f t="shared" si="37"/>
        <v>0.100087285423334</v>
      </c>
      <c r="R74" s="25">
        <f t="shared" si="38"/>
        <v>49.6193233333333</v>
      </c>
    </row>
    <row r="75" spans="1:18">
      <c r="A75" s="18" t="s">
        <v>259</v>
      </c>
      <c r="B75" s="30">
        <v>7628</v>
      </c>
      <c r="C75" s="33">
        <v>0.5</v>
      </c>
      <c r="D75" s="30">
        <v>150</v>
      </c>
      <c r="E75" s="31" t="s">
        <v>96</v>
      </c>
      <c r="F75" s="20">
        <v>3.812</v>
      </c>
      <c r="G75" s="34">
        <f t="shared" si="39"/>
        <v>50.0261466666667</v>
      </c>
      <c r="H75" s="21">
        <f t="shared" si="41"/>
        <v>7503.922</v>
      </c>
      <c r="L75" s="29"/>
      <c r="M75" s="62"/>
      <c r="O75" s="20">
        <v>3.465</v>
      </c>
      <c r="P75" s="36">
        <f t="shared" si="36"/>
        <v>3.812</v>
      </c>
      <c r="Q75" s="37">
        <f t="shared" si="37"/>
        <v>0.1001443001443</v>
      </c>
      <c r="R75" s="25">
        <f t="shared" si="38"/>
        <v>50.0261466666667</v>
      </c>
    </row>
  </sheetData>
  <autoFilter xmlns:etc="http://www.wps.cn/officeDocument/2017/etCustomData" ref="A10:R52" etc:filterBottomFollowUsedRange="0">
    <extLst/>
  </autoFilter>
  <mergeCells count="3">
    <mergeCell ref="A2:K2"/>
    <mergeCell ref="A3:K3"/>
    <mergeCell ref="F54:H54"/>
  </mergeCells>
  <pageMargins left="0.75" right="0.75" top="1" bottom="1" header="0.5" footer="0.5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zoomScale="90" zoomScaleNormal="90" workbookViewId="0">
      <selection activeCell="R22" sqref="A1:R22"/>
    </sheetView>
  </sheetViews>
  <sheetFormatPr defaultColWidth="8.66666666666667" defaultRowHeight="15"/>
  <cols>
    <col min="1" max="1" width="17.1666666666667" style="41" customWidth="1"/>
    <col min="2" max="5" width="8.66666666666667" style="41"/>
    <col min="6" max="6" width="14.6666666666667" style="41" customWidth="1"/>
    <col min="7" max="7" width="8.66666666666667" style="41"/>
    <col min="8" max="8" width="9.4" style="41"/>
    <col min="9" max="13" width="8.66666666666667" style="41"/>
    <col min="14" max="14" width="8.66666666666667" style="42"/>
    <col min="15" max="15" width="9.1" style="41"/>
    <col min="16" max="18" width="8.66666666666667" style="41"/>
    <col min="19" max="19" width="12.8" style="41"/>
    <col min="20" max="16384" width="8.66666666666667" style="41"/>
  </cols>
  <sheetData>
    <row r="1" ht="42" customHeight="1" spans="1:17">
      <c r="B1" s="43"/>
      <c r="C1" s="43"/>
      <c r="D1" s="43"/>
      <c r="E1" s="43"/>
      <c r="F1" s="44"/>
      <c r="G1" s="45"/>
      <c r="H1" s="43"/>
      <c r="I1" s="45"/>
      <c r="J1" s="44"/>
      <c r="K1" s="45"/>
    </row>
    <row r="2" spans="1:17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7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7">
      <c r="A4" s="6" t="s">
        <v>189</v>
      </c>
      <c r="B4" s="6"/>
      <c r="C4" s="6"/>
      <c r="D4" s="6"/>
      <c r="E4" s="6"/>
      <c r="F4" s="7"/>
      <c r="G4" s="6"/>
      <c r="H4" s="6"/>
      <c r="I4" s="6" t="s">
        <v>3</v>
      </c>
      <c r="J4" s="8"/>
      <c r="K4" s="6"/>
    </row>
    <row r="5" spans="1:17">
      <c r="A5" s="6" t="s">
        <v>4</v>
      </c>
      <c r="B5" s="6"/>
      <c r="C5" s="6"/>
      <c r="D5" s="6"/>
      <c r="E5" s="6"/>
      <c r="F5" s="7"/>
      <c r="G5" s="6"/>
      <c r="H5" s="6"/>
      <c r="I5" s="6" t="s">
        <v>5</v>
      </c>
      <c r="J5" s="8"/>
      <c r="K5" s="6"/>
    </row>
    <row r="6" spans="1:17">
      <c r="A6" s="6" t="s">
        <v>231</v>
      </c>
      <c r="B6" s="6"/>
      <c r="C6" s="6"/>
      <c r="D6" s="6"/>
      <c r="E6" s="6"/>
      <c r="F6" s="7"/>
      <c r="G6" s="6"/>
      <c r="H6" s="6"/>
      <c r="I6" s="6" t="s">
        <v>237</v>
      </c>
      <c r="J6" s="8"/>
      <c r="K6" s="6"/>
    </row>
    <row r="7" spans="1:17">
      <c r="A7" s="6" t="s">
        <v>232</v>
      </c>
      <c r="B7" s="6"/>
      <c r="C7" s="6"/>
      <c r="D7" s="6"/>
      <c r="E7" s="6"/>
      <c r="F7" s="6"/>
      <c r="G7" s="6"/>
      <c r="H7" s="6"/>
      <c r="I7" s="9" t="s">
        <v>7</v>
      </c>
      <c r="J7" s="8"/>
      <c r="K7" s="6"/>
    </row>
    <row r="8" spans="1:17">
      <c r="A8" s="6"/>
      <c r="B8" s="6"/>
      <c r="C8" s="6"/>
      <c r="D8" s="6"/>
      <c r="E8" s="6"/>
      <c r="F8" s="6"/>
      <c r="G8" s="6"/>
      <c r="H8" s="6"/>
      <c r="I8" s="6" t="s">
        <v>222</v>
      </c>
      <c r="J8" s="8" t="s">
        <v>263</v>
      </c>
      <c r="K8" s="6"/>
    </row>
    <row r="9" ht="15.6" spans="1:17">
      <c r="A9" s="10" t="s">
        <v>264</v>
      </c>
      <c r="B9" s="47"/>
      <c r="C9" s="47"/>
      <c r="D9" s="47"/>
      <c r="E9" s="47"/>
      <c r="F9" s="47"/>
      <c r="G9" s="47"/>
      <c r="H9" s="47"/>
      <c r="I9" s="47"/>
      <c r="J9" s="47"/>
      <c r="K9" s="47"/>
    </row>
    <row r="10" ht="45" spans="1:17">
      <c r="A10" s="12" t="s">
        <v>191</v>
      </c>
      <c r="B10" s="12" t="s">
        <v>192</v>
      </c>
      <c r="C10" s="12" t="s">
        <v>193</v>
      </c>
      <c r="D10" s="13" t="s">
        <v>14</v>
      </c>
      <c r="E10" s="13" t="s">
        <v>194</v>
      </c>
      <c r="F10" s="12" t="s">
        <v>195</v>
      </c>
      <c r="G10" s="12" t="s">
        <v>15</v>
      </c>
      <c r="H10" s="12" t="s">
        <v>196</v>
      </c>
      <c r="I10" s="14" t="s">
        <v>197</v>
      </c>
      <c r="J10" s="14" t="s">
        <v>198</v>
      </c>
      <c r="K10" s="14" t="s">
        <v>199</v>
      </c>
      <c r="M10" s="15" t="s">
        <v>20</v>
      </c>
      <c r="N10" s="16" t="s">
        <v>21</v>
      </c>
      <c r="O10" s="17" t="s">
        <v>22</v>
      </c>
      <c r="P10" s="15" t="s">
        <v>23</v>
      </c>
    </row>
    <row r="11" spans="1:17">
      <c r="A11" s="18" t="s">
        <v>265</v>
      </c>
      <c r="B11" s="12">
        <v>0.064</v>
      </c>
      <c r="C11" s="58">
        <f>B11*39.37</f>
        <v>2.51968</v>
      </c>
      <c r="D11" s="26" t="s">
        <v>26</v>
      </c>
      <c r="E11" s="20">
        <f>B11+0.07</f>
        <v>0.134</v>
      </c>
      <c r="F11" s="12" t="s">
        <v>266</v>
      </c>
      <c r="G11" s="18" t="s">
        <v>27</v>
      </c>
      <c r="H11" s="14">
        <v>19.65</v>
      </c>
      <c r="I11" s="21">
        <f>H11*12</f>
        <v>235.8</v>
      </c>
      <c r="J11" s="14">
        <f>H11*13.33</f>
        <v>261.9345</v>
      </c>
      <c r="K11" s="21">
        <f>H11*14</f>
        <v>275.1</v>
      </c>
      <c r="M11" s="14">
        <v>18.19</v>
      </c>
      <c r="N11" s="23">
        <f>ROUND(M11*1.08,2)</f>
        <v>19.65</v>
      </c>
      <c r="O11" s="24">
        <f>N11/M11-1</f>
        <v>0.0802638812534358</v>
      </c>
      <c r="P11" s="25">
        <f>N11*13.33</f>
        <v>261.9345</v>
      </c>
    </row>
    <row r="12" spans="1:17">
      <c r="A12" s="18" t="s">
        <v>265</v>
      </c>
      <c r="B12" s="12">
        <v>0.305</v>
      </c>
      <c r="C12" s="58">
        <f>B12*39.37</f>
        <v>12.00785</v>
      </c>
      <c r="D12" s="26" t="s">
        <v>28</v>
      </c>
      <c r="E12" s="20">
        <f>B12+0.035</f>
        <v>0.34</v>
      </c>
      <c r="F12" s="12" t="s">
        <v>267</v>
      </c>
      <c r="G12" s="18" t="s">
        <v>27</v>
      </c>
      <c r="H12" s="14">
        <v>16.57</v>
      </c>
      <c r="I12" s="21">
        <f>H12*12</f>
        <v>198.84</v>
      </c>
      <c r="J12" s="14">
        <f>H12*13.33</f>
        <v>220.8781</v>
      </c>
      <c r="K12" s="21">
        <f>H12*14</f>
        <v>231.98</v>
      </c>
      <c r="M12" s="14">
        <v>15.34</v>
      </c>
      <c r="N12" s="23">
        <f>ROUND(M12*1.08,2)</f>
        <v>16.57</v>
      </c>
      <c r="O12" s="24">
        <f>N12/M12-1</f>
        <v>0.0801825293350718</v>
      </c>
      <c r="P12" s="25">
        <f>N12*13.33</f>
        <v>220.8781</v>
      </c>
      <c r="Q12" s="59"/>
    </row>
    <row r="13" spans="1:17">
      <c r="A13" s="18" t="s">
        <v>265</v>
      </c>
      <c r="B13" s="12">
        <v>0.8</v>
      </c>
      <c r="C13" s="58">
        <f>B13*39.37</f>
        <v>31.496</v>
      </c>
      <c r="D13" s="26" t="s">
        <v>26</v>
      </c>
      <c r="E13" s="20">
        <f>B13+0.07</f>
        <v>0.87</v>
      </c>
      <c r="F13" s="12" t="s">
        <v>249</v>
      </c>
      <c r="G13" s="18" t="s">
        <v>27</v>
      </c>
      <c r="H13" s="14">
        <v>35.08</v>
      </c>
      <c r="I13" s="21">
        <f>H13*12</f>
        <v>420.96</v>
      </c>
      <c r="J13" s="14">
        <f>H13*13.33</f>
        <v>467.6164</v>
      </c>
      <c r="K13" s="21">
        <f>H13*14</f>
        <v>491.12</v>
      </c>
      <c r="M13" s="14">
        <v>32.48</v>
      </c>
      <c r="N13" s="23">
        <f>ROUND(M13*1.08,2)</f>
        <v>35.08</v>
      </c>
      <c r="O13" s="24">
        <f>N13/M13-1</f>
        <v>0.080049261083744</v>
      </c>
      <c r="P13" s="25">
        <f>N13*13.33</f>
        <v>467.6164</v>
      </c>
      <c r="Q13" s="59"/>
    </row>
    <row r="14" spans="1:17">
      <c r="A14" s="18" t="s">
        <v>265</v>
      </c>
      <c r="B14" s="12">
        <v>0.99</v>
      </c>
      <c r="C14" s="58">
        <f>B14*39.37</f>
        <v>38.9763</v>
      </c>
      <c r="D14" s="26" t="s">
        <v>26</v>
      </c>
      <c r="E14" s="20">
        <f>B14+0.07</f>
        <v>1.06</v>
      </c>
      <c r="F14" s="12" t="s">
        <v>268</v>
      </c>
      <c r="G14" s="18" t="s">
        <v>27</v>
      </c>
      <c r="H14" s="14">
        <v>42.91</v>
      </c>
      <c r="I14" s="21">
        <f>H14*12</f>
        <v>514.92</v>
      </c>
      <c r="J14" s="14">
        <f>H14*13.33</f>
        <v>571.9903</v>
      </c>
      <c r="K14" s="21">
        <f>H14*14</f>
        <v>600.74</v>
      </c>
      <c r="M14" s="14">
        <v>39.73</v>
      </c>
      <c r="N14" s="23">
        <f>ROUND(M14*1.08,2)</f>
        <v>42.91</v>
      </c>
      <c r="O14" s="24">
        <f>N14/M14-1</f>
        <v>0.0800402718348854</v>
      </c>
      <c r="P14" s="25">
        <f>N14*13.33</f>
        <v>571.9903</v>
      </c>
      <c r="Q14" s="59"/>
    </row>
    <row r="15" spans="1:17">
      <c r="A15" s="18" t="s">
        <v>265</v>
      </c>
      <c r="B15" s="12">
        <v>1.04</v>
      </c>
      <c r="C15" s="58">
        <f>B15*39.37</f>
        <v>40.9448</v>
      </c>
      <c r="D15" s="26" t="s">
        <v>26</v>
      </c>
      <c r="E15" s="20">
        <f>B15+0.07</f>
        <v>1.11</v>
      </c>
      <c r="F15" s="12" t="s">
        <v>268</v>
      </c>
      <c r="G15" s="18" t="s">
        <v>27</v>
      </c>
      <c r="H15" s="14">
        <v>44.12</v>
      </c>
      <c r="I15" s="21">
        <f>H15*12</f>
        <v>529.44</v>
      </c>
      <c r="J15" s="14">
        <f>H15*13.33</f>
        <v>588.1196</v>
      </c>
      <c r="K15" s="21">
        <f>H15*14</f>
        <v>617.68</v>
      </c>
      <c r="M15" s="14">
        <v>40.85</v>
      </c>
      <c r="N15" s="23">
        <f>ROUND(M15*1.08,2)</f>
        <v>44.12</v>
      </c>
      <c r="O15" s="24">
        <f>N15/M15-1</f>
        <v>0.0800489596083229</v>
      </c>
      <c r="P15" s="25">
        <f>N15*13.33</f>
        <v>588.1196</v>
      </c>
      <c r="Q15" s="59"/>
    </row>
    <row r="18" ht="30" spans="1:17">
      <c r="A18" s="30" t="s">
        <v>10</v>
      </c>
      <c r="B18" s="30" t="s">
        <v>79</v>
      </c>
      <c r="C18" s="31" t="s">
        <v>201</v>
      </c>
      <c r="D18" s="30" t="s">
        <v>81</v>
      </c>
      <c r="E18" s="30" t="s">
        <v>82</v>
      </c>
      <c r="F18" s="12" t="s">
        <v>235</v>
      </c>
      <c r="G18" s="12"/>
      <c r="H18" s="12"/>
    </row>
    <row r="19" ht="45" spans="1:17">
      <c r="A19" s="30" t="s">
        <v>84</v>
      </c>
      <c r="B19" s="30" t="s">
        <v>85</v>
      </c>
      <c r="C19" s="31" t="s">
        <v>86</v>
      </c>
      <c r="D19" s="30" t="s">
        <v>87</v>
      </c>
      <c r="E19" s="30" t="s">
        <v>88</v>
      </c>
      <c r="F19" s="20" t="s">
        <v>203</v>
      </c>
      <c r="G19" s="20" t="s">
        <v>204</v>
      </c>
      <c r="H19" s="20" t="s">
        <v>205</v>
      </c>
      <c r="M19" s="15" t="s">
        <v>20</v>
      </c>
      <c r="N19" s="16" t="s">
        <v>21</v>
      </c>
      <c r="O19" s="17" t="s">
        <v>22</v>
      </c>
      <c r="P19" s="15" t="s">
        <v>93</v>
      </c>
    </row>
    <row r="20" spans="1:17">
      <c r="A20" s="18" t="s">
        <v>269</v>
      </c>
      <c r="B20" s="30">
        <v>2116</v>
      </c>
      <c r="C20" s="33">
        <v>0.6</v>
      </c>
      <c r="D20" s="30">
        <v>300</v>
      </c>
      <c r="E20" s="31" t="s">
        <v>96</v>
      </c>
      <c r="F20" s="20">
        <v>4.862</v>
      </c>
      <c r="G20" s="34">
        <f>H20/D20</f>
        <v>63.8056466666667</v>
      </c>
      <c r="H20" s="21">
        <f>F20*3937</f>
        <v>19141.694</v>
      </c>
      <c r="M20" s="20">
        <v>4.42</v>
      </c>
      <c r="N20" s="36">
        <f>ROUND(M20*1.1,3)</f>
        <v>4.862</v>
      </c>
      <c r="O20" s="37">
        <f>N20/M20-1</f>
        <v>0.1</v>
      </c>
      <c r="P20" s="25">
        <f>N20*3937/300</f>
        <v>63.8056466666667</v>
      </c>
      <c r="Q20" s="59"/>
    </row>
    <row r="21" spans="1:17">
      <c r="A21" s="18" t="s">
        <v>269</v>
      </c>
      <c r="B21" s="30">
        <v>3313</v>
      </c>
      <c r="C21" s="33" t="s">
        <v>103</v>
      </c>
      <c r="D21" s="30">
        <v>300</v>
      </c>
      <c r="E21" s="31" t="s">
        <v>96</v>
      </c>
      <c r="F21" s="20">
        <v>4.367</v>
      </c>
      <c r="G21" s="34">
        <f>H21/D21</f>
        <v>57.3095966666667</v>
      </c>
      <c r="H21" s="21">
        <f>F21*3937</f>
        <v>17192.879</v>
      </c>
      <c r="M21" s="20">
        <v>3.97</v>
      </c>
      <c r="N21" s="36">
        <f>ROUND(M21*1.1,3)</f>
        <v>4.367</v>
      </c>
      <c r="O21" s="37">
        <f>N21/M21-1</f>
        <v>0.0999999999999999</v>
      </c>
      <c r="P21" s="25">
        <f>N21*3937/300</f>
        <v>57.3095966666667</v>
      </c>
      <c r="Q21" s="59"/>
    </row>
    <row r="22" spans="1:17">
      <c r="A22" s="18" t="s">
        <v>269</v>
      </c>
      <c r="B22" s="30">
        <v>7628</v>
      </c>
      <c r="C22" s="60">
        <v>0.465</v>
      </c>
      <c r="D22" s="30">
        <v>150</v>
      </c>
      <c r="E22" s="31" t="s">
        <v>96</v>
      </c>
      <c r="F22" s="20">
        <v>5.416</v>
      </c>
      <c r="G22" s="34">
        <f>H22/D22</f>
        <v>71.0759733333333</v>
      </c>
      <c r="H22" s="21">
        <f>F22*1968.5</f>
        <v>10661.396</v>
      </c>
      <c r="M22" s="20">
        <v>4.924</v>
      </c>
      <c r="N22" s="36">
        <f>ROUND(M22*1.1,3)</f>
        <v>5.416</v>
      </c>
      <c r="O22" s="37">
        <f>N22/M22-1</f>
        <v>0.099918765231519</v>
      </c>
      <c r="P22" s="25">
        <f>N22*3937/300</f>
        <v>71.0759733333333</v>
      </c>
      <c r="Q22" s="59"/>
    </row>
  </sheetData>
  <autoFilter xmlns:etc="http://www.wps.cn/officeDocument/2017/etCustomData" ref="A10:S15" etc:filterBottomFollowUsedRange="0">
    <extLst/>
  </autoFilter>
  <mergeCells count="3">
    <mergeCell ref="A2:K2"/>
    <mergeCell ref="A3:K3"/>
    <mergeCell ref="F18:H18"/>
  </mergeCells>
  <pageMargins left="0.75" right="0.75" top="1" bottom="1" header="0.5" footer="0.5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zoomScale="90" zoomScaleNormal="90" workbookViewId="0">
      <selection activeCell="F37" sqref="F26:P37"/>
    </sheetView>
  </sheetViews>
  <sheetFormatPr defaultColWidth="8.66666666666667" defaultRowHeight="15"/>
  <cols>
    <col min="1" max="1" width="17.1666666666667" style="41" customWidth="1"/>
    <col min="2" max="5" width="8.66666666666667" style="41"/>
    <col min="6" max="6" width="14.6666666666667" style="41" customWidth="1"/>
    <col min="7" max="7" width="8.66666666666667" style="41"/>
    <col min="8" max="8" width="9.4" style="41"/>
    <col min="9" max="9" width="8.66666666666667" style="41"/>
    <col min="10" max="10" width="12.8" style="41"/>
    <col min="11" max="13" width="8.66666666666667" style="41"/>
    <col min="14" max="14" width="12.8" style="41"/>
    <col min="15" max="15" width="14" style="41" customWidth="1"/>
    <col min="16" max="16" width="8.66666666666667" style="42"/>
    <col min="17" max="17" width="9.1" style="40"/>
    <col min="18" max="16384" width="8.66666666666667" style="40"/>
  </cols>
  <sheetData>
    <row r="1" ht="49" customHeight="1" spans="1:18">
      <c r="A1" s="43"/>
      <c r="B1" s="43"/>
      <c r="C1" s="43"/>
      <c r="D1" s="43"/>
      <c r="E1" s="43"/>
      <c r="F1" s="44"/>
      <c r="G1" s="45"/>
      <c r="H1" s="43"/>
      <c r="I1" s="45"/>
      <c r="J1" s="44"/>
      <c r="K1" s="45"/>
      <c r="L1" s="45"/>
      <c r="M1" s="45"/>
    </row>
    <row r="2" spans="1:18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8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spans="1:18">
      <c r="A4" s="6" t="s">
        <v>189</v>
      </c>
      <c r="B4" s="6"/>
      <c r="C4" s="6"/>
      <c r="D4" s="6"/>
      <c r="E4" s="6"/>
      <c r="F4" s="7"/>
      <c r="G4" s="6"/>
      <c r="H4" s="6"/>
      <c r="I4" s="6" t="s">
        <v>3</v>
      </c>
      <c r="J4" s="8"/>
      <c r="K4" s="6"/>
      <c r="L4" s="6"/>
      <c r="M4" s="6"/>
    </row>
    <row r="5" spans="1:18">
      <c r="A5" s="6" t="s">
        <v>4</v>
      </c>
      <c r="B5" s="6"/>
      <c r="C5" s="6"/>
      <c r="D5" s="6"/>
      <c r="E5" s="6"/>
      <c r="F5" s="7"/>
      <c r="G5" s="6"/>
      <c r="H5" s="6"/>
      <c r="I5" s="6" t="s">
        <v>5</v>
      </c>
      <c r="J5" s="8"/>
      <c r="K5" s="6"/>
      <c r="L5" s="6"/>
      <c r="M5" s="6"/>
    </row>
    <row r="6" spans="1:18">
      <c r="A6" s="6" t="s">
        <v>231</v>
      </c>
      <c r="B6" s="6"/>
      <c r="C6" s="6"/>
      <c r="D6" s="6"/>
      <c r="E6" s="6"/>
      <c r="F6" s="7"/>
      <c r="G6" s="6"/>
      <c r="H6" s="6"/>
      <c r="I6" s="6" t="s">
        <v>237</v>
      </c>
      <c r="J6" s="8"/>
      <c r="K6" s="6"/>
      <c r="L6" s="6"/>
      <c r="M6" s="6"/>
    </row>
    <row r="7" spans="1:18">
      <c r="A7" s="6" t="s">
        <v>232</v>
      </c>
      <c r="B7" s="6"/>
      <c r="C7" s="6"/>
      <c r="D7" s="6"/>
      <c r="E7" s="6"/>
      <c r="F7" s="6"/>
      <c r="G7" s="6"/>
      <c r="H7" s="6"/>
      <c r="I7" s="9" t="s">
        <v>7</v>
      </c>
      <c r="J7" s="8"/>
      <c r="K7" s="6"/>
      <c r="L7" s="6"/>
      <c r="M7" s="6"/>
    </row>
    <row r="8" spans="1:18">
      <c r="A8" s="6"/>
      <c r="B8" s="6"/>
      <c r="C8" s="6"/>
      <c r="D8" s="6"/>
      <c r="E8" s="6"/>
      <c r="F8" s="6"/>
      <c r="G8" s="6"/>
      <c r="H8" s="6"/>
      <c r="I8" s="6" t="s">
        <v>211</v>
      </c>
      <c r="J8" s="8"/>
      <c r="K8" s="6"/>
      <c r="L8" s="6"/>
      <c r="M8" s="6"/>
    </row>
    <row r="9" ht="15.6" spans="1:18">
      <c r="A9" s="10" t="s">
        <v>270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</row>
    <row r="10" ht="45" spans="1:18">
      <c r="A10" s="12" t="s">
        <v>191</v>
      </c>
      <c r="B10" s="12" t="s">
        <v>192</v>
      </c>
      <c r="C10" s="12" t="s">
        <v>193</v>
      </c>
      <c r="D10" s="13" t="s">
        <v>118</v>
      </c>
      <c r="E10" s="13" t="s">
        <v>194</v>
      </c>
      <c r="F10" s="12" t="s">
        <v>195</v>
      </c>
      <c r="G10" s="12" t="s">
        <v>15</v>
      </c>
      <c r="H10" s="12" t="s">
        <v>196</v>
      </c>
      <c r="I10" s="14" t="s">
        <v>197</v>
      </c>
      <c r="J10" s="14" t="s">
        <v>198</v>
      </c>
      <c r="K10" s="14" t="s">
        <v>199</v>
      </c>
      <c r="L10" s="53"/>
      <c r="M10" s="53"/>
      <c r="O10" s="15" t="s">
        <v>20</v>
      </c>
      <c r="P10" s="16" t="s">
        <v>21</v>
      </c>
      <c r="Q10" s="17" t="s">
        <v>22</v>
      </c>
      <c r="R10" s="15" t="s">
        <v>23</v>
      </c>
    </row>
    <row r="11" spans="1:18">
      <c r="A11" s="18" t="s">
        <v>271</v>
      </c>
      <c r="B11" s="12">
        <v>0.076</v>
      </c>
      <c r="C11" s="48">
        <f>B11*39.37</f>
        <v>2.99212</v>
      </c>
      <c r="D11" s="13" t="s">
        <v>30</v>
      </c>
      <c r="E11" s="20">
        <f>(C11+0.18)/39.37</f>
        <v>0.0805720091440183</v>
      </c>
      <c r="F11" s="12" t="s">
        <v>120</v>
      </c>
      <c r="G11" s="12" t="s">
        <v>27</v>
      </c>
      <c r="H11" s="12">
        <v>15.58</v>
      </c>
      <c r="I11" s="21">
        <f>H11*12</f>
        <v>186.96</v>
      </c>
      <c r="J11" s="14">
        <f>H11*13.33</f>
        <v>207.6814</v>
      </c>
      <c r="K11" s="21">
        <f>H11*14</f>
        <v>218.12</v>
      </c>
      <c r="L11" s="29"/>
      <c r="M11" s="29"/>
      <c r="O11" s="12">
        <v>14.43</v>
      </c>
      <c r="P11" s="16">
        <f>ROUND(O11*1.08,2)</f>
        <v>15.58</v>
      </c>
      <c r="Q11" s="24">
        <f>P11/O11-1</f>
        <v>0.0796950796950797</v>
      </c>
      <c r="R11" s="25">
        <f>P11*13.33</f>
        <v>207.6814</v>
      </c>
    </row>
    <row r="12" spans="1:18">
      <c r="A12" s="18" t="s">
        <v>271</v>
      </c>
      <c r="B12" s="12">
        <v>0.102</v>
      </c>
      <c r="C12" s="48">
        <f>B12*39.37</f>
        <v>4.01574</v>
      </c>
      <c r="D12" s="26" t="s">
        <v>28</v>
      </c>
      <c r="E12" s="20">
        <f>(C12+1.2)/39.37</f>
        <v>0.132480060960122</v>
      </c>
      <c r="F12" s="12" t="s">
        <v>124</v>
      </c>
      <c r="G12" s="12" t="s">
        <v>27</v>
      </c>
      <c r="H12" s="12">
        <v>13.8</v>
      </c>
      <c r="I12" s="21">
        <f>H12*12</f>
        <v>165.6</v>
      </c>
      <c r="J12" s="14">
        <f>H12*13.33</f>
        <v>183.954</v>
      </c>
      <c r="K12" s="21">
        <f>H12*14</f>
        <v>193.2</v>
      </c>
      <c r="L12" s="29"/>
      <c r="M12" s="29"/>
      <c r="O12" s="12">
        <v>12.78</v>
      </c>
      <c r="P12" s="16">
        <f t="shared" ref="P12:P21" si="0">ROUND(O12*1.08,2)</f>
        <v>13.8</v>
      </c>
      <c r="Q12" s="24">
        <f t="shared" ref="Q12:Q21" si="1">P12/O12-1</f>
        <v>0.07981220657277</v>
      </c>
      <c r="R12" s="25">
        <f t="shared" ref="R12:R21" si="2">P12*13.33</f>
        <v>183.954</v>
      </c>
    </row>
    <row r="13" spans="1:18">
      <c r="A13" s="18" t="s">
        <v>271</v>
      </c>
      <c r="B13" s="12">
        <v>0.102</v>
      </c>
      <c r="C13" s="48">
        <f t="shared" ref="C13:C21" si="3">B13*39.37</f>
        <v>4.01574</v>
      </c>
      <c r="D13" s="26" t="s">
        <v>28</v>
      </c>
      <c r="E13" s="20">
        <f t="shared" ref="E13:E21" si="4">(C13+1.2)/39.37</f>
        <v>0.132480060960122</v>
      </c>
      <c r="F13" s="12" t="s">
        <v>257</v>
      </c>
      <c r="G13" s="12" t="s">
        <v>27</v>
      </c>
      <c r="H13" s="12">
        <v>14.55</v>
      </c>
      <c r="I13" s="21">
        <f t="shared" ref="I13:I21" si="5">H13*12</f>
        <v>174.6</v>
      </c>
      <c r="J13" s="14">
        <f t="shared" ref="J13:J21" si="6">H13*13.33</f>
        <v>193.9515</v>
      </c>
      <c r="K13" s="21">
        <f t="shared" ref="K13:K21" si="7">H13*14</f>
        <v>203.7</v>
      </c>
      <c r="L13" s="29"/>
      <c r="M13" s="29"/>
      <c r="O13" s="12">
        <v>13.47</v>
      </c>
      <c r="P13" s="16">
        <f t="shared" si="0"/>
        <v>14.55</v>
      </c>
      <c r="Q13" s="24">
        <f t="shared" si="1"/>
        <v>0.0801781737193763</v>
      </c>
      <c r="R13" s="25">
        <f t="shared" si="2"/>
        <v>193.9515</v>
      </c>
    </row>
    <row r="14" spans="1:18">
      <c r="A14" s="18" t="s">
        <v>271</v>
      </c>
      <c r="B14" s="12">
        <v>0.102</v>
      </c>
      <c r="C14" s="48">
        <f t="shared" si="3"/>
        <v>4.01574</v>
      </c>
      <c r="D14" s="13" t="s">
        <v>26</v>
      </c>
      <c r="E14" s="20">
        <f>(C14+2.4)/39.37</f>
        <v>0.162960121920244</v>
      </c>
      <c r="F14" s="12" t="s">
        <v>257</v>
      </c>
      <c r="G14" s="12" t="s">
        <v>27</v>
      </c>
      <c r="H14" s="12">
        <v>18.63</v>
      </c>
      <c r="I14" s="21">
        <f t="shared" si="5"/>
        <v>223.56</v>
      </c>
      <c r="J14" s="14">
        <f t="shared" si="6"/>
        <v>248.3379</v>
      </c>
      <c r="K14" s="21">
        <f t="shared" si="7"/>
        <v>260.82</v>
      </c>
      <c r="L14" s="56"/>
      <c r="M14" s="29"/>
      <c r="O14" s="12">
        <v>17.25</v>
      </c>
      <c r="P14" s="16">
        <f t="shared" si="0"/>
        <v>18.63</v>
      </c>
      <c r="Q14" s="24">
        <f t="shared" si="1"/>
        <v>0.0799999999999998</v>
      </c>
      <c r="R14" s="25">
        <f t="shared" si="2"/>
        <v>248.3379</v>
      </c>
    </row>
    <row r="15" ht="16" customHeight="1" spans="1:18">
      <c r="A15" s="18" t="s">
        <v>271</v>
      </c>
      <c r="B15" s="12">
        <v>0.102</v>
      </c>
      <c r="C15" s="48">
        <f t="shared" si="3"/>
        <v>4.01574</v>
      </c>
      <c r="D15" s="26" t="s">
        <v>26</v>
      </c>
      <c r="E15" s="20">
        <f>(C15+2.4)/39.37</f>
        <v>0.162960121920244</v>
      </c>
      <c r="F15" s="12" t="s">
        <v>257</v>
      </c>
      <c r="G15" s="26" t="s">
        <v>272</v>
      </c>
      <c r="H15" s="12">
        <v>19.3</v>
      </c>
      <c r="I15" s="21">
        <f t="shared" si="5"/>
        <v>231.6</v>
      </c>
      <c r="J15" s="14">
        <f t="shared" si="6"/>
        <v>257.269</v>
      </c>
      <c r="K15" s="21">
        <f t="shared" si="7"/>
        <v>270.2</v>
      </c>
      <c r="L15" s="29"/>
      <c r="M15" s="29"/>
      <c r="O15" s="12">
        <v>17.87</v>
      </c>
      <c r="P15" s="16">
        <f t="shared" si="0"/>
        <v>19.3</v>
      </c>
      <c r="Q15" s="24">
        <f t="shared" si="1"/>
        <v>0.0800223838836038</v>
      </c>
      <c r="R15" s="25">
        <f t="shared" si="2"/>
        <v>257.269</v>
      </c>
    </row>
    <row r="16" spans="1:18">
      <c r="A16" s="18" t="s">
        <v>271</v>
      </c>
      <c r="B16" s="12">
        <v>0.127</v>
      </c>
      <c r="C16" s="48">
        <f t="shared" si="3"/>
        <v>4.99999</v>
      </c>
      <c r="D16" s="13" t="s">
        <v>31</v>
      </c>
      <c r="E16" s="20">
        <f>(C16+4.8)/39.37</f>
        <v>0.248920243840488</v>
      </c>
      <c r="F16" s="12" t="s">
        <v>165</v>
      </c>
      <c r="G16" s="12" t="s">
        <v>27</v>
      </c>
      <c r="H16" s="12">
        <v>32.63</v>
      </c>
      <c r="I16" s="21">
        <f t="shared" si="5"/>
        <v>391.56</v>
      </c>
      <c r="J16" s="14">
        <f t="shared" si="6"/>
        <v>434.9579</v>
      </c>
      <c r="K16" s="21">
        <f t="shared" si="7"/>
        <v>456.82</v>
      </c>
      <c r="L16" s="29"/>
      <c r="M16" s="29"/>
      <c r="O16" s="12">
        <v>30.21</v>
      </c>
      <c r="P16" s="16">
        <f t="shared" si="0"/>
        <v>32.63</v>
      </c>
      <c r="Q16" s="24">
        <f t="shared" si="1"/>
        <v>0.0801059251903344</v>
      </c>
      <c r="R16" s="25">
        <f t="shared" si="2"/>
        <v>434.9579</v>
      </c>
    </row>
    <row r="17" spans="1:18">
      <c r="A17" s="18" t="s">
        <v>271</v>
      </c>
      <c r="B17" s="12">
        <v>0.127</v>
      </c>
      <c r="C17" s="48">
        <f t="shared" si="3"/>
        <v>4.99999</v>
      </c>
      <c r="D17" s="26" t="s">
        <v>28</v>
      </c>
      <c r="E17" s="20">
        <f t="shared" si="4"/>
        <v>0.157480060960122</v>
      </c>
      <c r="F17" s="12" t="s">
        <v>165</v>
      </c>
      <c r="G17" s="12" t="s">
        <v>27</v>
      </c>
      <c r="H17" s="12">
        <v>14.96</v>
      </c>
      <c r="I17" s="21">
        <f t="shared" si="5"/>
        <v>179.52</v>
      </c>
      <c r="J17" s="14">
        <f t="shared" si="6"/>
        <v>199.4168</v>
      </c>
      <c r="K17" s="21">
        <f t="shared" si="7"/>
        <v>209.44</v>
      </c>
      <c r="L17" s="29"/>
      <c r="M17" s="29"/>
      <c r="O17" s="12">
        <v>13.85</v>
      </c>
      <c r="P17" s="16">
        <f t="shared" si="0"/>
        <v>14.96</v>
      </c>
      <c r="Q17" s="24">
        <f t="shared" si="1"/>
        <v>0.08014440433213</v>
      </c>
      <c r="R17" s="25">
        <f t="shared" si="2"/>
        <v>199.4168</v>
      </c>
    </row>
    <row r="18" s="40" customFormat="1" spans="1:18">
      <c r="A18" s="18" t="s">
        <v>271</v>
      </c>
      <c r="B18" s="12">
        <v>0.127</v>
      </c>
      <c r="C18" s="48">
        <f t="shared" si="3"/>
        <v>4.99999</v>
      </c>
      <c r="D18" s="26" t="s">
        <v>28</v>
      </c>
      <c r="E18" s="20">
        <f t="shared" si="4"/>
        <v>0.157480060960122</v>
      </c>
      <c r="F18" s="12" t="s">
        <v>126</v>
      </c>
      <c r="G18" s="12" t="s">
        <v>27</v>
      </c>
      <c r="H18" s="12">
        <v>14.37</v>
      </c>
      <c r="I18" s="21">
        <f t="shared" si="5"/>
        <v>172.44</v>
      </c>
      <c r="J18" s="14">
        <f t="shared" si="6"/>
        <v>191.5521</v>
      </c>
      <c r="K18" s="21">
        <f t="shared" si="7"/>
        <v>201.18</v>
      </c>
      <c r="L18" s="29"/>
      <c r="M18" s="29"/>
      <c r="N18" s="41"/>
      <c r="O18" s="12">
        <v>13.31</v>
      </c>
      <c r="P18" s="16">
        <f t="shared" si="0"/>
        <v>14.37</v>
      </c>
      <c r="Q18" s="24">
        <f t="shared" si="1"/>
        <v>0.0796393688955672</v>
      </c>
      <c r="R18" s="25">
        <f t="shared" si="2"/>
        <v>191.5521</v>
      </c>
    </row>
    <row r="19" spans="1:18">
      <c r="A19" s="18" t="s">
        <v>271</v>
      </c>
      <c r="B19" s="12">
        <v>0.127</v>
      </c>
      <c r="C19" s="48">
        <f t="shared" si="3"/>
        <v>4.99999</v>
      </c>
      <c r="D19" s="26" t="s">
        <v>28</v>
      </c>
      <c r="E19" s="20">
        <f t="shared" si="4"/>
        <v>0.157480060960122</v>
      </c>
      <c r="F19" s="12" t="s">
        <v>165</v>
      </c>
      <c r="G19" s="26" t="s">
        <v>272</v>
      </c>
      <c r="H19" s="12">
        <v>16.22</v>
      </c>
      <c r="I19" s="21">
        <f t="shared" si="5"/>
        <v>194.64</v>
      </c>
      <c r="J19" s="14">
        <f t="shared" si="6"/>
        <v>216.2126</v>
      </c>
      <c r="K19" s="21">
        <f t="shared" si="7"/>
        <v>227.08</v>
      </c>
      <c r="L19" s="29"/>
      <c r="M19" s="29"/>
      <c r="O19" s="12">
        <v>15.02</v>
      </c>
      <c r="P19" s="16">
        <f t="shared" si="0"/>
        <v>16.22</v>
      </c>
      <c r="Q19" s="24">
        <f t="shared" si="1"/>
        <v>0.0798934753661784</v>
      </c>
      <c r="R19" s="25">
        <f t="shared" si="2"/>
        <v>216.2126</v>
      </c>
    </row>
    <row r="20" spans="1:18">
      <c r="A20" s="18" t="s">
        <v>271</v>
      </c>
      <c r="B20" s="12">
        <v>0.152</v>
      </c>
      <c r="C20" s="48">
        <f t="shared" si="3"/>
        <v>5.98424</v>
      </c>
      <c r="D20" s="26" t="s">
        <v>28</v>
      </c>
      <c r="E20" s="20">
        <f t="shared" si="4"/>
        <v>0.182480060960122</v>
      </c>
      <c r="F20" s="12" t="s">
        <v>128</v>
      </c>
      <c r="G20" s="12" t="s">
        <v>27</v>
      </c>
      <c r="H20" s="12">
        <v>16.08</v>
      </c>
      <c r="I20" s="21">
        <f t="shared" si="5"/>
        <v>192.96</v>
      </c>
      <c r="J20" s="14">
        <f t="shared" si="6"/>
        <v>214.3464</v>
      </c>
      <c r="K20" s="21">
        <f t="shared" si="7"/>
        <v>225.12</v>
      </c>
      <c r="L20" s="29"/>
      <c r="M20" s="29"/>
      <c r="O20" s="12">
        <v>14.89</v>
      </c>
      <c r="P20" s="16">
        <f t="shared" si="0"/>
        <v>16.08</v>
      </c>
      <c r="Q20" s="24">
        <f t="shared" si="1"/>
        <v>0.0799194089993283</v>
      </c>
      <c r="R20" s="25">
        <f t="shared" si="2"/>
        <v>214.3464</v>
      </c>
    </row>
    <row r="21" spans="1:18">
      <c r="A21" s="18" t="s">
        <v>271</v>
      </c>
      <c r="B21" s="12">
        <v>0.254</v>
      </c>
      <c r="C21" s="48">
        <f t="shared" si="3"/>
        <v>9.99998</v>
      </c>
      <c r="D21" s="26" t="s">
        <v>26</v>
      </c>
      <c r="E21" s="20">
        <f>(C21+2.4)/39.37</f>
        <v>0.314960121920244</v>
      </c>
      <c r="F21" s="12" t="s">
        <v>131</v>
      </c>
      <c r="G21" s="12" t="s">
        <v>27</v>
      </c>
      <c r="H21" s="12">
        <v>21.52</v>
      </c>
      <c r="I21" s="21">
        <f t="shared" si="5"/>
        <v>258.24</v>
      </c>
      <c r="J21" s="14">
        <f t="shared" si="6"/>
        <v>286.8616</v>
      </c>
      <c r="K21" s="21">
        <f t="shared" si="7"/>
        <v>301.28</v>
      </c>
      <c r="L21" s="29"/>
      <c r="M21" s="29"/>
      <c r="O21" s="12">
        <v>19.93</v>
      </c>
      <c r="P21" s="16">
        <f t="shared" si="0"/>
        <v>21.52</v>
      </c>
      <c r="Q21" s="24">
        <f t="shared" si="1"/>
        <v>0.0797792272955344</v>
      </c>
      <c r="R21" s="25">
        <f t="shared" si="2"/>
        <v>286.8616</v>
      </c>
    </row>
    <row r="24" ht="30" spans="1:18">
      <c r="A24" s="30" t="s">
        <v>10</v>
      </c>
      <c r="B24" s="30" t="s">
        <v>79</v>
      </c>
      <c r="C24" s="31" t="s">
        <v>201</v>
      </c>
      <c r="D24" s="30" t="s">
        <v>81</v>
      </c>
      <c r="E24" s="30" t="s">
        <v>82</v>
      </c>
      <c r="F24" s="12" t="s">
        <v>235</v>
      </c>
      <c r="G24" s="12"/>
      <c r="H24" s="12"/>
    </row>
    <row r="25" ht="45" spans="1:18">
      <c r="A25" s="30" t="s">
        <v>84</v>
      </c>
      <c r="B25" s="30" t="s">
        <v>85</v>
      </c>
      <c r="C25" s="31" t="s">
        <v>86</v>
      </c>
      <c r="D25" s="30" t="s">
        <v>87</v>
      </c>
      <c r="E25" s="30" t="s">
        <v>88</v>
      </c>
      <c r="F25" s="20" t="s">
        <v>203</v>
      </c>
      <c r="G25" s="20" t="s">
        <v>204</v>
      </c>
      <c r="H25" s="20" t="s">
        <v>205</v>
      </c>
      <c r="O25" s="15" t="s">
        <v>20</v>
      </c>
      <c r="P25" s="16" t="s">
        <v>21</v>
      </c>
      <c r="Q25" s="17" t="s">
        <v>22</v>
      </c>
      <c r="R25" s="15" t="s">
        <v>93</v>
      </c>
    </row>
    <row r="26" s="40" customFormat="1" spans="1:18">
      <c r="A26" s="18" t="s">
        <v>273</v>
      </c>
      <c r="B26" s="30">
        <v>1067</v>
      </c>
      <c r="C26" s="31">
        <v>0.69</v>
      </c>
      <c r="D26" s="30">
        <v>300</v>
      </c>
      <c r="E26" s="31" t="s">
        <v>96</v>
      </c>
      <c r="F26" s="20">
        <v>4.304</v>
      </c>
      <c r="G26" s="34">
        <f>H26/D26</f>
        <v>56.4828266666667</v>
      </c>
      <c r="H26" s="21">
        <f>F26*3937</f>
        <v>16944.848</v>
      </c>
      <c r="I26" s="41"/>
      <c r="J26" s="41"/>
      <c r="K26" s="41"/>
      <c r="L26" s="41"/>
      <c r="M26" s="41"/>
      <c r="N26" s="41"/>
      <c r="O26" s="20">
        <v>3.913</v>
      </c>
      <c r="P26" s="36">
        <f>ROUND(O26*1.1,3)</f>
        <v>4.304</v>
      </c>
      <c r="Q26" s="37">
        <f>P26/O26-1</f>
        <v>0.0999233324814721</v>
      </c>
      <c r="R26" s="25">
        <f>P26*3937/300</f>
        <v>56.4828266666667</v>
      </c>
    </row>
    <row r="27" spans="1:18">
      <c r="A27" s="18" t="s">
        <v>273</v>
      </c>
      <c r="B27" s="30">
        <v>1067</v>
      </c>
      <c r="C27" s="31">
        <v>0.75</v>
      </c>
      <c r="D27" s="30">
        <v>300</v>
      </c>
      <c r="E27" s="31" t="s">
        <v>96</v>
      </c>
      <c r="F27" s="20">
        <v>4.694</v>
      </c>
      <c r="G27" s="34">
        <f>H27/D27</f>
        <v>61.6009266666667</v>
      </c>
      <c r="H27" s="21">
        <f>F27*3937</f>
        <v>18480.278</v>
      </c>
      <c r="O27" s="20">
        <v>4.267</v>
      </c>
      <c r="P27" s="36">
        <f t="shared" ref="P27:P37" si="8">ROUND(O27*1.1,3)</f>
        <v>4.694</v>
      </c>
      <c r="Q27" s="37">
        <f t="shared" ref="Q27:Q37" si="9">P27/O27-1</f>
        <v>0.100070307007265</v>
      </c>
      <c r="R27" s="25">
        <f t="shared" ref="R27:R37" si="10">P27*3937/300</f>
        <v>61.6009266666667</v>
      </c>
    </row>
    <row r="28" spans="1:18">
      <c r="A28" s="18" t="s">
        <v>273</v>
      </c>
      <c r="B28" s="30">
        <v>1080</v>
      </c>
      <c r="C28" s="33" t="s">
        <v>274</v>
      </c>
      <c r="D28" s="30">
        <v>300</v>
      </c>
      <c r="E28" s="31" t="s">
        <v>96</v>
      </c>
      <c r="F28" s="20">
        <v>3.782</v>
      </c>
      <c r="G28" s="34">
        <f t="shared" ref="G28:G37" si="11">H28/D28</f>
        <v>49.6324466666667</v>
      </c>
      <c r="H28" s="21">
        <f t="shared" ref="H28:H37" si="12">F28*3937</f>
        <v>14889.734</v>
      </c>
      <c r="O28" s="20">
        <v>3.438</v>
      </c>
      <c r="P28" s="36">
        <f t="shared" si="8"/>
        <v>3.782</v>
      </c>
      <c r="Q28" s="37">
        <f t="shared" si="9"/>
        <v>0.100058173356603</v>
      </c>
      <c r="R28" s="25">
        <f t="shared" si="10"/>
        <v>49.6324466666667</v>
      </c>
    </row>
    <row r="29" spans="1:18">
      <c r="A29" s="18" t="s">
        <v>273</v>
      </c>
      <c r="B29" s="30">
        <v>1080</v>
      </c>
      <c r="C29" s="33" t="s">
        <v>275</v>
      </c>
      <c r="D29" s="30">
        <v>300</v>
      </c>
      <c r="E29" s="31" t="s">
        <v>96</v>
      </c>
      <c r="F29" s="20">
        <v>4.12</v>
      </c>
      <c r="G29" s="34">
        <f t="shared" si="11"/>
        <v>54.0681333333333</v>
      </c>
      <c r="H29" s="21">
        <f t="shared" si="12"/>
        <v>16220.44</v>
      </c>
      <c r="O29" s="20">
        <v>3.745</v>
      </c>
      <c r="P29" s="36">
        <f t="shared" si="8"/>
        <v>4.12</v>
      </c>
      <c r="Q29" s="37">
        <f t="shared" si="9"/>
        <v>0.100133511348465</v>
      </c>
      <c r="R29" s="25">
        <f t="shared" si="10"/>
        <v>54.0681333333333</v>
      </c>
    </row>
    <row r="30" spans="1:18">
      <c r="A30" s="18" t="s">
        <v>273</v>
      </c>
      <c r="B30" s="30">
        <v>1080</v>
      </c>
      <c r="C30" s="33">
        <v>0.72</v>
      </c>
      <c r="D30" s="30">
        <v>300</v>
      </c>
      <c r="E30" s="31" t="s">
        <v>96</v>
      </c>
      <c r="F30" s="20">
        <v>4.796</v>
      </c>
      <c r="G30" s="34">
        <f t="shared" si="11"/>
        <v>62.9395066666667</v>
      </c>
      <c r="H30" s="21">
        <f t="shared" si="12"/>
        <v>18881.852</v>
      </c>
      <c r="O30" s="20">
        <v>4.36</v>
      </c>
      <c r="P30" s="36">
        <f t="shared" si="8"/>
        <v>4.796</v>
      </c>
      <c r="Q30" s="37">
        <f t="shared" si="9"/>
        <v>0.1</v>
      </c>
      <c r="R30" s="25">
        <f t="shared" si="10"/>
        <v>62.9395066666667</v>
      </c>
    </row>
    <row r="31" spans="1:18">
      <c r="A31" s="18" t="s">
        <v>273</v>
      </c>
      <c r="B31" s="30">
        <v>106</v>
      </c>
      <c r="C31" s="33">
        <v>0.72</v>
      </c>
      <c r="D31" s="30">
        <v>300</v>
      </c>
      <c r="E31" s="31" t="s">
        <v>96</v>
      </c>
      <c r="F31" s="20">
        <v>3.619</v>
      </c>
      <c r="G31" s="34">
        <f t="shared" si="11"/>
        <v>47.4933433333333</v>
      </c>
      <c r="H31" s="21">
        <f t="shared" si="12"/>
        <v>14248.003</v>
      </c>
      <c r="O31" s="20">
        <v>3.29</v>
      </c>
      <c r="P31" s="36">
        <f t="shared" si="8"/>
        <v>3.619</v>
      </c>
      <c r="Q31" s="37">
        <f t="shared" si="9"/>
        <v>0.1</v>
      </c>
      <c r="R31" s="25">
        <f t="shared" si="10"/>
        <v>47.4933433333333</v>
      </c>
    </row>
    <row r="32" spans="1:18">
      <c r="A32" s="18" t="s">
        <v>273</v>
      </c>
      <c r="B32" s="30">
        <v>106</v>
      </c>
      <c r="C32" s="33">
        <v>0.74</v>
      </c>
      <c r="D32" s="30">
        <v>300</v>
      </c>
      <c r="E32" s="31" t="s">
        <v>96</v>
      </c>
      <c r="F32" s="20">
        <v>3.799</v>
      </c>
      <c r="G32" s="34">
        <f t="shared" si="11"/>
        <v>49.8555433333333</v>
      </c>
      <c r="H32" s="21">
        <f t="shared" si="12"/>
        <v>14956.663</v>
      </c>
      <c r="O32" s="20">
        <v>3.454</v>
      </c>
      <c r="P32" s="36">
        <f t="shared" si="8"/>
        <v>3.799</v>
      </c>
      <c r="Q32" s="37">
        <f t="shared" si="9"/>
        <v>0.09988419224088</v>
      </c>
      <c r="R32" s="25">
        <f t="shared" si="10"/>
        <v>49.8555433333333</v>
      </c>
    </row>
    <row r="33" spans="1:18">
      <c r="A33" s="18" t="s">
        <v>273</v>
      </c>
      <c r="B33" s="30">
        <v>106</v>
      </c>
      <c r="C33" s="33">
        <v>0.76</v>
      </c>
      <c r="D33" s="30">
        <v>300</v>
      </c>
      <c r="E33" s="31" t="s">
        <v>96</v>
      </c>
      <c r="F33" s="20">
        <v>3.98</v>
      </c>
      <c r="G33" s="34">
        <f t="shared" si="11"/>
        <v>52.2308666666667</v>
      </c>
      <c r="H33" s="21">
        <f t="shared" si="12"/>
        <v>15669.26</v>
      </c>
      <c r="O33" s="20">
        <v>3.618</v>
      </c>
      <c r="P33" s="36">
        <f t="shared" si="8"/>
        <v>3.98</v>
      </c>
      <c r="Q33" s="37">
        <f t="shared" si="9"/>
        <v>0.100055279159757</v>
      </c>
      <c r="R33" s="25">
        <f t="shared" si="10"/>
        <v>52.2308666666667</v>
      </c>
    </row>
    <row r="34" s="40" customFormat="1" spans="1:18">
      <c r="A34" s="18" t="s">
        <v>273</v>
      </c>
      <c r="B34" s="30">
        <v>3313</v>
      </c>
      <c r="C34" s="33" t="s">
        <v>276</v>
      </c>
      <c r="D34" s="30">
        <v>300</v>
      </c>
      <c r="E34" s="31" t="s">
        <v>96</v>
      </c>
      <c r="F34" s="20">
        <v>5.28</v>
      </c>
      <c r="G34" s="34">
        <f t="shared" si="11"/>
        <v>69.2912</v>
      </c>
      <c r="H34" s="21">
        <f t="shared" si="12"/>
        <v>20787.36</v>
      </c>
      <c r="I34" s="41"/>
      <c r="J34" s="41"/>
      <c r="K34" s="41"/>
      <c r="L34" s="41"/>
      <c r="M34" s="41"/>
      <c r="N34" s="41"/>
      <c r="O34" s="20">
        <v>4.8</v>
      </c>
      <c r="P34" s="36">
        <f t="shared" si="8"/>
        <v>5.28</v>
      </c>
      <c r="Q34" s="37">
        <f t="shared" si="9"/>
        <v>0.1</v>
      </c>
      <c r="R34" s="25">
        <f t="shared" si="10"/>
        <v>69.2912</v>
      </c>
    </row>
    <row r="35" s="40" customFormat="1" spans="1:18">
      <c r="A35" s="18" t="s">
        <v>273</v>
      </c>
      <c r="B35" s="30">
        <v>3313</v>
      </c>
      <c r="C35" s="33">
        <v>0.61</v>
      </c>
      <c r="D35" s="30">
        <v>300</v>
      </c>
      <c r="E35" s="31" t="s">
        <v>96</v>
      </c>
      <c r="F35" s="20">
        <v>4.93</v>
      </c>
      <c r="G35" s="34">
        <f t="shared" si="11"/>
        <v>64.6980333333333</v>
      </c>
      <c r="H35" s="21">
        <f t="shared" si="12"/>
        <v>19409.41</v>
      </c>
      <c r="I35" s="41"/>
      <c r="J35" s="41"/>
      <c r="K35" s="41"/>
      <c r="L35" s="57"/>
      <c r="M35" s="29"/>
      <c r="N35" s="41"/>
      <c r="O35" s="20">
        <v>4.482</v>
      </c>
      <c r="P35" s="36">
        <f t="shared" si="8"/>
        <v>4.93</v>
      </c>
      <c r="Q35" s="37">
        <f t="shared" si="9"/>
        <v>0.0999553770638106</v>
      </c>
      <c r="R35" s="25">
        <f t="shared" si="10"/>
        <v>64.6980333333333</v>
      </c>
    </row>
    <row r="36" spans="1:18">
      <c r="A36" s="18" t="s">
        <v>273</v>
      </c>
      <c r="B36" s="30">
        <v>3313</v>
      </c>
      <c r="C36" s="33">
        <v>0.63</v>
      </c>
      <c r="D36" s="30">
        <v>300</v>
      </c>
      <c r="E36" s="31" t="s">
        <v>96</v>
      </c>
      <c r="F36" s="20">
        <v>5.491</v>
      </c>
      <c r="G36" s="34">
        <f t="shared" si="11"/>
        <v>72.0602233333333</v>
      </c>
      <c r="H36" s="21">
        <f t="shared" si="12"/>
        <v>21618.067</v>
      </c>
      <c r="O36" s="20">
        <v>4.992</v>
      </c>
      <c r="P36" s="36">
        <f t="shared" si="8"/>
        <v>5.491</v>
      </c>
      <c r="Q36" s="37">
        <f t="shared" si="9"/>
        <v>0.0999599358974359</v>
      </c>
      <c r="R36" s="25">
        <f t="shared" si="10"/>
        <v>72.0602233333333</v>
      </c>
    </row>
    <row r="37" spans="1:18">
      <c r="A37" s="18" t="s">
        <v>273</v>
      </c>
      <c r="B37" s="30">
        <v>2116</v>
      </c>
      <c r="C37" s="33">
        <v>0.58</v>
      </c>
      <c r="D37" s="30">
        <v>300</v>
      </c>
      <c r="E37" s="31" t="s">
        <v>96</v>
      </c>
      <c r="F37" s="20">
        <v>5.078</v>
      </c>
      <c r="G37" s="34">
        <f t="shared" si="11"/>
        <v>66.6402866666667</v>
      </c>
      <c r="H37" s="21">
        <f t="shared" si="12"/>
        <v>19992.086</v>
      </c>
      <c r="O37" s="20">
        <v>4.616</v>
      </c>
      <c r="P37" s="36">
        <f t="shared" si="8"/>
        <v>5.078</v>
      </c>
      <c r="Q37" s="37">
        <f t="shared" si="9"/>
        <v>0.100086655112652</v>
      </c>
      <c r="R37" s="25">
        <f t="shared" si="10"/>
        <v>66.6402866666667</v>
      </c>
    </row>
  </sheetData>
  <autoFilter xmlns:etc="http://www.wps.cn/officeDocument/2017/etCustomData" ref="A10:R21" etc:filterBottomFollowUsedRange="0">
    <extLst/>
  </autoFilter>
  <mergeCells count="3">
    <mergeCell ref="A2:K2"/>
    <mergeCell ref="A3:K3"/>
    <mergeCell ref="F24:H24"/>
  </mergeCells>
  <pageMargins left="0.75" right="0.75" top="1" bottom="1" header="0.5" footer="0.5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"/>
  <sheetViews>
    <sheetView zoomScale="90" zoomScaleNormal="90" topLeftCell="A5" workbookViewId="0">
      <pane ySplit="6" topLeftCell="A11" activePane="bottomLeft" state="frozen"/>
      <selection/>
      <selection pane="bottomLeft" activeCell="F23" sqref="F23:F29"/>
    </sheetView>
  </sheetViews>
  <sheetFormatPr defaultColWidth="8.66666666666667" defaultRowHeight="15"/>
  <cols>
    <col min="1" max="1" width="17.1666666666667" style="41" customWidth="1"/>
    <col min="2" max="5" width="8.66666666666667" style="41"/>
    <col min="6" max="6" width="14.6666666666667" style="41" customWidth="1"/>
    <col min="7" max="7" width="8.66666666666667" style="41"/>
    <col min="8" max="8" width="9.4" style="41"/>
    <col min="9" max="9" width="8.66666666666667" style="41"/>
    <col min="10" max="10" width="12.6666666666667" style="41"/>
    <col min="11" max="11" width="8.66666666666667" style="41"/>
    <col min="12" max="12" width="8.66666666666667" style="40"/>
    <col min="13" max="13" width="14" style="40" customWidth="1"/>
    <col min="14" max="14" width="8.66666666666667" style="40"/>
    <col min="15" max="15" width="8.66666666666667" style="42"/>
    <col min="16" max="16" width="8.66666666666667" style="40"/>
    <col min="17" max="17" width="12.8" style="40"/>
    <col min="18" max="16384" width="8.66666666666667" style="40"/>
  </cols>
  <sheetData>
    <row r="1" ht="49" customHeight="1" spans="1:17">
      <c r="A1" s="43"/>
      <c r="B1" s="43"/>
      <c r="C1" s="43"/>
      <c r="D1" s="43"/>
      <c r="E1" s="43"/>
      <c r="F1" s="44"/>
      <c r="G1" s="45"/>
      <c r="H1" s="43"/>
      <c r="I1" s="45"/>
      <c r="J1" s="44"/>
      <c r="K1" s="45"/>
    </row>
    <row r="2" spans="1:17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7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7">
      <c r="A4" s="6" t="s">
        <v>189</v>
      </c>
      <c r="B4" s="6"/>
      <c r="C4" s="6"/>
      <c r="D4" s="6"/>
      <c r="E4" s="6"/>
      <c r="F4" s="7"/>
      <c r="G4" s="6"/>
      <c r="H4" s="6"/>
      <c r="I4" s="6" t="s">
        <v>3</v>
      </c>
      <c r="J4" s="8"/>
      <c r="K4" s="6"/>
    </row>
    <row r="5" spans="1:17">
      <c r="A5" s="6" t="s">
        <v>4</v>
      </c>
      <c r="B5" s="6"/>
      <c r="C5" s="6"/>
      <c r="D5" s="6"/>
      <c r="E5" s="6"/>
      <c r="F5" s="7"/>
      <c r="G5" s="6"/>
      <c r="H5" s="6"/>
      <c r="I5" s="6" t="s">
        <v>5</v>
      </c>
      <c r="J5" s="8"/>
      <c r="K5" s="6"/>
    </row>
    <row r="6" spans="1:17">
      <c r="A6" s="6" t="s">
        <v>231</v>
      </c>
      <c r="B6" s="6"/>
      <c r="C6" s="6"/>
      <c r="D6" s="6"/>
      <c r="E6" s="6"/>
      <c r="F6" s="7"/>
      <c r="G6" s="6"/>
      <c r="H6" s="6"/>
      <c r="I6" s="6" t="s">
        <v>237</v>
      </c>
      <c r="J6" s="8"/>
      <c r="K6" s="6"/>
    </row>
    <row r="7" spans="1:17">
      <c r="A7" s="6" t="s">
        <v>232</v>
      </c>
      <c r="B7" s="6"/>
      <c r="C7" s="6"/>
      <c r="D7" s="6"/>
      <c r="E7" s="6"/>
      <c r="F7" s="6"/>
      <c r="G7" s="6"/>
      <c r="H7" s="6"/>
      <c r="I7" s="9" t="s">
        <v>7</v>
      </c>
      <c r="J7" s="8"/>
      <c r="K7" s="6"/>
    </row>
    <row r="8" spans="1:17">
      <c r="A8" s="6"/>
      <c r="B8" s="6"/>
      <c r="C8" s="6"/>
      <c r="D8" s="6"/>
      <c r="E8" s="6"/>
      <c r="F8" s="6"/>
      <c r="G8" s="6"/>
      <c r="H8" s="6"/>
      <c r="I8" s="6" t="s">
        <v>211</v>
      </c>
      <c r="J8" s="8"/>
      <c r="K8" s="6"/>
    </row>
    <row r="9" ht="15.6" spans="1:17">
      <c r="A9" s="10" t="s">
        <v>277</v>
      </c>
      <c r="B9" s="47"/>
      <c r="C9" s="47"/>
      <c r="D9" s="47"/>
      <c r="E9" s="47"/>
      <c r="F9" s="47"/>
      <c r="G9" s="47"/>
      <c r="H9" s="47"/>
      <c r="I9" s="47"/>
      <c r="J9" s="47"/>
      <c r="K9" s="47"/>
    </row>
    <row r="10" ht="45" spans="1:17">
      <c r="A10" s="12" t="s">
        <v>191</v>
      </c>
      <c r="B10" s="12" t="s">
        <v>192</v>
      </c>
      <c r="C10" s="12" t="s">
        <v>193</v>
      </c>
      <c r="D10" s="13" t="s">
        <v>118</v>
      </c>
      <c r="E10" s="13" t="s">
        <v>194</v>
      </c>
      <c r="F10" s="12" t="s">
        <v>195</v>
      </c>
      <c r="G10" s="12" t="s">
        <v>15</v>
      </c>
      <c r="H10" s="12" t="s">
        <v>196</v>
      </c>
      <c r="I10" s="14" t="s">
        <v>197</v>
      </c>
      <c r="J10" s="14" t="s">
        <v>198</v>
      </c>
      <c r="K10" s="14" t="s">
        <v>199</v>
      </c>
      <c r="N10" s="15" t="s">
        <v>20</v>
      </c>
      <c r="O10" s="16" t="s">
        <v>21</v>
      </c>
      <c r="P10" s="17" t="s">
        <v>22</v>
      </c>
      <c r="Q10" s="15" t="s">
        <v>23</v>
      </c>
    </row>
    <row r="11" spans="1:17">
      <c r="A11" s="18" t="s">
        <v>278</v>
      </c>
      <c r="B11" s="12">
        <v>0.076</v>
      </c>
      <c r="C11" s="48">
        <f>B11*39.37</f>
        <v>2.99212</v>
      </c>
      <c r="D11" s="13" t="s">
        <v>163</v>
      </c>
      <c r="E11" s="20">
        <f>B11+0.052</f>
        <v>0.128</v>
      </c>
      <c r="F11" s="12" t="s">
        <v>121</v>
      </c>
      <c r="G11" s="12" t="s">
        <v>27</v>
      </c>
      <c r="H11" s="12">
        <v>12.83</v>
      </c>
      <c r="I11" s="21">
        <f>H11*12</f>
        <v>153.96</v>
      </c>
      <c r="J11" s="14">
        <f>H11*13.33</f>
        <v>171.0239</v>
      </c>
      <c r="K11" s="21">
        <f>H11*14</f>
        <v>179.62</v>
      </c>
      <c r="N11" s="12">
        <v>12.1</v>
      </c>
      <c r="O11" s="16">
        <f>ROUND(N11*1.06,2)</f>
        <v>12.83</v>
      </c>
      <c r="P11" s="24">
        <f>O11/N11-1</f>
        <v>0.0603305785123966</v>
      </c>
      <c r="Q11" s="25">
        <f>O11*13.33</f>
        <v>171.0239</v>
      </c>
    </row>
    <row r="12" s="40" customFormat="1" spans="1:17">
      <c r="A12" s="18" t="s">
        <v>278</v>
      </c>
      <c r="B12" s="12">
        <v>0.102</v>
      </c>
      <c r="C12" s="48">
        <f t="shared" ref="C12:C18" si="0">B12*39.37</f>
        <v>4.01574</v>
      </c>
      <c r="D12" s="26" t="s">
        <v>28</v>
      </c>
      <c r="E12" s="20">
        <f>B12+0.03</f>
        <v>0.132</v>
      </c>
      <c r="F12" s="12" t="s">
        <v>124</v>
      </c>
      <c r="G12" s="12" t="s">
        <v>27</v>
      </c>
      <c r="H12" s="12">
        <v>11.36</v>
      </c>
      <c r="I12" s="21">
        <f t="shared" ref="I12:I18" si="1">H12*12</f>
        <v>136.32</v>
      </c>
      <c r="J12" s="14">
        <f t="shared" ref="J12:J18" si="2">H12*13.33</f>
        <v>151.4288</v>
      </c>
      <c r="K12" s="21">
        <f t="shared" ref="K12:K18" si="3">H12*14</f>
        <v>159.04</v>
      </c>
      <c r="N12" s="12">
        <v>10.72</v>
      </c>
      <c r="O12" s="16">
        <f t="shared" ref="O12:O18" si="4">ROUND(N12*1.06,2)</f>
        <v>11.36</v>
      </c>
      <c r="P12" s="24">
        <f t="shared" ref="P12:P18" si="5">O12/N12-1</f>
        <v>0.0597014925373134</v>
      </c>
      <c r="Q12" s="25">
        <f t="shared" ref="Q12:Q18" si="6">O12*13.33</f>
        <v>151.4288</v>
      </c>
    </row>
    <row r="13" spans="1:17">
      <c r="A13" s="18" t="s">
        <v>278</v>
      </c>
      <c r="B13" s="12">
        <v>0.102</v>
      </c>
      <c r="C13" s="48">
        <f t="shared" si="0"/>
        <v>4.01574</v>
      </c>
      <c r="D13" s="26" t="s">
        <v>26</v>
      </c>
      <c r="E13" s="20">
        <f>B13+0.07</f>
        <v>0.172</v>
      </c>
      <c r="F13" s="12" t="s">
        <v>124</v>
      </c>
      <c r="G13" s="12" t="s">
        <v>27</v>
      </c>
      <c r="H13" s="12">
        <v>16.43</v>
      </c>
      <c r="I13" s="21">
        <f t="shared" si="1"/>
        <v>197.16</v>
      </c>
      <c r="J13" s="14">
        <f t="shared" si="2"/>
        <v>219.0119</v>
      </c>
      <c r="K13" s="21">
        <f t="shared" si="3"/>
        <v>230.02</v>
      </c>
      <c r="N13" s="12">
        <v>15.5</v>
      </c>
      <c r="O13" s="16">
        <f t="shared" si="4"/>
        <v>16.43</v>
      </c>
      <c r="P13" s="24">
        <f t="shared" si="5"/>
        <v>0.0600000000000001</v>
      </c>
      <c r="Q13" s="25">
        <f t="shared" si="6"/>
        <v>219.0119</v>
      </c>
    </row>
    <row r="14" spans="1:17">
      <c r="A14" s="18" t="s">
        <v>278</v>
      </c>
      <c r="B14" s="12">
        <v>0.127</v>
      </c>
      <c r="C14" s="48">
        <f t="shared" si="0"/>
        <v>4.99999</v>
      </c>
      <c r="D14" s="26" t="s">
        <v>31</v>
      </c>
      <c r="E14" s="20">
        <f>(C14+4.8)/39.37</f>
        <v>0.248920243840488</v>
      </c>
      <c r="F14" s="12" t="s">
        <v>126</v>
      </c>
      <c r="G14" s="12" t="s">
        <v>27</v>
      </c>
      <c r="H14" s="12">
        <v>28.42</v>
      </c>
      <c r="I14" s="21">
        <f t="shared" si="1"/>
        <v>341.04</v>
      </c>
      <c r="J14" s="14">
        <f t="shared" si="2"/>
        <v>378.8386</v>
      </c>
      <c r="K14" s="21">
        <f t="shared" si="3"/>
        <v>397.88</v>
      </c>
      <c r="N14" s="12">
        <v>26.81</v>
      </c>
      <c r="O14" s="16">
        <f t="shared" si="4"/>
        <v>28.42</v>
      </c>
      <c r="P14" s="24">
        <f t="shared" si="5"/>
        <v>0.060052219321149</v>
      </c>
      <c r="Q14" s="25">
        <f t="shared" si="6"/>
        <v>378.8386</v>
      </c>
    </row>
    <row r="15" spans="1:17">
      <c r="A15" s="18" t="s">
        <v>278</v>
      </c>
      <c r="B15" s="12">
        <v>0.127</v>
      </c>
      <c r="C15" s="48">
        <f t="shared" si="0"/>
        <v>4.99999</v>
      </c>
      <c r="D15" s="26" t="s">
        <v>28</v>
      </c>
      <c r="E15" s="20">
        <f>B15+0.03</f>
        <v>0.157</v>
      </c>
      <c r="F15" s="12" t="s">
        <v>126</v>
      </c>
      <c r="G15" s="12" t="s">
        <v>27</v>
      </c>
      <c r="H15" s="12">
        <v>11.88</v>
      </c>
      <c r="I15" s="21">
        <f t="shared" si="1"/>
        <v>142.56</v>
      </c>
      <c r="J15" s="14">
        <f t="shared" si="2"/>
        <v>158.3604</v>
      </c>
      <c r="K15" s="21">
        <f t="shared" si="3"/>
        <v>166.32</v>
      </c>
      <c r="N15" s="12">
        <v>11.21</v>
      </c>
      <c r="O15" s="16">
        <f t="shared" si="4"/>
        <v>11.88</v>
      </c>
      <c r="P15" s="24">
        <f t="shared" si="5"/>
        <v>0.0597680642283676</v>
      </c>
      <c r="Q15" s="25">
        <f t="shared" si="6"/>
        <v>158.3604</v>
      </c>
    </row>
    <row r="16" s="40" customFormat="1" spans="1:17">
      <c r="A16" s="18" t="s">
        <v>278</v>
      </c>
      <c r="B16" s="12">
        <v>0.15</v>
      </c>
      <c r="C16" s="48">
        <f t="shared" si="0"/>
        <v>5.9055</v>
      </c>
      <c r="D16" s="26" t="s">
        <v>28</v>
      </c>
      <c r="E16" s="20">
        <f>B16+0.03</f>
        <v>0.18</v>
      </c>
      <c r="F16" s="12" t="s">
        <v>128</v>
      </c>
      <c r="G16" s="12" t="s">
        <v>27</v>
      </c>
      <c r="H16" s="12">
        <v>13.17</v>
      </c>
      <c r="I16" s="21">
        <f t="shared" si="1"/>
        <v>158.04</v>
      </c>
      <c r="J16" s="14">
        <f t="shared" si="2"/>
        <v>175.5561</v>
      </c>
      <c r="K16" s="21">
        <f t="shared" si="3"/>
        <v>184.38</v>
      </c>
      <c r="N16" s="12">
        <v>12.42</v>
      </c>
      <c r="O16" s="16">
        <f t="shared" si="4"/>
        <v>13.17</v>
      </c>
      <c r="P16" s="24">
        <f t="shared" si="5"/>
        <v>0.0603864734299517</v>
      </c>
      <c r="Q16" s="25">
        <f t="shared" si="6"/>
        <v>175.5561</v>
      </c>
    </row>
    <row r="17" s="40" customFormat="1" spans="1:17">
      <c r="A17" s="18" t="s">
        <v>278</v>
      </c>
      <c r="B17" s="12">
        <v>0.203</v>
      </c>
      <c r="C17" s="48">
        <f t="shared" si="0"/>
        <v>7.99211</v>
      </c>
      <c r="D17" s="26" t="s">
        <v>28</v>
      </c>
      <c r="E17" s="20">
        <f>B17+0.03</f>
        <v>0.233</v>
      </c>
      <c r="F17" s="12" t="s">
        <v>167</v>
      </c>
      <c r="G17" s="12" t="s">
        <v>27</v>
      </c>
      <c r="H17" s="12">
        <v>15</v>
      </c>
      <c r="I17" s="21">
        <f t="shared" si="1"/>
        <v>180</v>
      </c>
      <c r="J17" s="14">
        <f t="shared" si="2"/>
        <v>199.95</v>
      </c>
      <c r="K17" s="21">
        <f t="shared" si="3"/>
        <v>210</v>
      </c>
      <c r="N17" s="12">
        <v>14.15</v>
      </c>
      <c r="O17" s="16">
        <f t="shared" si="4"/>
        <v>15</v>
      </c>
      <c r="P17" s="24">
        <f t="shared" si="5"/>
        <v>0.0600706713780919</v>
      </c>
      <c r="Q17" s="25">
        <f t="shared" si="6"/>
        <v>199.95</v>
      </c>
    </row>
    <row r="18" s="40" customFormat="1" spans="1:17">
      <c r="A18" s="18" t="s">
        <v>278</v>
      </c>
      <c r="B18" s="12">
        <v>0.508</v>
      </c>
      <c r="C18" s="48">
        <f t="shared" si="0"/>
        <v>19.99996</v>
      </c>
      <c r="D18" s="26" t="s">
        <v>30</v>
      </c>
      <c r="E18" s="20">
        <f>B18+0.07</f>
        <v>0.578</v>
      </c>
      <c r="F18" s="12" t="s">
        <v>279</v>
      </c>
      <c r="G18" s="12" t="s">
        <v>27</v>
      </c>
      <c r="H18" s="12">
        <v>25.72</v>
      </c>
      <c r="I18" s="21">
        <f t="shared" si="1"/>
        <v>308.64</v>
      </c>
      <c r="J18" s="14">
        <f t="shared" si="2"/>
        <v>342.8476</v>
      </c>
      <c r="K18" s="21">
        <f t="shared" si="3"/>
        <v>360.08</v>
      </c>
      <c r="L18" s="24"/>
      <c r="M18" s="40"/>
      <c r="N18" s="12">
        <v>24.26</v>
      </c>
      <c r="O18" s="16">
        <f t="shared" si="4"/>
        <v>25.72</v>
      </c>
      <c r="P18" s="24">
        <f t="shared" si="5"/>
        <v>0.0601813685078316</v>
      </c>
      <c r="Q18" s="25">
        <f t="shared" si="6"/>
        <v>342.8476</v>
      </c>
    </row>
    <row r="19" s="40" customFormat="1" spans="1:17">
      <c r="A19" s="46"/>
      <c r="B19" s="49"/>
      <c r="C19" s="50"/>
      <c r="D19" s="51"/>
      <c r="E19" s="52"/>
      <c r="F19" s="49"/>
      <c r="G19" s="49"/>
      <c r="H19" s="49"/>
      <c r="I19" s="29"/>
      <c r="J19" s="53"/>
      <c r="K19" s="29"/>
      <c r="N19" s="49"/>
      <c r="O19" s="54"/>
      <c r="P19" s="24"/>
      <c r="Q19" s="29"/>
    </row>
    <row r="21" ht="30" spans="1:17">
      <c r="A21" s="30" t="s">
        <v>10</v>
      </c>
      <c r="B21" s="30" t="s">
        <v>79</v>
      </c>
      <c r="C21" s="31" t="s">
        <v>201</v>
      </c>
      <c r="D21" s="30" t="s">
        <v>81</v>
      </c>
      <c r="E21" s="30" t="s">
        <v>82</v>
      </c>
      <c r="F21" s="12" t="s">
        <v>235</v>
      </c>
      <c r="G21" s="12"/>
      <c r="H21" s="12"/>
    </row>
    <row r="22" ht="45" spans="1:17">
      <c r="A22" s="30" t="s">
        <v>84</v>
      </c>
      <c r="B22" s="30" t="s">
        <v>85</v>
      </c>
      <c r="C22" s="31" t="s">
        <v>86</v>
      </c>
      <c r="D22" s="30" t="s">
        <v>87</v>
      </c>
      <c r="E22" s="30" t="s">
        <v>88</v>
      </c>
      <c r="F22" s="20" t="s">
        <v>203</v>
      </c>
      <c r="G22" s="20" t="s">
        <v>204</v>
      </c>
      <c r="H22" s="20" t="s">
        <v>205</v>
      </c>
      <c r="N22" s="15" t="s">
        <v>20</v>
      </c>
      <c r="O22" s="16" t="s">
        <v>21</v>
      </c>
      <c r="P22" s="17" t="s">
        <v>22</v>
      </c>
      <c r="Q22" s="15" t="s">
        <v>93</v>
      </c>
    </row>
    <row r="23" spans="1:17">
      <c r="A23" s="18" t="s">
        <v>280</v>
      </c>
      <c r="B23" s="30">
        <v>1067</v>
      </c>
      <c r="C23" s="33">
        <v>0.74</v>
      </c>
      <c r="D23" s="30">
        <v>300</v>
      </c>
      <c r="E23" s="31" t="s">
        <v>96</v>
      </c>
      <c r="F23" s="20">
        <v>3.909</v>
      </c>
      <c r="G23" s="34">
        <f t="shared" ref="G23:G29" si="7">H23/D23</f>
        <v>51.29911</v>
      </c>
      <c r="H23" s="21">
        <f t="shared" ref="H23:H29" si="8">F23*3937</f>
        <v>15389.733</v>
      </c>
      <c r="N23" s="20">
        <v>3.619</v>
      </c>
      <c r="O23" s="42">
        <f>ROUND(N23*1.08,3)</f>
        <v>3.909</v>
      </c>
      <c r="P23" s="24">
        <f>O23/N23-1</f>
        <v>0.0801326333241226</v>
      </c>
      <c r="Q23" s="55">
        <f>O23*3937/300</f>
        <v>51.29911</v>
      </c>
    </row>
    <row r="24" spans="1:17">
      <c r="A24" s="18" t="s">
        <v>280</v>
      </c>
      <c r="B24" s="30">
        <v>1080</v>
      </c>
      <c r="C24" s="33">
        <v>0.67</v>
      </c>
      <c r="D24" s="30">
        <v>300</v>
      </c>
      <c r="E24" s="31" t="s">
        <v>96</v>
      </c>
      <c r="F24" s="20">
        <v>4.024</v>
      </c>
      <c r="G24" s="34">
        <f t="shared" si="7"/>
        <v>52.8082933333333</v>
      </c>
      <c r="H24" s="21">
        <f t="shared" si="8"/>
        <v>15842.488</v>
      </c>
      <c r="N24" s="20">
        <v>3.726</v>
      </c>
      <c r="O24" s="42">
        <f t="shared" ref="O24:O29" si="9">ROUND(N24*1.08,3)</f>
        <v>4.024</v>
      </c>
      <c r="P24" s="24">
        <f t="shared" ref="P24:P29" si="10">O24/N24-1</f>
        <v>0.0799785292538915</v>
      </c>
      <c r="Q24" s="55">
        <f t="shared" ref="Q24:Q29" si="11">O24*3937/300</f>
        <v>52.8082933333333</v>
      </c>
    </row>
    <row r="25" spans="1:17">
      <c r="A25" s="18" t="s">
        <v>280</v>
      </c>
      <c r="B25" s="30">
        <v>1080</v>
      </c>
      <c r="C25" s="33">
        <v>0.75</v>
      </c>
      <c r="D25" s="30">
        <v>300</v>
      </c>
      <c r="E25" s="31" t="s">
        <v>96</v>
      </c>
      <c r="F25" s="20">
        <v>5.386</v>
      </c>
      <c r="G25" s="34">
        <f t="shared" si="7"/>
        <v>70.6822733333333</v>
      </c>
      <c r="H25" s="21">
        <f t="shared" si="8"/>
        <v>21204.682</v>
      </c>
      <c r="N25" s="20">
        <v>4.987</v>
      </c>
      <c r="O25" s="42">
        <f t="shared" si="9"/>
        <v>5.386</v>
      </c>
      <c r="P25" s="24">
        <f t="shared" si="10"/>
        <v>0.0800080208542209</v>
      </c>
      <c r="Q25" s="55">
        <f t="shared" si="11"/>
        <v>70.6822733333333</v>
      </c>
    </row>
    <row r="26" spans="1:17">
      <c r="A26" s="18" t="s">
        <v>280</v>
      </c>
      <c r="B26" s="30">
        <v>3313</v>
      </c>
      <c r="C26" s="33">
        <v>0.59</v>
      </c>
      <c r="D26" s="30">
        <v>300</v>
      </c>
      <c r="E26" s="31" t="s">
        <v>96</v>
      </c>
      <c r="F26" s="20">
        <v>4.483</v>
      </c>
      <c r="G26" s="34">
        <f t="shared" si="7"/>
        <v>58.8319033333333</v>
      </c>
      <c r="H26" s="21">
        <f t="shared" si="8"/>
        <v>17649.571</v>
      </c>
      <c r="N26" s="20">
        <v>4.151</v>
      </c>
      <c r="O26" s="42">
        <f t="shared" si="9"/>
        <v>4.483</v>
      </c>
      <c r="P26" s="24">
        <f t="shared" si="10"/>
        <v>0.0799807275355335</v>
      </c>
      <c r="Q26" s="55">
        <f t="shared" si="11"/>
        <v>58.8319033333333</v>
      </c>
    </row>
    <row r="27" spans="1:17">
      <c r="A27" s="18" t="s">
        <v>280</v>
      </c>
      <c r="B27" s="30">
        <v>3313</v>
      </c>
      <c r="C27" s="33">
        <v>0.65</v>
      </c>
      <c r="D27" s="30">
        <v>300</v>
      </c>
      <c r="E27" s="31" t="s">
        <v>96</v>
      </c>
      <c r="F27" s="20">
        <v>5.527</v>
      </c>
      <c r="G27" s="34">
        <f t="shared" si="7"/>
        <v>72.5326633333333</v>
      </c>
      <c r="H27" s="21">
        <f t="shared" si="8"/>
        <v>21759.799</v>
      </c>
      <c r="N27" s="20">
        <v>5.118</v>
      </c>
      <c r="O27" s="42">
        <f t="shared" si="9"/>
        <v>5.527</v>
      </c>
      <c r="P27" s="24">
        <f t="shared" si="10"/>
        <v>0.079914028917546</v>
      </c>
      <c r="Q27" s="55">
        <f t="shared" si="11"/>
        <v>72.5326633333333</v>
      </c>
    </row>
    <row r="28" s="40" customFormat="1" spans="1:17">
      <c r="A28" s="18" t="s">
        <v>280</v>
      </c>
      <c r="B28" s="30">
        <v>2116</v>
      </c>
      <c r="C28" s="33">
        <v>0.59</v>
      </c>
      <c r="D28" s="30">
        <v>300</v>
      </c>
      <c r="E28" s="31" t="s">
        <v>96</v>
      </c>
      <c r="F28" s="20">
        <v>5.162</v>
      </c>
      <c r="G28" s="34">
        <f t="shared" si="7"/>
        <v>67.7426466666667</v>
      </c>
      <c r="H28" s="21">
        <f t="shared" si="8"/>
        <v>20322.794</v>
      </c>
      <c r="I28" s="41"/>
      <c r="N28" s="20">
        <v>4.78</v>
      </c>
      <c r="O28" s="42">
        <f t="shared" si="9"/>
        <v>5.162</v>
      </c>
      <c r="P28" s="24">
        <f t="shared" si="10"/>
        <v>0.0799163179916318</v>
      </c>
      <c r="Q28" s="55">
        <f t="shared" si="11"/>
        <v>67.7426466666667</v>
      </c>
    </row>
    <row r="29" spans="1:17">
      <c r="A29" s="18" t="s">
        <v>280</v>
      </c>
      <c r="B29" s="30">
        <v>2116</v>
      </c>
      <c r="C29" s="33">
        <v>0.62</v>
      </c>
      <c r="D29" s="30">
        <v>300</v>
      </c>
      <c r="E29" s="31" t="s">
        <v>96</v>
      </c>
      <c r="F29" s="20">
        <v>5.619</v>
      </c>
      <c r="G29" s="34">
        <f t="shared" si="7"/>
        <v>73.74001</v>
      </c>
      <c r="H29" s="21">
        <f t="shared" si="8"/>
        <v>22122.003</v>
      </c>
      <c r="N29" s="20">
        <v>5.203</v>
      </c>
      <c r="O29" s="42">
        <f t="shared" si="9"/>
        <v>5.619</v>
      </c>
      <c r="P29" s="24">
        <f t="shared" si="10"/>
        <v>0.0799538727657121</v>
      </c>
      <c r="Q29" s="55">
        <f t="shared" si="11"/>
        <v>73.74001</v>
      </c>
    </row>
  </sheetData>
  <autoFilter xmlns:etc="http://www.wps.cn/officeDocument/2017/etCustomData" ref="A10:M18" etc:filterBottomFollowUsedRange="0">
    <extLst/>
  </autoFilter>
  <mergeCells count="3">
    <mergeCell ref="A2:K2"/>
    <mergeCell ref="A3:K3"/>
    <mergeCell ref="F21:H21"/>
  </mergeCells>
  <pageMargins left="0.75" right="0.75" top="1" bottom="1" header="0.5" footer="0.5"/>
  <pageSetup paperSize="9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zoomScale="85" zoomScaleNormal="85" workbookViewId="0">
      <selection activeCell="I21" sqref="I21:I26"/>
    </sheetView>
  </sheetViews>
  <sheetFormatPr defaultColWidth="8.66666666666667" defaultRowHeight="15.6"/>
  <cols>
    <col min="1" max="1" width="17.1666666666667" customWidth="1"/>
    <col min="6" max="6" width="14.6666666666667" customWidth="1"/>
    <col min="8" max="8" width="9.4"/>
    <col min="9" max="11" width="8.5" customWidth="1"/>
    <col min="12" max="13" width="9.7" customWidth="1"/>
    <col min="14" max="14" width="12.8"/>
    <col min="16" max="16" width="9.1"/>
  </cols>
  <sheetData>
    <row r="1" ht="49" customHeight="1" spans="1:17">
      <c r="A1" s="2"/>
      <c r="B1" s="2"/>
      <c r="C1" s="2"/>
      <c r="D1" s="2"/>
      <c r="E1" s="2"/>
      <c r="F1" s="3"/>
      <c r="G1" s="4"/>
      <c r="H1" s="2"/>
      <c r="I1" s="4"/>
      <c r="J1" s="3"/>
      <c r="K1" s="4"/>
    </row>
    <row r="2" spans="1:17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7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7">
      <c r="A4" s="6" t="s">
        <v>189</v>
      </c>
      <c r="B4" s="6"/>
      <c r="C4" s="6"/>
      <c r="D4" s="6"/>
      <c r="E4" s="6"/>
      <c r="F4" s="7"/>
      <c r="G4" s="6"/>
      <c r="H4" s="6"/>
      <c r="I4" s="6" t="s">
        <v>3</v>
      </c>
      <c r="J4" s="8"/>
      <c r="K4" s="6"/>
    </row>
    <row r="5" spans="1:17">
      <c r="A5" s="6" t="s">
        <v>4</v>
      </c>
      <c r="B5" s="6"/>
      <c r="C5" s="6"/>
      <c r="D5" s="6"/>
      <c r="E5" s="6"/>
      <c r="F5" s="7"/>
      <c r="G5" s="6"/>
      <c r="H5" s="6"/>
      <c r="I5" s="6" t="s">
        <v>5</v>
      </c>
      <c r="J5" s="8"/>
      <c r="K5" s="6"/>
    </row>
    <row r="6" spans="1:17">
      <c r="A6" s="6" t="s">
        <v>231</v>
      </c>
      <c r="B6" s="6"/>
      <c r="C6" s="6"/>
      <c r="D6" s="6"/>
      <c r="E6" s="6"/>
      <c r="F6" s="7"/>
      <c r="G6" s="6"/>
      <c r="H6" s="6"/>
      <c r="I6" s="6" t="s">
        <v>237</v>
      </c>
      <c r="J6" s="8"/>
      <c r="K6" s="6"/>
    </row>
    <row r="7" spans="1:17">
      <c r="A7" s="6" t="s">
        <v>232</v>
      </c>
      <c r="B7" s="6"/>
      <c r="C7" s="6"/>
      <c r="D7" s="6"/>
      <c r="E7" s="6"/>
      <c r="F7" s="6"/>
      <c r="G7" s="6"/>
      <c r="H7" s="6"/>
      <c r="I7" s="9" t="s">
        <v>7</v>
      </c>
      <c r="J7" s="8"/>
      <c r="K7" s="6"/>
    </row>
    <row r="8" spans="1:17">
      <c r="A8" s="6"/>
      <c r="B8" s="6"/>
      <c r="C8" s="6"/>
      <c r="D8" s="6"/>
      <c r="E8" s="6"/>
      <c r="F8" s="6"/>
      <c r="G8" s="6"/>
      <c r="H8" s="6"/>
      <c r="I8" s="6" t="s">
        <v>211</v>
      </c>
      <c r="J8" s="8"/>
      <c r="K8" s="6"/>
    </row>
    <row r="9" spans="1:17">
      <c r="A9" s="10" t="s">
        <v>281</v>
      </c>
      <c r="B9" s="11"/>
      <c r="C9" s="11"/>
      <c r="D9" s="11"/>
      <c r="E9" s="11"/>
      <c r="F9" s="11"/>
      <c r="G9" s="11"/>
      <c r="H9" s="11"/>
      <c r="I9" s="11"/>
      <c r="J9" s="11"/>
      <c r="K9" s="11"/>
    </row>
    <row r="10" ht="45" spans="1:17">
      <c r="A10" s="12" t="s">
        <v>191</v>
      </c>
      <c r="B10" s="12" t="s">
        <v>192</v>
      </c>
      <c r="C10" s="12" t="s">
        <v>193</v>
      </c>
      <c r="D10" s="13" t="s">
        <v>118</v>
      </c>
      <c r="E10" s="13" t="s">
        <v>194</v>
      </c>
      <c r="F10" s="12" t="s">
        <v>195</v>
      </c>
      <c r="G10" s="12" t="s">
        <v>15</v>
      </c>
      <c r="H10" s="12" t="s">
        <v>196</v>
      </c>
      <c r="I10" s="14" t="s">
        <v>197</v>
      </c>
      <c r="J10" s="14" t="s">
        <v>198</v>
      </c>
      <c r="K10" s="14" t="s">
        <v>199</v>
      </c>
      <c r="N10" s="15" t="s">
        <v>20</v>
      </c>
      <c r="O10" s="16" t="s">
        <v>21</v>
      </c>
      <c r="P10" s="17" t="s">
        <v>22</v>
      </c>
      <c r="Q10" s="15" t="s">
        <v>23</v>
      </c>
    </row>
    <row r="11" spans="1:17">
      <c r="A11" s="18" t="s">
        <v>282</v>
      </c>
      <c r="B11" s="12">
        <v>0.076</v>
      </c>
      <c r="C11" s="19">
        <f t="shared" ref="C11:C14" si="0">B11*39.37</f>
        <v>2.99212</v>
      </c>
      <c r="D11" s="13" t="s">
        <v>163</v>
      </c>
      <c r="E11" s="20">
        <f>(C11+1.8)/39.37</f>
        <v>0.121720091440183</v>
      </c>
      <c r="F11" s="12" t="s">
        <v>121</v>
      </c>
      <c r="G11" s="12" t="s">
        <v>255</v>
      </c>
      <c r="H11" s="12">
        <v>12.31</v>
      </c>
      <c r="I11" s="21">
        <f t="shared" ref="I11:I14" si="1">H11*12</f>
        <v>147.72</v>
      </c>
      <c r="J11" s="14">
        <f t="shared" ref="J11:J14" si="2">H11*13.33</f>
        <v>164.0923</v>
      </c>
      <c r="K11" s="21">
        <f t="shared" ref="K11:K14" si="3">H11*14</f>
        <v>172.34</v>
      </c>
      <c r="N11" s="12">
        <v>11.72</v>
      </c>
      <c r="O11" s="23">
        <f>ROUND(N11*1.05,2)</f>
        <v>12.31</v>
      </c>
      <c r="P11" s="24">
        <f>O11/N11-1</f>
        <v>0.0503412969283277</v>
      </c>
      <c r="Q11" s="25">
        <f t="shared" ref="Q11:Q18" si="4">O11*13.33</f>
        <v>164.0923</v>
      </c>
    </row>
    <row r="12" spans="1:17">
      <c r="A12" s="18" t="s">
        <v>282</v>
      </c>
      <c r="B12" s="12">
        <v>0.102</v>
      </c>
      <c r="C12" s="19">
        <f t="shared" si="0"/>
        <v>4.01574</v>
      </c>
      <c r="D12" s="26" t="s">
        <v>26</v>
      </c>
      <c r="E12" s="20">
        <f t="shared" ref="E12:E14" si="5">(C12+2.4)/39.37</f>
        <v>0.162960121920244</v>
      </c>
      <c r="F12" s="12" t="s">
        <v>124</v>
      </c>
      <c r="G12" s="12" t="s">
        <v>255</v>
      </c>
      <c r="H12" s="12">
        <v>14.68</v>
      </c>
      <c r="I12" s="21">
        <f t="shared" si="1"/>
        <v>176.16</v>
      </c>
      <c r="J12" s="14">
        <f t="shared" si="2"/>
        <v>195.6844</v>
      </c>
      <c r="K12" s="21">
        <f t="shared" si="3"/>
        <v>205.52</v>
      </c>
      <c r="N12" s="12">
        <v>13.98</v>
      </c>
      <c r="O12" s="23">
        <f t="shared" ref="O12:O18" si="6">ROUND(N12*1.05,2)</f>
        <v>14.68</v>
      </c>
      <c r="P12" s="24">
        <f t="shared" ref="P12:P18" si="7">O12/N12-1</f>
        <v>0.050071530758226</v>
      </c>
      <c r="Q12" s="25">
        <f t="shared" si="4"/>
        <v>195.6844</v>
      </c>
    </row>
    <row r="13" spans="1:17">
      <c r="A13" s="18" t="s">
        <v>282</v>
      </c>
      <c r="B13" s="12">
        <v>0.127</v>
      </c>
      <c r="C13" s="19">
        <f t="shared" si="0"/>
        <v>4.99999</v>
      </c>
      <c r="D13" s="26" t="s">
        <v>26</v>
      </c>
      <c r="E13" s="20">
        <f t="shared" si="5"/>
        <v>0.187960121920244</v>
      </c>
      <c r="F13" s="12" t="s">
        <v>126</v>
      </c>
      <c r="G13" s="12" t="s">
        <v>255</v>
      </c>
      <c r="H13" s="12">
        <v>15.47</v>
      </c>
      <c r="I13" s="21">
        <f t="shared" si="1"/>
        <v>185.64</v>
      </c>
      <c r="J13" s="14">
        <f t="shared" si="2"/>
        <v>206.2151</v>
      </c>
      <c r="K13" s="21">
        <f t="shared" si="3"/>
        <v>216.58</v>
      </c>
      <c r="N13" s="12">
        <v>14.73</v>
      </c>
      <c r="O13" s="23">
        <f t="shared" si="6"/>
        <v>15.47</v>
      </c>
      <c r="P13" s="24">
        <f t="shared" si="7"/>
        <v>0.0502376103190767</v>
      </c>
      <c r="Q13" s="25">
        <f t="shared" si="4"/>
        <v>206.2151</v>
      </c>
    </row>
    <row r="14" spans="1:17">
      <c r="A14" s="18" t="s">
        <v>282</v>
      </c>
      <c r="B14" s="12">
        <v>0.127</v>
      </c>
      <c r="C14" s="19">
        <f t="shared" si="0"/>
        <v>4.99999</v>
      </c>
      <c r="D14" s="26" t="s">
        <v>26</v>
      </c>
      <c r="E14" s="20">
        <f t="shared" si="5"/>
        <v>0.187960121920244</v>
      </c>
      <c r="F14" s="12" t="s">
        <v>126</v>
      </c>
      <c r="G14" s="12" t="s">
        <v>283</v>
      </c>
      <c r="H14" s="12">
        <v>16.31</v>
      </c>
      <c r="I14" s="21">
        <f t="shared" si="1"/>
        <v>195.72</v>
      </c>
      <c r="J14" s="14">
        <f t="shared" si="2"/>
        <v>217.4123</v>
      </c>
      <c r="K14" s="21">
        <f t="shared" si="3"/>
        <v>228.34</v>
      </c>
      <c r="N14" s="12">
        <v>15.53</v>
      </c>
      <c r="O14" s="23">
        <f t="shared" si="6"/>
        <v>16.31</v>
      </c>
      <c r="P14" s="24">
        <f t="shared" si="7"/>
        <v>0.0502253702511268</v>
      </c>
      <c r="Q14" s="25">
        <f t="shared" si="4"/>
        <v>217.4123</v>
      </c>
    </row>
    <row r="15" spans="1:17">
      <c r="A15" s="18" t="s">
        <v>282</v>
      </c>
      <c r="B15" s="12">
        <v>0.127</v>
      </c>
      <c r="C15" s="19">
        <f t="shared" ref="C15:C18" si="8">B15*39.37</f>
        <v>4.99999</v>
      </c>
      <c r="D15" s="26" t="s">
        <v>31</v>
      </c>
      <c r="E15" s="20">
        <f>(C15+4.8)/39.37</f>
        <v>0.248920243840488</v>
      </c>
      <c r="F15" s="12" t="s">
        <v>126</v>
      </c>
      <c r="G15" s="12" t="s">
        <v>27</v>
      </c>
      <c r="H15" s="12">
        <v>25.91</v>
      </c>
      <c r="I15" s="21">
        <f t="shared" ref="I15:I18" si="9">H15*12</f>
        <v>310.92</v>
      </c>
      <c r="J15" s="14">
        <f t="shared" ref="J15:J18" si="10">H15*13.33</f>
        <v>345.3803</v>
      </c>
      <c r="K15" s="21">
        <f t="shared" ref="K15:K18" si="11">H15*14</f>
        <v>362.74</v>
      </c>
      <c r="N15" s="12">
        <v>24.68</v>
      </c>
      <c r="O15" s="23">
        <f t="shared" si="6"/>
        <v>25.91</v>
      </c>
      <c r="P15" s="24">
        <f t="shared" si="7"/>
        <v>0.0498379254457051</v>
      </c>
      <c r="Q15" s="25">
        <f t="shared" si="4"/>
        <v>345.3803</v>
      </c>
    </row>
    <row r="16" spans="1:17">
      <c r="A16" s="18" t="s">
        <v>282</v>
      </c>
      <c r="B16" s="12">
        <v>0.127</v>
      </c>
      <c r="C16" s="19">
        <f t="shared" si="8"/>
        <v>4.99999</v>
      </c>
      <c r="D16" s="26" t="s">
        <v>28</v>
      </c>
      <c r="E16" s="20">
        <f t="shared" ref="E16:E18" si="12">(C16+1.2)/39.37</f>
        <v>0.157480060960122</v>
      </c>
      <c r="F16" s="12" t="s">
        <v>126</v>
      </c>
      <c r="G16" s="12" t="s">
        <v>255</v>
      </c>
      <c r="H16" s="12">
        <v>10.9</v>
      </c>
      <c r="I16" s="21">
        <f t="shared" si="9"/>
        <v>130.8</v>
      </c>
      <c r="J16" s="14">
        <f t="shared" si="10"/>
        <v>145.297</v>
      </c>
      <c r="K16" s="21">
        <f t="shared" si="11"/>
        <v>152.6</v>
      </c>
      <c r="N16" s="12">
        <v>10.38</v>
      </c>
      <c r="O16" s="23">
        <f t="shared" si="6"/>
        <v>10.9</v>
      </c>
      <c r="P16" s="24">
        <f t="shared" si="7"/>
        <v>0.0500963391136802</v>
      </c>
      <c r="Q16" s="25">
        <f t="shared" si="4"/>
        <v>145.297</v>
      </c>
    </row>
    <row r="17" spans="1:17">
      <c r="A17" s="18" t="s">
        <v>282</v>
      </c>
      <c r="B17" s="12">
        <v>0.61</v>
      </c>
      <c r="C17" s="19">
        <f t="shared" si="8"/>
        <v>24.0157</v>
      </c>
      <c r="D17" s="26" t="s">
        <v>28</v>
      </c>
      <c r="E17" s="20">
        <f t="shared" si="12"/>
        <v>0.640480060960122</v>
      </c>
      <c r="F17" s="12" t="s">
        <v>172</v>
      </c>
      <c r="G17" s="12" t="s">
        <v>255</v>
      </c>
      <c r="H17" s="12">
        <v>18.55</v>
      </c>
      <c r="I17" s="21">
        <f t="shared" si="9"/>
        <v>222.6</v>
      </c>
      <c r="J17" s="14">
        <f t="shared" si="10"/>
        <v>247.2715</v>
      </c>
      <c r="K17" s="21">
        <f t="shared" si="11"/>
        <v>259.7</v>
      </c>
      <c r="N17" s="12">
        <v>17.67</v>
      </c>
      <c r="O17" s="23">
        <f t="shared" si="6"/>
        <v>18.55</v>
      </c>
      <c r="P17" s="24">
        <f t="shared" si="7"/>
        <v>0.0498019241652519</v>
      </c>
      <c r="Q17" s="25">
        <f t="shared" si="4"/>
        <v>247.2715</v>
      </c>
    </row>
    <row r="18" spans="1:17">
      <c r="A18" s="18" t="s">
        <v>282</v>
      </c>
      <c r="B18" s="12">
        <v>0.61</v>
      </c>
      <c r="C18" s="19">
        <f t="shared" si="8"/>
        <v>24.0157</v>
      </c>
      <c r="D18" s="26" t="s">
        <v>28</v>
      </c>
      <c r="E18" s="20">
        <f t="shared" si="12"/>
        <v>0.640480060960122</v>
      </c>
      <c r="F18" s="12" t="s">
        <v>172</v>
      </c>
      <c r="G18" s="12" t="s">
        <v>283</v>
      </c>
      <c r="H18" s="12">
        <v>19.49</v>
      </c>
      <c r="I18" s="21">
        <f t="shared" si="9"/>
        <v>233.88</v>
      </c>
      <c r="J18" s="14">
        <f t="shared" si="10"/>
        <v>259.8017</v>
      </c>
      <c r="K18" s="21">
        <f t="shared" si="11"/>
        <v>272.86</v>
      </c>
      <c r="N18" s="12">
        <v>18.56</v>
      </c>
      <c r="O18" s="23">
        <f t="shared" si="6"/>
        <v>19.49</v>
      </c>
      <c r="P18" s="24">
        <f t="shared" si="7"/>
        <v>0.0501077586206897</v>
      </c>
      <c r="Q18" s="25">
        <f t="shared" si="4"/>
        <v>259.8017</v>
      </c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30" spans="1:17">
      <c r="A20" s="30" t="s">
        <v>10</v>
      </c>
      <c r="B20" s="30" t="s">
        <v>79</v>
      </c>
      <c r="C20" s="31" t="s">
        <v>201</v>
      </c>
      <c r="D20" s="30" t="s">
        <v>81</v>
      </c>
      <c r="E20" s="30" t="s">
        <v>82</v>
      </c>
      <c r="F20" s="12" t="s">
        <v>235</v>
      </c>
      <c r="G20" s="12"/>
      <c r="H20" s="12"/>
      <c r="I20" s="1"/>
      <c r="J20" s="1"/>
      <c r="K20" s="1"/>
    </row>
    <row r="21" ht="45" spans="1:17">
      <c r="A21" s="30" t="s">
        <v>84</v>
      </c>
      <c r="B21" s="30" t="s">
        <v>85</v>
      </c>
      <c r="C21" s="31" t="s">
        <v>86</v>
      </c>
      <c r="D21" s="30" t="s">
        <v>87</v>
      </c>
      <c r="E21" s="30" t="s">
        <v>88</v>
      </c>
      <c r="F21" s="20" t="s">
        <v>203</v>
      </c>
      <c r="G21" s="20" t="s">
        <v>204</v>
      </c>
      <c r="H21" s="20" t="s">
        <v>205</v>
      </c>
      <c r="I21" s="38"/>
      <c r="J21" s="1"/>
      <c r="K21" s="1"/>
      <c r="N21" s="15" t="s">
        <v>20</v>
      </c>
      <c r="O21" s="16" t="s">
        <v>21</v>
      </c>
      <c r="P21" s="17" t="s">
        <v>22</v>
      </c>
      <c r="Q21" s="15" t="s">
        <v>93</v>
      </c>
    </row>
    <row r="22" spans="1:17">
      <c r="A22" s="18" t="s">
        <v>284</v>
      </c>
      <c r="B22" s="30">
        <v>2116</v>
      </c>
      <c r="C22" s="33">
        <v>0.61</v>
      </c>
      <c r="D22" s="30">
        <v>300</v>
      </c>
      <c r="E22" s="31" t="s">
        <v>96</v>
      </c>
      <c r="F22" s="20">
        <v>3.898</v>
      </c>
      <c r="G22" s="34">
        <f>ROUND(H22/D22,2)</f>
        <v>51.15</v>
      </c>
      <c r="H22" s="21">
        <f>F22*3937</f>
        <v>15346.426</v>
      </c>
      <c r="I22" s="35"/>
      <c r="N22" s="20">
        <v>3.609</v>
      </c>
      <c r="O22" s="36">
        <f>ROUND(N22*1.08,3)</f>
        <v>3.898</v>
      </c>
      <c r="P22" s="37">
        <f>O22/N22-1</f>
        <v>0.0800775838182322</v>
      </c>
      <c r="Q22" s="25">
        <f>O22*3937/300</f>
        <v>51.1547533333333</v>
      </c>
    </row>
    <row r="23" spans="1:17">
      <c r="A23" s="18" t="s">
        <v>284</v>
      </c>
      <c r="B23" s="30">
        <v>3313</v>
      </c>
      <c r="C23" s="33">
        <v>0.61</v>
      </c>
      <c r="D23" s="30">
        <v>200</v>
      </c>
      <c r="E23" s="31" t="s">
        <v>96</v>
      </c>
      <c r="F23" s="20">
        <v>3.513</v>
      </c>
      <c r="G23" s="34">
        <f>ROUND(H23/D23,2)</f>
        <v>46.1</v>
      </c>
      <c r="H23" s="21">
        <f>F23*2624.7</f>
        <v>9220.5711</v>
      </c>
      <c r="L23" s="39"/>
      <c r="N23" s="20">
        <v>3.253</v>
      </c>
      <c r="O23" s="36">
        <f>ROUND(N23*1.08,3)</f>
        <v>3.513</v>
      </c>
      <c r="P23" s="37">
        <f>O23/N23-1</f>
        <v>0.07992622194897</v>
      </c>
      <c r="Q23" s="25">
        <f>O23*3937/300</f>
        <v>46.10227</v>
      </c>
    </row>
    <row r="24" spans="1:17">
      <c r="A24" s="18" t="s">
        <v>284</v>
      </c>
      <c r="B24" s="30">
        <v>1067</v>
      </c>
      <c r="C24" s="33">
        <v>0.74</v>
      </c>
      <c r="D24" s="30">
        <v>300</v>
      </c>
      <c r="E24" s="31" t="s">
        <v>96</v>
      </c>
      <c r="F24" s="20">
        <v>3.297</v>
      </c>
      <c r="G24" s="34">
        <f>ROUND(H24/D24,2)</f>
        <v>43.27</v>
      </c>
      <c r="H24" s="21">
        <f>F24*3937</f>
        <v>12980.289</v>
      </c>
      <c r="L24" s="39"/>
      <c r="N24" s="20">
        <v>3.053</v>
      </c>
      <c r="O24" s="36">
        <f>ROUND(N24*1.08,3)</f>
        <v>3.297</v>
      </c>
      <c r="P24" s="37">
        <f>O24/N24-1</f>
        <v>0.0799213887979038</v>
      </c>
      <c r="Q24" s="25">
        <f>O24*3937/300</f>
        <v>43.26763</v>
      </c>
    </row>
    <row r="25" spans="1:17">
      <c r="A25" s="18" t="s">
        <v>284</v>
      </c>
      <c r="B25" s="30">
        <v>1080</v>
      </c>
      <c r="C25" s="33">
        <v>0.73</v>
      </c>
      <c r="D25" s="30">
        <v>300</v>
      </c>
      <c r="E25" s="31" t="s">
        <v>96</v>
      </c>
      <c r="F25" s="20">
        <v>3.275</v>
      </c>
      <c r="G25" s="34">
        <f>ROUND(H25/D25,2)</f>
        <v>42.98</v>
      </c>
      <c r="H25" s="21">
        <f>F25*3937</f>
        <v>12893.675</v>
      </c>
      <c r="L25" s="39"/>
      <c r="N25" s="20">
        <v>3.032</v>
      </c>
      <c r="O25" s="36">
        <f>ROUND(N25*1.08,3)</f>
        <v>3.275</v>
      </c>
      <c r="P25" s="37">
        <f>O25/N25-1</f>
        <v>0.0801451187335092</v>
      </c>
      <c r="Q25" s="25">
        <f>O25*3937/300</f>
        <v>42.9789166666667</v>
      </c>
    </row>
  </sheetData>
  <autoFilter xmlns:etc="http://www.wps.cn/officeDocument/2017/etCustomData" ref="A10:X18" etc:filterBottomFollowUsedRange="0">
    <extLst/>
  </autoFilter>
  <mergeCells count="3">
    <mergeCell ref="A2:K2"/>
    <mergeCell ref="A3:K3"/>
    <mergeCell ref="F20:H20"/>
  </mergeCells>
  <pageMargins left="0.75" right="0.75" top="1" bottom="1" header="0.5" footer="0.5"/>
  <pageSetup paperSize="9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zoomScale="85" zoomScaleNormal="85" workbookViewId="0">
      <selection activeCell="I23" sqref="I23:I28"/>
    </sheetView>
  </sheetViews>
  <sheetFormatPr defaultColWidth="8.66666666666667" defaultRowHeight="15.6"/>
  <cols>
    <col min="1" max="1" width="17.1666666666667" style="1" customWidth="1"/>
    <col min="2" max="5" width="8.66666666666667" style="1"/>
    <col min="6" max="6" width="14.6666666666667" style="1" customWidth="1"/>
    <col min="7" max="7" width="8.66666666666667" style="1"/>
    <col min="8" max="8" width="9.4" style="1"/>
    <col min="9" max="11" width="8.5" style="1" customWidth="1"/>
    <col min="12" max="13" width="9.7" style="1" customWidth="1"/>
    <col min="14" max="14" width="12.8" style="1"/>
    <col min="16" max="16" width="9.1"/>
  </cols>
  <sheetData>
    <row r="1" ht="49" customHeight="1" spans="1:17">
      <c r="A1" s="2"/>
      <c r="B1" s="2"/>
      <c r="C1" s="2"/>
      <c r="D1" s="2"/>
      <c r="E1" s="2"/>
      <c r="F1" s="3"/>
      <c r="G1" s="4"/>
      <c r="H1" s="2"/>
      <c r="I1" s="4"/>
      <c r="J1" s="3"/>
      <c r="K1" s="4"/>
    </row>
    <row r="2" spans="1:17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7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7">
      <c r="A4" s="6" t="s">
        <v>189</v>
      </c>
      <c r="B4" s="6"/>
      <c r="C4" s="6"/>
      <c r="D4" s="6"/>
      <c r="E4" s="6"/>
      <c r="F4" s="7"/>
      <c r="G4" s="6"/>
      <c r="H4" s="6"/>
      <c r="I4" s="6" t="s">
        <v>3</v>
      </c>
      <c r="J4" s="8"/>
      <c r="K4" s="6"/>
    </row>
    <row r="5" spans="1:17">
      <c r="A5" s="6" t="s">
        <v>4</v>
      </c>
      <c r="B5" s="6"/>
      <c r="C5" s="6"/>
      <c r="D5" s="6"/>
      <c r="E5" s="6"/>
      <c r="F5" s="7"/>
      <c r="G5" s="6"/>
      <c r="H5" s="6"/>
      <c r="I5" s="6" t="s">
        <v>5</v>
      </c>
      <c r="J5" s="8"/>
      <c r="K5" s="6"/>
    </row>
    <row r="6" spans="1:17">
      <c r="A6" s="6" t="s">
        <v>231</v>
      </c>
      <c r="B6" s="6"/>
      <c r="C6" s="6"/>
      <c r="D6" s="6"/>
      <c r="E6" s="6"/>
      <c r="F6" s="7"/>
      <c r="G6" s="6"/>
      <c r="H6" s="6"/>
      <c r="I6" s="6" t="s">
        <v>237</v>
      </c>
      <c r="J6" s="8"/>
      <c r="K6" s="6"/>
    </row>
    <row r="7" spans="1:17">
      <c r="A7" s="6" t="s">
        <v>232</v>
      </c>
      <c r="B7" s="6"/>
      <c r="C7" s="6"/>
      <c r="D7" s="6"/>
      <c r="E7" s="6"/>
      <c r="F7" s="6"/>
      <c r="G7" s="6"/>
      <c r="H7" s="6"/>
      <c r="I7" s="9" t="s">
        <v>7</v>
      </c>
      <c r="J7" s="8"/>
      <c r="K7" s="6"/>
    </row>
    <row r="8" spans="1:17">
      <c r="A8" s="6"/>
      <c r="B8" s="6"/>
      <c r="C8" s="6"/>
      <c r="D8" s="6"/>
      <c r="E8" s="6"/>
      <c r="F8" s="6"/>
      <c r="G8" s="6"/>
      <c r="H8" s="6"/>
      <c r="I8" s="6" t="s">
        <v>211</v>
      </c>
      <c r="J8" s="8"/>
      <c r="K8" s="6"/>
    </row>
    <row r="9" spans="1:17">
      <c r="A9" s="10" t="s">
        <v>285</v>
      </c>
      <c r="B9" s="11"/>
      <c r="C9" s="11"/>
      <c r="D9" s="11"/>
      <c r="E9" s="11"/>
      <c r="F9" s="11"/>
      <c r="G9" s="11"/>
      <c r="H9" s="11"/>
      <c r="I9" s="11"/>
      <c r="J9" s="11"/>
      <c r="K9" s="11"/>
    </row>
    <row r="10" ht="45" spans="1:17">
      <c r="A10" s="12" t="s">
        <v>191</v>
      </c>
      <c r="B10" s="12" t="s">
        <v>192</v>
      </c>
      <c r="C10" s="12" t="s">
        <v>193</v>
      </c>
      <c r="D10" s="13" t="s">
        <v>118</v>
      </c>
      <c r="E10" s="13" t="s">
        <v>194</v>
      </c>
      <c r="F10" s="12" t="s">
        <v>195</v>
      </c>
      <c r="G10" s="12" t="s">
        <v>15</v>
      </c>
      <c r="H10" s="12" t="s">
        <v>196</v>
      </c>
      <c r="I10" s="14" t="s">
        <v>197</v>
      </c>
      <c r="J10" s="14" t="s">
        <v>198</v>
      </c>
      <c r="K10" s="14" t="s">
        <v>199</v>
      </c>
      <c r="N10" s="15" t="s">
        <v>20</v>
      </c>
      <c r="O10" s="16" t="s">
        <v>21</v>
      </c>
      <c r="P10" s="17" t="s">
        <v>22</v>
      </c>
      <c r="Q10" s="15" t="s">
        <v>23</v>
      </c>
    </row>
    <row r="11" spans="1:17">
      <c r="A11" s="18" t="s">
        <v>286</v>
      </c>
      <c r="B11" s="12">
        <v>0.076</v>
      </c>
      <c r="C11" s="19">
        <f t="shared" ref="C11:C15" si="0">B11*39.37</f>
        <v>2.99212</v>
      </c>
      <c r="D11" s="13" t="s">
        <v>28</v>
      </c>
      <c r="E11" s="20">
        <f t="shared" ref="E11:E15" si="1">(C11+1.8)/39.37</f>
        <v>0.121720091440183</v>
      </c>
      <c r="F11" s="12" t="s">
        <v>120</v>
      </c>
      <c r="G11" s="12" t="s">
        <v>255</v>
      </c>
      <c r="H11" s="12">
        <v>12.5</v>
      </c>
      <c r="I11" s="21">
        <f t="shared" ref="I11:I15" si="2">H11*12</f>
        <v>150</v>
      </c>
      <c r="J11" s="14">
        <f t="shared" ref="J11:J15" si="3">H11*13.33</f>
        <v>166.625</v>
      </c>
      <c r="K11" s="21">
        <f t="shared" ref="K11:K15" si="4">H11*14</f>
        <v>175</v>
      </c>
      <c r="L11" s="22"/>
      <c r="N11" s="12">
        <v>12.5</v>
      </c>
      <c r="O11" s="23">
        <f>ROUND(N11*1,2)</f>
        <v>12.5</v>
      </c>
      <c r="P11" s="24">
        <f>O11/N11-1</f>
        <v>0</v>
      </c>
      <c r="Q11" s="25">
        <f>O11*13.33</f>
        <v>166.625</v>
      </c>
    </row>
    <row r="12" spans="1:17">
      <c r="A12" s="18" t="s">
        <v>286</v>
      </c>
      <c r="B12" s="12">
        <v>0.076</v>
      </c>
      <c r="C12" s="19">
        <f t="shared" si="0"/>
        <v>2.99212</v>
      </c>
      <c r="D12" s="13" t="s">
        <v>28</v>
      </c>
      <c r="E12" s="20">
        <f t="shared" si="1"/>
        <v>0.121720091440183</v>
      </c>
      <c r="F12" s="12" t="s">
        <v>120</v>
      </c>
      <c r="G12" s="12" t="s">
        <v>283</v>
      </c>
      <c r="H12" s="12">
        <v>31.25</v>
      </c>
      <c r="I12" s="21">
        <f t="shared" si="2"/>
        <v>375</v>
      </c>
      <c r="J12" s="14">
        <f t="shared" si="3"/>
        <v>416.5625</v>
      </c>
      <c r="K12" s="21">
        <f t="shared" si="4"/>
        <v>437.5</v>
      </c>
      <c r="L12" s="22"/>
      <c r="N12" s="12">
        <v>31.25</v>
      </c>
      <c r="O12" s="23"/>
      <c r="P12" s="24"/>
      <c r="Q12" s="25"/>
    </row>
    <row r="13" spans="1:17">
      <c r="A13" s="18" t="s">
        <v>286</v>
      </c>
      <c r="B13" s="12">
        <v>0.076</v>
      </c>
      <c r="C13" s="19">
        <f t="shared" si="0"/>
        <v>2.99212</v>
      </c>
      <c r="D13" s="26" t="s">
        <v>26</v>
      </c>
      <c r="E13" s="20">
        <f>(C13+2.4)/39.37</f>
        <v>0.136960121920244</v>
      </c>
      <c r="F13" s="12" t="s">
        <v>120</v>
      </c>
      <c r="G13" s="12" t="s">
        <v>255</v>
      </c>
      <c r="H13" s="12">
        <v>18.2</v>
      </c>
      <c r="I13" s="21">
        <f t="shared" si="2"/>
        <v>218.4</v>
      </c>
      <c r="J13" s="14">
        <f t="shared" si="3"/>
        <v>242.606</v>
      </c>
      <c r="K13" s="21">
        <f t="shared" si="4"/>
        <v>254.8</v>
      </c>
      <c r="L13" s="22"/>
      <c r="N13" s="12">
        <v>18.2</v>
      </c>
      <c r="O13" s="23"/>
      <c r="P13" s="24"/>
      <c r="Q13" s="25"/>
    </row>
    <row r="14" spans="1:17">
      <c r="A14" s="18" t="s">
        <v>286</v>
      </c>
      <c r="B14" s="12">
        <v>0.089</v>
      </c>
      <c r="C14" s="27">
        <f t="shared" si="0"/>
        <v>3.50393</v>
      </c>
      <c r="D14" s="13" t="s">
        <v>28</v>
      </c>
      <c r="E14" s="20">
        <f t="shared" si="1"/>
        <v>0.134720091440183</v>
      </c>
      <c r="F14" s="12" t="s">
        <v>120</v>
      </c>
      <c r="G14" s="12" t="s">
        <v>255</v>
      </c>
      <c r="H14" s="12">
        <v>13.65</v>
      </c>
      <c r="I14" s="21">
        <f t="shared" si="2"/>
        <v>163.8</v>
      </c>
      <c r="J14" s="14">
        <f t="shared" si="3"/>
        <v>181.9545</v>
      </c>
      <c r="K14" s="21">
        <f t="shared" si="4"/>
        <v>191.1</v>
      </c>
      <c r="L14" s="22"/>
      <c r="N14" s="12">
        <v>13.65</v>
      </c>
      <c r="O14" s="23"/>
      <c r="P14" s="24"/>
      <c r="Q14" s="25"/>
    </row>
    <row r="15" spans="1:17">
      <c r="A15" s="18" t="s">
        <v>286</v>
      </c>
      <c r="B15" s="12">
        <v>0.089</v>
      </c>
      <c r="C15" s="27">
        <f t="shared" si="0"/>
        <v>3.50393</v>
      </c>
      <c r="D15" s="13" t="s">
        <v>28</v>
      </c>
      <c r="E15" s="20">
        <f t="shared" si="1"/>
        <v>0.134720091440183</v>
      </c>
      <c r="F15" s="12" t="s">
        <v>120</v>
      </c>
      <c r="G15" s="12" t="s">
        <v>283</v>
      </c>
      <c r="H15" s="12">
        <v>14.33</v>
      </c>
      <c r="I15" s="21">
        <f t="shared" si="2"/>
        <v>171.96</v>
      </c>
      <c r="J15" s="14">
        <f t="shared" si="3"/>
        <v>191.0189</v>
      </c>
      <c r="K15" s="21">
        <f t="shared" si="4"/>
        <v>200.62</v>
      </c>
      <c r="L15" s="22"/>
      <c r="N15" s="12">
        <v>14.33</v>
      </c>
      <c r="O15" s="23"/>
      <c r="P15" s="24"/>
      <c r="Q15" s="25"/>
    </row>
    <row r="16" spans="1:17">
      <c r="A16" s="18" t="s">
        <v>286</v>
      </c>
      <c r="B16" s="12">
        <v>0.102</v>
      </c>
      <c r="C16" s="19">
        <f t="shared" ref="C16:C20" si="5">B16*39.37</f>
        <v>4.01574</v>
      </c>
      <c r="D16" s="26" t="s">
        <v>31</v>
      </c>
      <c r="E16" s="20">
        <f>(C16+2.4)/39.37</f>
        <v>0.162960121920244</v>
      </c>
      <c r="F16" s="12" t="s">
        <v>124</v>
      </c>
      <c r="G16" s="12" t="s">
        <v>27</v>
      </c>
      <c r="H16" s="12">
        <v>28.75</v>
      </c>
      <c r="I16" s="21">
        <f t="shared" ref="I16:I20" si="6">H16*12</f>
        <v>345</v>
      </c>
      <c r="J16" s="14">
        <f t="shared" ref="J16:J20" si="7">H16*13.33</f>
        <v>383.2375</v>
      </c>
      <c r="K16" s="21">
        <f t="shared" ref="K16:K20" si="8">H16*14</f>
        <v>402.5</v>
      </c>
      <c r="L16" s="22"/>
      <c r="N16" s="12">
        <v>28.75</v>
      </c>
      <c r="O16" s="23"/>
      <c r="P16" s="24"/>
      <c r="Q16" s="25"/>
    </row>
    <row r="17" spans="1:17">
      <c r="A17" s="18" t="s">
        <v>286</v>
      </c>
      <c r="B17" s="12">
        <v>0.102</v>
      </c>
      <c r="C17" s="19">
        <f t="shared" si="5"/>
        <v>4.01574</v>
      </c>
      <c r="D17" s="13" t="s">
        <v>28</v>
      </c>
      <c r="E17" s="20">
        <f>(C17+1.8)/39.37</f>
        <v>0.147720091440183</v>
      </c>
      <c r="F17" s="12" t="s">
        <v>287</v>
      </c>
      <c r="G17" s="12" t="s">
        <v>255</v>
      </c>
      <c r="H17" s="12">
        <v>15.86</v>
      </c>
      <c r="I17" s="21">
        <f t="shared" si="6"/>
        <v>190.32</v>
      </c>
      <c r="J17" s="14">
        <f t="shared" si="7"/>
        <v>211.4138</v>
      </c>
      <c r="K17" s="21">
        <f t="shared" si="8"/>
        <v>222.04</v>
      </c>
      <c r="L17" s="22"/>
      <c r="N17" s="12">
        <v>15.86</v>
      </c>
      <c r="O17" s="28"/>
      <c r="P17" s="24"/>
      <c r="Q17" s="29"/>
    </row>
    <row r="18" spans="1:17">
      <c r="A18" s="18" t="s">
        <v>286</v>
      </c>
      <c r="B18" s="12">
        <v>0.102</v>
      </c>
      <c r="C18" s="19">
        <f t="shared" si="5"/>
        <v>4.01574</v>
      </c>
      <c r="D18" s="13" t="s">
        <v>28</v>
      </c>
      <c r="E18" s="20">
        <f>(C18+1.8)/39.37</f>
        <v>0.147720091440183</v>
      </c>
      <c r="F18" s="12" t="s">
        <v>287</v>
      </c>
      <c r="G18" s="12" t="s">
        <v>283</v>
      </c>
      <c r="H18" s="12">
        <v>16.65</v>
      </c>
      <c r="I18" s="21">
        <f t="shared" si="6"/>
        <v>199.8</v>
      </c>
      <c r="J18" s="14">
        <f t="shared" si="7"/>
        <v>221.9445</v>
      </c>
      <c r="K18" s="21">
        <f t="shared" si="8"/>
        <v>233.1</v>
      </c>
      <c r="L18" s="22"/>
      <c r="N18" s="12">
        <v>16.65</v>
      </c>
      <c r="O18" s="28"/>
      <c r="P18" s="24"/>
      <c r="Q18" s="29"/>
    </row>
    <row r="19" spans="1:17">
      <c r="A19" s="18" t="s">
        <v>286</v>
      </c>
      <c r="B19" s="12">
        <v>0.127</v>
      </c>
      <c r="C19" s="19">
        <f t="shared" si="5"/>
        <v>4.99999</v>
      </c>
      <c r="D19" s="13" t="s">
        <v>28</v>
      </c>
      <c r="E19" s="20">
        <f>(C19+1.8)/39.37</f>
        <v>0.172720091440183</v>
      </c>
      <c r="F19" s="12" t="s">
        <v>126</v>
      </c>
      <c r="G19" s="12" t="s">
        <v>255</v>
      </c>
      <c r="H19" s="12">
        <v>13.53</v>
      </c>
      <c r="I19" s="21">
        <f t="shared" si="6"/>
        <v>162.36</v>
      </c>
      <c r="J19" s="14">
        <f t="shared" si="7"/>
        <v>180.3549</v>
      </c>
      <c r="K19" s="21">
        <f t="shared" si="8"/>
        <v>189.42</v>
      </c>
      <c r="L19" s="22"/>
      <c r="N19" s="12">
        <v>13.53</v>
      </c>
      <c r="O19" s="28"/>
      <c r="P19" s="24"/>
      <c r="Q19" s="29"/>
    </row>
    <row r="20" spans="1:17">
      <c r="A20" s="18" t="s">
        <v>286</v>
      </c>
      <c r="B20" s="12">
        <v>0.127</v>
      </c>
      <c r="C20" s="19">
        <f t="shared" si="5"/>
        <v>4.99999</v>
      </c>
      <c r="D20" s="13" t="s">
        <v>28</v>
      </c>
      <c r="E20" s="20">
        <f>(C20+1.8)/39.37</f>
        <v>0.172720091440183</v>
      </c>
      <c r="F20" s="12" t="s">
        <v>126</v>
      </c>
      <c r="G20" s="12" t="s">
        <v>283</v>
      </c>
      <c r="H20" s="12">
        <v>14.25</v>
      </c>
      <c r="I20" s="21">
        <f t="shared" si="6"/>
        <v>171</v>
      </c>
      <c r="J20" s="14">
        <f t="shared" si="7"/>
        <v>189.9525</v>
      </c>
      <c r="K20" s="21">
        <f t="shared" si="8"/>
        <v>199.5</v>
      </c>
      <c r="L20" s="22"/>
      <c r="N20" s="12">
        <v>14.25</v>
      </c>
      <c r="O20" s="28"/>
      <c r="P20" s="24"/>
      <c r="Q20" s="29"/>
    </row>
    <row r="22" ht="30" spans="1:17">
      <c r="A22" s="30" t="s">
        <v>10</v>
      </c>
      <c r="B22" s="30" t="s">
        <v>79</v>
      </c>
      <c r="C22" s="31" t="s">
        <v>201</v>
      </c>
      <c r="D22" s="30" t="s">
        <v>81</v>
      </c>
      <c r="E22" s="30" t="s">
        <v>82</v>
      </c>
      <c r="F22" s="12" t="s">
        <v>235</v>
      </c>
      <c r="G22" s="12"/>
      <c r="H22" s="12"/>
    </row>
    <row r="23" ht="45" spans="1:17">
      <c r="A23" s="30" t="s">
        <v>84</v>
      </c>
      <c r="B23" s="30" t="s">
        <v>85</v>
      </c>
      <c r="C23" s="31" t="s">
        <v>86</v>
      </c>
      <c r="D23" s="30" t="s">
        <v>87</v>
      </c>
      <c r="E23" s="30" t="s">
        <v>88</v>
      </c>
      <c r="F23" s="20" t="s">
        <v>203</v>
      </c>
      <c r="G23" s="20" t="s">
        <v>204</v>
      </c>
      <c r="H23" s="20" t="s">
        <v>205</v>
      </c>
      <c r="I23" s="32"/>
      <c r="N23" s="15" t="s">
        <v>20</v>
      </c>
      <c r="O23" s="16" t="s">
        <v>21</v>
      </c>
      <c r="P23" s="17" t="s">
        <v>22</v>
      </c>
      <c r="Q23" s="15" t="s">
        <v>93</v>
      </c>
    </row>
    <row r="24" spans="1:17">
      <c r="A24" s="18" t="s">
        <v>288</v>
      </c>
      <c r="B24" s="30">
        <v>2116</v>
      </c>
      <c r="C24" s="33" t="s">
        <v>102</v>
      </c>
      <c r="D24" s="30">
        <v>300</v>
      </c>
      <c r="E24" s="31" t="s">
        <v>96</v>
      </c>
      <c r="F24" s="20">
        <v>7.15</v>
      </c>
      <c r="G24" s="34">
        <f t="shared" ref="G24:G27" si="9">ROUND(H24/D24,2)</f>
        <v>93.83</v>
      </c>
      <c r="H24" s="21">
        <f t="shared" ref="H24:H27" si="10">F24*3937</f>
        <v>28149.55</v>
      </c>
      <c r="I24" s="35"/>
      <c r="L24" s="22"/>
      <c r="N24" s="20">
        <v>7.15</v>
      </c>
      <c r="O24" s="36">
        <f>ROUND(N24*1,3)</f>
        <v>7.15</v>
      </c>
      <c r="P24" s="37">
        <f>O24/N24-1</f>
        <v>0</v>
      </c>
      <c r="Q24" s="25">
        <f>O24*3937/300</f>
        <v>93.8318333333333</v>
      </c>
    </row>
    <row r="25" spans="1:17">
      <c r="A25" s="18" t="s">
        <v>288</v>
      </c>
      <c r="B25" s="30">
        <v>1080</v>
      </c>
      <c r="C25" s="33">
        <v>0.69</v>
      </c>
      <c r="D25" s="30">
        <v>300</v>
      </c>
      <c r="E25" s="31" t="s">
        <v>96</v>
      </c>
      <c r="F25" s="20">
        <v>5.98</v>
      </c>
      <c r="G25" s="34">
        <f t="shared" si="9"/>
        <v>78.48</v>
      </c>
      <c r="H25" s="21">
        <f t="shared" si="10"/>
        <v>23543.26</v>
      </c>
      <c r="I25" s="35"/>
      <c r="L25" s="22"/>
      <c r="N25" s="20">
        <v>5.98</v>
      </c>
      <c r="O25" s="36"/>
      <c r="P25" s="37"/>
      <c r="Q25" s="25"/>
    </row>
    <row r="26" spans="1:17">
      <c r="A26" s="18" t="s">
        <v>288</v>
      </c>
      <c r="B26" s="30">
        <v>1078</v>
      </c>
      <c r="C26" s="33">
        <v>0.67</v>
      </c>
      <c r="D26" s="30">
        <v>300</v>
      </c>
      <c r="E26" s="31" t="s">
        <v>96</v>
      </c>
      <c r="F26" s="20">
        <v>5.875</v>
      </c>
      <c r="G26" s="34">
        <f t="shared" si="9"/>
        <v>77.1</v>
      </c>
      <c r="H26" s="21">
        <f t="shared" si="10"/>
        <v>23129.875</v>
      </c>
      <c r="I26" s="35"/>
      <c r="L26" s="22"/>
      <c r="N26" s="20">
        <v>5.875</v>
      </c>
    </row>
    <row r="27" spans="1:17">
      <c r="A27" s="18" t="s">
        <v>288</v>
      </c>
      <c r="B27" s="30">
        <v>1035</v>
      </c>
      <c r="C27" s="33">
        <v>0.73</v>
      </c>
      <c r="D27" s="30">
        <v>300</v>
      </c>
      <c r="E27" s="31" t="s">
        <v>96</v>
      </c>
      <c r="F27" s="20">
        <v>5.263</v>
      </c>
      <c r="G27" s="34">
        <f t="shared" si="9"/>
        <v>69.07</v>
      </c>
      <c r="H27" s="21">
        <f t="shared" si="10"/>
        <v>20720.431</v>
      </c>
      <c r="I27" s="35"/>
      <c r="L27" s="22"/>
      <c r="N27" s="20">
        <v>5.263</v>
      </c>
    </row>
  </sheetData>
  <autoFilter xmlns:etc="http://www.wps.cn/officeDocument/2017/etCustomData" ref="A10:X20" etc:filterBottomFollowUsedRange="0">
    <extLst/>
  </autoFilter>
  <mergeCells count="3">
    <mergeCell ref="A2:K2"/>
    <mergeCell ref="A3:K3"/>
    <mergeCell ref="F22:H22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NY2150</vt:lpstr>
      <vt:lpstr>2150PP</vt:lpstr>
      <vt:lpstr>NY2170</vt:lpstr>
      <vt:lpstr>2170PP</vt:lpstr>
      <vt:lpstr>NY2150H</vt:lpstr>
      <vt:lpstr>NY-A1</vt:lpstr>
      <vt:lpstr>NY-A2</vt:lpstr>
      <vt:lpstr>NY-A3HF</vt:lpstr>
      <vt:lpstr>NY3150HF</vt:lpstr>
      <vt:lpstr>NY3150HC</vt:lpstr>
      <vt:lpstr>NY3170HC</vt:lpstr>
      <vt:lpstr>NY3170M</vt:lpstr>
      <vt:lpstr>NY3170M2</vt:lpstr>
      <vt:lpstr>NY3170LK</vt:lpstr>
      <vt:lpstr>NY6200</vt:lpstr>
      <vt:lpstr>NY6180</vt:lpstr>
      <vt:lpstr>NY6180L</vt:lpstr>
      <vt:lpstr>NY6300S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佳晨 徐</dc:creator>
  <cp:lastModifiedBy>星星</cp:lastModifiedBy>
  <dcterms:created xsi:type="dcterms:W3CDTF">2023-09-21T06:33:00Z</dcterms:created>
  <dcterms:modified xsi:type="dcterms:W3CDTF">2026-06-10T16:59:59Z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KSOReadingLayout">
    <vt:bool>false</vt:bool>
  </property>
  <property fmtid="{D5CDD505-2E9C-101B-9397-08002B2CF9AE}" pid="4" name="ICV">
    <vt:lpwstr>9704067B8DF94E23A9B9C1F11DFF8946_12</vt:lpwstr>
  </property>
  <property fmtid="{D5CDD505-2E9C-101B-9397-08002B2CF9AE}" pid="5" name="CalculationRule">
    <vt:i4>0</vt:i4>
  </property>
</Properties>
</file>