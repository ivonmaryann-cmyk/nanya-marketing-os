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tabRatio="660" firstSheet="1" activeTab="1"/>
  </bookViews>
  <sheets>
    <sheet name="NY2140" sheetId="1" r:id="rId1"/>
    <sheet name="NY2150" sheetId="3" r:id="rId2"/>
    <sheet name="NY2170" sheetId="2" r:id="rId3"/>
    <sheet name="NY3150HF" sheetId="4" r:id="rId4"/>
    <sheet name="NY3150HC" sheetId="7" r:id="rId5"/>
    <sheet name="NY3170M" sheetId="5" r:id="rId6"/>
    <sheet name="NY3170M2" sheetId="6" r:id="rId7"/>
    <sheet name="NY3170HF" sheetId="8" r:id="rId8"/>
    <sheet name="NY6300S" sheetId="9" r:id="rId9"/>
    <sheet name="NY6300SN" sheetId="10" r:id="rId10"/>
  </sheets>
  <definedNames>
    <definedName name="_xlnm._FilterDatabase" localSheetId="1" hidden="1">'NY2150'!$A$15:$U$139</definedName>
    <definedName name="_xlnm._FilterDatabase" localSheetId="0" hidden="1">'NY2140'!#REF!</definedName>
    <definedName name="_xlnm.Print_Area" localSheetId="0">'NY2140'!$A$1:$S$95</definedName>
    <definedName name="_xlnm.Print_Area" localSheetId="5">NY3170M!$A$1:$R$120</definedName>
    <definedName name="_xlnm.Print_Area" localSheetId="2">'NY2170'!$A$1:$R$99</definedName>
    <definedName name="_xlnm.Print_Area" localSheetId="6">NY3170M2!$A$1:$T$88</definedName>
    <definedName name="_xlnm.Print_Area" localSheetId="4">NY3150HC!$A$1:$R$38</definedName>
    <definedName name="_xlnm.Print_Area" localSheetId="3">NY3150HF!$A$1:$T$183</definedName>
    <definedName name="_xlnm.Print_Area" localSheetId="1">'NY2150'!$A$1:$U$170</definedName>
    <definedName name="_xlnm.Print_Area" localSheetId="7">NY3170HF!$A$1:$S$52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<sst xmlns="http://schemas.openxmlformats.org/spreadsheetml/2006/main" count="2952" uniqueCount="172">
  <si>
    <t>南亚新材料科技股份有限公司</t>
  </si>
  <si>
    <t>中 国 上 海 市 嘉 定 区 南 翔 镇 昌 翔 路 158 号</t>
  </si>
  <si>
    <t>TEL：021-59175555(上海)， 0755-33231030(深圳)</t>
  </si>
  <si>
    <t>客户名称：瀚宇博德</t>
  </si>
  <si>
    <t>发   件   人：吴成令</t>
  </si>
  <si>
    <t xml:space="preserve">收 件 人：陈月、杨副理 、陈经理、刘协理    </t>
  </si>
  <si>
    <t>电        话：13861867754</t>
  </si>
  <si>
    <t>付款方式：月结120天</t>
  </si>
  <si>
    <t>币        种：RMB未税</t>
  </si>
  <si>
    <t>报价日期：2026-06-2</t>
  </si>
  <si>
    <t>生   效   日：2026年6月15日到货生效</t>
  </si>
  <si>
    <t xml:space="preserve">        感谢您对我司的支持和信任！ 贵司所需材料定价如下:</t>
  </si>
  <si>
    <t>NY2140板材价格表</t>
  </si>
  <si>
    <t>型号</t>
  </si>
  <si>
    <t>厚度</t>
  </si>
  <si>
    <t>铜厚</t>
  </si>
  <si>
    <t>铜箔</t>
  </si>
  <si>
    <t>叠构</t>
  </si>
  <si>
    <t>价格</t>
  </si>
  <si>
    <t>Product</t>
  </si>
  <si>
    <t>mm</t>
  </si>
  <si>
    <t>mil</t>
  </si>
  <si>
    <t>Cu</t>
  </si>
  <si>
    <t>Stacking</t>
  </si>
  <si>
    <t>SQ.FT</t>
  </si>
  <si>
    <t>36"X48"</t>
  </si>
  <si>
    <t>40"X48"</t>
  </si>
  <si>
    <t>42"X48"</t>
  </si>
  <si>
    <t>41"X43"</t>
  </si>
  <si>
    <t>29.6"x49"</t>
  </si>
  <si>
    <t>44.4"X49"</t>
  </si>
  <si>
    <t>32.8"X49"</t>
  </si>
  <si>
    <t>49.2"X49</t>
  </si>
  <si>
    <t>34.4"X49"</t>
  </si>
  <si>
    <t>51.6"X49"</t>
  </si>
  <si>
    <t>27.2"x49"</t>
  </si>
  <si>
    <t>备注</t>
  </si>
  <si>
    <t>NY2140</t>
  </si>
  <si>
    <t>2/2</t>
  </si>
  <si>
    <t>RTF</t>
  </si>
  <si>
    <t>1*106</t>
  </si>
  <si>
    <t>1/1</t>
  </si>
  <si>
    <t>HTE</t>
  </si>
  <si>
    <t>2*7628</t>
  </si>
  <si>
    <t>H/H</t>
  </si>
  <si>
    <t>J/J</t>
  </si>
  <si>
    <t>2*7628+1*1080</t>
  </si>
  <si>
    <t>2*7628+1*2116</t>
  </si>
  <si>
    <t>3*7628</t>
  </si>
  <si>
    <t>4*7628</t>
  </si>
  <si>
    <t>4*7628+1*2116</t>
  </si>
  <si>
    <t>5*7628</t>
  </si>
  <si>
    <t>6*7628</t>
  </si>
  <si>
    <t>7*7628</t>
  </si>
  <si>
    <t>8*7628</t>
  </si>
  <si>
    <t>9*7628</t>
  </si>
  <si>
    <t>10*7628</t>
  </si>
  <si>
    <t>11*7628</t>
  </si>
  <si>
    <t>NY2140P半固化片价格表</t>
  </si>
  <si>
    <t>产品类别</t>
  </si>
  <si>
    <t>产品型号</t>
  </si>
  <si>
    <r>
      <rPr>
        <sz val="11"/>
        <rFont val="微软雅黑"/>
        <charset val="136"/>
      </rPr>
      <t>树脂含量</t>
    </r>
    <r>
      <rPr>
        <sz val="11"/>
        <rFont val="微软雅黑"/>
        <charset val="134"/>
      </rPr>
      <t>(%)</t>
    </r>
  </si>
  <si>
    <t>卷装长度</t>
  </si>
  <si>
    <r>
      <rPr>
        <sz val="11"/>
        <rFont val="微软雅黑"/>
        <charset val="136"/>
      </rPr>
      <t>49.5宽幅单价</t>
    </r>
    <r>
      <rPr>
        <sz val="11"/>
        <rFont val="微软雅黑"/>
        <charset val="134"/>
      </rPr>
      <t xml:space="preserve"> </t>
    </r>
    <r>
      <rPr>
        <sz val="11"/>
        <rFont val="微软雅黑"/>
        <charset val="136"/>
      </rPr>
      <t>（</t>
    </r>
    <r>
      <rPr>
        <sz val="11"/>
        <rFont val="微软雅黑"/>
        <charset val="134"/>
      </rPr>
      <t>RMB</t>
    </r>
    <r>
      <rPr>
        <sz val="11"/>
        <rFont val="微软雅黑"/>
        <charset val="136"/>
      </rPr>
      <t>）</t>
    </r>
  </si>
  <si>
    <r>
      <rPr>
        <sz val="11"/>
        <rFont val="微软雅黑"/>
        <charset val="136"/>
      </rPr>
      <t>43.5"宽幅单价</t>
    </r>
    <r>
      <rPr>
        <sz val="11"/>
        <rFont val="微软雅黑"/>
        <charset val="134"/>
      </rPr>
      <t xml:space="preserve"> </t>
    </r>
    <r>
      <rPr>
        <sz val="11"/>
        <rFont val="微软雅黑"/>
        <charset val="136"/>
      </rPr>
      <t>（</t>
    </r>
    <r>
      <rPr>
        <sz val="11"/>
        <rFont val="微软雅黑"/>
        <charset val="134"/>
      </rPr>
      <t>RMB</t>
    </r>
    <r>
      <rPr>
        <sz val="11"/>
        <rFont val="微软雅黑"/>
        <charset val="136"/>
      </rPr>
      <t>）</t>
    </r>
  </si>
  <si>
    <t>Products</t>
  </si>
  <si>
    <t>Glass type</t>
  </si>
  <si>
    <t>Resin Content</t>
  </si>
  <si>
    <t>Length (m)</t>
  </si>
  <si>
    <t>Per SF</t>
  </si>
  <si>
    <t>Per M</t>
  </si>
  <si>
    <t>Per Roll</t>
  </si>
  <si>
    <t>NY2140P</t>
  </si>
  <si>
    <t>63~64%</t>
  </si>
  <si>
    <t>52%</t>
  </si>
  <si>
    <t>客户回签：__________________________</t>
  </si>
  <si>
    <r>
      <rPr>
        <sz val="11"/>
        <color theme="1"/>
        <rFont val="微软雅黑"/>
        <charset val="136"/>
      </rPr>
      <t>公司审核：</t>
    </r>
    <r>
      <rPr>
        <sz val="11"/>
        <color theme="1"/>
        <rFont val="微软雅黑"/>
        <charset val="134"/>
      </rPr>
      <t>_________________________</t>
    </r>
  </si>
  <si>
    <t>NY2150板材价格表</t>
  </si>
  <si>
    <t>41*43</t>
  </si>
  <si>
    <t>37"*43"</t>
  </si>
  <si>
    <t>24.6"*49"</t>
  </si>
  <si>
    <t>NY2150</t>
  </si>
  <si>
    <t>1*1080</t>
  </si>
  <si>
    <t>1/H</t>
  </si>
  <si>
    <t>1*1086</t>
  </si>
  <si>
    <t>2/1</t>
  </si>
  <si>
    <t>1*2313</t>
  </si>
  <si>
    <t>1*2116</t>
  </si>
  <si>
    <t>2*1080</t>
  </si>
  <si>
    <t>1*1506</t>
  </si>
  <si>
    <t>1*7628</t>
  </si>
  <si>
    <t>2*2116</t>
  </si>
  <si>
    <t>3/3</t>
  </si>
  <si>
    <t>2*1506</t>
  </si>
  <si>
    <t>4/4</t>
  </si>
  <si>
    <t>T/T</t>
  </si>
  <si>
    <t>2*2116+2*7628</t>
  </si>
  <si>
    <t>14*7628</t>
  </si>
  <si>
    <t>NY2150P半固化片价格表</t>
  </si>
  <si>
    <t>NY2150P</t>
  </si>
  <si>
    <t>生   效   日：2026年6月15日到货开始生效</t>
  </si>
  <si>
    <t>NY2170板材价格表</t>
  </si>
  <si>
    <t>49.2"X49"</t>
  </si>
  <si>
    <t>NY2170</t>
  </si>
  <si>
    <t>H/1</t>
  </si>
  <si>
    <t>1/2</t>
  </si>
  <si>
    <t>1*3313</t>
  </si>
  <si>
    <t>NY2170P半固化片价格表</t>
  </si>
  <si>
    <t>NY2170P</t>
  </si>
  <si>
    <t>客户回签：_________________________</t>
  </si>
  <si>
    <t>NY3150HF板材价格表</t>
  </si>
  <si>
    <t>27.2"X43"</t>
  </si>
  <si>
    <t>24.6"X49"</t>
  </si>
  <si>
    <t>NY3150HF</t>
  </si>
  <si>
    <t>1*1078</t>
  </si>
  <si>
    <t>2*7628+2*2116</t>
  </si>
  <si>
    <t>72</t>
  </si>
  <si>
    <t>NY3150HFP半固化片价格表</t>
  </si>
  <si>
    <r>
      <rPr>
        <sz val="11"/>
        <rFont val="宋体"/>
        <charset val="136"/>
      </rPr>
      <t>树脂含量</t>
    </r>
    <r>
      <rPr>
        <sz val="11"/>
        <rFont val="Arial"/>
        <charset val="134"/>
      </rPr>
      <t>(%)</t>
    </r>
  </si>
  <si>
    <r>
      <rPr>
        <sz val="11"/>
        <rFont val="宋体"/>
        <charset val="136"/>
      </rPr>
      <t>49.5宽幅单价</t>
    </r>
    <r>
      <rPr>
        <sz val="11"/>
        <rFont val="Arial"/>
        <charset val="134"/>
      </rPr>
      <t xml:space="preserve"> </t>
    </r>
    <r>
      <rPr>
        <sz val="11"/>
        <rFont val="宋体"/>
        <charset val="136"/>
      </rPr>
      <t>（</t>
    </r>
    <r>
      <rPr>
        <sz val="11"/>
        <rFont val="Arial"/>
        <charset val="134"/>
      </rPr>
      <t>RMB</t>
    </r>
    <r>
      <rPr>
        <sz val="11"/>
        <rFont val="宋体"/>
        <charset val="136"/>
      </rPr>
      <t>）</t>
    </r>
  </si>
  <si>
    <r>
      <rPr>
        <sz val="11"/>
        <rFont val="宋体"/>
        <charset val="136"/>
      </rPr>
      <t>43.5"宽幅单价</t>
    </r>
    <r>
      <rPr>
        <sz val="11"/>
        <rFont val="Arial"/>
        <charset val="134"/>
      </rPr>
      <t xml:space="preserve"> </t>
    </r>
    <r>
      <rPr>
        <sz val="11"/>
        <rFont val="宋体"/>
        <charset val="136"/>
      </rPr>
      <t>（</t>
    </r>
    <r>
      <rPr>
        <sz val="11"/>
        <rFont val="Arial"/>
        <charset val="134"/>
      </rPr>
      <t>RMB</t>
    </r>
    <r>
      <rPr>
        <sz val="11"/>
        <rFont val="宋体"/>
        <charset val="136"/>
      </rPr>
      <t>）</t>
    </r>
  </si>
  <si>
    <t>NY3150HFP</t>
  </si>
  <si>
    <t>75%</t>
  </si>
  <si>
    <t>71%</t>
  </si>
  <si>
    <t>53%</t>
  </si>
  <si>
    <t>57%</t>
  </si>
  <si>
    <t>50%</t>
  </si>
  <si>
    <t>NY3150HC板材价格表</t>
  </si>
  <si>
    <t>NY3150HC</t>
  </si>
  <si>
    <t>NY3150HCP半固化片价格表</t>
  </si>
  <si>
    <t>NY3150HCP</t>
  </si>
  <si>
    <t>NY3170M板材价格表</t>
  </si>
  <si>
    <t>NY3170M</t>
  </si>
  <si>
    <t>1*1067</t>
  </si>
  <si>
    <t>RTF2</t>
  </si>
  <si>
    <t>2116*1</t>
  </si>
  <si>
    <t>2*106</t>
  </si>
  <si>
    <t>2/H</t>
  </si>
  <si>
    <t>2*1078</t>
  </si>
  <si>
    <t>3*2116</t>
  </si>
  <si>
    <t>NY3170MP半固化片价格表</t>
  </si>
  <si>
    <t>NY3170MP</t>
  </si>
  <si>
    <t>NY3170M2板材价格表</t>
  </si>
  <si>
    <t>27.2*43</t>
  </si>
  <si>
    <t>NY3170M2</t>
  </si>
  <si>
    <t>专案价</t>
  </si>
  <si>
    <t>RTF2/RTF</t>
  </si>
  <si>
    <t>5*2116</t>
  </si>
  <si>
    <t>NY3170M2P半固化片价格表</t>
  </si>
  <si>
    <t>NY3170M2P</t>
  </si>
  <si>
    <t>NY3170HF板材价格表</t>
  </si>
  <si>
    <t>NY3170HF</t>
  </si>
  <si>
    <t>NY3170HFP半固化片价格表</t>
  </si>
  <si>
    <t>NY3170HFP</t>
  </si>
  <si>
    <t>报价日期：2026-04-27</t>
  </si>
  <si>
    <t>生   效   日：2026年5月10日到货生效</t>
  </si>
  <si>
    <t>NY6300S板材价格表</t>
  </si>
  <si>
    <t>NY6300S</t>
  </si>
  <si>
    <t>RTF/RTF2</t>
  </si>
  <si>
    <t>HVLP</t>
  </si>
  <si>
    <t>专案</t>
  </si>
  <si>
    <t>2*3313</t>
  </si>
  <si>
    <t>6*2116</t>
  </si>
  <si>
    <t>NY6300SP半固化片价格表</t>
  </si>
  <si>
    <t>NY6300SP</t>
  </si>
  <si>
    <t>NY6300SN板材价格表</t>
  </si>
  <si>
    <t>NY6300SN</t>
  </si>
  <si>
    <t>RTF3</t>
  </si>
  <si>
    <t>RTF3+RTF</t>
  </si>
  <si>
    <t>4*3313</t>
  </si>
  <si>
    <t>NY6300SNP半固化片价格表</t>
  </si>
  <si>
    <t>NY6300SNP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</si>
</sst>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  <numFmt numFmtId="180" formatCode="0.0%"/>
  </numFmts>
  <fonts count="47">
    <font>
      <sz val="12"/>
      <name val="宋体"/>
      <charset val="134"/>
    </font>
    <font>
      <sz val="12"/>
      <color theme="1"/>
      <name val="Arial Unicode MS"/>
      <charset val="136"/>
    </font>
    <font>
      <b/>
      <sz val="48"/>
      <color theme="1"/>
      <name val="Arial Unicode MS"/>
      <charset val="136"/>
    </font>
    <font>
      <sz val="11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软雅黑"/>
      <charset val="136"/>
    </font>
    <font>
      <sz val="12"/>
      <color theme="1"/>
      <name val="微软雅黑"/>
      <charset val="134"/>
    </font>
    <font>
      <sz val="14"/>
      <color theme="1"/>
      <name val="微软雅黑"/>
      <charset val="136"/>
    </font>
    <font>
      <sz val="9"/>
      <color theme="1"/>
      <name val="微软雅黑"/>
      <charset val="134"/>
    </font>
    <font>
      <sz val="11"/>
      <name val="微软雅黑"/>
      <charset val="134"/>
    </font>
    <font>
      <sz val="14"/>
      <name val="微软雅黑"/>
      <charset val="136"/>
    </font>
    <font>
      <sz val="11"/>
      <name val="微软雅黑"/>
      <charset val="136"/>
    </font>
    <font>
      <sz val="12"/>
      <color theme="1"/>
      <name val="Arial"/>
      <charset val="134"/>
    </font>
    <font>
      <b/>
      <sz val="46"/>
      <color theme="1"/>
      <name val="Arial Unicode MS"/>
      <charset val="136"/>
    </font>
    <font>
      <sz val="11"/>
      <color rgb="FF000000"/>
      <name val="微软雅黑"/>
      <charset val="134"/>
    </font>
    <font>
      <b/>
      <sz val="14"/>
      <color theme="1"/>
      <name val="宋体"/>
      <charset val="136"/>
    </font>
    <font>
      <sz val="11"/>
      <color theme="1"/>
      <name val="宋体"/>
      <charset val="134"/>
      <scheme val="minor"/>
    </font>
    <font>
      <b/>
      <sz val="11"/>
      <name val="微软雅黑"/>
      <charset val="136"/>
    </font>
    <font>
      <b/>
      <sz val="11"/>
      <color theme="1"/>
      <name val="微软雅黑"/>
      <charset val="134"/>
    </font>
    <font>
      <sz val="11"/>
      <name val="宋体"/>
      <charset val="136"/>
    </font>
    <font>
      <sz val="11"/>
      <name val="Arial"/>
      <charset val="134"/>
    </font>
    <font>
      <sz val="11"/>
      <color theme="1"/>
      <name val="Arial"/>
      <charset val="134"/>
    </font>
    <font>
      <b/>
      <sz val="14"/>
      <name val="微软雅黑"/>
      <charset val="136"/>
    </font>
    <font>
      <u/>
      <sz val="11"/>
      <color theme="1"/>
      <name val="微软雅黑"/>
      <charset val="136"/>
    </font>
    <font>
      <u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6"/>
    </font>
    <font>
      <sz val="12"/>
      <name val="新細明體"/>
      <charset val="136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4" borderId="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9" applyNumberFormat="0" applyAlignment="0" applyProtection="0">
      <alignment vertical="center"/>
    </xf>
    <xf numFmtId="0" fontId="34" fillId="6" borderId="10" applyNumberFormat="0" applyAlignment="0" applyProtection="0">
      <alignment vertical="center"/>
    </xf>
    <xf numFmtId="0" fontId="35" fillId="6" borderId="9" applyNumberFormat="0" applyAlignment="0" applyProtection="0">
      <alignment vertical="center"/>
    </xf>
    <xf numFmtId="0" fontId="36" fillId="7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4" fillId="0" borderId="0">
      <protection locked="0"/>
    </xf>
    <xf numFmtId="0" fontId="44" fillId="0" borderId="0">
      <protection locked="0"/>
    </xf>
    <xf numFmtId="0" fontId="45" fillId="0" borderId="0">
      <alignment vertical="center"/>
    </xf>
    <xf numFmtId="0" fontId="44" fillId="0" borderId="0">
      <protection locked="0"/>
    </xf>
    <xf numFmtId="0" fontId="46" fillId="0" borderId="0"/>
  </cellStyleXfs>
  <cellXfs count="155">
    <xf numFmtId="0" fontId="0" fillId="0" borderId="0" xfId="0">
      <alignment vertical="center"/>
    </xf>
    <xf numFmtId="0" fontId="1" fillId="2" borderId="0" xfId="49" applyFont="1" applyFill="1" applyAlignment="1" applyProtection="1">
      <alignment horizontal="center" vertical="center"/>
    </xf>
    <xf numFmtId="0" fontId="2" fillId="2" borderId="0" xfId="49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49" applyFont="1" applyFill="1" applyAlignment="1" applyProtection="1">
      <alignment horizontal="left" vertical="center"/>
    </xf>
    <xf numFmtId="0" fontId="5" fillId="2" borderId="0" xfId="49" applyFont="1" applyFill="1" applyBorder="1" applyAlignment="1" applyProtection="1">
      <alignment horizontal="center" vertical="center"/>
    </xf>
    <xf numFmtId="49" fontId="5" fillId="2" borderId="0" xfId="49" applyNumberFormat="1" applyFont="1" applyFill="1" applyBorder="1" applyAlignment="1" applyProtection="1">
      <alignment horizontal="center" vertical="center"/>
    </xf>
    <xf numFmtId="26" fontId="5" fillId="2" borderId="0" xfId="49" applyNumberFormat="1" applyFont="1" applyFill="1" applyBorder="1" applyAlignment="1" applyProtection="1">
      <alignment vertical="center"/>
    </xf>
    <xf numFmtId="0" fontId="5" fillId="2" borderId="0" xfId="49" applyFont="1" applyFill="1" applyBorder="1" applyAlignment="1" applyProtection="1">
      <alignment vertical="center"/>
    </xf>
    <xf numFmtId="0" fontId="5" fillId="2" borderId="0" xfId="49" applyFont="1" applyFill="1" applyBorder="1" applyAlignment="1" applyProtection="1">
      <alignment horizontal="left" vertical="center"/>
    </xf>
    <xf numFmtId="0" fontId="6" fillId="2" borderId="0" xfId="49" applyFont="1" applyFill="1" applyBorder="1" applyAlignment="1" applyProtection="1">
      <alignment vertical="center"/>
    </xf>
    <xf numFmtId="0" fontId="5" fillId="2" borderId="0" xfId="49" applyFont="1" applyFill="1" applyAlignment="1" applyProtection="1">
      <alignment horizontal="center" vertical="center"/>
    </xf>
    <xf numFmtId="49" fontId="5" fillId="2" borderId="0" xfId="49" applyNumberFormat="1" applyFont="1" applyFill="1" applyAlignment="1" applyProtection="1">
      <alignment horizontal="center" vertical="center"/>
    </xf>
    <xf numFmtId="0" fontId="5" fillId="2" borderId="0" xfId="49" applyFont="1" applyFill="1" applyAlignment="1" applyProtection="1">
      <alignment vertical="center"/>
    </xf>
    <xf numFmtId="0" fontId="5" fillId="2" borderId="0" xfId="49" applyFont="1" applyFill="1" applyBorder="1" applyAlignment="1" applyProtection="1">
      <alignment horizontal="left" vertical="center" readingOrder="1"/>
    </xf>
    <xf numFmtId="0" fontId="5" fillId="2" borderId="0" xfId="49" applyFont="1" applyFill="1" applyAlignment="1" applyProtection="1">
      <alignment horizontal="center" vertical="center" wrapText="1"/>
    </xf>
    <xf numFmtId="49" fontId="5" fillId="2" borderId="0" xfId="49" applyNumberFormat="1" applyFont="1" applyFill="1" applyAlignment="1" applyProtection="1">
      <alignment horizontal="center" vertical="center" wrapText="1"/>
    </xf>
    <xf numFmtId="0" fontId="5" fillId="2" borderId="0" xfId="49" applyFont="1" applyFill="1" applyAlignment="1" applyProtection="1">
      <alignment horizontal="left" vertical="center" wrapText="1"/>
    </xf>
    <xf numFmtId="0" fontId="5" fillId="2" borderId="0" xfId="49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3" fillId="2" borderId="1" xfId="49" applyFont="1" applyFill="1" applyBorder="1" applyAlignment="1" applyProtection="1">
      <alignment horizontal="center" vertical="center"/>
    </xf>
    <xf numFmtId="49" fontId="3" fillId="2" borderId="1" xfId="49" applyNumberFormat="1" applyFont="1" applyFill="1" applyBorder="1" applyAlignment="1" applyProtection="1">
      <alignment horizontal="center" vertical="center"/>
    </xf>
    <xf numFmtId="0" fontId="4" fillId="2" borderId="1" xfId="49" applyFont="1" applyFill="1" applyBorder="1" applyAlignment="1" applyProtection="1">
      <alignment horizontal="center" vertical="center"/>
    </xf>
    <xf numFmtId="49" fontId="4" fillId="2" borderId="1" xfId="49" applyNumberFormat="1" applyFont="1" applyFill="1" applyBorder="1" applyAlignment="1" applyProtection="1">
      <alignment horizontal="center" vertical="center"/>
    </xf>
    <xf numFmtId="26" fontId="4" fillId="2" borderId="1" xfId="49" applyNumberFormat="1" applyFont="1" applyFill="1" applyBorder="1" applyAlignment="1" applyProtection="1">
      <alignment horizontal="center" vertical="center"/>
    </xf>
    <xf numFmtId="176" fontId="4" fillId="2" borderId="1" xfId="49" applyNumberFormat="1" applyFont="1" applyFill="1" applyBorder="1" applyAlignment="1" applyProtection="1">
      <alignment horizontal="center" vertical="center" wrapText="1"/>
    </xf>
    <xf numFmtId="177" fontId="4" fillId="2" borderId="1" xfId="49" applyNumberFormat="1" applyFont="1" applyFill="1" applyBorder="1" applyAlignment="1" applyProtection="1">
      <alignment horizontal="center" vertical="center" wrapText="1"/>
    </xf>
    <xf numFmtId="49" fontId="4" fillId="2" borderId="1" xfId="49" applyNumberFormat="1" applyFont="1" applyFill="1" applyBorder="1" applyAlignment="1" applyProtection="1">
      <alignment horizontal="center" vertical="center" wrapText="1"/>
    </xf>
    <xf numFmtId="176" fontId="8" fillId="2" borderId="1" xfId="49" applyNumberFormat="1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1" xfId="49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49" applyFont="1" applyFill="1" applyBorder="1" applyAlignment="1" applyProtection="1">
      <alignment horizontal="center" vertical="center" wrapText="1"/>
    </xf>
    <xf numFmtId="177" fontId="11" fillId="2" borderId="1" xfId="0" applyNumberFormat="1" applyFont="1" applyFill="1" applyBorder="1" applyAlignment="1">
      <alignment horizontal="center" vertical="center"/>
    </xf>
    <xf numFmtId="178" fontId="4" fillId="2" borderId="1" xfId="49" applyNumberFormat="1" applyFont="1" applyFill="1" applyBorder="1" applyAlignment="1" applyProtection="1">
      <alignment horizontal="center" vertical="center" wrapText="1"/>
    </xf>
    <xf numFmtId="9" fontId="4" fillId="2" borderId="1" xfId="49" applyNumberFormat="1" applyFont="1" applyFill="1" applyBorder="1" applyAlignment="1" applyProtection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9" fontId="3" fillId="2" borderId="0" xfId="0" applyNumberFormat="1" applyFont="1" applyFill="1" applyBorder="1">
      <alignment vertical="center"/>
    </xf>
    <xf numFmtId="0" fontId="4" fillId="2" borderId="0" xfId="49" applyFont="1" applyFill="1" applyAlignment="1" applyProtection="1">
      <alignment vertical="center"/>
    </xf>
    <xf numFmtId="0" fontId="12" fillId="2" borderId="0" xfId="49" applyFont="1" applyFill="1" applyAlignment="1" applyProtection="1">
      <alignment vertical="center"/>
    </xf>
    <xf numFmtId="0" fontId="6" fillId="2" borderId="0" xfId="49" applyFont="1" applyFill="1" applyAlignment="1" applyProtection="1">
      <alignment vertical="center"/>
    </xf>
    <xf numFmtId="0" fontId="4" fillId="2" borderId="1" xfId="49" applyFont="1" applyFill="1" applyBorder="1" applyAlignment="1" applyProtection="1">
      <alignment vertical="center"/>
    </xf>
    <xf numFmtId="176" fontId="4" fillId="2" borderId="1" xfId="49" applyNumberFormat="1" applyFont="1" applyFill="1" applyBorder="1" applyAlignment="1" applyProtection="1">
      <alignment horizontal="center" vertical="center"/>
    </xf>
    <xf numFmtId="0" fontId="3" fillId="2" borderId="0" xfId="49" applyFont="1" applyFill="1" applyAlignment="1" applyProtection="1">
      <alignment horizontal="left" vertical="center"/>
    </xf>
    <xf numFmtId="0" fontId="3" fillId="2" borderId="0" xfId="49" applyFont="1" applyFill="1" applyBorder="1" applyAlignment="1" applyProtection="1">
      <alignment horizontal="center" vertical="center"/>
    </xf>
    <xf numFmtId="49" fontId="3" fillId="2" borderId="0" xfId="49" applyNumberFormat="1" applyFont="1" applyFill="1" applyBorder="1" applyAlignment="1" applyProtection="1">
      <alignment horizontal="center" vertical="center"/>
    </xf>
    <xf numFmtId="26" fontId="3" fillId="2" borderId="0" xfId="49" applyNumberFormat="1" applyFont="1" applyFill="1" applyBorder="1" applyAlignment="1" applyProtection="1">
      <alignment vertical="center"/>
    </xf>
    <xf numFmtId="0" fontId="3" fillId="2" borderId="0" xfId="49" applyFont="1" applyFill="1" applyBorder="1" applyAlignment="1" applyProtection="1">
      <alignment vertical="center"/>
    </xf>
    <xf numFmtId="0" fontId="3" fillId="2" borderId="0" xfId="49" applyFont="1" applyFill="1" applyBorder="1" applyAlignment="1" applyProtection="1">
      <alignment horizontal="left" vertical="center"/>
    </xf>
    <xf numFmtId="0" fontId="4" fillId="2" borderId="0" xfId="49" applyFont="1" applyFill="1" applyBorder="1" applyAlignment="1" applyProtection="1">
      <alignment vertical="center"/>
    </xf>
    <xf numFmtId="0" fontId="3" fillId="2" borderId="0" xfId="49" applyFont="1" applyFill="1" applyAlignment="1" applyProtection="1">
      <alignment horizontal="center" vertical="center"/>
    </xf>
    <xf numFmtId="49" fontId="3" fillId="2" borderId="0" xfId="49" applyNumberFormat="1" applyFont="1" applyFill="1" applyAlignment="1" applyProtection="1">
      <alignment horizontal="center" vertical="center"/>
    </xf>
    <xf numFmtId="0" fontId="3" fillId="2" borderId="0" xfId="49" applyFont="1" applyFill="1" applyAlignment="1" applyProtection="1">
      <alignment vertical="center"/>
    </xf>
    <xf numFmtId="0" fontId="3" fillId="2" borderId="0" xfId="49" applyFont="1" applyFill="1" applyBorder="1" applyAlignment="1" applyProtection="1">
      <alignment horizontal="left" vertical="center" readingOrder="1"/>
    </xf>
    <xf numFmtId="0" fontId="3" fillId="2" borderId="0" xfId="49" applyFont="1" applyFill="1" applyAlignment="1" applyProtection="1">
      <alignment horizontal="center" vertical="center" wrapText="1"/>
    </xf>
    <xf numFmtId="49" fontId="3" fillId="2" borderId="0" xfId="49" applyNumberFormat="1" applyFont="1" applyFill="1" applyAlignment="1" applyProtection="1">
      <alignment horizontal="center" vertical="center" wrapText="1"/>
    </xf>
    <xf numFmtId="0" fontId="3" fillId="2" borderId="0" xfId="49" applyFont="1" applyFill="1" applyAlignment="1" applyProtection="1">
      <alignment horizontal="left" vertical="center" wrapText="1"/>
    </xf>
    <xf numFmtId="0" fontId="3" fillId="2" borderId="0" xfId="49" applyFont="1" applyFill="1" applyBorder="1" applyAlignment="1" applyProtection="1">
      <alignment horizontal="left" vertical="center" wrapText="1"/>
    </xf>
    <xf numFmtId="176" fontId="3" fillId="2" borderId="1" xfId="49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13" fillId="2" borderId="0" xfId="49" applyFont="1" applyFill="1" applyAlignment="1" applyProtection="1">
      <alignment horizontal="center" vertical="center"/>
    </xf>
    <xf numFmtId="0" fontId="14" fillId="2" borderId="1" xfId="49" applyFont="1" applyFill="1" applyBorder="1" applyAlignment="1" applyProtection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9" fontId="0" fillId="2" borderId="0" xfId="3" applyFont="1" applyFill="1">
      <alignment vertical="center"/>
    </xf>
    <xf numFmtId="0" fontId="0" fillId="2" borderId="1" xfId="0" applyFill="1" applyBorder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15" fillId="2" borderId="0" xfId="0" applyFont="1" applyFill="1" applyAlignment="1">
      <alignment horizontal="center" vertical="center"/>
    </xf>
    <xf numFmtId="49" fontId="3" fillId="2" borderId="2" xfId="49" applyNumberFormat="1" applyFont="1" applyFill="1" applyBorder="1" applyAlignment="1" applyProtection="1">
      <alignment horizontal="center" vertical="center"/>
    </xf>
    <xf numFmtId="49" fontId="3" fillId="2" borderId="3" xfId="49" applyNumberFormat="1" applyFont="1" applyFill="1" applyBorder="1" applyAlignment="1" applyProtection="1">
      <alignment horizontal="center" vertical="center"/>
    </xf>
    <xf numFmtId="0" fontId="9" fillId="2" borderId="0" xfId="0" applyFont="1" applyFill="1">
      <alignment vertical="center"/>
    </xf>
    <xf numFmtId="176" fontId="4" fillId="2" borderId="2" xfId="49" applyNumberFormat="1" applyFont="1" applyFill="1" applyBorder="1" applyAlignment="1" applyProtection="1">
      <alignment horizontal="center" vertical="center" wrapText="1"/>
    </xf>
    <xf numFmtId="9" fontId="16" fillId="0" borderId="0" xfId="3" applyNumberFormat="1" applyFont="1" applyFill="1" applyBorder="1" applyAlignment="1" applyProtection="1">
      <alignment vertical="center"/>
    </xf>
    <xf numFmtId="49" fontId="3" fillId="2" borderId="4" xfId="49" applyNumberFormat="1" applyFont="1" applyFill="1" applyBorder="1" applyAlignment="1" applyProtection="1">
      <alignment horizontal="center" vertical="center"/>
    </xf>
    <xf numFmtId="0" fontId="0" fillId="0" borderId="2" xfId="0" applyBorder="1">
      <alignment vertical="center"/>
    </xf>
    <xf numFmtId="9" fontId="16" fillId="3" borderId="0" xfId="0" applyNumberFormat="1" applyFont="1" applyFill="1" applyBorder="1" applyAlignment="1">
      <alignment vertical="center"/>
    </xf>
    <xf numFmtId="0" fontId="0" fillId="2" borderId="2" xfId="0" applyFill="1" applyBorder="1">
      <alignment vertical="center"/>
    </xf>
    <xf numFmtId="180" fontId="4" fillId="2" borderId="1" xfId="49" applyNumberFormat="1" applyFont="1" applyFill="1" applyBorder="1" applyAlignment="1" applyProtection="1">
      <alignment horizontal="center" vertical="center" wrapText="1"/>
    </xf>
    <xf numFmtId="177" fontId="4" fillId="2" borderId="1" xfId="49" applyNumberFormat="1" applyFont="1" applyFill="1" applyBorder="1" applyAlignment="1" applyProtection="1">
      <alignment horizontal="center" vertical="center"/>
    </xf>
    <xf numFmtId="176" fontId="4" fillId="3" borderId="1" xfId="49" applyNumberFormat="1" applyFont="1" applyFill="1" applyBorder="1" applyAlignment="1" applyProtection="1">
      <alignment horizontal="center" vertical="center" wrapText="1"/>
    </xf>
    <xf numFmtId="177" fontId="4" fillId="3" borderId="1" xfId="49" applyNumberFormat="1" applyFont="1" applyFill="1" applyBorder="1" applyAlignment="1" applyProtection="1">
      <alignment horizontal="center" vertical="center"/>
    </xf>
    <xf numFmtId="177" fontId="4" fillId="3" borderId="1" xfId="49" applyNumberFormat="1" applyFont="1" applyFill="1" applyBorder="1" applyAlignment="1" applyProtection="1">
      <alignment horizontal="center" vertical="center" wrapText="1"/>
    </xf>
    <xf numFmtId="176" fontId="4" fillId="3" borderId="1" xfId="49" applyNumberFormat="1" applyFont="1" applyFill="1" applyBorder="1" applyAlignment="1" applyProtection="1">
      <alignment horizontal="center" vertical="center"/>
    </xf>
    <xf numFmtId="176" fontId="4" fillId="2" borderId="2" xfId="49" applyNumberFormat="1" applyFont="1" applyFill="1" applyBorder="1" applyAlignment="1" applyProtection="1">
      <alignment horizontal="center" vertical="center"/>
    </xf>
    <xf numFmtId="176" fontId="4" fillId="3" borderId="2" xfId="49" applyNumberFormat="1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76" fontId="4" fillId="2" borderId="0" xfId="49" applyNumberFormat="1" applyFont="1" applyFill="1" applyBorder="1" applyAlignment="1" applyProtection="1">
      <alignment horizontal="center" vertical="center" wrapText="1"/>
    </xf>
    <xf numFmtId="178" fontId="4" fillId="2" borderId="0" xfId="49" applyNumberFormat="1" applyFont="1" applyFill="1" applyAlignment="1" applyProtection="1">
      <alignment horizontal="center" vertical="center" wrapText="1"/>
    </xf>
    <xf numFmtId="9" fontId="4" fillId="2" borderId="0" xfId="49" applyNumberFormat="1" applyFont="1" applyFill="1" applyAlignment="1" applyProtection="1">
      <alignment horizontal="center" vertical="center" wrapText="1"/>
    </xf>
    <xf numFmtId="177" fontId="4" fillId="2" borderId="0" xfId="49" applyNumberFormat="1" applyFont="1" applyFill="1" applyAlignment="1" applyProtection="1">
      <alignment horizontal="center" vertical="center" wrapText="1"/>
    </xf>
    <xf numFmtId="176" fontId="9" fillId="2" borderId="0" xfId="0" applyNumberFormat="1" applyFont="1" applyFill="1" applyAlignment="1">
      <alignment horizontal="center" vertical="center"/>
    </xf>
    <xf numFmtId="0" fontId="11" fillId="2" borderId="4" xfId="0" applyFont="1" applyFill="1" applyBorder="1" applyAlignment="1">
      <alignment vertical="center" wrapText="1"/>
    </xf>
    <xf numFmtId="176" fontId="4" fillId="2" borderId="0" xfId="49" applyNumberFormat="1" applyFont="1" applyFill="1" applyAlignment="1" applyProtection="1">
      <alignment horizontal="center" vertical="center" wrapText="1"/>
    </xf>
    <xf numFmtId="9" fontId="0" fillId="0" borderId="0" xfId="0" applyNumberFormat="1">
      <alignment vertical="center"/>
    </xf>
    <xf numFmtId="49" fontId="4" fillId="2" borderId="5" xfId="49" applyNumberFormat="1" applyFont="1" applyFill="1" applyBorder="1" applyAlignment="1" applyProtection="1">
      <alignment horizontal="center" vertical="center"/>
    </xf>
    <xf numFmtId="26" fontId="4" fillId="2" borderId="5" xfId="49" applyNumberFormat="1" applyFont="1" applyFill="1" applyBorder="1" applyAlignment="1" applyProtection="1">
      <alignment horizontal="center" vertical="center"/>
    </xf>
    <xf numFmtId="179" fontId="4" fillId="2" borderId="1" xfId="49" applyNumberFormat="1" applyFont="1" applyFill="1" applyBorder="1" applyAlignment="1" applyProtection="1">
      <alignment horizontal="center" vertical="center"/>
    </xf>
    <xf numFmtId="179" fontId="4" fillId="2" borderId="1" xfId="49" applyNumberFormat="1" applyFont="1" applyFill="1" applyBorder="1" applyAlignment="1" applyProtection="1">
      <alignment horizontal="center" vertical="center" wrapText="1"/>
    </xf>
    <xf numFmtId="178" fontId="4" fillId="2" borderId="1" xfId="49" applyNumberFormat="1" applyFont="1" applyFill="1" applyBorder="1" applyAlignment="1" applyProtection="1">
      <alignment horizontal="center" vertical="center"/>
    </xf>
    <xf numFmtId="0" fontId="4" fillId="2" borderId="5" xfId="49" applyFont="1" applyFill="1" applyBorder="1" applyAlignment="1" applyProtection="1">
      <alignment horizontal="center" vertical="center"/>
    </xf>
    <xf numFmtId="0" fontId="4" fillId="2" borderId="5" xfId="49" applyFont="1" applyFill="1" applyBorder="1" applyAlignment="1" applyProtection="1">
      <alignment vertical="center"/>
    </xf>
    <xf numFmtId="176" fontId="4" fillId="2" borderId="1" xfId="49" applyNumberFormat="1" applyFont="1" applyFill="1" applyBorder="1" applyAlignment="1" applyProtection="1">
      <alignment vertical="center"/>
    </xf>
    <xf numFmtId="176" fontId="9" fillId="2" borderId="1" xfId="49" applyNumberFormat="1" applyFont="1" applyFill="1" applyBorder="1" applyAlignment="1" applyProtection="1">
      <alignment horizontal="center" vertical="center" wrapText="1"/>
    </xf>
    <xf numFmtId="177" fontId="9" fillId="2" borderId="1" xfId="49" applyNumberFormat="1" applyFont="1" applyFill="1" applyBorder="1" applyAlignment="1" applyProtection="1">
      <alignment horizontal="center" vertical="center"/>
    </xf>
    <xf numFmtId="178" fontId="9" fillId="2" borderId="1" xfId="49" applyNumberFormat="1" applyFont="1" applyFill="1" applyBorder="1" applyAlignment="1" applyProtection="1">
      <alignment horizontal="center" vertical="center" wrapText="1"/>
    </xf>
    <xf numFmtId="49" fontId="9" fillId="2" borderId="1" xfId="49" applyNumberFormat="1" applyFont="1" applyFill="1" applyBorder="1" applyAlignment="1" applyProtection="1">
      <alignment horizontal="center" vertical="center" wrapText="1"/>
    </xf>
    <xf numFmtId="49" fontId="9" fillId="2" borderId="1" xfId="49" applyNumberFormat="1" applyFont="1" applyFill="1" applyBorder="1" applyAlignment="1" applyProtection="1">
      <alignment horizontal="center" vertical="center"/>
    </xf>
    <xf numFmtId="176" fontId="9" fillId="2" borderId="1" xfId="49" applyNumberFormat="1" applyFont="1" applyFill="1" applyBorder="1" applyAlignment="1" applyProtection="1">
      <alignment horizontal="center" vertical="center"/>
    </xf>
    <xf numFmtId="176" fontId="8" fillId="2" borderId="1" xfId="49" applyNumberFormat="1" applyFont="1" applyFill="1" applyBorder="1" applyAlignment="1" applyProtection="1">
      <alignment horizontal="center" vertical="center"/>
    </xf>
    <xf numFmtId="178" fontId="18" fillId="2" borderId="1" xfId="49" applyNumberFormat="1" applyFont="1" applyFill="1" applyBorder="1" applyAlignment="1" applyProtection="1">
      <alignment horizontal="center" vertical="center" wrapText="1"/>
    </xf>
    <xf numFmtId="49" fontId="18" fillId="2" borderId="1" xfId="49" applyNumberFormat="1" applyFont="1" applyFill="1" applyBorder="1" applyAlignment="1" applyProtection="1">
      <alignment horizontal="center" vertical="center" wrapText="1"/>
    </xf>
    <xf numFmtId="0" fontId="19" fillId="2" borderId="1" xfId="49" applyFont="1" applyFill="1" applyBorder="1" applyAlignment="1" applyProtection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49" applyFont="1" applyFill="1" applyBorder="1" applyAlignment="1" applyProtection="1">
      <alignment horizontal="center" vertical="center" wrapText="1"/>
    </xf>
    <xf numFmtId="177" fontId="19" fillId="2" borderId="1" xfId="0" applyNumberFormat="1" applyFont="1" applyFill="1" applyBorder="1" applyAlignment="1">
      <alignment horizontal="center" vertical="center"/>
    </xf>
    <xf numFmtId="177" fontId="21" fillId="2" borderId="1" xfId="49" applyNumberFormat="1" applyFont="1" applyFill="1" applyBorder="1" applyAlignment="1" applyProtection="1">
      <alignment horizontal="center" vertical="center" wrapText="1"/>
    </xf>
    <xf numFmtId="176" fontId="20" fillId="2" borderId="1" xfId="0" applyNumberFormat="1" applyFont="1" applyFill="1" applyBorder="1" applyAlignment="1">
      <alignment horizontal="center" vertical="center"/>
    </xf>
    <xf numFmtId="9" fontId="4" fillId="2" borderId="1" xfId="49" applyNumberFormat="1" applyFont="1" applyFill="1" applyBorder="1" applyAlignment="1" applyProtection="1">
      <alignment horizontal="center" vertical="center"/>
    </xf>
    <xf numFmtId="177" fontId="21" fillId="2" borderId="1" xfId="49" applyNumberFormat="1" applyFont="1" applyFill="1" applyBorder="1" applyAlignment="1" applyProtection="1">
      <alignment horizontal="center" vertical="center"/>
    </xf>
    <xf numFmtId="176" fontId="21" fillId="2" borderId="1" xfId="49" applyNumberFormat="1" applyFont="1" applyFill="1" applyBorder="1" applyAlignment="1" applyProtection="1">
      <alignment horizontal="center" vertical="center" wrapText="1"/>
    </xf>
    <xf numFmtId="9" fontId="0" fillId="2" borderId="0" xfId="0" applyNumberFormat="1" applyFill="1">
      <alignment vertical="center"/>
    </xf>
    <xf numFmtId="176" fontId="21" fillId="2" borderId="1" xfId="49" applyNumberFormat="1" applyFont="1" applyFill="1" applyBorder="1" applyAlignment="1" applyProtection="1">
      <alignment horizontal="center" vertical="center"/>
    </xf>
    <xf numFmtId="9" fontId="9" fillId="2" borderId="0" xfId="0" applyNumberFormat="1" applyFont="1" applyFill="1">
      <alignment vertical="center"/>
    </xf>
    <xf numFmtId="0" fontId="1" fillId="2" borderId="0" xfId="49" applyFont="1" applyFill="1" applyAlignment="1" applyProtection="1">
      <alignment horizontal="center" vertical="center" wrapText="1"/>
    </xf>
    <xf numFmtId="49" fontId="1" fillId="2" borderId="0" xfId="49" applyNumberFormat="1" applyFont="1" applyFill="1" applyAlignment="1" applyProtection="1">
      <alignment horizontal="center" vertical="center" wrapText="1"/>
    </xf>
    <xf numFmtId="0" fontId="1" fillId="2" borderId="0" xfId="49" applyFont="1" applyFill="1" applyAlignment="1" applyProtection="1">
      <alignment horizontal="left" vertical="center" wrapText="1"/>
    </xf>
    <xf numFmtId="0" fontId="1" fillId="2" borderId="0" xfId="49" applyFont="1" applyFill="1" applyBorder="1" applyAlignment="1" applyProtection="1">
      <alignment horizontal="left" vertical="center" wrapText="1"/>
    </xf>
    <xf numFmtId="0" fontId="1" fillId="2" borderId="0" xfId="49" applyFont="1" applyFill="1" applyBorder="1" applyAlignment="1" applyProtection="1">
      <alignment horizontal="left" vertical="center" readingOrder="1"/>
    </xf>
    <xf numFmtId="0" fontId="0" fillId="2" borderId="1" xfId="0" applyFont="1" applyFill="1" applyBorder="1" applyAlignment="1">
      <alignment horizontal="center" vertical="center"/>
    </xf>
    <xf numFmtId="9" fontId="0" fillId="2" borderId="1" xfId="0" applyNumberFormat="1" applyFont="1" applyFill="1" applyBorder="1">
      <alignment vertical="center"/>
    </xf>
    <xf numFmtId="0" fontId="22" fillId="2" borderId="0" xfId="0" applyFont="1" applyFill="1" applyAlignment="1">
      <alignment horizontal="center" vertical="center"/>
    </xf>
    <xf numFmtId="0" fontId="4" fillId="2" borderId="0" xfId="49" applyFont="1" applyFill="1" applyAlignment="1" applyProtection="1">
      <alignment horizontal="center" vertical="center"/>
    </xf>
    <xf numFmtId="49" fontId="4" fillId="2" borderId="0" xfId="49" applyNumberFormat="1" applyFont="1" applyFill="1" applyAlignment="1" applyProtection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176" fontId="4" fillId="2" borderId="0" xfId="0" applyNumberFormat="1" applyFont="1" applyFill="1" applyBorder="1">
      <alignment vertical="center"/>
    </xf>
    <xf numFmtId="9" fontId="0" fillId="2" borderId="0" xfId="0" applyNumberFormat="1" applyFont="1" applyFill="1">
      <alignment vertical="center"/>
    </xf>
    <xf numFmtId="0" fontId="21" fillId="2" borderId="0" xfId="49" applyFont="1" applyFill="1" applyAlignment="1" applyProtection="1">
      <alignment vertical="center"/>
    </xf>
    <xf numFmtId="0" fontId="12" fillId="2" borderId="0" xfId="49" applyFont="1" applyFill="1" applyAlignment="1" applyProtection="1">
      <alignment horizontal="center" vertical="center"/>
    </xf>
    <xf numFmtId="49" fontId="12" fillId="2" borderId="0" xfId="49" applyNumberFormat="1" applyFont="1" applyFill="1" applyAlignment="1" applyProtection="1">
      <alignment horizontal="center" vertical="center"/>
    </xf>
    <xf numFmtId="9" fontId="4" fillId="2" borderId="5" xfId="49" applyNumberFormat="1" applyFont="1" applyFill="1" applyBorder="1" applyAlignment="1" applyProtection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9" fontId="4" fillId="2" borderId="0" xfId="3" applyFont="1" applyFill="1" applyBorder="1" applyAlignment="1" applyProtection="1">
      <alignment vertical="center"/>
    </xf>
    <xf numFmtId="177" fontId="12" fillId="2" borderId="0" xfId="49" applyNumberFormat="1" applyFont="1" applyFill="1" applyAlignment="1" applyProtection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  <cellStyle name="AutoFormat Options" xfId="50"/>
    <cellStyle name="一般 2" xfId="51"/>
    <cellStyle name="常规 2" xfId="52"/>
    <cellStyle name="常规 4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00000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29603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29603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20065"/>
          <a:ext cx="8890" cy="6089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20065"/>
          <a:ext cx="8890" cy="6089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20065"/>
          <a:ext cx="8890" cy="6089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20065"/>
          <a:ext cx="8890" cy="6089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1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29603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1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29603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1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1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1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1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1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1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1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1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12501</xdr:rowOff>
    </xdr:from>
    <xdr:to>
      <xdr:col>0</xdr:col>
      <xdr:colOff>9238</xdr:colOff>
      <xdr:row>4</xdr:row>
      <xdr:rowOff>177105</xdr:rowOff>
    </xdr:to>
    <xdr:pic>
      <xdr:nvPicPr>
        <xdr:cNvPr id="1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045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12501</xdr:rowOff>
    </xdr:from>
    <xdr:to>
      <xdr:col>0</xdr:col>
      <xdr:colOff>9238</xdr:colOff>
      <xdr:row>4</xdr:row>
      <xdr:rowOff>177105</xdr:rowOff>
    </xdr:to>
    <xdr:pic>
      <xdr:nvPicPr>
        <xdr:cNvPr id="1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045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9238</xdr:colOff>
      <xdr:row>3</xdr:row>
      <xdr:rowOff>177105</xdr:rowOff>
    </xdr:to>
    <xdr:pic>
      <xdr:nvPicPr>
        <xdr:cNvPr id="1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4083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9238</xdr:colOff>
      <xdr:row>3</xdr:row>
      <xdr:rowOff>177105</xdr:rowOff>
    </xdr:to>
    <xdr:pic>
      <xdr:nvPicPr>
        <xdr:cNvPr id="1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4083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9238</xdr:colOff>
      <xdr:row>3</xdr:row>
      <xdr:rowOff>177105</xdr:rowOff>
    </xdr:to>
    <xdr:pic>
      <xdr:nvPicPr>
        <xdr:cNvPr id="1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4083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9238</xdr:colOff>
      <xdr:row>3</xdr:row>
      <xdr:rowOff>177105</xdr:rowOff>
    </xdr:to>
    <xdr:pic>
      <xdr:nvPicPr>
        <xdr:cNvPr id="1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4083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12501</xdr:rowOff>
    </xdr:from>
    <xdr:to>
      <xdr:col>0</xdr:col>
      <xdr:colOff>9238</xdr:colOff>
      <xdr:row>4</xdr:row>
      <xdr:rowOff>177105</xdr:rowOff>
    </xdr:to>
    <xdr:pic>
      <xdr:nvPicPr>
        <xdr:cNvPr id="1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045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12501</xdr:rowOff>
    </xdr:from>
    <xdr:to>
      <xdr:col>0</xdr:col>
      <xdr:colOff>9238</xdr:colOff>
      <xdr:row>4</xdr:row>
      <xdr:rowOff>177105</xdr:rowOff>
    </xdr:to>
    <xdr:pic>
      <xdr:nvPicPr>
        <xdr:cNvPr id="1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045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1093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1093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7131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7131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7131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71310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1093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1093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7400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7400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764665"/>
          <a:ext cx="8890" cy="9417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764665"/>
          <a:ext cx="8890" cy="9417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764665"/>
          <a:ext cx="8890" cy="9417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764665"/>
          <a:ext cx="8890" cy="94170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7400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7400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7218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7218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78485"/>
          <a:ext cx="8890" cy="3816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78485"/>
          <a:ext cx="8890" cy="3816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78485"/>
          <a:ext cx="8890" cy="3816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78485"/>
          <a:ext cx="8890" cy="3816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7218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7218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3625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26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458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458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4057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4057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4057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3</xdr:row>
      <xdr:rowOff>12501</xdr:rowOff>
    </xdr:from>
    <xdr:to>
      <xdr:col>0</xdr:col>
      <xdr:colOff>9238</xdr:colOff>
      <xdr:row>4</xdr:row>
      <xdr:rowOff>177105</xdr:rowOff>
    </xdr:to>
    <xdr:pic>
      <xdr:nvPicPr>
        <xdr:cNvPr id="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606425"/>
          <a:ext cx="8890" cy="4057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458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4584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0"/>
  <sheetViews>
    <sheetView view="pageBreakPreview" zoomScale="85" zoomScaleNormal="70" topLeftCell="A78" workbookViewId="0">
      <selection activeCell="E100" sqref="E100"/>
    </sheetView>
  </sheetViews>
  <sheetFormatPr defaultColWidth="11" defaultRowHeight="15"/>
  <cols>
    <col min="1" max="1" width="14.1333333333333" style="148" customWidth="1"/>
    <col min="2" max="2" width="7.9" style="148" customWidth="1"/>
    <col min="3" max="3" width="10.7" style="148" customWidth="1"/>
    <col min="4" max="4" width="7.9" style="149" customWidth="1"/>
    <col min="5" max="5" width="6.8" style="148" customWidth="1"/>
    <col min="6" max="6" width="13.7666666666667" style="148" customWidth="1"/>
    <col min="7" max="7" width="9.5" style="42" customWidth="1"/>
    <col min="8" max="8" width="8.5" style="42" customWidth="1"/>
    <col min="9" max="9" width="9.5" style="42" customWidth="1"/>
    <col min="10" max="10" width="7.8" style="42" customWidth="1"/>
    <col min="11" max="12" width="9" style="42" customWidth="1"/>
    <col min="13" max="14" width="9.3" style="42" customWidth="1"/>
    <col min="15" max="15" width="12.85" style="42" customWidth="1"/>
    <col min="16" max="17" width="9.3" style="42" customWidth="1"/>
    <col min="18" max="18" width="9" style="42" customWidth="1"/>
    <col min="19" max="19" width="9.3" style="42" customWidth="1"/>
    <col min="20" max="20" width="16.6" style="42"/>
    <col min="21" max="16384" width="11" style="42"/>
  </cols>
  <sheetData>
    <row r="1" ht="9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6" customHeight="1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35" customHeight="1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26.1" customHeight="1" spans="1:1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5.6" spans="1:18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7.4" spans="1:18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</row>
    <row r="8" ht="17.4" spans="1:18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</row>
    <row r="9" ht="17.4" spans="1:18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</row>
    <row r="10" ht="17.4" spans="1:18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10</v>
      </c>
      <c r="P10" s="43"/>
      <c r="Q10" s="43"/>
      <c r="R10" s="43"/>
    </row>
    <row r="11" ht="17.4" spans="1:18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</row>
    <row r="12" ht="15.6" spans="1:9">
      <c r="A12" s="1"/>
      <c r="B12" s="1"/>
      <c r="C12" s="134"/>
      <c r="D12" s="135"/>
      <c r="E12" s="134"/>
      <c r="F12" s="134"/>
      <c r="G12" s="136"/>
      <c r="H12" s="137"/>
      <c r="I12" s="138"/>
    </row>
    <row r="13" s="147" customFormat="1" ht="20.1" customHeight="1" spans="1:18">
      <c r="A13" s="20" t="s">
        <v>12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="147" customFormat="1" ht="20.1" customHeight="1" spans="1:19">
      <c r="A14" s="21" t="s">
        <v>13</v>
      </c>
      <c r="B14" s="21" t="s">
        <v>14</v>
      </c>
      <c r="C14" s="21"/>
      <c r="D14" s="22" t="s">
        <v>15</v>
      </c>
      <c r="E14" s="22" t="s">
        <v>16</v>
      </c>
      <c r="F14" s="22" t="s">
        <v>17</v>
      </c>
      <c r="G14" s="22" t="s">
        <v>18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="147" customFormat="1" ht="20.1" customHeight="1" spans="1:19">
      <c r="A15" s="23" t="s">
        <v>19</v>
      </c>
      <c r="B15" s="23" t="s">
        <v>20</v>
      </c>
      <c r="C15" s="23" t="s">
        <v>21</v>
      </c>
      <c r="D15" s="24" t="s">
        <v>22</v>
      </c>
      <c r="E15" s="24" t="s">
        <v>22</v>
      </c>
      <c r="F15" s="24" t="s">
        <v>23</v>
      </c>
      <c r="G15" s="104" t="s">
        <v>24</v>
      </c>
      <c r="H15" s="105" t="s">
        <v>25</v>
      </c>
      <c r="I15" s="105" t="s">
        <v>26</v>
      </c>
      <c r="J15" s="109" t="s">
        <v>27</v>
      </c>
      <c r="K15" s="109" t="s">
        <v>28</v>
      </c>
      <c r="L15" s="105" t="s">
        <v>29</v>
      </c>
      <c r="M15" s="109" t="s">
        <v>30</v>
      </c>
      <c r="N15" s="104" t="s">
        <v>31</v>
      </c>
      <c r="O15" s="105" t="s">
        <v>32</v>
      </c>
      <c r="P15" s="109" t="s">
        <v>33</v>
      </c>
      <c r="Q15" s="109" t="s">
        <v>34</v>
      </c>
      <c r="R15" s="110" t="s">
        <v>35</v>
      </c>
      <c r="S15" s="109" t="s">
        <v>36</v>
      </c>
    </row>
    <row r="16" s="147" customFormat="1" ht="20.1" customHeight="1" spans="1:19">
      <c r="A16" s="23" t="s">
        <v>37</v>
      </c>
      <c r="B16" s="85">
        <f>C16/39.37</f>
        <v>0.0508001016002032</v>
      </c>
      <c r="C16" s="23">
        <v>2</v>
      </c>
      <c r="D16" s="24" t="s">
        <v>38</v>
      </c>
      <c r="E16" s="24" t="s">
        <v>39</v>
      </c>
      <c r="F16" s="45" t="s">
        <v>40</v>
      </c>
      <c r="G16" s="27">
        <v>21.824</v>
      </c>
      <c r="H16" s="26">
        <f>G16*12</f>
        <v>261.888</v>
      </c>
      <c r="I16" s="45">
        <f>G16*13.33</f>
        <v>290.91392</v>
      </c>
      <c r="J16" s="26">
        <f>G16*14</f>
        <v>305.536</v>
      </c>
      <c r="K16" s="26">
        <f>G16*11.66*1.06</f>
        <v>269.7359104</v>
      </c>
      <c r="L16" s="45">
        <f>G16*9.6</f>
        <v>209.5104</v>
      </c>
      <c r="M16" s="45">
        <f>G16*14.4</f>
        <v>314.2656</v>
      </c>
      <c r="N16" s="45">
        <f>G16*10.66</f>
        <v>232.64384</v>
      </c>
      <c r="O16" s="45">
        <f>G16*16</f>
        <v>349.184</v>
      </c>
      <c r="P16" s="45">
        <f>G16*11.2</f>
        <v>244.4288</v>
      </c>
      <c r="Q16" s="45">
        <f>G16*16.8</f>
        <v>366.6432</v>
      </c>
      <c r="R16" s="45">
        <f>G16*8.88</f>
        <v>193.79712</v>
      </c>
      <c r="S16" s="150"/>
    </row>
    <row r="17" s="147" customFormat="1" ht="15.6" spans="1:19">
      <c r="A17" s="23" t="s">
        <v>37</v>
      </c>
      <c r="B17" s="85">
        <v>0.381</v>
      </c>
      <c r="C17" s="23">
        <v>15</v>
      </c>
      <c r="D17" s="24" t="s">
        <v>41</v>
      </c>
      <c r="E17" s="24" t="s">
        <v>42</v>
      </c>
      <c r="F17" s="45" t="s">
        <v>43</v>
      </c>
      <c r="G17" s="27">
        <v>10.558</v>
      </c>
      <c r="H17" s="26">
        <f>G17*12</f>
        <v>126.696</v>
      </c>
      <c r="I17" s="45">
        <f>G17*13.33</f>
        <v>140.73814</v>
      </c>
      <c r="J17" s="26">
        <f>G17*14</f>
        <v>147.812</v>
      </c>
      <c r="K17" s="26">
        <f t="shared" ref="K17:K48" si="0">G17*11.66*1.06</f>
        <v>130.4926568</v>
      </c>
      <c r="L17" s="45">
        <f>G17*9.6</f>
        <v>101.3568</v>
      </c>
      <c r="M17" s="45">
        <f>G17*14.4</f>
        <v>152.0352</v>
      </c>
      <c r="N17" s="45">
        <f>G17*10.66</f>
        <v>112.54828</v>
      </c>
      <c r="O17" s="45">
        <f>G17*16</f>
        <v>168.928</v>
      </c>
      <c r="P17" s="45">
        <f>G17*11.2</f>
        <v>118.2496</v>
      </c>
      <c r="Q17" s="45">
        <f>G17*16.8</f>
        <v>177.3744</v>
      </c>
      <c r="R17" s="45">
        <f t="shared" ref="R17:R48" si="1">G17*8.88</f>
        <v>93.75504</v>
      </c>
      <c r="S17" s="150"/>
    </row>
    <row r="18" s="147" customFormat="1" ht="15.6" spans="1:19">
      <c r="A18" s="23" t="s">
        <v>37</v>
      </c>
      <c r="B18" s="85">
        <v>0.381</v>
      </c>
      <c r="C18" s="23">
        <v>15</v>
      </c>
      <c r="D18" s="24" t="s">
        <v>44</v>
      </c>
      <c r="E18" s="24" t="s">
        <v>42</v>
      </c>
      <c r="F18" s="45" t="s">
        <v>43</v>
      </c>
      <c r="G18" s="27">
        <v>8.138</v>
      </c>
      <c r="H18" s="26">
        <f t="shared" ref="H18:H49" si="2">G18*12</f>
        <v>97.656</v>
      </c>
      <c r="I18" s="45">
        <f t="shared" ref="I18:I49" si="3">G18*13.33</f>
        <v>108.47954</v>
      </c>
      <c r="J18" s="26">
        <f t="shared" ref="J18:J49" si="4">G18*14</f>
        <v>113.932</v>
      </c>
      <c r="K18" s="26">
        <f t="shared" si="0"/>
        <v>100.5824248</v>
      </c>
      <c r="L18" s="45">
        <f t="shared" ref="L18:L49" si="5">G18*9.6</f>
        <v>78.1248</v>
      </c>
      <c r="M18" s="45">
        <f t="shared" ref="M18:M49" si="6">G18*14.4</f>
        <v>117.1872</v>
      </c>
      <c r="N18" s="45">
        <f t="shared" ref="N18:N49" si="7">G18*10.66</f>
        <v>86.75108</v>
      </c>
      <c r="O18" s="45">
        <f t="shared" ref="O18:O49" si="8">G18*16</f>
        <v>130.208</v>
      </c>
      <c r="P18" s="45">
        <f t="shared" ref="P18:P49" si="9">G18*11.2</f>
        <v>91.1456</v>
      </c>
      <c r="Q18" s="45">
        <f t="shared" ref="Q18:Q49" si="10">G18*16.8</f>
        <v>136.7184</v>
      </c>
      <c r="R18" s="45">
        <f t="shared" si="1"/>
        <v>72.26544</v>
      </c>
      <c r="S18" s="150"/>
    </row>
    <row r="19" s="147" customFormat="1" ht="15.6" spans="1:19">
      <c r="A19" s="23" t="s">
        <v>37</v>
      </c>
      <c r="B19" s="85">
        <v>0.381</v>
      </c>
      <c r="C19" s="23">
        <v>15</v>
      </c>
      <c r="D19" s="24" t="s">
        <v>45</v>
      </c>
      <c r="E19" s="24" t="s">
        <v>42</v>
      </c>
      <c r="F19" s="45" t="s">
        <v>43</v>
      </c>
      <c r="G19" s="27">
        <v>6.036</v>
      </c>
      <c r="H19" s="26">
        <f t="shared" si="2"/>
        <v>72.432</v>
      </c>
      <c r="I19" s="45">
        <f t="shared" si="3"/>
        <v>80.45988</v>
      </c>
      <c r="J19" s="26">
        <f t="shared" si="4"/>
        <v>84.504</v>
      </c>
      <c r="K19" s="26">
        <f t="shared" si="0"/>
        <v>74.6025456</v>
      </c>
      <c r="L19" s="45">
        <f t="shared" si="5"/>
        <v>57.9456</v>
      </c>
      <c r="M19" s="45">
        <f t="shared" si="6"/>
        <v>86.9184</v>
      </c>
      <c r="N19" s="45">
        <f t="shared" si="7"/>
        <v>64.34376</v>
      </c>
      <c r="O19" s="45">
        <f t="shared" si="8"/>
        <v>96.576</v>
      </c>
      <c r="P19" s="45">
        <f t="shared" si="9"/>
        <v>67.6032</v>
      </c>
      <c r="Q19" s="45">
        <f t="shared" si="10"/>
        <v>101.4048</v>
      </c>
      <c r="R19" s="45">
        <f t="shared" si="1"/>
        <v>53.59968</v>
      </c>
      <c r="S19" s="150"/>
    </row>
    <row r="20" s="147" customFormat="1" ht="15.6" spans="1:19">
      <c r="A20" s="23" t="s">
        <v>37</v>
      </c>
      <c r="B20" s="85">
        <v>0.4064</v>
      </c>
      <c r="C20" s="23">
        <v>16</v>
      </c>
      <c r="D20" s="24" t="s">
        <v>41</v>
      </c>
      <c r="E20" s="24" t="s">
        <v>42</v>
      </c>
      <c r="F20" s="45" t="s">
        <v>43</v>
      </c>
      <c r="G20" s="27">
        <v>10.042</v>
      </c>
      <c r="H20" s="26">
        <f t="shared" si="2"/>
        <v>120.504</v>
      </c>
      <c r="I20" s="45">
        <f t="shared" si="3"/>
        <v>133.85986</v>
      </c>
      <c r="J20" s="26">
        <f t="shared" si="4"/>
        <v>140.588</v>
      </c>
      <c r="K20" s="26">
        <f t="shared" si="0"/>
        <v>124.1151032</v>
      </c>
      <c r="L20" s="45">
        <f t="shared" si="5"/>
        <v>96.4032</v>
      </c>
      <c r="M20" s="45">
        <f t="shared" si="6"/>
        <v>144.6048</v>
      </c>
      <c r="N20" s="45">
        <f t="shared" si="7"/>
        <v>107.04772</v>
      </c>
      <c r="O20" s="45">
        <f t="shared" si="8"/>
        <v>160.672</v>
      </c>
      <c r="P20" s="45">
        <f t="shared" si="9"/>
        <v>112.4704</v>
      </c>
      <c r="Q20" s="45">
        <f t="shared" si="10"/>
        <v>168.7056</v>
      </c>
      <c r="R20" s="45">
        <f t="shared" si="1"/>
        <v>89.17296</v>
      </c>
      <c r="S20" s="150"/>
    </row>
    <row r="21" s="147" customFormat="1" ht="15.6" spans="1:19">
      <c r="A21" s="23" t="s">
        <v>37</v>
      </c>
      <c r="B21" s="85">
        <v>0.4064</v>
      </c>
      <c r="C21" s="23">
        <v>16</v>
      </c>
      <c r="D21" s="24" t="s">
        <v>38</v>
      </c>
      <c r="E21" s="24" t="s">
        <v>42</v>
      </c>
      <c r="F21" s="45" t="s">
        <v>43</v>
      </c>
      <c r="G21" s="27">
        <v>18.184</v>
      </c>
      <c r="H21" s="26">
        <f t="shared" si="2"/>
        <v>218.208</v>
      </c>
      <c r="I21" s="45">
        <f t="shared" si="3"/>
        <v>242.39272</v>
      </c>
      <c r="J21" s="26">
        <f t="shared" si="4"/>
        <v>254.576</v>
      </c>
      <c r="K21" s="26">
        <f t="shared" si="0"/>
        <v>224.7469664</v>
      </c>
      <c r="L21" s="45">
        <f t="shared" si="5"/>
        <v>174.5664</v>
      </c>
      <c r="M21" s="45">
        <f t="shared" si="6"/>
        <v>261.8496</v>
      </c>
      <c r="N21" s="45">
        <f t="shared" si="7"/>
        <v>193.84144</v>
      </c>
      <c r="O21" s="45">
        <f t="shared" si="8"/>
        <v>290.944</v>
      </c>
      <c r="P21" s="45">
        <f t="shared" si="9"/>
        <v>203.6608</v>
      </c>
      <c r="Q21" s="45">
        <f t="shared" si="10"/>
        <v>305.4912</v>
      </c>
      <c r="R21" s="45">
        <f t="shared" si="1"/>
        <v>161.47392</v>
      </c>
      <c r="S21" s="150"/>
    </row>
    <row r="22" s="147" customFormat="1" ht="15.6" spans="1:19">
      <c r="A22" s="23" t="s">
        <v>37</v>
      </c>
      <c r="B22" s="85">
        <v>0.4064</v>
      </c>
      <c r="C22" s="23">
        <v>16</v>
      </c>
      <c r="D22" s="24" t="s">
        <v>44</v>
      </c>
      <c r="E22" s="24" t="s">
        <v>42</v>
      </c>
      <c r="F22" s="45" t="s">
        <v>43</v>
      </c>
      <c r="G22" s="27">
        <v>7.057</v>
      </c>
      <c r="H22" s="26">
        <f t="shared" si="2"/>
        <v>84.684</v>
      </c>
      <c r="I22" s="45">
        <f t="shared" si="3"/>
        <v>94.06981</v>
      </c>
      <c r="J22" s="26">
        <f t="shared" si="4"/>
        <v>98.798</v>
      </c>
      <c r="K22" s="26">
        <f t="shared" si="0"/>
        <v>87.2216972</v>
      </c>
      <c r="L22" s="45">
        <f t="shared" si="5"/>
        <v>67.7472</v>
      </c>
      <c r="M22" s="45">
        <f t="shared" si="6"/>
        <v>101.6208</v>
      </c>
      <c r="N22" s="45">
        <f t="shared" si="7"/>
        <v>75.22762</v>
      </c>
      <c r="O22" s="45">
        <f t="shared" si="8"/>
        <v>112.912</v>
      </c>
      <c r="P22" s="45">
        <f t="shared" si="9"/>
        <v>79.0384</v>
      </c>
      <c r="Q22" s="45">
        <f t="shared" si="10"/>
        <v>118.5576</v>
      </c>
      <c r="R22" s="45">
        <f t="shared" si="1"/>
        <v>62.66616</v>
      </c>
      <c r="S22" s="150"/>
    </row>
    <row r="23" s="147" customFormat="1" ht="15.6" spans="1:19">
      <c r="A23" s="23" t="s">
        <v>37</v>
      </c>
      <c r="B23" s="85">
        <v>0.4572</v>
      </c>
      <c r="C23" s="23">
        <v>18</v>
      </c>
      <c r="D23" s="24" t="s">
        <v>44</v>
      </c>
      <c r="E23" s="24" t="s">
        <v>42</v>
      </c>
      <c r="F23" s="118" t="s">
        <v>46</v>
      </c>
      <c r="G23" s="27">
        <v>7.637</v>
      </c>
      <c r="H23" s="26">
        <f t="shared" si="2"/>
        <v>91.644</v>
      </c>
      <c r="I23" s="45">
        <f t="shared" si="3"/>
        <v>101.80121</v>
      </c>
      <c r="J23" s="26">
        <f t="shared" si="4"/>
        <v>106.918</v>
      </c>
      <c r="K23" s="26">
        <f t="shared" si="0"/>
        <v>94.3902652</v>
      </c>
      <c r="L23" s="45">
        <f t="shared" si="5"/>
        <v>73.3152</v>
      </c>
      <c r="M23" s="45">
        <f t="shared" si="6"/>
        <v>109.9728</v>
      </c>
      <c r="N23" s="45">
        <f t="shared" si="7"/>
        <v>81.41042</v>
      </c>
      <c r="O23" s="45">
        <f t="shared" si="8"/>
        <v>122.192</v>
      </c>
      <c r="P23" s="45">
        <f t="shared" si="9"/>
        <v>85.5344</v>
      </c>
      <c r="Q23" s="45">
        <f t="shared" si="10"/>
        <v>128.3016</v>
      </c>
      <c r="R23" s="45">
        <f t="shared" si="1"/>
        <v>67.81656</v>
      </c>
      <c r="S23" s="150"/>
    </row>
    <row r="24" s="147" customFormat="1" ht="15.6" spans="1:19">
      <c r="A24" s="23" t="s">
        <v>37</v>
      </c>
      <c r="B24" s="85">
        <v>0.4572</v>
      </c>
      <c r="C24" s="23">
        <v>18</v>
      </c>
      <c r="D24" s="24" t="s">
        <v>41</v>
      </c>
      <c r="E24" s="24" t="s">
        <v>42</v>
      </c>
      <c r="F24" s="118" t="s">
        <v>46</v>
      </c>
      <c r="G24" s="27">
        <v>12.024</v>
      </c>
      <c r="H24" s="26">
        <f t="shared" si="2"/>
        <v>144.288</v>
      </c>
      <c r="I24" s="45">
        <f t="shared" si="3"/>
        <v>160.27992</v>
      </c>
      <c r="J24" s="26">
        <f t="shared" si="4"/>
        <v>168.336</v>
      </c>
      <c r="K24" s="26">
        <f t="shared" si="0"/>
        <v>148.6118304</v>
      </c>
      <c r="L24" s="45">
        <f t="shared" si="5"/>
        <v>115.4304</v>
      </c>
      <c r="M24" s="45">
        <f t="shared" si="6"/>
        <v>173.1456</v>
      </c>
      <c r="N24" s="45">
        <f t="shared" si="7"/>
        <v>128.17584</v>
      </c>
      <c r="O24" s="45">
        <f t="shared" si="8"/>
        <v>192.384</v>
      </c>
      <c r="P24" s="45">
        <f t="shared" si="9"/>
        <v>134.6688</v>
      </c>
      <c r="Q24" s="45">
        <f t="shared" si="10"/>
        <v>202.0032</v>
      </c>
      <c r="R24" s="45">
        <f t="shared" si="1"/>
        <v>106.77312</v>
      </c>
      <c r="S24" s="150"/>
    </row>
    <row r="25" s="147" customFormat="1" ht="15.6" spans="1:19">
      <c r="A25" s="23" t="s">
        <v>37</v>
      </c>
      <c r="B25" s="85">
        <v>0.4572</v>
      </c>
      <c r="C25" s="23">
        <v>18</v>
      </c>
      <c r="D25" s="24" t="s">
        <v>38</v>
      </c>
      <c r="E25" s="24" t="s">
        <v>42</v>
      </c>
      <c r="F25" s="118" t="s">
        <v>46</v>
      </c>
      <c r="G25" s="27">
        <v>20.807</v>
      </c>
      <c r="H25" s="26">
        <f t="shared" si="2"/>
        <v>249.684</v>
      </c>
      <c r="I25" s="45">
        <f t="shared" si="3"/>
        <v>277.35731</v>
      </c>
      <c r="J25" s="26">
        <f t="shared" si="4"/>
        <v>291.298</v>
      </c>
      <c r="K25" s="26">
        <f t="shared" si="0"/>
        <v>257.1661972</v>
      </c>
      <c r="L25" s="45">
        <f t="shared" si="5"/>
        <v>199.7472</v>
      </c>
      <c r="M25" s="45">
        <f t="shared" si="6"/>
        <v>299.6208</v>
      </c>
      <c r="N25" s="45">
        <f t="shared" si="7"/>
        <v>221.80262</v>
      </c>
      <c r="O25" s="45">
        <f t="shared" si="8"/>
        <v>332.912</v>
      </c>
      <c r="P25" s="45">
        <f t="shared" si="9"/>
        <v>233.0384</v>
      </c>
      <c r="Q25" s="45">
        <f t="shared" si="10"/>
        <v>349.5576</v>
      </c>
      <c r="R25" s="45">
        <f t="shared" si="1"/>
        <v>184.76616</v>
      </c>
      <c r="S25" s="150"/>
    </row>
    <row r="26" s="147" customFormat="1" ht="15.6" spans="1:19">
      <c r="A26" s="23" t="s">
        <v>37</v>
      </c>
      <c r="B26" s="85">
        <v>0.508</v>
      </c>
      <c r="C26" s="23">
        <v>20</v>
      </c>
      <c r="D26" s="24" t="s">
        <v>41</v>
      </c>
      <c r="E26" s="24" t="s">
        <v>42</v>
      </c>
      <c r="F26" s="118" t="s">
        <v>47</v>
      </c>
      <c r="G26" s="27">
        <v>10.839</v>
      </c>
      <c r="H26" s="26">
        <f t="shared" si="2"/>
        <v>130.068</v>
      </c>
      <c r="I26" s="45">
        <f t="shared" si="3"/>
        <v>144.48387</v>
      </c>
      <c r="J26" s="26">
        <f t="shared" si="4"/>
        <v>151.746</v>
      </c>
      <c r="K26" s="26">
        <f t="shared" si="0"/>
        <v>133.9657044</v>
      </c>
      <c r="L26" s="45">
        <f t="shared" si="5"/>
        <v>104.0544</v>
      </c>
      <c r="M26" s="45">
        <f t="shared" si="6"/>
        <v>156.0816</v>
      </c>
      <c r="N26" s="45">
        <f t="shared" si="7"/>
        <v>115.54374</v>
      </c>
      <c r="O26" s="45">
        <f t="shared" si="8"/>
        <v>173.424</v>
      </c>
      <c r="P26" s="45">
        <f t="shared" si="9"/>
        <v>121.3968</v>
      </c>
      <c r="Q26" s="45">
        <f t="shared" si="10"/>
        <v>182.0952</v>
      </c>
      <c r="R26" s="45">
        <f t="shared" si="1"/>
        <v>96.25032</v>
      </c>
      <c r="S26" s="150"/>
    </row>
    <row r="27" s="147" customFormat="1" ht="15.6" spans="1:19">
      <c r="A27" s="23" t="s">
        <v>37</v>
      </c>
      <c r="B27" s="85">
        <v>0.508</v>
      </c>
      <c r="C27" s="23">
        <v>20</v>
      </c>
      <c r="D27" s="24" t="s">
        <v>44</v>
      </c>
      <c r="E27" s="24" t="s">
        <v>42</v>
      </c>
      <c r="F27" s="118" t="s">
        <v>47</v>
      </c>
      <c r="G27" s="27">
        <v>7.84</v>
      </c>
      <c r="H27" s="26">
        <f t="shared" si="2"/>
        <v>94.08</v>
      </c>
      <c r="I27" s="45">
        <f t="shared" si="3"/>
        <v>104.5072</v>
      </c>
      <c r="J27" s="26">
        <f t="shared" si="4"/>
        <v>109.76</v>
      </c>
      <c r="K27" s="26">
        <f t="shared" si="0"/>
        <v>96.899264</v>
      </c>
      <c r="L27" s="45">
        <f t="shared" si="5"/>
        <v>75.264</v>
      </c>
      <c r="M27" s="45">
        <f t="shared" si="6"/>
        <v>112.896</v>
      </c>
      <c r="N27" s="45">
        <f t="shared" si="7"/>
        <v>83.5744</v>
      </c>
      <c r="O27" s="45">
        <f t="shared" si="8"/>
        <v>125.44</v>
      </c>
      <c r="P27" s="45">
        <f t="shared" si="9"/>
        <v>87.808</v>
      </c>
      <c r="Q27" s="45">
        <f t="shared" si="10"/>
        <v>131.712</v>
      </c>
      <c r="R27" s="45">
        <f t="shared" si="1"/>
        <v>69.6192</v>
      </c>
      <c r="S27" s="150"/>
    </row>
    <row r="28" s="147" customFormat="1" ht="15.6" spans="1:19">
      <c r="A28" s="23" t="s">
        <v>37</v>
      </c>
      <c r="B28" s="85">
        <v>0.508</v>
      </c>
      <c r="C28" s="23">
        <v>20</v>
      </c>
      <c r="D28" s="24" t="s">
        <v>38</v>
      </c>
      <c r="E28" s="24" t="s">
        <v>42</v>
      </c>
      <c r="F28" s="118" t="s">
        <v>47</v>
      </c>
      <c r="G28" s="27">
        <v>18.968</v>
      </c>
      <c r="H28" s="26">
        <f t="shared" si="2"/>
        <v>227.616</v>
      </c>
      <c r="I28" s="45">
        <f t="shared" si="3"/>
        <v>252.84344</v>
      </c>
      <c r="J28" s="26">
        <f t="shared" si="4"/>
        <v>265.552</v>
      </c>
      <c r="K28" s="26">
        <f t="shared" si="0"/>
        <v>234.4368928</v>
      </c>
      <c r="L28" s="45">
        <f t="shared" si="5"/>
        <v>182.0928</v>
      </c>
      <c r="M28" s="45">
        <f t="shared" si="6"/>
        <v>273.1392</v>
      </c>
      <c r="N28" s="45">
        <f t="shared" si="7"/>
        <v>202.19888</v>
      </c>
      <c r="O28" s="45">
        <f t="shared" si="8"/>
        <v>303.488</v>
      </c>
      <c r="P28" s="45">
        <f t="shared" si="9"/>
        <v>212.4416</v>
      </c>
      <c r="Q28" s="45">
        <f t="shared" si="10"/>
        <v>318.6624</v>
      </c>
      <c r="R28" s="45">
        <f t="shared" si="1"/>
        <v>168.43584</v>
      </c>
      <c r="S28" s="150"/>
    </row>
    <row r="29" s="147" customFormat="1" ht="15.6" spans="1:19">
      <c r="A29" s="23" t="s">
        <v>37</v>
      </c>
      <c r="B29" s="85">
        <v>0.5334</v>
      </c>
      <c r="C29" s="23">
        <v>21</v>
      </c>
      <c r="D29" s="24" t="s">
        <v>41</v>
      </c>
      <c r="E29" s="24" t="s">
        <v>42</v>
      </c>
      <c r="F29" s="45" t="s">
        <v>48</v>
      </c>
      <c r="G29" s="27">
        <v>10.711</v>
      </c>
      <c r="H29" s="26">
        <f t="shared" si="2"/>
        <v>128.532</v>
      </c>
      <c r="I29" s="45">
        <f t="shared" si="3"/>
        <v>142.77763</v>
      </c>
      <c r="J29" s="26">
        <f t="shared" si="4"/>
        <v>149.954</v>
      </c>
      <c r="K29" s="26">
        <f t="shared" si="0"/>
        <v>132.3836756</v>
      </c>
      <c r="L29" s="45">
        <f t="shared" si="5"/>
        <v>102.8256</v>
      </c>
      <c r="M29" s="45">
        <f t="shared" si="6"/>
        <v>154.2384</v>
      </c>
      <c r="N29" s="45">
        <f t="shared" si="7"/>
        <v>114.17926</v>
      </c>
      <c r="O29" s="45">
        <f t="shared" si="8"/>
        <v>171.376</v>
      </c>
      <c r="P29" s="45">
        <f t="shared" si="9"/>
        <v>119.9632</v>
      </c>
      <c r="Q29" s="45">
        <f t="shared" si="10"/>
        <v>179.9448</v>
      </c>
      <c r="R29" s="45">
        <f t="shared" si="1"/>
        <v>95.11368</v>
      </c>
      <c r="S29" s="150"/>
    </row>
    <row r="30" s="147" customFormat="1" ht="15.6" spans="1:19">
      <c r="A30" s="23" t="s">
        <v>37</v>
      </c>
      <c r="B30" s="85">
        <v>0.5334</v>
      </c>
      <c r="C30" s="23">
        <v>21</v>
      </c>
      <c r="D30" s="24" t="s">
        <v>44</v>
      </c>
      <c r="E30" s="24" t="s">
        <v>42</v>
      </c>
      <c r="F30" s="45" t="s">
        <v>48</v>
      </c>
      <c r="G30" s="27">
        <v>7.562</v>
      </c>
      <c r="H30" s="26">
        <f t="shared" si="2"/>
        <v>90.744</v>
      </c>
      <c r="I30" s="45">
        <f t="shared" si="3"/>
        <v>100.80146</v>
      </c>
      <c r="J30" s="26">
        <f t="shared" si="4"/>
        <v>105.868</v>
      </c>
      <c r="K30" s="26">
        <f t="shared" si="0"/>
        <v>93.4632952</v>
      </c>
      <c r="L30" s="45">
        <f t="shared" si="5"/>
        <v>72.5952</v>
      </c>
      <c r="M30" s="45">
        <f t="shared" si="6"/>
        <v>108.8928</v>
      </c>
      <c r="N30" s="45">
        <f t="shared" si="7"/>
        <v>80.61092</v>
      </c>
      <c r="O30" s="45">
        <f t="shared" si="8"/>
        <v>120.992</v>
      </c>
      <c r="P30" s="45">
        <f t="shared" si="9"/>
        <v>84.6944</v>
      </c>
      <c r="Q30" s="45">
        <f t="shared" si="10"/>
        <v>127.0416</v>
      </c>
      <c r="R30" s="45">
        <f t="shared" si="1"/>
        <v>67.15056</v>
      </c>
      <c r="S30" s="150"/>
    </row>
    <row r="31" s="147" customFormat="1" ht="15.6" spans="1:19">
      <c r="A31" s="23" t="s">
        <v>37</v>
      </c>
      <c r="B31" s="85">
        <v>0.6096</v>
      </c>
      <c r="C31" s="23">
        <v>24</v>
      </c>
      <c r="D31" s="24" t="s">
        <v>41</v>
      </c>
      <c r="E31" s="24" t="s">
        <v>42</v>
      </c>
      <c r="F31" s="45" t="s">
        <v>48</v>
      </c>
      <c r="G31" s="27">
        <v>10.966</v>
      </c>
      <c r="H31" s="26">
        <f t="shared" si="2"/>
        <v>131.592</v>
      </c>
      <c r="I31" s="45">
        <f t="shared" si="3"/>
        <v>146.17678</v>
      </c>
      <c r="J31" s="26">
        <f t="shared" si="4"/>
        <v>153.524</v>
      </c>
      <c r="K31" s="26">
        <f t="shared" si="0"/>
        <v>135.5353736</v>
      </c>
      <c r="L31" s="45">
        <f t="shared" si="5"/>
        <v>105.2736</v>
      </c>
      <c r="M31" s="45">
        <f t="shared" si="6"/>
        <v>157.9104</v>
      </c>
      <c r="N31" s="45">
        <f t="shared" si="7"/>
        <v>116.89756</v>
      </c>
      <c r="O31" s="45">
        <f t="shared" si="8"/>
        <v>175.456</v>
      </c>
      <c r="P31" s="45">
        <f t="shared" si="9"/>
        <v>122.8192</v>
      </c>
      <c r="Q31" s="45">
        <f t="shared" si="10"/>
        <v>184.2288</v>
      </c>
      <c r="R31" s="45">
        <f t="shared" si="1"/>
        <v>97.37808</v>
      </c>
      <c r="S31" s="150"/>
    </row>
    <row r="32" s="147" customFormat="1" ht="15.6" spans="1:19">
      <c r="A32" s="23" t="s">
        <v>37</v>
      </c>
      <c r="B32" s="85">
        <v>0.6096</v>
      </c>
      <c r="C32" s="23">
        <v>24</v>
      </c>
      <c r="D32" s="24" t="s">
        <v>38</v>
      </c>
      <c r="E32" s="24" t="s">
        <v>42</v>
      </c>
      <c r="F32" s="45" t="s">
        <v>48</v>
      </c>
      <c r="G32" s="27">
        <v>19.288</v>
      </c>
      <c r="H32" s="26">
        <f t="shared" si="2"/>
        <v>231.456</v>
      </c>
      <c r="I32" s="45">
        <f t="shared" si="3"/>
        <v>257.10904</v>
      </c>
      <c r="J32" s="26">
        <f t="shared" si="4"/>
        <v>270.032</v>
      </c>
      <c r="K32" s="26">
        <f t="shared" si="0"/>
        <v>238.3919648</v>
      </c>
      <c r="L32" s="45">
        <f t="shared" si="5"/>
        <v>185.1648</v>
      </c>
      <c r="M32" s="45">
        <f t="shared" si="6"/>
        <v>277.7472</v>
      </c>
      <c r="N32" s="45">
        <f t="shared" si="7"/>
        <v>205.61008</v>
      </c>
      <c r="O32" s="45">
        <f t="shared" si="8"/>
        <v>308.608</v>
      </c>
      <c r="P32" s="45">
        <f t="shared" si="9"/>
        <v>216.0256</v>
      </c>
      <c r="Q32" s="45">
        <f t="shared" si="10"/>
        <v>324.0384</v>
      </c>
      <c r="R32" s="45">
        <f t="shared" si="1"/>
        <v>171.27744</v>
      </c>
      <c r="S32" s="150"/>
    </row>
    <row r="33" s="147" customFormat="1" ht="15.6" spans="1:19">
      <c r="A33" s="23" t="s">
        <v>37</v>
      </c>
      <c r="B33" s="85">
        <v>0.6096</v>
      </c>
      <c r="C33" s="23">
        <v>24</v>
      </c>
      <c r="D33" s="24" t="s">
        <v>44</v>
      </c>
      <c r="E33" s="24" t="s">
        <v>42</v>
      </c>
      <c r="F33" s="45" t="s">
        <v>48</v>
      </c>
      <c r="G33" s="27">
        <v>8.16</v>
      </c>
      <c r="H33" s="26">
        <f t="shared" si="2"/>
        <v>97.92</v>
      </c>
      <c r="I33" s="45">
        <f t="shared" si="3"/>
        <v>108.7728</v>
      </c>
      <c r="J33" s="26">
        <f t="shared" si="4"/>
        <v>114.24</v>
      </c>
      <c r="K33" s="26">
        <f t="shared" si="0"/>
        <v>100.854336</v>
      </c>
      <c r="L33" s="45">
        <f t="shared" si="5"/>
        <v>78.336</v>
      </c>
      <c r="M33" s="45">
        <f t="shared" si="6"/>
        <v>117.504</v>
      </c>
      <c r="N33" s="45">
        <f t="shared" si="7"/>
        <v>86.9856</v>
      </c>
      <c r="O33" s="45">
        <f t="shared" si="8"/>
        <v>130.56</v>
      </c>
      <c r="P33" s="45">
        <f t="shared" si="9"/>
        <v>91.392</v>
      </c>
      <c r="Q33" s="45">
        <f t="shared" si="10"/>
        <v>137.088</v>
      </c>
      <c r="R33" s="45">
        <f t="shared" si="1"/>
        <v>72.4608</v>
      </c>
      <c r="S33" s="150"/>
    </row>
    <row r="34" s="147" customFormat="1" ht="15.6" spans="1:19">
      <c r="A34" s="23" t="s">
        <v>37</v>
      </c>
      <c r="B34" s="85">
        <v>0.7112</v>
      </c>
      <c r="C34" s="23">
        <v>28</v>
      </c>
      <c r="D34" s="24" t="s">
        <v>41</v>
      </c>
      <c r="E34" s="24" t="s">
        <v>42</v>
      </c>
      <c r="F34" s="45" t="s">
        <v>49</v>
      </c>
      <c r="G34" s="27">
        <v>11.786</v>
      </c>
      <c r="H34" s="26">
        <f t="shared" si="2"/>
        <v>141.432</v>
      </c>
      <c r="I34" s="45">
        <f t="shared" si="3"/>
        <v>157.10738</v>
      </c>
      <c r="J34" s="26">
        <f t="shared" si="4"/>
        <v>165.004</v>
      </c>
      <c r="K34" s="26">
        <f t="shared" si="0"/>
        <v>145.6702456</v>
      </c>
      <c r="L34" s="45">
        <f t="shared" si="5"/>
        <v>113.1456</v>
      </c>
      <c r="M34" s="45">
        <f t="shared" si="6"/>
        <v>169.7184</v>
      </c>
      <c r="N34" s="45">
        <f t="shared" si="7"/>
        <v>125.63876</v>
      </c>
      <c r="O34" s="45">
        <f t="shared" si="8"/>
        <v>188.576</v>
      </c>
      <c r="P34" s="45">
        <f t="shared" si="9"/>
        <v>132.0032</v>
      </c>
      <c r="Q34" s="45">
        <f t="shared" si="10"/>
        <v>198.0048</v>
      </c>
      <c r="R34" s="45">
        <f t="shared" si="1"/>
        <v>104.65968</v>
      </c>
      <c r="S34" s="150"/>
    </row>
    <row r="35" s="147" customFormat="1" ht="15.6" spans="1:19">
      <c r="A35" s="23" t="s">
        <v>37</v>
      </c>
      <c r="B35" s="85">
        <v>0.7112</v>
      </c>
      <c r="C35" s="23">
        <v>28</v>
      </c>
      <c r="D35" s="24" t="s">
        <v>44</v>
      </c>
      <c r="E35" s="24" t="s">
        <v>42</v>
      </c>
      <c r="F35" s="45" t="s">
        <v>49</v>
      </c>
      <c r="G35" s="27">
        <v>8.651</v>
      </c>
      <c r="H35" s="26">
        <f t="shared" si="2"/>
        <v>103.812</v>
      </c>
      <c r="I35" s="45">
        <f t="shared" si="3"/>
        <v>115.31783</v>
      </c>
      <c r="J35" s="26">
        <f t="shared" si="4"/>
        <v>121.114</v>
      </c>
      <c r="K35" s="26">
        <f t="shared" si="0"/>
        <v>106.9228996</v>
      </c>
      <c r="L35" s="45">
        <f t="shared" si="5"/>
        <v>83.0496</v>
      </c>
      <c r="M35" s="45">
        <f t="shared" si="6"/>
        <v>124.5744</v>
      </c>
      <c r="N35" s="45">
        <f t="shared" si="7"/>
        <v>92.21966</v>
      </c>
      <c r="O35" s="45">
        <f t="shared" si="8"/>
        <v>138.416</v>
      </c>
      <c r="P35" s="45">
        <f t="shared" si="9"/>
        <v>96.8912</v>
      </c>
      <c r="Q35" s="45">
        <f t="shared" si="10"/>
        <v>145.3368</v>
      </c>
      <c r="R35" s="45">
        <f t="shared" si="1"/>
        <v>76.82088</v>
      </c>
      <c r="S35" s="150"/>
    </row>
    <row r="36" s="147" customFormat="1" ht="15.6" spans="1:19">
      <c r="A36" s="23" t="s">
        <v>37</v>
      </c>
      <c r="B36" s="85">
        <v>0.7112</v>
      </c>
      <c r="C36" s="23">
        <v>28</v>
      </c>
      <c r="D36" s="24" t="s">
        <v>38</v>
      </c>
      <c r="E36" s="24" t="s">
        <v>42</v>
      </c>
      <c r="F36" s="45" t="s">
        <v>49</v>
      </c>
      <c r="G36" s="27">
        <v>19.391</v>
      </c>
      <c r="H36" s="26">
        <f t="shared" si="2"/>
        <v>232.692</v>
      </c>
      <c r="I36" s="45">
        <f t="shared" si="3"/>
        <v>258.48203</v>
      </c>
      <c r="J36" s="26">
        <f t="shared" si="4"/>
        <v>271.474</v>
      </c>
      <c r="K36" s="26">
        <f t="shared" si="0"/>
        <v>239.6650036</v>
      </c>
      <c r="L36" s="45">
        <f t="shared" si="5"/>
        <v>186.1536</v>
      </c>
      <c r="M36" s="45">
        <f t="shared" si="6"/>
        <v>279.2304</v>
      </c>
      <c r="N36" s="45">
        <f t="shared" si="7"/>
        <v>206.70806</v>
      </c>
      <c r="O36" s="45">
        <f t="shared" si="8"/>
        <v>310.256</v>
      </c>
      <c r="P36" s="45">
        <f t="shared" si="9"/>
        <v>217.1792</v>
      </c>
      <c r="Q36" s="45">
        <f t="shared" si="10"/>
        <v>325.7688</v>
      </c>
      <c r="R36" s="45">
        <f t="shared" si="1"/>
        <v>172.19208</v>
      </c>
      <c r="S36" s="150"/>
    </row>
    <row r="37" s="147" customFormat="1" ht="15.6" spans="1:19">
      <c r="A37" s="23" t="s">
        <v>37</v>
      </c>
      <c r="B37" s="85">
        <v>0.7874</v>
      </c>
      <c r="C37" s="23">
        <v>31</v>
      </c>
      <c r="D37" s="24" t="s">
        <v>41</v>
      </c>
      <c r="E37" s="24" t="s">
        <v>42</v>
      </c>
      <c r="F37" s="45" t="s">
        <v>49</v>
      </c>
      <c r="G37" s="27">
        <v>12.08</v>
      </c>
      <c r="H37" s="26">
        <f t="shared" si="2"/>
        <v>144.96</v>
      </c>
      <c r="I37" s="45">
        <f t="shared" si="3"/>
        <v>161.0264</v>
      </c>
      <c r="J37" s="26">
        <f t="shared" si="4"/>
        <v>169.12</v>
      </c>
      <c r="K37" s="26">
        <f t="shared" si="0"/>
        <v>149.303968</v>
      </c>
      <c r="L37" s="45">
        <f t="shared" si="5"/>
        <v>115.968</v>
      </c>
      <c r="M37" s="45">
        <f t="shared" si="6"/>
        <v>173.952</v>
      </c>
      <c r="N37" s="45">
        <f t="shared" si="7"/>
        <v>128.7728</v>
      </c>
      <c r="O37" s="45">
        <f t="shared" si="8"/>
        <v>193.28</v>
      </c>
      <c r="P37" s="45">
        <f t="shared" si="9"/>
        <v>135.296</v>
      </c>
      <c r="Q37" s="45">
        <f t="shared" si="10"/>
        <v>202.944</v>
      </c>
      <c r="R37" s="45">
        <f t="shared" si="1"/>
        <v>107.2704</v>
      </c>
      <c r="S37" s="150"/>
    </row>
    <row r="38" s="147" customFormat="1" ht="15.6" spans="1:19">
      <c r="A38" s="23" t="s">
        <v>37</v>
      </c>
      <c r="B38" s="85">
        <v>0.7874</v>
      </c>
      <c r="C38" s="23">
        <v>31</v>
      </c>
      <c r="D38" s="24" t="s">
        <v>44</v>
      </c>
      <c r="E38" s="24" t="s">
        <v>42</v>
      </c>
      <c r="F38" s="45" t="s">
        <v>49</v>
      </c>
      <c r="G38" s="27">
        <v>8.933</v>
      </c>
      <c r="H38" s="26">
        <f t="shared" si="2"/>
        <v>107.196</v>
      </c>
      <c r="I38" s="45">
        <f t="shared" si="3"/>
        <v>119.07689</v>
      </c>
      <c r="J38" s="26">
        <f t="shared" si="4"/>
        <v>125.062</v>
      </c>
      <c r="K38" s="26">
        <f t="shared" si="0"/>
        <v>110.4083068</v>
      </c>
      <c r="L38" s="45">
        <f t="shared" si="5"/>
        <v>85.7568</v>
      </c>
      <c r="M38" s="45">
        <f t="shared" si="6"/>
        <v>128.6352</v>
      </c>
      <c r="N38" s="45">
        <f t="shared" si="7"/>
        <v>95.22578</v>
      </c>
      <c r="O38" s="45">
        <f t="shared" si="8"/>
        <v>142.928</v>
      </c>
      <c r="P38" s="45">
        <f t="shared" si="9"/>
        <v>100.0496</v>
      </c>
      <c r="Q38" s="45">
        <f t="shared" si="10"/>
        <v>150.0744</v>
      </c>
      <c r="R38" s="45">
        <f t="shared" si="1"/>
        <v>79.32504</v>
      </c>
      <c r="S38" s="150"/>
    </row>
    <row r="39" s="147" customFormat="1" ht="15.6" spans="1:19">
      <c r="A39" s="23" t="s">
        <v>37</v>
      </c>
      <c r="B39" s="85">
        <v>0.8001</v>
      </c>
      <c r="C39" s="23">
        <v>31.5</v>
      </c>
      <c r="D39" s="24" t="s">
        <v>41</v>
      </c>
      <c r="E39" s="24" t="s">
        <v>42</v>
      </c>
      <c r="F39" s="45" t="s">
        <v>49</v>
      </c>
      <c r="G39" s="27">
        <v>12.262</v>
      </c>
      <c r="H39" s="26">
        <f t="shared" si="2"/>
        <v>147.144</v>
      </c>
      <c r="I39" s="45">
        <f t="shared" si="3"/>
        <v>163.45246</v>
      </c>
      <c r="J39" s="26">
        <f t="shared" si="4"/>
        <v>171.668</v>
      </c>
      <c r="K39" s="26">
        <f t="shared" si="0"/>
        <v>151.5534152</v>
      </c>
      <c r="L39" s="45">
        <f t="shared" si="5"/>
        <v>117.7152</v>
      </c>
      <c r="M39" s="45">
        <f t="shared" si="6"/>
        <v>176.5728</v>
      </c>
      <c r="N39" s="45">
        <f t="shared" si="7"/>
        <v>130.71292</v>
      </c>
      <c r="O39" s="45">
        <f t="shared" si="8"/>
        <v>196.192</v>
      </c>
      <c r="P39" s="45">
        <f t="shared" si="9"/>
        <v>137.3344</v>
      </c>
      <c r="Q39" s="45">
        <f t="shared" si="10"/>
        <v>206.0016</v>
      </c>
      <c r="R39" s="45">
        <f t="shared" si="1"/>
        <v>108.88656</v>
      </c>
      <c r="S39" s="150"/>
    </row>
    <row r="40" s="147" customFormat="1" ht="15.6" spans="1:19">
      <c r="A40" s="23" t="s">
        <v>37</v>
      </c>
      <c r="B40" s="85">
        <v>0.8001</v>
      </c>
      <c r="C40" s="23">
        <v>31.5</v>
      </c>
      <c r="D40" s="24" t="s">
        <v>38</v>
      </c>
      <c r="E40" s="24" t="s">
        <v>42</v>
      </c>
      <c r="F40" s="45" t="s">
        <v>49</v>
      </c>
      <c r="G40" s="27">
        <v>20.049</v>
      </c>
      <c r="H40" s="26">
        <f t="shared" si="2"/>
        <v>240.588</v>
      </c>
      <c r="I40" s="45">
        <f t="shared" si="3"/>
        <v>267.25317</v>
      </c>
      <c r="J40" s="26">
        <f t="shared" si="4"/>
        <v>280.686</v>
      </c>
      <c r="K40" s="26">
        <f t="shared" si="0"/>
        <v>247.7976204</v>
      </c>
      <c r="L40" s="45">
        <f t="shared" si="5"/>
        <v>192.4704</v>
      </c>
      <c r="M40" s="45">
        <f t="shared" si="6"/>
        <v>288.7056</v>
      </c>
      <c r="N40" s="45">
        <f t="shared" si="7"/>
        <v>213.72234</v>
      </c>
      <c r="O40" s="45">
        <f t="shared" si="8"/>
        <v>320.784</v>
      </c>
      <c r="P40" s="45">
        <f t="shared" si="9"/>
        <v>224.5488</v>
      </c>
      <c r="Q40" s="45">
        <f t="shared" si="10"/>
        <v>336.8232</v>
      </c>
      <c r="R40" s="45">
        <f t="shared" si="1"/>
        <v>178.03512</v>
      </c>
      <c r="S40" s="150"/>
    </row>
    <row r="41" s="147" customFormat="1" ht="15.6" spans="1:19">
      <c r="A41" s="23" t="s">
        <v>37</v>
      </c>
      <c r="B41" s="85">
        <v>0.8001</v>
      </c>
      <c r="C41" s="23">
        <v>31.5</v>
      </c>
      <c r="D41" s="24" t="s">
        <v>44</v>
      </c>
      <c r="E41" s="24" t="s">
        <v>42</v>
      </c>
      <c r="F41" s="45" t="s">
        <v>49</v>
      </c>
      <c r="G41" s="27">
        <v>8.933</v>
      </c>
      <c r="H41" s="26">
        <f t="shared" si="2"/>
        <v>107.196</v>
      </c>
      <c r="I41" s="45">
        <f t="shared" si="3"/>
        <v>119.07689</v>
      </c>
      <c r="J41" s="26">
        <f t="shared" si="4"/>
        <v>125.062</v>
      </c>
      <c r="K41" s="26">
        <f t="shared" si="0"/>
        <v>110.4083068</v>
      </c>
      <c r="L41" s="45">
        <f t="shared" si="5"/>
        <v>85.7568</v>
      </c>
      <c r="M41" s="45">
        <f t="shared" si="6"/>
        <v>128.6352</v>
      </c>
      <c r="N41" s="45">
        <f t="shared" si="7"/>
        <v>95.22578</v>
      </c>
      <c r="O41" s="45">
        <f t="shared" si="8"/>
        <v>142.928</v>
      </c>
      <c r="P41" s="45">
        <f t="shared" si="9"/>
        <v>100.0496</v>
      </c>
      <c r="Q41" s="45">
        <f t="shared" si="10"/>
        <v>150.0744</v>
      </c>
      <c r="R41" s="45">
        <f t="shared" si="1"/>
        <v>79.32504</v>
      </c>
      <c r="S41" s="150"/>
    </row>
    <row r="42" s="147" customFormat="1" ht="15.6" spans="1:19">
      <c r="A42" s="23" t="s">
        <v>37</v>
      </c>
      <c r="B42" s="85">
        <v>0.9144</v>
      </c>
      <c r="C42" s="23">
        <v>36</v>
      </c>
      <c r="D42" s="24" t="s">
        <v>44</v>
      </c>
      <c r="E42" s="24" t="s">
        <v>42</v>
      </c>
      <c r="F42" s="118" t="s">
        <v>50</v>
      </c>
      <c r="G42" s="27">
        <v>9.987</v>
      </c>
      <c r="H42" s="26">
        <f t="shared" si="2"/>
        <v>119.844</v>
      </c>
      <c r="I42" s="45">
        <f t="shared" si="3"/>
        <v>133.12671</v>
      </c>
      <c r="J42" s="26">
        <f t="shared" si="4"/>
        <v>139.818</v>
      </c>
      <c r="K42" s="26">
        <f t="shared" si="0"/>
        <v>123.4353252</v>
      </c>
      <c r="L42" s="45">
        <f t="shared" si="5"/>
        <v>95.8752</v>
      </c>
      <c r="M42" s="45">
        <f t="shared" si="6"/>
        <v>143.8128</v>
      </c>
      <c r="N42" s="45">
        <f t="shared" si="7"/>
        <v>106.46142</v>
      </c>
      <c r="O42" s="45">
        <f t="shared" si="8"/>
        <v>159.792</v>
      </c>
      <c r="P42" s="45">
        <f t="shared" si="9"/>
        <v>111.8544</v>
      </c>
      <c r="Q42" s="45">
        <f t="shared" si="10"/>
        <v>167.7816</v>
      </c>
      <c r="R42" s="45">
        <f t="shared" si="1"/>
        <v>88.68456</v>
      </c>
      <c r="S42" s="150"/>
    </row>
    <row r="43" s="147" customFormat="1" ht="15.6" spans="1:19">
      <c r="A43" s="23" t="s">
        <v>37</v>
      </c>
      <c r="B43" s="85">
        <v>0.9144</v>
      </c>
      <c r="C43" s="23">
        <v>36</v>
      </c>
      <c r="D43" s="24" t="s">
        <v>41</v>
      </c>
      <c r="E43" s="24" t="s">
        <v>42</v>
      </c>
      <c r="F43" s="118" t="s">
        <v>50</v>
      </c>
      <c r="G43" s="27">
        <v>12.91</v>
      </c>
      <c r="H43" s="26">
        <f t="shared" si="2"/>
        <v>154.92</v>
      </c>
      <c r="I43" s="45">
        <f t="shared" si="3"/>
        <v>172.0903</v>
      </c>
      <c r="J43" s="26">
        <f t="shared" si="4"/>
        <v>180.74</v>
      </c>
      <c r="K43" s="26">
        <f t="shared" si="0"/>
        <v>159.562436</v>
      </c>
      <c r="L43" s="45">
        <f t="shared" si="5"/>
        <v>123.936</v>
      </c>
      <c r="M43" s="45">
        <f t="shared" si="6"/>
        <v>185.904</v>
      </c>
      <c r="N43" s="45">
        <f t="shared" si="7"/>
        <v>137.6206</v>
      </c>
      <c r="O43" s="45">
        <f t="shared" si="8"/>
        <v>206.56</v>
      </c>
      <c r="P43" s="45">
        <f t="shared" si="9"/>
        <v>144.592</v>
      </c>
      <c r="Q43" s="45">
        <f t="shared" si="10"/>
        <v>216.888</v>
      </c>
      <c r="R43" s="45">
        <f t="shared" si="1"/>
        <v>114.6408</v>
      </c>
      <c r="S43" s="150"/>
    </row>
    <row r="44" s="147" customFormat="1" ht="15.6" spans="1:19">
      <c r="A44" s="23" t="s">
        <v>37</v>
      </c>
      <c r="B44" s="85">
        <v>0.9144</v>
      </c>
      <c r="C44" s="23">
        <v>36</v>
      </c>
      <c r="D44" s="24" t="s">
        <v>38</v>
      </c>
      <c r="E44" s="24" t="s">
        <v>42</v>
      </c>
      <c r="F44" s="45" t="s">
        <v>49</v>
      </c>
      <c r="G44" s="27">
        <v>20.67</v>
      </c>
      <c r="H44" s="26">
        <f t="shared" si="2"/>
        <v>248.04</v>
      </c>
      <c r="I44" s="45">
        <f t="shared" si="3"/>
        <v>275.5311</v>
      </c>
      <c r="J44" s="26">
        <f t="shared" si="4"/>
        <v>289.38</v>
      </c>
      <c r="K44" s="26">
        <f t="shared" si="0"/>
        <v>255.472932</v>
      </c>
      <c r="L44" s="45">
        <f t="shared" si="5"/>
        <v>198.432</v>
      </c>
      <c r="M44" s="45">
        <f t="shared" si="6"/>
        <v>297.648</v>
      </c>
      <c r="N44" s="45">
        <f t="shared" si="7"/>
        <v>220.3422</v>
      </c>
      <c r="O44" s="45">
        <f t="shared" si="8"/>
        <v>330.72</v>
      </c>
      <c r="P44" s="45">
        <f t="shared" si="9"/>
        <v>231.504</v>
      </c>
      <c r="Q44" s="45">
        <f t="shared" si="10"/>
        <v>347.256</v>
      </c>
      <c r="R44" s="45">
        <f t="shared" si="1"/>
        <v>183.5496</v>
      </c>
      <c r="S44" s="150"/>
    </row>
    <row r="45" s="147" customFormat="1" ht="15.6" spans="1:19">
      <c r="A45" s="23" t="s">
        <v>37</v>
      </c>
      <c r="B45" s="85">
        <v>0.9906</v>
      </c>
      <c r="C45" s="23">
        <v>39</v>
      </c>
      <c r="D45" s="24" t="s">
        <v>41</v>
      </c>
      <c r="E45" s="24" t="s">
        <v>42</v>
      </c>
      <c r="F45" s="45" t="s">
        <v>51</v>
      </c>
      <c r="G45" s="27">
        <v>13.278</v>
      </c>
      <c r="H45" s="26">
        <f t="shared" si="2"/>
        <v>159.336</v>
      </c>
      <c r="I45" s="45">
        <f t="shared" si="3"/>
        <v>176.99574</v>
      </c>
      <c r="J45" s="26">
        <f t="shared" si="4"/>
        <v>185.892</v>
      </c>
      <c r="K45" s="26">
        <f t="shared" si="0"/>
        <v>164.1107688</v>
      </c>
      <c r="L45" s="45">
        <f t="shared" si="5"/>
        <v>127.4688</v>
      </c>
      <c r="M45" s="45">
        <f t="shared" si="6"/>
        <v>191.2032</v>
      </c>
      <c r="N45" s="45">
        <f t="shared" si="7"/>
        <v>141.54348</v>
      </c>
      <c r="O45" s="45">
        <f t="shared" si="8"/>
        <v>212.448</v>
      </c>
      <c r="P45" s="45">
        <f t="shared" si="9"/>
        <v>148.7136</v>
      </c>
      <c r="Q45" s="45">
        <f t="shared" si="10"/>
        <v>223.0704</v>
      </c>
      <c r="R45" s="45">
        <f t="shared" si="1"/>
        <v>117.90864</v>
      </c>
      <c r="S45" s="150"/>
    </row>
    <row r="46" s="147" customFormat="1" ht="15.6" spans="1:19">
      <c r="A46" s="23" t="s">
        <v>37</v>
      </c>
      <c r="B46" s="85">
        <v>0.9906</v>
      </c>
      <c r="C46" s="23">
        <v>39</v>
      </c>
      <c r="D46" s="24" t="s">
        <v>38</v>
      </c>
      <c r="E46" s="24" t="s">
        <v>42</v>
      </c>
      <c r="F46" s="45" t="s">
        <v>51</v>
      </c>
      <c r="G46" s="27">
        <v>21.022</v>
      </c>
      <c r="H46" s="26">
        <f t="shared" si="2"/>
        <v>252.264</v>
      </c>
      <c r="I46" s="45">
        <f t="shared" si="3"/>
        <v>280.22326</v>
      </c>
      <c r="J46" s="26">
        <f t="shared" si="4"/>
        <v>294.308</v>
      </c>
      <c r="K46" s="26">
        <f t="shared" si="0"/>
        <v>259.8235112</v>
      </c>
      <c r="L46" s="45">
        <f t="shared" si="5"/>
        <v>201.8112</v>
      </c>
      <c r="M46" s="45">
        <f t="shared" si="6"/>
        <v>302.7168</v>
      </c>
      <c r="N46" s="45">
        <f t="shared" si="7"/>
        <v>224.09452</v>
      </c>
      <c r="O46" s="45">
        <f t="shared" si="8"/>
        <v>336.352</v>
      </c>
      <c r="P46" s="45">
        <f t="shared" si="9"/>
        <v>235.4464</v>
      </c>
      <c r="Q46" s="45">
        <f t="shared" si="10"/>
        <v>353.1696</v>
      </c>
      <c r="R46" s="45">
        <f t="shared" si="1"/>
        <v>186.67536</v>
      </c>
      <c r="S46" s="150"/>
    </row>
    <row r="47" s="147" customFormat="1" ht="15.6" spans="1:19">
      <c r="A47" s="23" t="s">
        <v>37</v>
      </c>
      <c r="B47" s="85">
        <v>0.9906</v>
      </c>
      <c r="C47" s="23">
        <v>39</v>
      </c>
      <c r="D47" s="24" t="s">
        <v>44</v>
      </c>
      <c r="E47" s="24" t="s">
        <v>42</v>
      </c>
      <c r="F47" s="45" t="s">
        <v>51</v>
      </c>
      <c r="G47" s="27">
        <v>9.945</v>
      </c>
      <c r="H47" s="26">
        <f t="shared" si="2"/>
        <v>119.34</v>
      </c>
      <c r="I47" s="45">
        <f t="shared" si="3"/>
        <v>132.56685</v>
      </c>
      <c r="J47" s="26">
        <f t="shared" si="4"/>
        <v>139.23</v>
      </c>
      <c r="K47" s="26">
        <f t="shared" si="0"/>
        <v>122.916222</v>
      </c>
      <c r="L47" s="45">
        <f t="shared" si="5"/>
        <v>95.472</v>
      </c>
      <c r="M47" s="45">
        <f t="shared" si="6"/>
        <v>143.208</v>
      </c>
      <c r="N47" s="45">
        <f t="shared" si="7"/>
        <v>106.0137</v>
      </c>
      <c r="O47" s="45">
        <f t="shared" si="8"/>
        <v>159.12</v>
      </c>
      <c r="P47" s="45">
        <f t="shared" si="9"/>
        <v>111.384</v>
      </c>
      <c r="Q47" s="45">
        <f t="shared" si="10"/>
        <v>167.076</v>
      </c>
      <c r="R47" s="45">
        <f t="shared" si="1"/>
        <v>88.3116</v>
      </c>
      <c r="S47" s="150"/>
    </row>
    <row r="48" s="147" customFormat="1" ht="15.6" spans="1:19">
      <c r="A48" s="23" t="s">
        <v>37</v>
      </c>
      <c r="B48" s="85">
        <v>1.0922</v>
      </c>
      <c r="C48" s="23">
        <v>43</v>
      </c>
      <c r="D48" s="24" t="s">
        <v>41</v>
      </c>
      <c r="E48" s="24" t="s">
        <v>42</v>
      </c>
      <c r="F48" s="45" t="s">
        <v>52</v>
      </c>
      <c r="G48" s="27">
        <v>13.379</v>
      </c>
      <c r="H48" s="26">
        <f t="shared" si="2"/>
        <v>160.548</v>
      </c>
      <c r="I48" s="45">
        <f t="shared" si="3"/>
        <v>178.34207</v>
      </c>
      <c r="J48" s="26">
        <f t="shared" si="4"/>
        <v>187.306</v>
      </c>
      <c r="K48" s="26">
        <f t="shared" si="0"/>
        <v>165.3590884</v>
      </c>
      <c r="L48" s="45">
        <f t="shared" si="5"/>
        <v>128.4384</v>
      </c>
      <c r="M48" s="45">
        <f t="shared" si="6"/>
        <v>192.6576</v>
      </c>
      <c r="N48" s="45">
        <f t="shared" si="7"/>
        <v>142.62014</v>
      </c>
      <c r="O48" s="45">
        <f t="shared" si="8"/>
        <v>214.064</v>
      </c>
      <c r="P48" s="45">
        <f t="shared" si="9"/>
        <v>149.8448</v>
      </c>
      <c r="Q48" s="45">
        <f t="shared" si="10"/>
        <v>224.7672</v>
      </c>
      <c r="R48" s="45">
        <f t="shared" si="1"/>
        <v>118.80552</v>
      </c>
      <c r="S48" s="150"/>
    </row>
    <row r="49" s="147" customFormat="1" ht="15.6" spans="1:19">
      <c r="A49" s="23" t="s">
        <v>37</v>
      </c>
      <c r="B49" s="85">
        <v>1.0922</v>
      </c>
      <c r="C49" s="23">
        <v>43</v>
      </c>
      <c r="D49" s="24" t="s">
        <v>44</v>
      </c>
      <c r="E49" s="24" t="s">
        <v>42</v>
      </c>
      <c r="F49" s="45" t="s">
        <v>52</v>
      </c>
      <c r="G49" s="27">
        <v>10.583</v>
      </c>
      <c r="H49" s="26">
        <f t="shared" si="2"/>
        <v>126.996</v>
      </c>
      <c r="I49" s="45">
        <f t="shared" si="3"/>
        <v>141.07139</v>
      </c>
      <c r="J49" s="26">
        <f t="shared" si="4"/>
        <v>148.162</v>
      </c>
      <c r="K49" s="26">
        <f t="shared" ref="K49:K74" si="11">G49*11.66*1.06</f>
        <v>130.8016468</v>
      </c>
      <c r="L49" s="45">
        <f t="shared" si="5"/>
        <v>101.5968</v>
      </c>
      <c r="M49" s="45">
        <f t="shared" si="6"/>
        <v>152.3952</v>
      </c>
      <c r="N49" s="45">
        <f t="shared" si="7"/>
        <v>112.81478</v>
      </c>
      <c r="O49" s="45">
        <f t="shared" si="8"/>
        <v>169.328</v>
      </c>
      <c r="P49" s="45">
        <f t="shared" si="9"/>
        <v>118.5296</v>
      </c>
      <c r="Q49" s="45">
        <f t="shared" si="10"/>
        <v>177.7944</v>
      </c>
      <c r="R49" s="45">
        <f t="shared" ref="R49:R74" si="12">G49*8.88</f>
        <v>93.97704</v>
      </c>
      <c r="S49" s="150"/>
    </row>
    <row r="50" s="147" customFormat="1" ht="15.6" spans="1:19">
      <c r="A50" s="23" t="s">
        <v>37</v>
      </c>
      <c r="B50" s="85">
        <v>1.1176</v>
      </c>
      <c r="C50" s="23">
        <v>44</v>
      </c>
      <c r="D50" s="24" t="s">
        <v>41</v>
      </c>
      <c r="E50" s="24" t="s">
        <v>42</v>
      </c>
      <c r="F50" s="45" t="s">
        <v>52</v>
      </c>
      <c r="G50" s="27">
        <v>13.379</v>
      </c>
      <c r="H50" s="26">
        <f t="shared" ref="H50:H74" si="13">G50*12</f>
        <v>160.548</v>
      </c>
      <c r="I50" s="45">
        <f t="shared" ref="I50:I74" si="14">G50*13.33</f>
        <v>178.34207</v>
      </c>
      <c r="J50" s="26">
        <f t="shared" ref="J50:J74" si="15">G50*14</f>
        <v>187.306</v>
      </c>
      <c r="K50" s="26">
        <f t="shared" si="11"/>
        <v>165.3590884</v>
      </c>
      <c r="L50" s="45">
        <f t="shared" ref="L50:L74" si="16">G50*9.6</f>
        <v>128.4384</v>
      </c>
      <c r="M50" s="45">
        <f t="shared" ref="M50:M74" si="17">G50*14.4</f>
        <v>192.6576</v>
      </c>
      <c r="N50" s="45">
        <f t="shared" ref="N50:N74" si="18">G50*10.66</f>
        <v>142.62014</v>
      </c>
      <c r="O50" s="45">
        <f t="shared" ref="O50:O74" si="19">G50*16</f>
        <v>214.064</v>
      </c>
      <c r="P50" s="45">
        <f t="shared" ref="P50:P74" si="20">G50*11.2</f>
        <v>149.8448</v>
      </c>
      <c r="Q50" s="45">
        <f t="shared" ref="Q50:Q74" si="21">G50*16.8</f>
        <v>224.7672</v>
      </c>
      <c r="R50" s="45">
        <f t="shared" si="12"/>
        <v>118.80552</v>
      </c>
      <c r="S50" s="150"/>
    </row>
    <row r="51" s="147" customFormat="1" ht="15.6" spans="1:19">
      <c r="A51" s="23" t="s">
        <v>37</v>
      </c>
      <c r="B51" s="85">
        <v>1.1176</v>
      </c>
      <c r="C51" s="23">
        <v>44</v>
      </c>
      <c r="D51" s="24" t="s">
        <v>44</v>
      </c>
      <c r="E51" s="24" t="s">
        <v>42</v>
      </c>
      <c r="F51" s="45" t="s">
        <v>52</v>
      </c>
      <c r="G51" s="27">
        <v>10.77</v>
      </c>
      <c r="H51" s="26">
        <f t="shared" si="13"/>
        <v>129.24</v>
      </c>
      <c r="I51" s="45">
        <f t="shared" si="14"/>
        <v>143.5641</v>
      </c>
      <c r="J51" s="26">
        <f t="shared" si="15"/>
        <v>150.78</v>
      </c>
      <c r="K51" s="26">
        <f t="shared" si="11"/>
        <v>133.112892</v>
      </c>
      <c r="L51" s="45">
        <f t="shared" si="16"/>
        <v>103.392</v>
      </c>
      <c r="M51" s="45">
        <f t="shared" si="17"/>
        <v>155.088</v>
      </c>
      <c r="N51" s="45">
        <f t="shared" si="18"/>
        <v>114.8082</v>
      </c>
      <c r="O51" s="45">
        <f t="shared" si="19"/>
        <v>172.32</v>
      </c>
      <c r="P51" s="45">
        <f t="shared" si="20"/>
        <v>120.624</v>
      </c>
      <c r="Q51" s="45">
        <f t="shared" si="21"/>
        <v>180.936</v>
      </c>
      <c r="R51" s="45">
        <f t="shared" si="12"/>
        <v>95.6376</v>
      </c>
      <c r="S51" s="150"/>
    </row>
    <row r="52" s="147" customFormat="1" ht="15.6" spans="1:19">
      <c r="A52" s="23" t="s">
        <v>37</v>
      </c>
      <c r="B52" s="85">
        <v>1.1176</v>
      </c>
      <c r="C52" s="23">
        <v>44</v>
      </c>
      <c r="D52" s="24" t="s">
        <v>38</v>
      </c>
      <c r="E52" s="24" t="s">
        <v>42</v>
      </c>
      <c r="F52" s="45" t="s">
        <v>51</v>
      </c>
      <c r="G52" s="27">
        <v>21.7</v>
      </c>
      <c r="H52" s="26">
        <f t="shared" si="13"/>
        <v>260.4</v>
      </c>
      <c r="I52" s="45">
        <f t="shared" si="14"/>
        <v>289.261</v>
      </c>
      <c r="J52" s="26">
        <f t="shared" si="15"/>
        <v>303.8</v>
      </c>
      <c r="K52" s="26">
        <f t="shared" si="11"/>
        <v>268.20332</v>
      </c>
      <c r="L52" s="45">
        <f t="shared" si="16"/>
        <v>208.32</v>
      </c>
      <c r="M52" s="45">
        <f t="shared" si="17"/>
        <v>312.48</v>
      </c>
      <c r="N52" s="45">
        <f t="shared" si="18"/>
        <v>231.322</v>
      </c>
      <c r="O52" s="45">
        <f t="shared" si="19"/>
        <v>347.2</v>
      </c>
      <c r="P52" s="45">
        <f t="shared" si="20"/>
        <v>243.04</v>
      </c>
      <c r="Q52" s="45">
        <f t="shared" si="21"/>
        <v>364.56</v>
      </c>
      <c r="R52" s="45">
        <f t="shared" si="12"/>
        <v>192.696</v>
      </c>
      <c r="S52" s="150"/>
    </row>
    <row r="53" s="147" customFormat="1" ht="15.6" spans="1:19">
      <c r="A53" s="23" t="s">
        <v>37</v>
      </c>
      <c r="B53" s="85">
        <v>1.1938</v>
      </c>
      <c r="C53" s="23">
        <v>47</v>
      </c>
      <c r="D53" s="24" t="s">
        <v>41</v>
      </c>
      <c r="E53" s="24" t="s">
        <v>42</v>
      </c>
      <c r="F53" s="45" t="s">
        <v>52</v>
      </c>
      <c r="G53" s="27">
        <v>13.76</v>
      </c>
      <c r="H53" s="26">
        <f t="shared" si="13"/>
        <v>165.12</v>
      </c>
      <c r="I53" s="45">
        <f t="shared" si="14"/>
        <v>183.4208</v>
      </c>
      <c r="J53" s="26">
        <f t="shared" si="15"/>
        <v>192.64</v>
      </c>
      <c r="K53" s="26">
        <f t="shared" si="11"/>
        <v>170.068096</v>
      </c>
      <c r="L53" s="45">
        <f t="shared" si="16"/>
        <v>132.096</v>
      </c>
      <c r="M53" s="45">
        <f t="shared" si="17"/>
        <v>198.144</v>
      </c>
      <c r="N53" s="45">
        <f t="shared" si="18"/>
        <v>146.6816</v>
      </c>
      <c r="O53" s="45">
        <f t="shared" si="19"/>
        <v>220.16</v>
      </c>
      <c r="P53" s="45">
        <f t="shared" si="20"/>
        <v>154.112</v>
      </c>
      <c r="Q53" s="45">
        <f t="shared" si="21"/>
        <v>231.168</v>
      </c>
      <c r="R53" s="45">
        <f t="shared" si="12"/>
        <v>122.1888</v>
      </c>
      <c r="S53" s="150"/>
    </row>
    <row r="54" s="147" customFormat="1" ht="15.6" spans="1:19">
      <c r="A54" s="23" t="s">
        <v>37</v>
      </c>
      <c r="B54" s="85">
        <v>1.1938</v>
      </c>
      <c r="C54" s="23">
        <v>47</v>
      </c>
      <c r="D54" s="24" t="s">
        <v>38</v>
      </c>
      <c r="E54" s="24" t="s">
        <v>42</v>
      </c>
      <c r="F54" s="45" t="s">
        <v>52</v>
      </c>
      <c r="G54" s="27">
        <v>22.084</v>
      </c>
      <c r="H54" s="26">
        <f t="shared" si="13"/>
        <v>265.008</v>
      </c>
      <c r="I54" s="45">
        <f t="shared" si="14"/>
        <v>294.37972</v>
      </c>
      <c r="J54" s="26">
        <f t="shared" si="15"/>
        <v>309.176</v>
      </c>
      <c r="K54" s="26">
        <f t="shared" si="11"/>
        <v>272.9494064</v>
      </c>
      <c r="L54" s="45">
        <f t="shared" si="16"/>
        <v>212.0064</v>
      </c>
      <c r="M54" s="45">
        <f t="shared" si="17"/>
        <v>318.0096</v>
      </c>
      <c r="N54" s="45">
        <f t="shared" si="18"/>
        <v>235.41544</v>
      </c>
      <c r="O54" s="45">
        <f t="shared" si="19"/>
        <v>353.344</v>
      </c>
      <c r="P54" s="45">
        <f t="shared" si="20"/>
        <v>247.3408</v>
      </c>
      <c r="Q54" s="45">
        <f t="shared" si="21"/>
        <v>371.0112</v>
      </c>
      <c r="R54" s="45">
        <f t="shared" si="12"/>
        <v>196.10592</v>
      </c>
      <c r="S54" s="150"/>
    </row>
    <row r="55" s="147" customFormat="1" ht="15.6" spans="1:19">
      <c r="A55" s="23" t="s">
        <v>37</v>
      </c>
      <c r="B55" s="85">
        <v>1.1938</v>
      </c>
      <c r="C55" s="23">
        <v>47</v>
      </c>
      <c r="D55" s="24" t="s">
        <v>44</v>
      </c>
      <c r="E55" s="24" t="s">
        <v>42</v>
      </c>
      <c r="F55" s="45" t="s">
        <v>52</v>
      </c>
      <c r="G55" s="27">
        <v>11.812</v>
      </c>
      <c r="H55" s="26">
        <f t="shared" si="13"/>
        <v>141.744</v>
      </c>
      <c r="I55" s="45">
        <f t="shared" si="14"/>
        <v>157.45396</v>
      </c>
      <c r="J55" s="26">
        <f t="shared" si="15"/>
        <v>165.368</v>
      </c>
      <c r="K55" s="26">
        <f t="shared" si="11"/>
        <v>145.9915952</v>
      </c>
      <c r="L55" s="45">
        <f t="shared" si="16"/>
        <v>113.3952</v>
      </c>
      <c r="M55" s="45">
        <f t="shared" si="17"/>
        <v>170.0928</v>
      </c>
      <c r="N55" s="45">
        <f t="shared" si="18"/>
        <v>125.91592</v>
      </c>
      <c r="O55" s="45">
        <f t="shared" si="19"/>
        <v>188.992</v>
      </c>
      <c r="P55" s="45">
        <f t="shared" si="20"/>
        <v>132.2944</v>
      </c>
      <c r="Q55" s="45">
        <f t="shared" si="21"/>
        <v>198.4416</v>
      </c>
      <c r="R55" s="45">
        <f t="shared" si="12"/>
        <v>104.89056</v>
      </c>
      <c r="S55" s="150"/>
    </row>
    <row r="56" s="147" customFormat="1" ht="15.6" spans="1:19">
      <c r="A56" s="23" t="s">
        <v>37</v>
      </c>
      <c r="B56" s="85">
        <v>1.2446</v>
      </c>
      <c r="C56" s="23">
        <v>49</v>
      </c>
      <c r="D56" s="24" t="s">
        <v>41</v>
      </c>
      <c r="E56" s="24" t="s">
        <v>42</v>
      </c>
      <c r="F56" s="45" t="s">
        <v>52</v>
      </c>
      <c r="G56" s="27">
        <v>14.638</v>
      </c>
      <c r="H56" s="26">
        <f t="shared" si="13"/>
        <v>175.656</v>
      </c>
      <c r="I56" s="45">
        <f t="shared" si="14"/>
        <v>195.12454</v>
      </c>
      <c r="J56" s="26">
        <f t="shared" si="15"/>
        <v>204.932</v>
      </c>
      <c r="K56" s="26">
        <f t="shared" si="11"/>
        <v>180.9198248</v>
      </c>
      <c r="L56" s="45">
        <f t="shared" si="16"/>
        <v>140.5248</v>
      </c>
      <c r="M56" s="45">
        <f t="shared" si="17"/>
        <v>210.7872</v>
      </c>
      <c r="N56" s="45">
        <f t="shared" si="18"/>
        <v>156.04108</v>
      </c>
      <c r="O56" s="45">
        <f t="shared" si="19"/>
        <v>234.208</v>
      </c>
      <c r="P56" s="45">
        <f t="shared" si="20"/>
        <v>163.9456</v>
      </c>
      <c r="Q56" s="45">
        <f t="shared" si="21"/>
        <v>245.9184</v>
      </c>
      <c r="R56" s="45">
        <f t="shared" si="12"/>
        <v>129.98544</v>
      </c>
      <c r="S56" s="150"/>
    </row>
    <row r="57" s="147" customFormat="1" ht="15.6" spans="1:19">
      <c r="A57" s="23" t="s">
        <v>37</v>
      </c>
      <c r="B57" s="85">
        <v>1.2446</v>
      </c>
      <c r="C57" s="23">
        <v>49</v>
      </c>
      <c r="D57" s="24" t="s">
        <v>44</v>
      </c>
      <c r="E57" s="24" t="s">
        <v>42</v>
      </c>
      <c r="F57" s="45" t="s">
        <v>52</v>
      </c>
      <c r="G57" s="27">
        <v>12.007</v>
      </c>
      <c r="H57" s="26">
        <f t="shared" si="13"/>
        <v>144.084</v>
      </c>
      <c r="I57" s="45">
        <f t="shared" si="14"/>
        <v>160.05331</v>
      </c>
      <c r="J57" s="26">
        <f t="shared" si="15"/>
        <v>168.098</v>
      </c>
      <c r="K57" s="26">
        <f t="shared" si="11"/>
        <v>148.4017172</v>
      </c>
      <c r="L57" s="45">
        <f t="shared" si="16"/>
        <v>115.2672</v>
      </c>
      <c r="M57" s="45">
        <f t="shared" si="17"/>
        <v>172.9008</v>
      </c>
      <c r="N57" s="45">
        <f t="shared" si="18"/>
        <v>127.99462</v>
      </c>
      <c r="O57" s="45">
        <f t="shared" si="19"/>
        <v>192.112</v>
      </c>
      <c r="P57" s="45">
        <f t="shared" si="20"/>
        <v>134.4784</v>
      </c>
      <c r="Q57" s="45">
        <f t="shared" si="21"/>
        <v>201.7176</v>
      </c>
      <c r="R57" s="45">
        <f t="shared" si="12"/>
        <v>106.62216</v>
      </c>
      <c r="S57" s="150"/>
    </row>
    <row r="58" s="147" customFormat="1" ht="15.6" spans="1:19">
      <c r="A58" s="23" t="s">
        <v>37</v>
      </c>
      <c r="B58" s="85">
        <v>1.2954</v>
      </c>
      <c r="C58" s="23">
        <v>51</v>
      </c>
      <c r="D58" s="24" t="s">
        <v>41</v>
      </c>
      <c r="E58" s="24" t="s">
        <v>42</v>
      </c>
      <c r="F58" s="45" t="s">
        <v>53</v>
      </c>
      <c r="G58" s="27">
        <v>14.828</v>
      </c>
      <c r="H58" s="26">
        <f t="shared" si="13"/>
        <v>177.936</v>
      </c>
      <c r="I58" s="45">
        <f t="shared" si="14"/>
        <v>197.65724</v>
      </c>
      <c r="J58" s="26">
        <f t="shared" si="15"/>
        <v>207.592</v>
      </c>
      <c r="K58" s="26">
        <f t="shared" si="11"/>
        <v>183.2681488</v>
      </c>
      <c r="L58" s="45">
        <f t="shared" si="16"/>
        <v>142.3488</v>
      </c>
      <c r="M58" s="45">
        <f t="shared" si="17"/>
        <v>213.5232</v>
      </c>
      <c r="N58" s="45">
        <f t="shared" si="18"/>
        <v>158.06648</v>
      </c>
      <c r="O58" s="45">
        <f t="shared" si="19"/>
        <v>237.248</v>
      </c>
      <c r="P58" s="45">
        <f t="shared" si="20"/>
        <v>166.0736</v>
      </c>
      <c r="Q58" s="45">
        <f t="shared" si="21"/>
        <v>249.1104</v>
      </c>
      <c r="R58" s="45">
        <f t="shared" si="12"/>
        <v>131.67264</v>
      </c>
      <c r="S58" s="150"/>
    </row>
    <row r="59" s="147" customFormat="1" ht="15.6" spans="1:19">
      <c r="A59" s="23" t="s">
        <v>37</v>
      </c>
      <c r="B59" s="85">
        <v>1.2954</v>
      </c>
      <c r="C59" s="23">
        <v>51</v>
      </c>
      <c r="D59" s="24" t="s">
        <v>44</v>
      </c>
      <c r="E59" s="24" t="s">
        <v>42</v>
      </c>
      <c r="F59" s="45" t="s">
        <v>53</v>
      </c>
      <c r="G59" s="27">
        <v>11.658</v>
      </c>
      <c r="H59" s="26">
        <f t="shared" si="13"/>
        <v>139.896</v>
      </c>
      <c r="I59" s="45">
        <f t="shared" si="14"/>
        <v>155.40114</v>
      </c>
      <c r="J59" s="26">
        <f t="shared" si="15"/>
        <v>163.212</v>
      </c>
      <c r="K59" s="26">
        <f t="shared" si="11"/>
        <v>144.0882168</v>
      </c>
      <c r="L59" s="45">
        <f t="shared" si="16"/>
        <v>111.9168</v>
      </c>
      <c r="M59" s="45">
        <f t="shared" si="17"/>
        <v>167.8752</v>
      </c>
      <c r="N59" s="45">
        <f t="shared" si="18"/>
        <v>124.27428</v>
      </c>
      <c r="O59" s="45">
        <f t="shared" si="19"/>
        <v>186.528</v>
      </c>
      <c r="P59" s="45">
        <f t="shared" si="20"/>
        <v>130.5696</v>
      </c>
      <c r="Q59" s="45">
        <f t="shared" si="21"/>
        <v>195.8544</v>
      </c>
      <c r="R59" s="45">
        <f t="shared" si="12"/>
        <v>103.52304</v>
      </c>
      <c r="S59" s="150"/>
    </row>
    <row r="60" s="147" customFormat="1" ht="15.6" spans="1:19">
      <c r="A60" s="23" t="s">
        <v>37</v>
      </c>
      <c r="B60" s="85">
        <v>1.2954</v>
      </c>
      <c r="C60" s="23">
        <v>51</v>
      </c>
      <c r="D60" s="24" t="s">
        <v>38</v>
      </c>
      <c r="E60" s="24" t="s">
        <v>42</v>
      </c>
      <c r="F60" s="45" t="s">
        <v>52</v>
      </c>
      <c r="G60" s="27">
        <v>22.507</v>
      </c>
      <c r="H60" s="26">
        <f t="shared" si="13"/>
        <v>270.084</v>
      </c>
      <c r="I60" s="45">
        <f t="shared" si="14"/>
        <v>300.01831</v>
      </c>
      <c r="J60" s="26">
        <f t="shared" si="15"/>
        <v>315.098</v>
      </c>
      <c r="K60" s="26">
        <f t="shared" si="11"/>
        <v>278.1775172</v>
      </c>
      <c r="L60" s="45">
        <f t="shared" si="16"/>
        <v>216.0672</v>
      </c>
      <c r="M60" s="45">
        <f t="shared" si="17"/>
        <v>324.1008</v>
      </c>
      <c r="N60" s="45">
        <f t="shared" si="18"/>
        <v>239.92462</v>
      </c>
      <c r="O60" s="45">
        <f t="shared" si="19"/>
        <v>360.112</v>
      </c>
      <c r="P60" s="45">
        <f t="shared" si="20"/>
        <v>252.0784</v>
      </c>
      <c r="Q60" s="45">
        <f t="shared" si="21"/>
        <v>378.1176</v>
      </c>
      <c r="R60" s="45">
        <f t="shared" si="12"/>
        <v>199.86216</v>
      </c>
      <c r="S60" s="150"/>
    </row>
    <row r="61" s="147" customFormat="1" ht="15.6" spans="1:19">
      <c r="A61" s="23" t="s">
        <v>37</v>
      </c>
      <c r="B61" s="85">
        <v>1.397</v>
      </c>
      <c r="C61" s="23">
        <v>55</v>
      </c>
      <c r="D61" s="24" t="s">
        <v>41</v>
      </c>
      <c r="E61" s="24" t="s">
        <v>42</v>
      </c>
      <c r="F61" s="45" t="s">
        <v>53</v>
      </c>
      <c r="G61" s="27">
        <v>14.958</v>
      </c>
      <c r="H61" s="26">
        <f t="shared" si="13"/>
        <v>179.496</v>
      </c>
      <c r="I61" s="45">
        <f t="shared" si="14"/>
        <v>199.39014</v>
      </c>
      <c r="J61" s="26">
        <f t="shared" si="15"/>
        <v>209.412</v>
      </c>
      <c r="K61" s="26">
        <f t="shared" si="11"/>
        <v>184.8748968</v>
      </c>
      <c r="L61" s="45">
        <f t="shared" si="16"/>
        <v>143.5968</v>
      </c>
      <c r="M61" s="45">
        <f t="shared" si="17"/>
        <v>215.3952</v>
      </c>
      <c r="N61" s="45">
        <f t="shared" si="18"/>
        <v>159.45228</v>
      </c>
      <c r="O61" s="45">
        <f t="shared" si="19"/>
        <v>239.328</v>
      </c>
      <c r="P61" s="45">
        <f t="shared" si="20"/>
        <v>167.5296</v>
      </c>
      <c r="Q61" s="45">
        <f t="shared" si="21"/>
        <v>251.2944</v>
      </c>
      <c r="R61" s="45">
        <f t="shared" si="12"/>
        <v>132.82704</v>
      </c>
      <c r="S61" s="150"/>
    </row>
    <row r="62" s="147" customFormat="1" ht="15.6" spans="1:19">
      <c r="A62" s="23" t="s">
        <v>37</v>
      </c>
      <c r="B62" s="85">
        <v>1.397</v>
      </c>
      <c r="C62" s="23">
        <v>55</v>
      </c>
      <c r="D62" s="24" t="s">
        <v>38</v>
      </c>
      <c r="E62" s="24" t="s">
        <v>42</v>
      </c>
      <c r="F62" s="45" t="s">
        <v>53</v>
      </c>
      <c r="G62" s="27">
        <v>23.703</v>
      </c>
      <c r="H62" s="26">
        <f t="shared" si="13"/>
        <v>284.436</v>
      </c>
      <c r="I62" s="45">
        <f t="shared" si="14"/>
        <v>315.96099</v>
      </c>
      <c r="J62" s="26">
        <f t="shared" si="15"/>
        <v>331.842</v>
      </c>
      <c r="K62" s="26">
        <f t="shared" si="11"/>
        <v>292.9595988</v>
      </c>
      <c r="L62" s="45">
        <f t="shared" si="16"/>
        <v>227.5488</v>
      </c>
      <c r="M62" s="45">
        <f t="shared" si="17"/>
        <v>341.3232</v>
      </c>
      <c r="N62" s="45">
        <f t="shared" si="18"/>
        <v>252.67398</v>
      </c>
      <c r="O62" s="45">
        <f t="shared" si="19"/>
        <v>379.248</v>
      </c>
      <c r="P62" s="45">
        <f t="shared" si="20"/>
        <v>265.4736</v>
      </c>
      <c r="Q62" s="45">
        <f t="shared" si="21"/>
        <v>398.2104</v>
      </c>
      <c r="R62" s="45">
        <f t="shared" si="12"/>
        <v>210.48264</v>
      </c>
      <c r="S62" s="150"/>
    </row>
    <row r="63" s="147" customFormat="1" ht="15.6" spans="1:19">
      <c r="A63" s="23" t="s">
        <v>37</v>
      </c>
      <c r="B63" s="85">
        <v>1.397</v>
      </c>
      <c r="C63" s="23">
        <v>55</v>
      </c>
      <c r="D63" s="24" t="s">
        <v>44</v>
      </c>
      <c r="E63" s="24" t="s">
        <v>42</v>
      </c>
      <c r="F63" s="45" t="s">
        <v>53</v>
      </c>
      <c r="G63" s="27">
        <v>12.966</v>
      </c>
      <c r="H63" s="26">
        <f t="shared" si="13"/>
        <v>155.592</v>
      </c>
      <c r="I63" s="45">
        <f t="shared" si="14"/>
        <v>172.83678</v>
      </c>
      <c r="J63" s="26">
        <f t="shared" si="15"/>
        <v>181.524</v>
      </c>
      <c r="K63" s="26">
        <f t="shared" si="11"/>
        <v>160.2545736</v>
      </c>
      <c r="L63" s="45">
        <f t="shared" si="16"/>
        <v>124.4736</v>
      </c>
      <c r="M63" s="45">
        <f t="shared" si="17"/>
        <v>186.7104</v>
      </c>
      <c r="N63" s="45">
        <f t="shared" si="18"/>
        <v>138.21756</v>
      </c>
      <c r="O63" s="45">
        <f t="shared" si="19"/>
        <v>207.456</v>
      </c>
      <c r="P63" s="45">
        <f t="shared" si="20"/>
        <v>145.2192</v>
      </c>
      <c r="Q63" s="45">
        <f t="shared" si="21"/>
        <v>217.8288</v>
      </c>
      <c r="R63" s="45">
        <f t="shared" si="12"/>
        <v>115.13808</v>
      </c>
      <c r="S63" s="150"/>
    </row>
    <row r="64" s="147" customFormat="1" ht="15.6" spans="1:19">
      <c r="A64" s="23" t="s">
        <v>37</v>
      </c>
      <c r="B64" s="85">
        <v>1.4986</v>
      </c>
      <c r="C64" s="23">
        <v>59</v>
      </c>
      <c r="D64" s="24" t="s">
        <v>41</v>
      </c>
      <c r="E64" s="24" t="s">
        <v>42</v>
      </c>
      <c r="F64" s="45" t="s">
        <v>54</v>
      </c>
      <c r="G64" s="27">
        <v>15.66</v>
      </c>
      <c r="H64" s="26">
        <f t="shared" si="13"/>
        <v>187.92</v>
      </c>
      <c r="I64" s="45">
        <f t="shared" si="14"/>
        <v>208.7478</v>
      </c>
      <c r="J64" s="26">
        <f t="shared" si="15"/>
        <v>219.24</v>
      </c>
      <c r="K64" s="26">
        <f t="shared" si="11"/>
        <v>193.551336</v>
      </c>
      <c r="L64" s="45">
        <f t="shared" si="16"/>
        <v>150.336</v>
      </c>
      <c r="M64" s="45">
        <f t="shared" si="17"/>
        <v>225.504</v>
      </c>
      <c r="N64" s="45">
        <f t="shared" si="18"/>
        <v>166.9356</v>
      </c>
      <c r="O64" s="45">
        <f t="shared" si="19"/>
        <v>250.56</v>
      </c>
      <c r="P64" s="45">
        <f t="shared" si="20"/>
        <v>175.392</v>
      </c>
      <c r="Q64" s="45">
        <f t="shared" si="21"/>
        <v>263.088</v>
      </c>
      <c r="R64" s="45">
        <f t="shared" si="12"/>
        <v>139.0608</v>
      </c>
      <c r="S64" s="150"/>
    </row>
    <row r="65" s="147" customFormat="1" ht="15.6" spans="1:19">
      <c r="A65" s="23" t="s">
        <v>37</v>
      </c>
      <c r="B65" s="85">
        <v>1.4986</v>
      </c>
      <c r="C65" s="23">
        <v>59</v>
      </c>
      <c r="D65" s="24" t="s">
        <v>44</v>
      </c>
      <c r="E65" s="24" t="s">
        <v>42</v>
      </c>
      <c r="F65" s="45" t="s">
        <v>54</v>
      </c>
      <c r="G65" s="27">
        <v>13.06</v>
      </c>
      <c r="H65" s="26">
        <f t="shared" si="13"/>
        <v>156.72</v>
      </c>
      <c r="I65" s="45">
        <f t="shared" si="14"/>
        <v>174.0898</v>
      </c>
      <c r="J65" s="26">
        <f t="shared" si="15"/>
        <v>182.84</v>
      </c>
      <c r="K65" s="26">
        <f t="shared" si="11"/>
        <v>161.416376</v>
      </c>
      <c r="L65" s="45">
        <f t="shared" si="16"/>
        <v>125.376</v>
      </c>
      <c r="M65" s="45">
        <f t="shared" si="17"/>
        <v>188.064</v>
      </c>
      <c r="N65" s="45">
        <f t="shared" si="18"/>
        <v>139.2196</v>
      </c>
      <c r="O65" s="45">
        <f t="shared" si="19"/>
        <v>208.96</v>
      </c>
      <c r="P65" s="45">
        <f t="shared" si="20"/>
        <v>146.272</v>
      </c>
      <c r="Q65" s="45">
        <f t="shared" si="21"/>
        <v>219.408</v>
      </c>
      <c r="R65" s="45">
        <f t="shared" si="12"/>
        <v>115.9728</v>
      </c>
      <c r="S65" s="150"/>
    </row>
    <row r="66" s="147" customFormat="1" ht="15.6" spans="1:19">
      <c r="A66" s="23" t="s">
        <v>37</v>
      </c>
      <c r="B66" s="85">
        <v>1.4986</v>
      </c>
      <c r="C66" s="23">
        <v>59</v>
      </c>
      <c r="D66" s="24" t="s">
        <v>38</v>
      </c>
      <c r="E66" s="24" t="s">
        <v>42</v>
      </c>
      <c r="F66" s="45" t="s">
        <v>53</v>
      </c>
      <c r="G66" s="27">
        <v>23.979</v>
      </c>
      <c r="H66" s="26">
        <f t="shared" si="13"/>
        <v>287.748</v>
      </c>
      <c r="I66" s="45">
        <f t="shared" si="14"/>
        <v>319.64007</v>
      </c>
      <c r="J66" s="26">
        <f t="shared" si="15"/>
        <v>335.706</v>
      </c>
      <c r="K66" s="26">
        <f t="shared" si="11"/>
        <v>296.3708484</v>
      </c>
      <c r="L66" s="45">
        <f t="shared" si="16"/>
        <v>230.1984</v>
      </c>
      <c r="M66" s="45">
        <f t="shared" si="17"/>
        <v>345.2976</v>
      </c>
      <c r="N66" s="45">
        <f t="shared" si="18"/>
        <v>255.61614</v>
      </c>
      <c r="O66" s="45">
        <f t="shared" si="19"/>
        <v>383.664</v>
      </c>
      <c r="P66" s="45">
        <f t="shared" si="20"/>
        <v>268.5648</v>
      </c>
      <c r="Q66" s="45">
        <f t="shared" si="21"/>
        <v>402.8472</v>
      </c>
      <c r="R66" s="45">
        <f t="shared" si="12"/>
        <v>212.93352</v>
      </c>
      <c r="S66" s="150"/>
    </row>
    <row r="67" s="147" customFormat="1" ht="15.6" spans="1:19">
      <c r="A67" s="23" t="s">
        <v>37</v>
      </c>
      <c r="B67" s="85">
        <v>1.5748</v>
      </c>
      <c r="C67" s="23">
        <v>62</v>
      </c>
      <c r="D67" s="24" t="s">
        <v>41</v>
      </c>
      <c r="E67" s="24" t="s">
        <v>42</v>
      </c>
      <c r="F67" s="45" t="s">
        <v>54</v>
      </c>
      <c r="G67" s="27">
        <v>15.948</v>
      </c>
      <c r="H67" s="26">
        <f t="shared" si="13"/>
        <v>191.376</v>
      </c>
      <c r="I67" s="45">
        <f t="shared" si="14"/>
        <v>212.58684</v>
      </c>
      <c r="J67" s="26">
        <f t="shared" si="15"/>
        <v>223.272</v>
      </c>
      <c r="K67" s="26">
        <f t="shared" si="11"/>
        <v>197.1109008</v>
      </c>
      <c r="L67" s="45">
        <f t="shared" si="16"/>
        <v>153.1008</v>
      </c>
      <c r="M67" s="45">
        <f t="shared" si="17"/>
        <v>229.6512</v>
      </c>
      <c r="N67" s="45">
        <f t="shared" si="18"/>
        <v>170.00568</v>
      </c>
      <c r="O67" s="45">
        <f t="shared" si="19"/>
        <v>255.168</v>
      </c>
      <c r="P67" s="45">
        <f t="shared" si="20"/>
        <v>178.6176</v>
      </c>
      <c r="Q67" s="45">
        <f t="shared" si="21"/>
        <v>267.9264</v>
      </c>
      <c r="R67" s="45">
        <f t="shared" si="12"/>
        <v>141.61824</v>
      </c>
      <c r="S67" s="150"/>
    </row>
    <row r="68" s="147" customFormat="1" ht="15.6" spans="1:19">
      <c r="A68" s="23" t="s">
        <v>37</v>
      </c>
      <c r="B68" s="85">
        <v>1.5748</v>
      </c>
      <c r="C68" s="23">
        <v>62</v>
      </c>
      <c r="D68" s="24" t="s">
        <v>38</v>
      </c>
      <c r="E68" s="24" t="s">
        <v>42</v>
      </c>
      <c r="F68" s="45" t="s">
        <v>54</v>
      </c>
      <c r="G68" s="27">
        <v>24.269</v>
      </c>
      <c r="H68" s="26">
        <f t="shared" si="13"/>
        <v>291.228</v>
      </c>
      <c r="I68" s="45">
        <f t="shared" si="14"/>
        <v>323.50577</v>
      </c>
      <c r="J68" s="26">
        <f t="shared" si="15"/>
        <v>339.766</v>
      </c>
      <c r="K68" s="26">
        <f t="shared" si="11"/>
        <v>299.9551324</v>
      </c>
      <c r="L68" s="45">
        <f t="shared" si="16"/>
        <v>232.9824</v>
      </c>
      <c r="M68" s="45">
        <f t="shared" si="17"/>
        <v>349.4736</v>
      </c>
      <c r="N68" s="45">
        <f t="shared" si="18"/>
        <v>258.70754</v>
      </c>
      <c r="O68" s="45">
        <f t="shared" si="19"/>
        <v>388.304</v>
      </c>
      <c r="P68" s="45">
        <f t="shared" si="20"/>
        <v>271.8128</v>
      </c>
      <c r="Q68" s="45">
        <f t="shared" si="21"/>
        <v>407.7192</v>
      </c>
      <c r="R68" s="45">
        <f t="shared" si="12"/>
        <v>215.50872</v>
      </c>
      <c r="S68" s="150"/>
    </row>
    <row r="69" s="147" customFormat="1" ht="15.6" spans="1:19">
      <c r="A69" s="23" t="s">
        <v>37</v>
      </c>
      <c r="B69" s="85">
        <v>1.5748</v>
      </c>
      <c r="C69" s="23">
        <v>62</v>
      </c>
      <c r="D69" s="24" t="s">
        <v>44</v>
      </c>
      <c r="E69" s="24" t="s">
        <v>42</v>
      </c>
      <c r="F69" s="45" t="s">
        <v>54</v>
      </c>
      <c r="G69" s="27">
        <v>13.245</v>
      </c>
      <c r="H69" s="26">
        <f t="shared" si="13"/>
        <v>158.94</v>
      </c>
      <c r="I69" s="45">
        <f t="shared" si="14"/>
        <v>176.55585</v>
      </c>
      <c r="J69" s="26">
        <f t="shared" si="15"/>
        <v>185.43</v>
      </c>
      <c r="K69" s="26">
        <f t="shared" si="11"/>
        <v>163.702902</v>
      </c>
      <c r="L69" s="45">
        <f t="shared" si="16"/>
        <v>127.152</v>
      </c>
      <c r="M69" s="45">
        <f t="shared" si="17"/>
        <v>190.728</v>
      </c>
      <c r="N69" s="45">
        <f t="shared" si="18"/>
        <v>141.1917</v>
      </c>
      <c r="O69" s="45">
        <f t="shared" si="19"/>
        <v>211.92</v>
      </c>
      <c r="P69" s="45">
        <f t="shared" si="20"/>
        <v>148.344</v>
      </c>
      <c r="Q69" s="45">
        <f t="shared" si="21"/>
        <v>222.516</v>
      </c>
      <c r="R69" s="45">
        <f t="shared" si="12"/>
        <v>117.6156</v>
      </c>
      <c r="S69" s="150"/>
    </row>
    <row r="70" s="147" customFormat="1" ht="15.6" spans="1:19">
      <c r="A70" s="23" t="s">
        <v>37</v>
      </c>
      <c r="B70" s="85">
        <v>1.778</v>
      </c>
      <c r="C70" s="23">
        <v>70</v>
      </c>
      <c r="D70" s="24" t="s">
        <v>41</v>
      </c>
      <c r="E70" s="24" t="s">
        <v>42</v>
      </c>
      <c r="F70" s="45" t="s">
        <v>55</v>
      </c>
      <c r="G70" s="27">
        <v>17.473</v>
      </c>
      <c r="H70" s="26">
        <f t="shared" si="13"/>
        <v>209.676</v>
      </c>
      <c r="I70" s="45">
        <f t="shared" si="14"/>
        <v>232.91509</v>
      </c>
      <c r="J70" s="26">
        <f t="shared" si="15"/>
        <v>244.622</v>
      </c>
      <c r="K70" s="26">
        <f t="shared" si="11"/>
        <v>215.9592908</v>
      </c>
      <c r="L70" s="45">
        <f t="shared" si="16"/>
        <v>167.7408</v>
      </c>
      <c r="M70" s="45">
        <f t="shared" si="17"/>
        <v>251.6112</v>
      </c>
      <c r="N70" s="45">
        <f t="shared" si="18"/>
        <v>186.26218</v>
      </c>
      <c r="O70" s="45">
        <f t="shared" si="19"/>
        <v>279.568</v>
      </c>
      <c r="P70" s="45">
        <f t="shared" si="20"/>
        <v>195.6976</v>
      </c>
      <c r="Q70" s="45">
        <f t="shared" si="21"/>
        <v>293.5464</v>
      </c>
      <c r="R70" s="45">
        <f t="shared" si="12"/>
        <v>155.16024</v>
      </c>
      <c r="S70" s="150"/>
    </row>
    <row r="71" s="147" customFormat="1" ht="15.6" spans="1:19">
      <c r="A71" s="23" t="s">
        <v>37</v>
      </c>
      <c r="B71" s="85">
        <v>1.778</v>
      </c>
      <c r="C71" s="23">
        <v>70</v>
      </c>
      <c r="D71" s="24" t="s">
        <v>44</v>
      </c>
      <c r="E71" s="24" t="s">
        <v>42</v>
      </c>
      <c r="F71" s="45" t="s">
        <v>55</v>
      </c>
      <c r="G71" s="27">
        <v>14.786</v>
      </c>
      <c r="H71" s="26">
        <f t="shared" si="13"/>
        <v>177.432</v>
      </c>
      <c r="I71" s="45">
        <f t="shared" si="14"/>
        <v>197.09738</v>
      </c>
      <c r="J71" s="26">
        <f t="shared" si="15"/>
        <v>207.004</v>
      </c>
      <c r="K71" s="26">
        <f t="shared" si="11"/>
        <v>182.7490456</v>
      </c>
      <c r="L71" s="45">
        <f t="shared" si="16"/>
        <v>141.9456</v>
      </c>
      <c r="M71" s="45">
        <f t="shared" si="17"/>
        <v>212.9184</v>
      </c>
      <c r="N71" s="45">
        <f t="shared" si="18"/>
        <v>157.61876</v>
      </c>
      <c r="O71" s="45">
        <f t="shared" si="19"/>
        <v>236.576</v>
      </c>
      <c r="P71" s="45">
        <f t="shared" si="20"/>
        <v>165.6032</v>
      </c>
      <c r="Q71" s="45">
        <f t="shared" si="21"/>
        <v>248.4048</v>
      </c>
      <c r="R71" s="45">
        <f t="shared" si="12"/>
        <v>131.29968</v>
      </c>
      <c r="S71" s="150"/>
    </row>
    <row r="72" s="147" customFormat="1" ht="15.6" spans="1:19">
      <c r="A72" s="23" t="s">
        <v>37</v>
      </c>
      <c r="B72" s="85">
        <v>1.9812</v>
      </c>
      <c r="C72" s="23">
        <v>78</v>
      </c>
      <c r="D72" s="24" t="s">
        <v>41</v>
      </c>
      <c r="E72" s="24" t="s">
        <v>42</v>
      </c>
      <c r="F72" s="45" t="s">
        <v>56</v>
      </c>
      <c r="G72" s="27">
        <v>18.269</v>
      </c>
      <c r="H72" s="26">
        <f t="shared" si="13"/>
        <v>219.228</v>
      </c>
      <c r="I72" s="45">
        <f t="shared" si="14"/>
        <v>243.52577</v>
      </c>
      <c r="J72" s="26">
        <f t="shared" si="15"/>
        <v>255.766</v>
      </c>
      <c r="K72" s="26">
        <f t="shared" si="11"/>
        <v>225.7975324</v>
      </c>
      <c r="L72" s="45">
        <f t="shared" si="16"/>
        <v>175.3824</v>
      </c>
      <c r="M72" s="45">
        <f t="shared" si="17"/>
        <v>263.0736</v>
      </c>
      <c r="N72" s="45">
        <f t="shared" si="18"/>
        <v>194.74754</v>
      </c>
      <c r="O72" s="45">
        <f t="shared" si="19"/>
        <v>292.304</v>
      </c>
      <c r="P72" s="45">
        <f t="shared" si="20"/>
        <v>204.6128</v>
      </c>
      <c r="Q72" s="45">
        <f t="shared" si="21"/>
        <v>306.9192</v>
      </c>
      <c r="R72" s="45">
        <f t="shared" si="12"/>
        <v>162.22872</v>
      </c>
      <c r="S72" s="150"/>
    </row>
    <row r="73" s="147" customFormat="1" ht="15.6" spans="1:19">
      <c r="A73" s="23" t="s">
        <v>37</v>
      </c>
      <c r="B73" s="85">
        <v>1.9812</v>
      </c>
      <c r="C73" s="23">
        <v>78</v>
      </c>
      <c r="D73" s="28" t="s">
        <v>44</v>
      </c>
      <c r="E73" s="24" t="s">
        <v>42</v>
      </c>
      <c r="F73" s="45" t="s">
        <v>56</v>
      </c>
      <c r="G73" s="27">
        <v>15.72</v>
      </c>
      <c r="H73" s="26">
        <f t="shared" si="13"/>
        <v>188.64</v>
      </c>
      <c r="I73" s="45">
        <f t="shared" si="14"/>
        <v>209.5476</v>
      </c>
      <c r="J73" s="26">
        <f t="shared" si="15"/>
        <v>220.08</v>
      </c>
      <c r="K73" s="26">
        <f t="shared" si="11"/>
        <v>194.292912</v>
      </c>
      <c r="L73" s="45">
        <f t="shared" si="16"/>
        <v>150.912</v>
      </c>
      <c r="M73" s="45">
        <f t="shared" si="17"/>
        <v>226.368</v>
      </c>
      <c r="N73" s="45">
        <f t="shared" si="18"/>
        <v>167.5752</v>
      </c>
      <c r="O73" s="45">
        <f t="shared" si="19"/>
        <v>251.52</v>
      </c>
      <c r="P73" s="45">
        <f t="shared" si="20"/>
        <v>176.064</v>
      </c>
      <c r="Q73" s="45">
        <f t="shared" si="21"/>
        <v>264.096</v>
      </c>
      <c r="R73" s="45">
        <f t="shared" si="12"/>
        <v>139.5936</v>
      </c>
      <c r="S73" s="150"/>
    </row>
    <row r="74" s="147" customFormat="1" ht="15.6" spans="1:19">
      <c r="A74" s="23" t="s">
        <v>37</v>
      </c>
      <c r="B74" s="85">
        <v>2.159</v>
      </c>
      <c r="C74" s="23">
        <v>85</v>
      </c>
      <c r="D74" s="28" t="s">
        <v>38</v>
      </c>
      <c r="E74" s="24" t="s">
        <v>42</v>
      </c>
      <c r="F74" s="45" t="s">
        <v>57</v>
      </c>
      <c r="G74" s="27">
        <v>32.116</v>
      </c>
      <c r="H74" s="26">
        <f t="shared" si="13"/>
        <v>385.392</v>
      </c>
      <c r="I74" s="45">
        <f t="shared" si="14"/>
        <v>428.10628</v>
      </c>
      <c r="J74" s="26">
        <f t="shared" si="15"/>
        <v>449.624</v>
      </c>
      <c r="K74" s="26">
        <f t="shared" si="11"/>
        <v>396.9409136</v>
      </c>
      <c r="L74" s="45">
        <f t="shared" si="16"/>
        <v>308.3136</v>
      </c>
      <c r="M74" s="45">
        <f t="shared" si="17"/>
        <v>462.4704</v>
      </c>
      <c r="N74" s="45">
        <f t="shared" si="18"/>
        <v>342.35656</v>
      </c>
      <c r="O74" s="45">
        <f t="shared" si="19"/>
        <v>513.856</v>
      </c>
      <c r="P74" s="45">
        <f t="shared" si="20"/>
        <v>359.6992</v>
      </c>
      <c r="Q74" s="45">
        <f t="shared" si="21"/>
        <v>539.5488</v>
      </c>
      <c r="R74" s="45">
        <f t="shared" si="12"/>
        <v>285.19008</v>
      </c>
      <c r="S74" s="150"/>
    </row>
    <row r="75" ht="15.6" spans="1:20">
      <c r="A75" s="142"/>
      <c r="B75" s="142"/>
      <c r="C75" s="142"/>
      <c r="D75" s="143"/>
      <c r="E75" s="142"/>
      <c r="F75" s="142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T75" s="154"/>
    </row>
    <row r="76" ht="19.2" spans="1:20">
      <c r="A76" s="31" t="s">
        <v>58</v>
      </c>
      <c r="B76" s="31"/>
      <c r="C76" s="31"/>
      <c r="D76" s="31"/>
      <c r="E76" s="31"/>
      <c r="F76" s="31"/>
      <c r="G76" s="31"/>
      <c r="H76" s="31"/>
      <c r="I76" s="31"/>
      <c r="J76" s="41"/>
      <c r="K76" s="41"/>
      <c r="L76" s="41"/>
      <c r="M76" s="41"/>
      <c r="N76" s="41"/>
      <c r="O76" s="41"/>
      <c r="P76" s="41"/>
      <c r="Q76" s="41"/>
      <c r="R76" s="41"/>
      <c r="T76" s="154"/>
    </row>
    <row r="77" ht="15.6" spans="1:20">
      <c r="A77" s="32" t="s">
        <v>59</v>
      </c>
      <c r="B77" s="32" t="s">
        <v>60</v>
      </c>
      <c r="C77" s="32" t="s">
        <v>61</v>
      </c>
      <c r="D77" s="32" t="s">
        <v>62</v>
      </c>
      <c r="E77" s="33" t="s">
        <v>63</v>
      </c>
      <c r="F77" s="34"/>
      <c r="G77" s="34"/>
      <c r="H77" s="33" t="s">
        <v>64</v>
      </c>
      <c r="I77" s="33"/>
      <c r="J77" s="41"/>
      <c r="K77" s="41"/>
      <c r="L77" s="41"/>
      <c r="M77" s="41"/>
      <c r="N77" s="41"/>
      <c r="O77" s="41"/>
      <c r="P77" s="41"/>
      <c r="Q77" s="41"/>
      <c r="R77" s="41"/>
      <c r="T77" s="154"/>
    </row>
    <row r="78" ht="31.2" spans="1:20">
      <c r="A78" s="35" t="s">
        <v>65</v>
      </c>
      <c r="B78" s="35" t="s">
        <v>66</v>
      </c>
      <c r="C78" s="35" t="s">
        <v>67</v>
      </c>
      <c r="D78" s="35" t="s">
        <v>68</v>
      </c>
      <c r="E78" s="36" t="s">
        <v>69</v>
      </c>
      <c r="F78" s="36" t="s">
        <v>70</v>
      </c>
      <c r="G78" s="36" t="s">
        <v>71</v>
      </c>
      <c r="H78" s="36" t="s">
        <v>70</v>
      </c>
      <c r="I78" s="36" t="s">
        <v>71</v>
      </c>
      <c r="J78" s="41"/>
      <c r="K78" s="41"/>
      <c r="L78" s="41"/>
      <c r="M78" s="41"/>
      <c r="N78" s="41"/>
      <c r="O78" s="41"/>
      <c r="P78" s="41"/>
      <c r="Q78" s="41"/>
      <c r="R78" s="41"/>
      <c r="T78" s="154"/>
    </row>
    <row r="79" ht="15.6" spans="1:20">
      <c r="A79" s="26" t="s">
        <v>72</v>
      </c>
      <c r="B79" s="37">
        <v>106</v>
      </c>
      <c r="C79" s="38">
        <v>0.76</v>
      </c>
      <c r="D79" s="37">
        <v>300</v>
      </c>
      <c r="E79" s="27">
        <v>1.681</v>
      </c>
      <c r="F79" s="39">
        <f>G79/D79</f>
        <v>22.05472</v>
      </c>
      <c r="G79" s="39">
        <f t="shared" ref="G79:G85" si="22">E79*3936</f>
        <v>6616.416</v>
      </c>
      <c r="H79" s="39">
        <f>I79/D79</f>
        <v>20.951984</v>
      </c>
      <c r="I79" s="26">
        <f>G79*0.95</f>
        <v>6285.5952</v>
      </c>
      <c r="J79" s="153"/>
      <c r="K79" s="41"/>
      <c r="L79" s="41"/>
      <c r="M79" s="41"/>
      <c r="N79" s="41"/>
      <c r="O79" s="41"/>
      <c r="P79" s="41"/>
      <c r="Q79" s="41"/>
      <c r="R79" s="41"/>
      <c r="T79" s="154"/>
    </row>
    <row r="80" ht="15.6" spans="1:20">
      <c r="A80" s="26" t="s">
        <v>72</v>
      </c>
      <c r="B80" s="37">
        <v>106</v>
      </c>
      <c r="C80" s="38">
        <v>0.7</v>
      </c>
      <c r="D80" s="37">
        <v>300</v>
      </c>
      <c r="E80" s="27">
        <v>1.587</v>
      </c>
      <c r="F80" s="39">
        <f t="shared" ref="F79:F92" si="23">G80/D80</f>
        <v>20.82144</v>
      </c>
      <c r="G80" s="39">
        <f t="shared" si="22"/>
        <v>6246.432</v>
      </c>
      <c r="H80" s="39">
        <f t="shared" ref="H79:H92" si="24">I80/D80</f>
        <v>19.780368</v>
      </c>
      <c r="I80" s="26">
        <f>G80*0.95</f>
        <v>5934.1104</v>
      </c>
      <c r="J80" s="153"/>
      <c r="K80" s="41"/>
      <c r="L80" s="41"/>
      <c r="M80" s="41"/>
      <c r="N80" s="41"/>
      <c r="O80" s="41"/>
      <c r="P80" s="41"/>
      <c r="Q80" s="41"/>
      <c r="R80" s="41"/>
      <c r="T80" s="154"/>
    </row>
    <row r="81" ht="15.6" spans="1:20">
      <c r="A81" s="26" t="s">
        <v>72</v>
      </c>
      <c r="B81" s="37">
        <v>106</v>
      </c>
      <c r="C81" s="38">
        <v>0.74</v>
      </c>
      <c r="D81" s="37">
        <v>300</v>
      </c>
      <c r="E81" s="27">
        <v>1.68</v>
      </c>
      <c r="F81" s="39">
        <f t="shared" si="23"/>
        <v>22.0416</v>
      </c>
      <c r="G81" s="39">
        <f t="shared" si="22"/>
        <v>6612.48</v>
      </c>
      <c r="H81" s="39">
        <f t="shared" si="24"/>
        <v>20.93952</v>
      </c>
      <c r="I81" s="26">
        <f t="shared" ref="I79:I92" si="25">G81*0.95</f>
        <v>6281.856</v>
      </c>
      <c r="J81" s="153"/>
      <c r="K81" s="41"/>
      <c r="L81" s="41"/>
      <c r="M81" s="41"/>
      <c r="N81" s="41"/>
      <c r="O81" s="41"/>
      <c r="P81" s="41"/>
      <c r="Q81" s="41"/>
      <c r="R81" s="41"/>
      <c r="T81" s="154"/>
    </row>
    <row r="82" ht="15.6" spans="1:20">
      <c r="A82" s="26" t="s">
        <v>72</v>
      </c>
      <c r="B82" s="37">
        <v>1080</v>
      </c>
      <c r="C82" s="38">
        <v>0.71</v>
      </c>
      <c r="D82" s="37">
        <v>300</v>
      </c>
      <c r="E82" s="27">
        <v>1.842</v>
      </c>
      <c r="F82" s="39">
        <f t="shared" si="23"/>
        <v>24.16704</v>
      </c>
      <c r="G82" s="39">
        <f t="shared" si="22"/>
        <v>7250.112</v>
      </c>
      <c r="H82" s="39">
        <f t="shared" si="24"/>
        <v>22.958688</v>
      </c>
      <c r="I82" s="26">
        <f t="shared" si="25"/>
        <v>6887.6064</v>
      </c>
      <c r="J82" s="153"/>
      <c r="K82" s="41"/>
      <c r="L82" s="41"/>
      <c r="M82" s="41"/>
      <c r="N82" s="41"/>
      <c r="O82" s="41"/>
      <c r="P82" s="41"/>
      <c r="Q82" s="41"/>
      <c r="R82" s="41"/>
      <c r="T82" s="154"/>
    </row>
    <row r="83" ht="15.6" spans="1:20">
      <c r="A83" s="26" t="s">
        <v>72</v>
      </c>
      <c r="B83" s="37">
        <v>1080</v>
      </c>
      <c r="C83" s="38">
        <v>0.7</v>
      </c>
      <c r="D83" s="37">
        <v>300</v>
      </c>
      <c r="E83" s="27">
        <v>1.688</v>
      </c>
      <c r="F83" s="39">
        <f t="shared" si="23"/>
        <v>22.14656</v>
      </c>
      <c r="G83" s="39">
        <f t="shared" si="22"/>
        <v>6643.968</v>
      </c>
      <c r="H83" s="39">
        <f t="shared" si="24"/>
        <v>21.039232</v>
      </c>
      <c r="I83" s="26">
        <f t="shared" si="25"/>
        <v>6311.7696</v>
      </c>
      <c r="J83" s="153"/>
      <c r="K83" s="41"/>
      <c r="L83" s="41"/>
      <c r="M83" s="41"/>
      <c r="N83" s="41"/>
      <c r="O83" s="41"/>
      <c r="P83" s="41"/>
      <c r="Q83" s="41"/>
      <c r="R83" s="41"/>
      <c r="T83" s="154"/>
    </row>
    <row r="84" ht="15.6" spans="1:20">
      <c r="A84" s="26" t="s">
        <v>72</v>
      </c>
      <c r="B84" s="37">
        <v>1080</v>
      </c>
      <c r="C84" s="38">
        <v>0.67</v>
      </c>
      <c r="D84" s="37">
        <v>300</v>
      </c>
      <c r="E84" s="27">
        <v>1.645</v>
      </c>
      <c r="F84" s="39">
        <f t="shared" si="23"/>
        <v>21.5824</v>
      </c>
      <c r="G84" s="39">
        <f t="shared" si="22"/>
        <v>6474.72</v>
      </c>
      <c r="H84" s="39">
        <f t="shared" si="24"/>
        <v>20.50328</v>
      </c>
      <c r="I84" s="26">
        <f t="shared" si="25"/>
        <v>6150.984</v>
      </c>
      <c r="J84" s="153"/>
      <c r="K84" s="41"/>
      <c r="L84" s="41"/>
      <c r="M84" s="41"/>
      <c r="N84" s="41"/>
      <c r="O84" s="41"/>
      <c r="P84" s="41"/>
      <c r="Q84" s="41"/>
      <c r="R84" s="41"/>
      <c r="T84" s="154"/>
    </row>
    <row r="85" ht="15.6" spans="1:20">
      <c r="A85" s="26" t="s">
        <v>72</v>
      </c>
      <c r="B85" s="37">
        <v>1080</v>
      </c>
      <c r="C85" s="38" t="s">
        <v>73</v>
      </c>
      <c r="D85" s="37">
        <v>300</v>
      </c>
      <c r="E85" s="27">
        <v>1.553</v>
      </c>
      <c r="F85" s="39">
        <f t="shared" si="23"/>
        <v>20.37536</v>
      </c>
      <c r="G85" s="39">
        <f t="shared" si="22"/>
        <v>6112.608</v>
      </c>
      <c r="H85" s="39">
        <f t="shared" si="24"/>
        <v>19.356592</v>
      </c>
      <c r="I85" s="26">
        <f t="shared" si="25"/>
        <v>5806.9776</v>
      </c>
      <c r="J85" s="153"/>
      <c r="K85" s="41"/>
      <c r="L85" s="41"/>
      <c r="M85" s="41"/>
      <c r="N85" s="41"/>
      <c r="O85" s="41"/>
      <c r="P85" s="41"/>
      <c r="Q85" s="41"/>
      <c r="R85" s="41"/>
      <c r="T85" s="154"/>
    </row>
    <row r="86" ht="15.6" spans="1:20">
      <c r="A86" s="26" t="s">
        <v>72</v>
      </c>
      <c r="B86" s="37">
        <v>1506</v>
      </c>
      <c r="C86" s="38">
        <v>0.5</v>
      </c>
      <c r="D86" s="37">
        <v>150</v>
      </c>
      <c r="E86" s="27">
        <v>1.905</v>
      </c>
      <c r="F86" s="39">
        <f t="shared" si="23"/>
        <v>24.9936</v>
      </c>
      <c r="G86" s="39">
        <f>E86*3936/2</f>
        <v>3749.04</v>
      </c>
      <c r="H86" s="39">
        <f t="shared" si="24"/>
        <v>23.74392</v>
      </c>
      <c r="I86" s="26">
        <f t="shared" si="25"/>
        <v>3561.588</v>
      </c>
      <c r="J86" s="153"/>
      <c r="K86" s="41"/>
      <c r="L86" s="41"/>
      <c r="M86" s="41"/>
      <c r="N86" s="41"/>
      <c r="O86" s="41"/>
      <c r="P86" s="41"/>
      <c r="Q86" s="41"/>
      <c r="R86" s="41"/>
      <c r="T86" s="154"/>
    </row>
    <row r="87" ht="15.6" spans="1:20">
      <c r="A87" s="26" t="s">
        <v>72</v>
      </c>
      <c r="B87" s="37">
        <v>2116</v>
      </c>
      <c r="C87" s="38">
        <v>0.56</v>
      </c>
      <c r="D87" s="37">
        <v>300</v>
      </c>
      <c r="E87" s="27">
        <v>1.637</v>
      </c>
      <c r="F87" s="39">
        <f t="shared" si="23"/>
        <v>21.47744</v>
      </c>
      <c r="G87" s="39">
        <f>E87*3936</f>
        <v>6443.232</v>
      </c>
      <c r="H87" s="39">
        <f t="shared" si="24"/>
        <v>20.403568</v>
      </c>
      <c r="I87" s="26">
        <f t="shared" si="25"/>
        <v>6121.0704</v>
      </c>
      <c r="J87" s="153"/>
      <c r="K87" s="41"/>
      <c r="L87" s="41"/>
      <c r="M87" s="41"/>
      <c r="N87" s="41"/>
      <c r="O87" s="41"/>
      <c r="P87" s="41"/>
      <c r="Q87" s="41"/>
      <c r="R87" s="41"/>
      <c r="T87" s="154"/>
    </row>
    <row r="88" ht="15.6" spans="1:20">
      <c r="A88" s="26" t="s">
        <v>72</v>
      </c>
      <c r="B88" s="37">
        <v>2116</v>
      </c>
      <c r="C88" s="38">
        <v>0.6</v>
      </c>
      <c r="D88" s="37">
        <v>200</v>
      </c>
      <c r="E88" s="27">
        <v>1.771</v>
      </c>
      <c r="F88" s="39">
        <f t="shared" si="23"/>
        <v>23.23552</v>
      </c>
      <c r="G88" s="39">
        <f>E88*3936/3*2</f>
        <v>4647.104</v>
      </c>
      <c r="H88" s="39">
        <f t="shared" si="24"/>
        <v>22.073744</v>
      </c>
      <c r="I88" s="26">
        <f t="shared" si="25"/>
        <v>4414.7488</v>
      </c>
      <c r="J88" s="153"/>
      <c r="K88" s="41"/>
      <c r="L88" s="41"/>
      <c r="M88" s="41"/>
      <c r="N88" s="41"/>
      <c r="O88" s="41"/>
      <c r="P88" s="41"/>
      <c r="Q88" s="41"/>
      <c r="R88" s="41"/>
      <c r="T88" s="154"/>
    </row>
    <row r="89" ht="15.6" spans="1:20">
      <c r="A89" s="26" t="s">
        <v>72</v>
      </c>
      <c r="B89" s="37">
        <v>2116</v>
      </c>
      <c r="C89" s="38">
        <v>0.52</v>
      </c>
      <c r="D89" s="37">
        <v>300</v>
      </c>
      <c r="E89" s="27">
        <v>1.575</v>
      </c>
      <c r="F89" s="39">
        <f t="shared" si="23"/>
        <v>20.664</v>
      </c>
      <c r="G89" s="39">
        <f>E89*3936</f>
        <v>6199.2</v>
      </c>
      <c r="H89" s="39">
        <f t="shared" si="24"/>
        <v>19.6308</v>
      </c>
      <c r="I89" s="26">
        <f t="shared" si="25"/>
        <v>5889.24</v>
      </c>
      <c r="J89" s="153"/>
      <c r="K89" s="41"/>
      <c r="L89" s="41"/>
      <c r="M89" s="41"/>
      <c r="N89" s="41"/>
      <c r="O89" s="41"/>
      <c r="P89" s="41"/>
      <c r="Q89" s="41"/>
      <c r="R89" s="41"/>
      <c r="T89" s="154"/>
    </row>
    <row r="90" ht="15.6" spans="1:20">
      <c r="A90" s="26" t="s">
        <v>72</v>
      </c>
      <c r="B90" s="37">
        <v>7628</v>
      </c>
      <c r="C90" s="38" t="s">
        <v>74</v>
      </c>
      <c r="D90" s="37">
        <v>150</v>
      </c>
      <c r="E90" s="27">
        <v>1.908</v>
      </c>
      <c r="F90" s="39">
        <f t="shared" si="23"/>
        <v>25.03296</v>
      </c>
      <c r="G90" s="39">
        <f>E90*3936/2</f>
        <v>3754.944</v>
      </c>
      <c r="H90" s="39">
        <f t="shared" si="24"/>
        <v>23.781312</v>
      </c>
      <c r="I90" s="26">
        <f t="shared" si="25"/>
        <v>3567.1968</v>
      </c>
      <c r="J90" s="153"/>
      <c r="K90" s="41"/>
      <c r="L90" s="41"/>
      <c r="M90" s="41"/>
      <c r="N90" s="41"/>
      <c r="O90" s="41"/>
      <c r="P90" s="41"/>
      <c r="Q90" s="41"/>
      <c r="R90" s="41"/>
      <c r="T90" s="154"/>
    </row>
    <row r="91" ht="15.6" spans="1:20">
      <c r="A91" s="26" t="s">
        <v>72</v>
      </c>
      <c r="B91" s="37">
        <v>7628</v>
      </c>
      <c r="C91" s="38">
        <v>0.45</v>
      </c>
      <c r="D91" s="37">
        <v>150</v>
      </c>
      <c r="E91" s="27">
        <v>1.644</v>
      </c>
      <c r="F91" s="39">
        <f t="shared" si="23"/>
        <v>21.56928</v>
      </c>
      <c r="G91" s="39">
        <f>E91*3936/2</f>
        <v>3235.392</v>
      </c>
      <c r="H91" s="39">
        <f t="shared" si="24"/>
        <v>20.490816</v>
      </c>
      <c r="I91" s="26">
        <f t="shared" si="25"/>
        <v>3073.6224</v>
      </c>
      <c r="J91" s="153"/>
      <c r="K91" s="41"/>
      <c r="L91" s="41"/>
      <c r="M91" s="41"/>
      <c r="N91" s="41"/>
      <c r="O91" s="41"/>
      <c r="P91" s="41"/>
      <c r="Q91" s="41"/>
      <c r="R91" s="41"/>
      <c r="T91" s="154"/>
    </row>
    <row r="92" ht="15.6" spans="1:20">
      <c r="A92" s="26" t="s">
        <v>72</v>
      </c>
      <c r="B92" s="37">
        <v>7628</v>
      </c>
      <c r="C92" s="38">
        <v>0.49</v>
      </c>
      <c r="D92" s="37">
        <v>150</v>
      </c>
      <c r="E92" s="27">
        <v>1.809</v>
      </c>
      <c r="F92" s="39">
        <f t="shared" si="23"/>
        <v>23.73408</v>
      </c>
      <c r="G92" s="39">
        <f>E92*3936/2</f>
        <v>3560.112</v>
      </c>
      <c r="H92" s="39">
        <f t="shared" si="24"/>
        <v>22.547376</v>
      </c>
      <c r="I92" s="26">
        <f t="shared" si="25"/>
        <v>3382.1064</v>
      </c>
      <c r="J92" s="153"/>
      <c r="K92" s="41"/>
      <c r="L92" s="41"/>
      <c r="M92" s="41"/>
      <c r="N92" s="41"/>
      <c r="O92" s="41"/>
      <c r="P92" s="41"/>
      <c r="Q92" s="41"/>
      <c r="R92" s="41"/>
      <c r="T92" s="154"/>
    </row>
    <row r="93" ht="15.6" spans="1:18">
      <c r="A93" s="142"/>
      <c r="B93" s="142"/>
      <c r="C93" s="142"/>
      <c r="D93" s="143"/>
      <c r="E93" s="142"/>
      <c r="F93" s="142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</row>
    <row r="94" ht="15.6" spans="1:18">
      <c r="A94" s="142"/>
      <c r="B94" s="142"/>
      <c r="C94" s="142"/>
      <c r="D94" s="143"/>
      <c r="E94" s="142"/>
      <c r="F94" s="142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</row>
    <row r="95" ht="15.6" spans="1:18">
      <c r="A95" s="144" t="s">
        <v>75</v>
      </c>
      <c r="B95" s="151"/>
      <c r="C95" s="151"/>
      <c r="D95" s="152"/>
      <c r="E95" s="142"/>
      <c r="F95" s="145"/>
      <c r="G95" s="145"/>
      <c r="H95" s="145"/>
      <c r="I95" s="41"/>
      <c r="J95" s="40" t="s">
        <v>76</v>
      </c>
      <c r="K95" s="41"/>
      <c r="L95" s="41"/>
      <c r="M95" s="41"/>
      <c r="N95" s="41"/>
      <c r="O95" s="41"/>
      <c r="P95" s="41"/>
      <c r="Q95" s="41"/>
      <c r="R95" s="41"/>
    </row>
    <row r="226" ht="16" customHeight="1"/>
    <row r="251" ht="28" customHeight="1"/>
    <row r="252" ht="29" customHeight="1"/>
    <row r="284" ht="32" customHeight="1"/>
    <row r="285" ht="30" customHeight="1"/>
    <row r="320" ht="18" customHeight="1"/>
  </sheetData>
  <sheetProtection formatCells="0" insertRows="0" insertColumns="0" deleteColumns="0" deleteRows="0"/>
  <mergeCells count="10">
    <mergeCell ref="A1:N1"/>
    <mergeCell ref="A5:R5"/>
    <mergeCell ref="A6:R6"/>
    <mergeCell ref="A13:R13"/>
    <mergeCell ref="B14:C14"/>
    <mergeCell ref="G14:S14"/>
    <mergeCell ref="A76:I76"/>
    <mergeCell ref="E77:G77"/>
    <mergeCell ref="H77:I77"/>
    <mergeCell ref="A2:R4"/>
  </mergeCells>
  <printOptions horizontalCentered="1" gridLines="1"/>
  <pageMargins left="0.0388888888888889" right="0.0388888888888889" top="0.196527777777778" bottom="0.393055555555556" header="0.196527777777778" footer="0.313888888888889"/>
  <pageSetup paperSize="9" scale="55" orientation="landscape"/>
  <headerFooter alignWithMargins="0">
    <oddFooter>&amp;C第 &amp;P 页，共 &amp;N 页</oddFooter>
  </headerFooter>
  <rowBreaks count="1" manualBreakCount="1">
    <brk id="53" max="1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0"/>
  <sheetViews>
    <sheetView tabSelected="1" view="pageBreakPreview" zoomScale="85" zoomScaleNormal="85" workbookViewId="0">
      <selection activeCell="A15" sqref="$A15:$XFD15"/>
    </sheetView>
  </sheetViews>
  <sheetFormatPr defaultColWidth="8.8" defaultRowHeight="15.6"/>
  <cols>
    <col min="1" max="1" width="8.8" style="65"/>
    <col min="2" max="4" width="7.9" style="65" customWidth="1"/>
    <col min="5" max="5" width="8.8" style="65"/>
    <col min="6" max="6" width="13.0583333333333" style="65" customWidth="1"/>
    <col min="7" max="7" width="9" style="65"/>
    <col min="8" max="8" width="8.8" style="65"/>
    <col min="9" max="9" width="9" style="65"/>
    <col min="10" max="10" width="9.75833333333333" style="65" customWidth="1"/>
    <col min="11" max="19" width="8.8" style="65"/>
    <col min="20" max="20" width="9.8" style="65" customWidth="1"/>
    <col min="21" max="22" width="12.8" style="65"/>
    <col min="23" max="16384" width="8.8" style="65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2"/>
    </row>
    <row r="5" spans="1:19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2"/>
    </row>
    <row r="6" spans="1:19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2"/>
    </row>
    <row r="7" ht="17.4" spans="1:19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  <c r="S7" s="43"/>
    </row>
    <row r="8" ht="17.4" spans="1:19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  <c r="S8" s="43"/>
    </row>
    <row r="9" ht="17.4" spans="1:19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  <c r="S9" s="43"/>
    </row>
    <row r="10" ht="17.4" spans="1:19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10</v>
      </c>
      <c r="P10" s="43"/>
      <c r="Q10" s="43"/>
      <c r="R10" s="43"/>
      <c r="S10" s="43"/>
    </row>
    <row r="11" ht="17.4" spans="1:19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>
      <c r="A12" s="1"/>
      <c r="B12" s="1"/>
      <c r="C12" s="134"/>
      <c r="D12" s="135"/>
      <c r="E12" s="134"/>
      <c r="F12" s="134"/>
      <c r="G12" s="136"/>
      <c r="H12" s="137"/>
      <c r="I12" s="138"/>
      <c r="J12" s="42"/>
      <c r="K12" s="42"/>
      <c r="L12" s="42"/>
      <c r="M12" s="42"/>
      <c r="N12" s="42"/>
      <c r="O12" s="42"/>
      <c r="P12" s="42"/>
      <c r="Q12" s="42"/>
      <c r="R12" s="42"/>
      <c r="S12" s="42"/>
    </row>
    <row r="13" ht="19.2" spans="1:19">
      <c r="A13" s="20" t="s">
        <v>77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21">
      <c r="A14" s="21" t="s">
        <v>13</v>
      </c>
      <c r="B14" s="21" t="s">
        <v>14</v>
      </c>
      <c r="C14" s="21"/>
      <c r="D14" s="22" t="s">
        <v>15</v>
      </c>
      <c r="E14" s="22" t="s">
        <v>16</v>
      </c>
      <c r="F14" s="22" t="s">
        <v>17</v>
      </c>
      <c r="G14" s="22" t="s">
        <v>18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139" t="s">
        <v>36</v>
      </c>
    </row>
    <row r="15" spans="1:21">
      <c r="A15" s="23" t="s">
        <v>19</v>
      </c>
      <c r="B15" s="23" t="s">
        <v>20</v>
      </c>
      <c r="C15" s="23" t="s">
        <v>21</v>
      </c>
      <c r="D15" s="24" t="s">
        <v>22</v>
      </c>
      <c r="E15" s="24" t="s">
        <v>22</v>
      </c>
      <c r="F15" s="24" t="s">
        <v>23</v>
      </c>
      <c r="G15" s="104" t="s">
        <v>24</v>
      </c>
      <c r="H15" s="105" t="s">
        <v>25</v>
      </c>
      <c r="I15" s="105" t="s">
        <v>26</v>
      </c>
      <c r="J15" s="109" t="s">
        <v>27</v>
      </c>
      <c r="K15" s="110" t="s">
        <v>78</v>
      </c>
      <c r="L15" s="105" t="s">
        <v>29</v>
      </c>
      <c r="M15" s="109" t="s">
        <v>30</v>
      </c>
      <c r="N15" s="104" t="s">
        <v>31</v>
      </c>
      <c r="O15" s="105" t="s">
        <v>32</v>
      </c>
      <c r="P15" s="109" t="s">
        <v>33</v>
      </c>
      <c r="Q15" s="109" t="s">
        <v>34</v>
      </c>
      <c r="R15" s="110" t="s">
        <v>35</v>
      </c>
      <c r="S15" s="109" t="s">
        <v>79</v>
      </c>
      <c r="T15" s="109" t="s">
        <v>80</v>
      </c>
      <c r="U15" s="139"/>
    </row>
    <row r="16" spans="1:21">
      <c r="A16" s="26" t="s">
        <v>81</v>
      </c>
      <c r="B16" s="85">
        <v>0.0508</v>
      </c>
      <c r="C16" s="23">
        <v>2</v>
      </c>
      <c r="D16" s="24" t="s">
        <v>41</v>
      </c>
      <c r="E16" s="24" t="s">
        <v>42</v>
      </c>
      <c r="F16" s="45" t="s">
        <v>40</v>
      </c>
      <c r="G16" s="85">
        <v>8.759</v>
      </c>
      <c r="H16" s="26">
        <f t="shared" ref="H16:H79" si="0">G16*12</f>
        <v>105.108</v>
      </c>
      <c r="I16" s="45">
        <f t="shared" ref="I16:I79" si="1">G16*13.33</f>
        <v>116.75747</v>
      </c>
      <c r="J16" s="26">
        <f t="shared" ref="J16:J79" si="2">G16*14</f>
        <v>122.626</v>
      </c>
      <c r="K16" s="45">
        <f t="shared" ref="K16:K79" si="3">G16*11.66*1.06</f>
        <v>108.2577364</v>
      </c>
      <c r="L16" s="45">
        <f t="shared" ref="L16:L79" si="4">G16*9.6</f>
        <v>84.0864</v>
      </c>
      <c r="M16" s="45">
        <f t="shared" ref="M16:M79" si="5">G16*14.4</f>
        <v>126.1296</v>
      </c>
      <c r="N16" s="45">
        <f t="shared" ref="N16:N79" si="6">G16*10.66</f>
        <v>93.37094</v>
      </c>
      <c r="O16" s="45">
        <f t="shared" ref="O16:O79" si="7">G16*16</f>
        <v>140.144</v>
      </c>
      <c r="P16" s="45">
        <f t="shared" ref="P16:P79" si="8">G16*11.2</f>
        <v>98.1008</v>
      </c>
      <c r="Q16" s="45">
        <f t="shared" ref="Q16:Q79" si="9">G16*16.8</f>
        <v>147.1512</v>
      </c>
      <c r="R16" s="45">
        <f t="shared" ref="R16:R79" si="10">G16*8.88</f>
        <v>77.77992</v>
      </c>
      <c r="S16" s="111">
        <f t="shared" ref="S16:S79" si="11">G16*10.5*1.06</f>
        <v>97.48767</v>
      </c>
      <c r="T16" s="111">
        <f>H16*2/3</f>
        <v>70.072</v>
      </c>
      <c r="U16" s="140"/>
    </row>
    <row r="17" spans="1:21">
      <c r="A17" s="26" t="s">
        <v>81</v>
      </c>
      <c r="B17" s="85">
        <v>0.0635</v>
      </c>
      <c r="C17" s="107">
        <v>2.5</v>
      </c>
      <c r="D17" s="28" t="s">
        <v>41</v>
      </c>
      <c r="E17" s="24" t="s">
        <v>42</v>
      </c>
      <c r="F17" s="45" t="s">
        <v>82</v>
      </c>
      <c r="G17" s="85">
        <v>9.248</v>
      </c>
      <c r="H17" s="26">
        <f t="shared" si="0"/>
        <v>110.976</v>
      </c>
      <c r="I17" s="45">
        <f t="shared" si="1"/>
        <v>123.27584</v>
      </c>
      <c r="J17" s="26">
        <f t="shared" si="2"/>
        <v>129.472</v>
      </c>
      <c r="K17" s="45">
        <f t="shared" si="3"/>
        <v>114.3015808</v>
      </c>
      <c r="L17" s="45">
        <f t="shared" si="4"/>
        <v>88.7808</v>
      </c>
      <c r="M17" s="45">
        <f t="shared" si="5"/>
        <v>133.1712</v>
      </c>
      <c r="N17" s="45">
        <f t="shared" si="6"/>
        <v>98.58368</v>
      </c>
      <c r="O17" s="45">
        <f t="shared" si="7"/>
        <v>147.968</v>
      </c>
      <c r="P17" s="45">
        <f t="shared" si="8"/>
        <v>103.5776</v>
      </c>
      <c r="Q17" s="45">
        <f t="shared" si="9"/>
        <v>155.3664</v>
      </c>
      <c r="R17" s="45">
        <f t="shared" si="10"/>
        <v>82.12224</v>
      </c>
      <c r="S17" s="111">
        <f t="shared" si="11"/>
        <v>102.93024</v>
      </c>
      <c r="T17" s="111">
        <f t="shared" ref="T17:T48" si="12">H17*2/3</f>
        <v>73.984</v>
      </c>
      <c r="U17" s="140"/>
    </row>
    <row r="18" spans="1:21">
      <c r="A18" s="26" t="s">
        <v>81</v>
      </c>
      <c r="B18" s="85">
        <v>0.0635</v>
      </c>
      <c r="C18" s="107">
        <v>2.5</v>
      </c>
      <c r="D18" s="28" t="s">
        <v>83</v>
      </c>
      <c r="E18" s="24" t="s">
        <v>42</v>
      </c>
      <c r="F18" s="45" t="s">
        <v>82</v>
      </c>
      <c r="G18" s="85">
        <v>7.905</v>
      </c>
      <c r="H18" s="26">
        <f t="shared" si="0"/>
        <v>94.86</v>
      </c>
      <c r="I18" s="45">
        <f t="shared" si="1"/>
        <v>105.37365</v>
      </c>
      <c r="J18" s="26">
        <f t="shared" si="2"/>
        <v>110.67</v>
      </c>
      <c r="K18" s="45">
        <f t="shared" si="3"/>
        <v>97.702638</v>
      </c>
      <c r="L18" s="45">
        <f t="shared" si="4"/>
        <v>75.888</v>
      </c>
      <c r="M18" s="45">
        <f t="shared" si="5"/>
        <v>113.832</v>
      </c>
      <c r="N18" s="45">
        <f t="shared" si="6"/>
        <v>84.2673</v>
      </c>
      <c r="O18" s="45">
        <f t="shared" si="7"/>
        <v>126.48</v>
      </c>
      <c r="P18" s="45">
        <f t="shared" si="8"/>
        <v>88.536</v>
      </c>
      <c r="Q18" s="45">
        <f t="shared" si="9"/>
        <v>132.804</v>
      </c>
      <c r="R18" s="45">
        <f t="shared" si="10"/>
        <v>70.1964</v>
      </c>
      <c r="S18" s="111">
        <f t="shared" si="11"/>
        <v>87.98265</v>
      </c>
      <c r="T18" s="111">
        <f t="shared" si="12"/>
        <v>63.24</v>
      </c>
      <c r="U18" s="140"/>
    </row>
    <row r="19" spans="1:21">
      <c r="A19" s="26" t="s">
        <v>81</v>
      </c>
      <c r="B19" s="85">
        <v>0.0635</v>
      </c>
      <c r="C19" s="107">
        <v>2.5</v>
      </c>
      <c r="D19" s="28" t="s">
        <v>44</v>
      </c>
      <c r="E19" s="24" t="s">
        <v>42</v>
      </c>
      <c r="F19" s="45" t="s">
        <v>82</v>
      </c>
      <c r="G19" s="85">
        <v>6.222</v>
      </c>
      <c r="H19" s="26">
        <f t="shared" si="0"/>
        <v>74.664</v>
      </c>
      <c r="I19" s="45">
        <f t="shared" si="1"/>
        <v>82.93926</v>
      </c>
      <c r="J19" s="26">
        <f t="shared" si="2"/>
        <v>87.108</v>
      </c>
      <c r="K19" s="45">
        <f t="shared" si="3"/>
        <v>76.9014312</v>
      </c>
      <c r="L19" s="45">
        <f t="shared" si="4"/>
        <v>59.7312</v>
      </c>
      <c r="M19" s="45">
        <f t="shared" si="5"/>
        <v>89.5968</v>
      </c>
      <c r="N19" s="45">
        <f t="shared" si="6"/>
        <v>66.32652</v>
      </c>
      <c r="O19" s="45">
        <f t="shared" si="7"/>
        <v>99.552</v>
      </c>
      <c r="P19" s="45">
        <f t="shared" si="8"/>
        <v>69.6864</v>
      </c>
      <c r="Q19" s="45">
        <f t="shared" si="9"/>
        <v>104.5296</v>
      </c>
      <c r="R19" s="45">
        <f t="shared" si="10"/>
        <v>55.25136</v>
      </c>
      <c r="S19" s="111">
        <f t="shared" si="11"/>
        <v>69.25086</v>
      </c>
      <c r="T19" s="111">
        <f t="shared" si="12"/>
        <v>49.776</v>
      </c>
      <c r="U19" s="140"/>
    </row>
    <row r="20" spans="1:21">
      <c r="A20" s="26" t="s">
        <v>81</v>
      </c>
      <c r="B20" s="27">
        <v>0.079</v>
      </c>
      <c r="C20" s="37">
        <v>3</v>
      </c>
      <c r="D20" s="28" t="s">
        <v>41</v>
      </c>
      <c r="E20" s="24" t="s">
        <v>42</v>
      </c>
      <c r="F20" s="45" t="s">
        <v>82</v>
      </c>
      <c r="G20" s="85">
        <v>8.396</v>
      </c>
      <c r="H20" s="26">
        <f t="shared" si="0"/>
        <v>100.752</v>
      </c>
      <c r="I20" s="45">
        <f t="shared" si="1"/>
        <v>111.91868</v>
      </c>
      <c r="J20" s="26">
        <f t="shared" si="2"/>
        <v>117.544</v>
      </c>
      <c r="K20" s="45">
        <f t="shared" si="3"/>
        <v>103.7712016</v>
      </c>
      <c r="L20" s="45">
        <f t="shared" si="4"/>
        <v>80.6016</v>
      </c>
      <c r="M20" s="45">
        <f t="shared" si="5"/>
        <v>120.9024</v>
      </c>
      <c r="N20" s="45">
        <f t="shared" si="6"/>
        <v>89.50136</v>
      </c>
      <c r="O20" s="45">
        <f t="shared" si="7"/>
        <v>134.336</v>
      </c>
      <c r="P20" s="45">
        <f t="shared" si="8"/>
        <v>94.0352</v>
      </c>
      <c r="Q20" s="45">
        <f t="shared" si="9"/>
        <v>141.0528</v>
      </c>
      <c r="R20" s="45">
        <f t="shared" si="10"/>
        <v>74.55648</v>
      </c>
      <c r="S20" s="111">
        <f t="shared" si="11"/>
        <v>93.44748</v>
      </c>
      <c r="T20" s="111">
        <f t="shared" si="12"/>
        <v>67.168</v>
      </c>
      <c r="U20" s="140"/>
    </row>
    <row r="21" spans="1:21">
      <c r="A21" s="26" t="s">
        <v>81</v>
      </c>
      <c r="B21" s="27">
        <v>0.079</v>
      </c>
      <c r="C21" s="37">
        <v>3</v>
      </c>
      <c r="D21" s="28" t="s">
        <v>41</v>
      </c>
      <c r="E21" s="24" t="s">
        <v>42</v>
      </c>
      <c r="F21" s="45" t="s">
        <v>84</v>
      </c>
      <c r="G21" s="85">
        <v>8.474</v>
      </c>
      <c r="H21" s="26">
        <f t="shared" si="0"/>
        <v>101.688</v>
      </c>
      <c r="I21" s="45">
        <f t="shared" si="1"/>
        <v>112.95842</v>
      </c>
      <c r="J21" s="26">
        <f t="shared" si="2"/>
        <v>118.636</v>
      </c>
      <c r="K21" s="45">
        <f t="shared" si="3"/>
        <v>104.7352504</v>
      </c>
      <c r="L21" s="45">
        <f t="shared" si="4"/>
        <v>81.3504</v>
      </c>
      <c r="M21" s="45">
        <f t="shared" si="5"/>
        <v>122.0256</v>
      </c>
      <c r="N21" s="45">
        <f t="shared" si="6"/>
        <v>90.33284</v>
      </c>
      <c r="O21" s="45">
        <f t="shared" si="7"/>
        <v>135.584</v>
      </c>
      <c r="P21" s="45">
        <f t="shared" si="8"/>
        <v>94.9088</v>
      </c>
      <c r="Q21" s="45">
        <f t="shared" si="9"/>
        <v>142.3632</v>
      </c>
      <c r="R21" s="45">
        <f t="shared" si="10"/>
        <v>75.24912</v>
      </c>
      <c r="S21" s="111">
        <f t="shared" si="11"/>
        <v>94.31562</v>
      </c>
      <c r="T21" s="111">
        <f t="shared" si="12"/>
        <v>67.792</v>
      </c>
      <c r="U21" s="140"/>
    </row>
    <row r="22" spans="1:21">
      <c r="A22" s="26" t="s">
        <v>81</v>
      </c>
      <c r="B22" s="27">
        <v>0.079</v>
      </c>
      <c r="C22" s="37">
        <v>3</v>
      </c>
      <c r="D22" s="28" t="s">
        <v>44</v>
      </c>
      <c r="E22" s="24" t="s">
        <v>42</v>
      </c>
      <c r="F22" s="45" t="s">
        <v>84</v>
      </c>
      <c r="G22" s="85">
        <v>5.624</v>
      </c>
      <c r="H22" s="26">
        <f t="shared" si="0"/>
        <v>67.488</v>
      </c>
      <c r="I22" s="45">
        <f t="shared" si="1"/>
        <v>74.96792</v>
      </c>
      <c r="J22" s="26">
        <f t="shared" si="2"/>
        <v>78.736</v>
      </c>
      <c r="K22" s="45">
        <f t="shared" si="3"/>
        <v>69.5103904</v>
      </c>
      <c r="L22" s="45">
        <f t="shared" si="4"/>
        <v>53.9904</v>
      </c>
      <c r="M22" s="45">
        <f t="shared" si="5"/>
        <v>80.9856</v>
      </c>
      <c r="N22" s="45">
        <f t="shared" si="6"/>
        <v>59.95184</v>
      </c>
      <c r="O22" s="45">
        <f t="shared" si="7"/>
        <v>89.984</v>
      </c>
      <c r="P22" s="45">
        <f t="shared" si="8"/>
        <v>62.9888</v>
      </c>
      <c r="Q22" s="45">
        <f t="shared" si="9"/>
        <v>94.4832</v>
      </c>
      <c r="R22" s="45">
        <f t="shared" si="10"/>
        <v>49.94112</v>
      </c>
      <c r="S22" s="111">
        <f t="shared" si="11"/>
        <v>62.59512</v>
      </c>
      <c r="T22" s="111">
        <f t="shared" si="12"/>
        <v>44.992</v>
      </c>
      <c r="U22" s="140"/>
    </row>
    <row r="23" spans="1:21">
      <c r="A23" s="26" t="s">
        <v>81</v>
      </c>
      <c r="B23" s="27">
        <v>0.079</v>
      </c>
      <c r="C23" s="37">
        <v>3</v>
      </c>
      <c r="D23" s="28" t="s">
        <v>44</v>
      </c>
      <c r="E23" s="24" t="s">
        <v>42</v>
      </c>
      <c r="F23" s="45" t="s">
        <v>82</v>
      </c>
      <c r="G23" s="85">
        <v>5.624</v>
      </c>
      <c r="H23" s="26">
        <f t="shared" si="0"/>
        <v>67.488</v>
      </c>
      <c r="I23" s="45">
        <f t="shared" si="1"/>
        <v>74.96792</v>
      </c>
      <c r="J23" s="26">
        <f t="shared" si="2"/>
        <v>78.736</v>
      </c>
      <c r="K23" s="45">
        <f t="shared" si="3"/>
        <v>69.5103904</v>
      </c>
      <c r="L23" s="45">
        <f t="shared" si="4"/>
        <v>53.9904</v>
      </c>
      <c r="M23" s="45">
        <f t="shared" si="5"/>
        <v>80.9856</v>
      </c>
      <c r="N23" s="45">
        <f t="shared" si="6"/>
        <v>59.95184</v>
      </c>
      <c r="O23" s="45">
        <f t="shared" si="7"/>
        <v>89.984</v>
      </c>
      <c r="P23" s="45">
        <f t="shared" si="8"/>
        <v>62.9888</v>
      </c>
      <c r="Q23" s="45">
        <f t="shared" si="9"/>
        <v>94.4832</v>
      </c>
      <c r="R23" s="45">
        <f t="shared" si="10"/>
        <v>49.94112</v>
      </c>
      <c r="S23" s="111">
        <f t="shared" si="11"/>
        <v>62.59512</v>
      </c>
      <c r="T23" s="111">
        <f t="shared" si="12"/>
        <v>44.992</v>
      </c>
      <c r="U23" s="140"/>
    </row>
    <row r="24" spans="1:21">
      <c r="A24" s="26" t="s">
        <v>81</v>
      </c>
      <c r="B24" s="27">
        <v>0.079</v>
      </c>
      <c r="C24" s="37">
        <v>3</v>
      </c>
      <c r="D24" s="28" t="s">
        <v>85</v>
      </c>
      <c r="E24" s="24" t="s">
        <v>42</v>
      </c>
      <c r="F24" s="45" t="s">
        <v>82</v>
      </c>
      <c r="G24" s="85">
        <v>12.65</v>
      </c>
      <c r="H24" s="26">
        <f t="shared" si="0"/>
        <v>151.8</v>
      </c>
      <c r="I24" s="45">
        <f t="shared" si="1"/>
        <v>168.6245</v>
      </c>
      <c r="J24" s="26">
        <f t="shared" si="2"/>
        <v>177.1</v>
      </c>
      <c r="K24" s="45">
        <f t="shared" si="3"/>
        <v>156.34894</v>
      </c>
      <c r="L24" s="45">
        <f t="shared" si="4"/>
        <v>121.44</v>
      </c>
      <c r="M24" s="45">
        <f t="shared" si="5"/>
        <v>182.16</v>
      </c>
      <c r="N24" s="45">
        <f t="shared" si="6"/>
        <v>134.849</v>
      </c>
      <c r="O24" s="45">
        <f t="shared" si="7"/>
        <v>202.4</v>
      </c>
      <c r="P24" s="45">
        <f t="shared" si="8"/>
        <v>141.68</v>
      </c>
      <c r="Q24" s="45">
        <f t="shared" si="9"/>
        <v>212.52</v>
      </c>
      <c r="R24" s="45">
        <f t="shared" si="10"/>
        <v>112.332</v>
      </c>
      <c r="S24" s="111">
        <f t="shared" si="11"/>
        <v>140.7945</v>
      </c>
      <c r="T24" s="111">
        <f t="shared" si="12"/>
        <v>101.2</v>
      </c>
      <c r="U24" s="140"/>
    </row>
    <row r="25" spans="1:21">
      <c r="A25" s="26" t="s">
        <v>81</v>
      </c>
      <c r="B25" s="27">
        <v>0.079</v>
      </c>
      <c r="C25" s="37">
        <v>3</v>
      </c>
      <c r="D25" s="28" t="s">
        <v>38</v>
      </c>
      <c r="E25" s="24" t="s">
        <v>42</v>
      </c>
      <c r="F25" s="45" t="s">
        <v>82</v>
      </c>
      <c r="G25" s="85">
        <v>17.055</v>
      </c>
      <c r="H25" s="26">
        <f t="shared" si="0"/>
        <v>204.66</v>
      </c>
      <c r="I25" s="45">
        <f t="shared" si="1"/>
        <v>227.34315</v>
      </c>
      <c r="J25" s="26">
        <f t="shared" si="2"/>
        <v>238.77</v>
      </c>
      <c r="K25" s="45">
        <f t="shared" si="3"/>
        <v>210.792978</v>
      </c>
      <c r="L25" s="45">
        <f t="shared" si="4"/>
        <v>163.728</v>
      </c>
      <c r="M25" s="45">
        <f t="shared" si="5"/>
        <v>245.592</v>
      </c>
      <c r="N25" s="45">
        <f t="shared" si="6"/>
        <v>181.8063</v>
      </c>
      <c r="O25" s="45">
        <f t="shared" si="7"/>
        <v>272.88</v>
      </c>
      <c r="P25" s="45">
        <f t="shared" si="8"/>
        <v>191.016</v>
      </c>
      <c r="Q25" s="45">
        <f t="shared" si="9"/>
        <v>286.524</v>
      </c>
      <c r="R25" s="45">
        <f t="shared" si="10"/>
        <v>151.4484</v>
      </c>
      <c r="S25" s="111">
        <f t="shared" si="11"/>
        <v>189.82215</v>
      </c>
      <c r="T25" s="111">
        <f t="shared" si="12"/>
        <v>136.44</v>
      </c>
      <c r="U25" s="140"/>
    </row>
    <row r="26" spans="1:21">
      <c r="A26" s="26" t="s">
        <v>81</v>
      </c>
      <c r="B26" s="27">
        <v>0.079</v>
      </c>
      <c r="C26" s="37">
        <v>3</v>
      </c>
      <c r="D26" s="28" t="s">
        <v>83</v>
      </c>
      <c r="E26" s="24" t="s">
        <v>42</v>
      </c>
      <c r="F26" s="45" t="s">
        <v>84</v>
      </c>
      <c r="G26" s="85">
        <v>7.321</v>
      </c>
      <c r="H26" s="26">
        <f t="shared" si="0"/>
        <v>87.852</v>
      </c>
      <c r="I26" s="45">
        <f t="shared" si="1"/>
        <v>97.58893</v>
      </c>
      <c r="J26" s="26">
        <f t="shared" si="2"/>
        <v>102.494</v>
      </c>
      <c r="K26" s="45">
        <f t="shared" si="3"/>
        <v>90.4846316</v>
      </c>
      <c r="L26" s="45">
        <f t="shared" si="4"/>
        <v>70.2816</v>
      </c>
      <c r="M26" s="45">
        <f t="shared" si="5"/>
        <v>105.4224</v>
      </c>
      <c r="N26" s="45">
        <f t="shared" si="6"/>
        <v>78.04186</v>
      </c>
      <c r="O26" s="45">
        <f t="shared" si="7"/>
        <v>117.136</v>
      </c>
      <c r="P26" s="45">
        <f t="shared" si="8"/>
        <v>81.9952</v>
      </c>
      <c r="Q26" s="45">
        <f t="shared" si="9"/>
        <v>122.9928</v>
      </c>
      <c r="R26" s="45">
        <f t="shared" si="10"/>
        <v>65.01048</v>
      </c>
      <c r="S26" s="111">
        <f t="shared" si="11"/>
        <v>81.48273</v>
      </c>
      <c r="T26" s="111">
        <f t="shared" si="12"/>
        <v>58.568</v>
      </c>
      <c r="U26" s="140"/>
    </row>
    <row r="27" spans="1:21">
      <c r="A27" s="26" t="s">
        <v>81</v>
      </c>
      <c r="B27" s="27">
        <v>0.079</v>
      </c>
      <c r="C27" s="37">
        <v>3</v>
      </c>
      <c r="D27" s="28" t="s">
        <v>83</v>
      </c>
      <c r="E27" s="24" t="s">
        <v>42</v>
      </c>
      <c r="F27" s="45" t="s">
        <v>82</v>
      </c>
      <c r="G27" s="85">
        <v>7.733</v>
      </c>
      <c r="H27" s="26">
        <f t="shared" si="0"/>
        <v>92.796</v>
      </c>
      <c r="I27" s="45">
        <f t="shared" si="1"/>
        <v>103.08089</v>
      </c>
      <c r="J27" s="26">
        <f t="shared" si="2"/>
        <v>108.262</v>
      </c>
      <c r="K27" s="45">
        <f t="shared" si="3"/>
        <v>95.5767868</v>
      </c>
      <c r="L27" s="45">
        <f t="shared" si="4"/>
        <v>74.2368</v>
      </c>
      <c r="M27" s="45">
        <f t="shared" si="5"/>
        <v>111.3552</v>
      </c>
      <c r="N27" s="45">
        <f t="shared" si="6"/>
        <v>82.43378</v>
      </c>
      <c r="O27" s="45">
        <f t="shared" si="7"/>
        <v>123.728</v>
      </c>
      <c r="P27" s="45">
        <f t="shared" si="8"/>
        <v>86.6096</v>
      </c>
      <c r="Q27" s="45">
        <f t="shared" si="9"/>
        <v>129.9144</v>
      </c>
      <c r="R27" s="45">
        <f t="shared" si="10"/>
        <v>68.66904</v>
      </c>
      <c r="S27" s="111">
        <f t="shared" si="11"/>
        <v>86.06829</v>
      </c>
      <c r="T27" s="111">
        <f t="shared" si="12"/>
        <v>61.864</v>
      </c>
      <c r="U27" s="140"/>
    </row>
    <row r="28" spans="1:21">
      <c r="A28" s="26" t="s">
        <v>81</v>
      </c>
      <c r="B28" s="27">
        <v>0.079</v>
      </c>
      <c r="C28" s="37">
        <v>3</v>
      </c>
      <c r="D28" s="28" t="s">
        <v>85</v>
      </c>
      <c r="E28" s="24" t="s">
        <v>42</v>
      </c>
      <c r="F28" s="45" t="s">
        <v>84</v>
      </c>
      <c r="G28" s="85">
        <v>12.424</v>
      </c>
      <c r="H28" s="26">
        <f t="shared" si="0"/>
        <v>149.088</v>
      </c>
      <c r="I28" s="45">
        <f t="shared" si="1"/>
        <v>165.61192</v>
      </c>
      <c r="J28" s="26">
        <f t="shared" si="2"/>
        <v>173.936</v>
      </c>
      <c r="K28" s="45">
        <f t="shared" si="3"/>
        <v>153.5556704</v>
      </c>
      <c r="L28" s="45">
        <f t="shared" si="4"/>
        <v>119.2704</v>
      </c>
      <c r="M28" s="45">
        <f t="shared" si="5"/>
        <v>178.9056</v>
      </c>
      <c r="N28" s="45">
        <f t="shared" si="6"/>
        <v>132.43984</v>
      </c>
      <c r="O28" s="45">
        <f t="shared" si="7"/>
        <v>198.784</v>
      </c>
      <c r="P28" s="45">
        <f t="shared" si="8"/>
        <v>139.1488</v>
      </c>
      <c r="Q28" s="45">
        <f t="shared" si="9"/>
        <v>208.7232</v>
      </c>
      <c r="R28" s="45">
        <f t="shared" si="10"/>
        <v>110.32512</v>
      </c>
      <c r="S28" s="111">
        <f t="shared" si="11"/>
        <v>138.27912</v>
      </c>
      <c r="T28" s="111">
        <f t="shared" si="12"/>
        <v>99.392</v>
      </c>
      <c r="U28" s="140"/>
    </row>
    <row r="29" spans="1:21">
      <c r="A29" s="26" t="s">
        <v>81</v>
      </c>
      <c r="B29" s="27">
        <v>0.079</v>
      </c>
      <c r="C29" s="37">
        <v>3</v>
      </c>
      <c r="D29" s="28" t="s">
        <v>38</v>
      </c>
      <c r="E29" s="24" t="s">
        <v>42</v>
      </c>
      <c r="F29" s="45" t="s">
        <v>84</v>
      </c>
      <c r="G29" s="85">
        <v>16.751</v>
      </c>
      <c r="H29" s="26">
        <f t="shared" si="0"/>
        <v>201.012</v>
      </c>
      <c r="I29" s="45">
        <f t="shared" si="1"/>
        <v>223.29083</v>
      </c>
      <c r="J29" s="26">
        <f t="shared" si="2"/>
        <v>234.514</v>
      </c>
      <c r="K29" s="45">
        <f t="shared" si="3"/>
        <v>207.0356596</v>
      </c>
      <c r="L29" s="45">
        <f t="shared" si="4"/>
        <v>160.8096</v>
      </c>
      <c r="M29" s="45">
        <f t="shared" si="5"/>
        <v>241.2144</v>
      </c>
      <c r="N29" s="45">
        <f t="shared" si="6"/>
        <v>178.56566</v>
      </c>
      <c r="O29" s="45">
        <f t="shared" si="7"/>
        <v>268.016</v>
      </c>
      <c r="P29" s="45">
        <f t="shared" si="8"/>
        <v>187.6112</v>
      </c>
      <c r="Q29" s="45">
        <f t="shared" si="9"/>
        <v>281.4168</v>
      </c>
      <c r="R29" s="45">
        <f t="shared" si="10"/>
        <v>148.74888</v>
      </c>
      <c r="S29" s="111">
        <f t="shared" si="11"/>
        <v>186.43863</v>
      </c>
      <c r="T29" s="111">
        <f t="shared" si="12"/>
        <v>134.008</v>
      </c>
      <c r="U29" s="140"/>
    </row>
    <row r="30" spans="1:21">
      <c r="A30" s="26" t="s">
        <v>81</v>
      </c>
      <c r="B30" s="85">
        <v>0.0889</v>
      </c>
      <c r="C30" s="107">
        <v>3.5</v>
      </c>
      <c r="D30" s="28" t="s">
        <v>41</v>
      </c>
      <c r="E30" s="24" t="s">
        <v>42</v>
      </c>
      <c r="F30" s="45" t="s">
        <v>86</v>
      </c>
      <c r="G30" s="85">
        <v>8.621</v>
      </c>
      <c r="H30" s="26">
        <f t="shared" si="0"/>
        <v>103.452</v>
      </c>
      <c r="I30" s="45">
        <f t="shared" si="1"/>
        <v>114.91793</v>
      </c>
      <c r="J30" s="26">
        <f t="shared" si="2"/>
        <v>120.694</v>
      </c>
      <c r="K30" s="45">
        <f t="shared" si="3"/>
        <v>106.5521116</v>
      </c>
      <c r="L30" s="45">
        <f t="shared" si="4"/>
        <v>82.7616</v>
      </c>
      <c r="M30" s="45">
        <f t="shared" si="5"/>
        <v>124.1424</v>
      </c>
      <c r="N30" s="45">
        <f t="shared" si="6"/>
        <v>91.89986</v>
      </c>
      <c r="O30" s="45">
        <f t="shared" si="7"/>
        <v>137.936</v>
      </c>
      <c r="P30" s="45">
        <f t="shared" si="8"/>
        <v>96.5552</v>
      </c>
      <c r="Q30" s="45">
        <f t="shared" si="9"/>
        <v>144.8328</v>
      </c>
      <c r="R30" s="45">
        <f t="shared" si="10"/>
        <v>76.55448</v>
      </c>
      <c r="S30" s="111">
        <f t="shared" si="11"/>
        <v>95.95173</v>
      </c>
      <c r="T30" s="111">
        <f t="shared" si="12"/>
        <v>68.968</v>
      </c>
      <c r="U30" s="140"/>
    </row>
    <row r="31" spans="1:21">
      <c r="A31" s="26" t="s">
        <v>81</v>
      </c>
      <c r="B31" s="85">
        <v>0.0889</v>
      </c>
      <c r="C31" s="107">
        <v>3.5</v>
      </c>
      <c r="D31" s="28" t="s">
        <v>41</v>
      </c>
      <c r="E31" s="24" t="s">
        <v>42</v>
      </c>
      <c r="F31" s="45" t="s">
        <v>82</v>
      </c>
      <c r="G31" s="85">
        <v>8.777</v>
      </c>
      <c r="H31" s="26">
        <f t="shared" si="0"/>
        <v>105.324</v>
      </c>
      <c r="I31" s="45">
        <f t="shared" si="1"/>
        <v>116.99741</v>
      </c>
      <c r="J31" s="26">
        <f t="shared" si="2"/>
        <v>122.878</v>
      </c>
      <c r="K31" s="45">
        <f t="shared" si="3"/>
        <v>108.4802092</v>
      </c>
      <c r="L31" s="45">
        <f t="shared" si="4"/>
        <v>84.2592</v>
      </c>
      <c r="M31" s="45">
        <f t="shared" si="5"/>
        <v>126.3888</v>
      </c>
      <c r="N31" s="45">
        <f t="shared" si="6"/>
        <v>93.56282</v>
      </c>
      <c r="O31" s="45">
        <f t="shared" si="7"/>
        <v>140.432</v>
      </c>
      <c r="P31" s="45">
        <f t="shared" si="8"/>
        <v>98.3024</v>
      </c>
      <c r="Q31" s="45">
        <f t="shared" si="9"/>
        <v>147.4536</v>
      </c>
      <c r="R31" s="45">
        <f t="shared" si="10"/>
        <v>77.93976</v>
      </c>
      <c r="S31" s="111">
        <f t="shared" si="11"/>
        <v>97.68801</v>
      </c>
      <c r="T31" s="111">
        <f t="shared" si="12"/>
        <v>70.216</v>
      </c>
      <c r="U31" s="140"/>
    </row>
    <row r="32" spans="1:21">
      <c r="A32" s="26" t="s">
        <v>81</v>
      </c>
      <c r="B32" s="85">
        <v>0.0889</v>
      </c>
      <c r="C32" s="107">
        <v>3.5</v>
      </c>
      <c r="D32" s="28" t="s">
        <v>83</v>
      </c>
      <c r="E32" s="24" t="s">
        <v>42</v>
      </c>
      <c r="F32" s="45" t="s">
        <v>86</v>
      </c>
      <c r="G32" s="85">
        <v>7.638</v>
      </c>
      <c r="H32" s="26">
        <f t="shared" si="0"/>
        <v>91.656</v>
      </c>
      <c r="I32" s="45">
        <f t="shared" si="1"/>
        <v>101.81454</v>
      </c>
      <c r="J32" s="26">
        <f t="shared" si="2"/>
        <v>106.932</v>
      </c>
      <c r="K32" s="45">
        <f t="shared" si="3"/>
        <v>94.4026248</v>
      </c>
      <c r="L32" s="45">
        <f t="shared" si="4"/>
        <v>73.3248</v>
      </c>
      <c r="M32" s="45">
        <f t="shared" si="5"/>
        <v>109.9872</v>
      </c>
      <c r="N32" s="45">
        <f t="shared" si="6"/>
        <v>81.42108</v>
      </c>
      <c r="O32" s="45">
        <f t="shared" si="7"/>
        <v>122.208</v>
      </c>
      <c r="P32" s="45">
        <f t="shared" si="8"/>
        <v>85.5456</v>
      </c>
      <c r="Q32" s="45">
        <f t="shared" si="9"/>
        <v>128.3184</v>
      </c>
      <c r="R32" s="45">
        <f t="shared" si="10"/>
        <v>67.82544</v>
      </c>
      <c r="S32" s="111">
        <f t="shared" si="11"/>
        <v>85.01094</v>
      </c>
      <c r="T32" s="111">
        <f t="shared" si="12"/>
        <v>61.104</v>
      </c>
      <c r="U32" s="140"/>
    </row>
    <row r="33" spans="1:21">
      <c r="A33" s="26" t="s">
        <v>81</v>
      </c>
      <c r="B33" s="85">
        <v>0.1016</v>
      </c>
      <c r="C33" s="37">
        <v>4</v>
      </c>
      <c r="D33" s="28" t="s">
        <v>41</v>
      </c>
      <c r="E33" s="24" t="s">
        <v>42</v>
      </c>
      <c r="F33" s="45" t="s">
        <v>87</v>
      </c>
      <c r="G33" s="85">
        <v>8.492</v>
      </c>
      <c r="H33" s="26">
        <f t="shared" si="0"/>
        <v>101.904</v>
      </c>
      <c r="I33" s="45">
        <f t="shared" si="1"/>
        <v>113.19836</v>
      </c>
      <c r="J33" s="26">
        <f t="shared" si="2"/>
        <v>118.888</v>
      </c>
      <c r="K33" s="45">
        <f t="shared" si="3"/>
        <v>104.9577232</v>
      </c>
      <c r="L33" s="45">
        <f t="shared" si="4"/>
        <v>81.5232</v>
      </c>
      <c r="M33" s="45">
        <f t="shared" si="5"/>
        <v>122.2848</v>
      </c>
      <c r="N33" s="45">
        <f t="shared" si="6"/>
        <v>90.52472</v>
      </c>
      <c r="O33" s="45">
        <f t="shared" si="7"/>
        <v>135.872</v>
      </c>
      <c r="P33" s="45">
        <f t="shared" si="8"/>
        <v>95.1104</v>
      </c>
      <c r="Q33" s="45">
        <f t="shared" si="9"/>
        <v>142.6656</v>
      </c>
      <c r="R33" s="45">
        <f t="shared" si="10"/>
        <v>75.40896</v>
      </c>
      <c r="S33" s="111">
        <f t="shared" si="11"/>
        <v>94.51596</v>
      </c>
      <c r="T33" s="111">
        <f t="shared" si="12"/>
        <v>67.936</v>
      </c>
      <c r="U33" s="140"/>
    </row>
    <row r="34" spans="1:21">
      <c r="A34" s="26" t="s">
        <v>81</v>
      </c>
      <c r="B34" s="85">
        <v>0.1016</v>
      </c>
      <c r="C34" s="37">
        <v>4</v>
      </c>
      <c r="D34" s="28" t="s">
        <v>85</v>
      </c>
      <c r="E34" s="24" t="s">
        <v>42</v>
      </c>
      <c r="F34" s="45" t="s">
        <v>87</v>
      </c>
      <c r="G34" s="85">
        <v>12.242</v>
      </c>
      <c r="H34" s="26">
        <f t="shared" si="0"/>
        <v>146.904</v>
      </c>
      <c r="I34" s="45">
        <f t="shared" si="1"/>
        <v>163.18586</v>
      </c>
      <c r="J34" s="26">
        <f t="shared" si="2"/>
        <v>171.388</v>
      </c>
      <c r="K34" s="45">
        <f t="shared" si="3"/>
        <v>151.3062232</v>
      </c>
      <c r="L34" s="45">
        <f t="shared" si="4"/>
        <v>117.5232</v>
      </c>
      <c r="M34" s="45">
        <f t="shared" si="5"/>
        <v>176.2848</v>
      </c>
      <c r="N34" s="45">
        <f t="shared" si="6"/>
        <v>130.49972</v>
      </c>
      <c r="O34" s="45">
        <f t="shared" si="7"/>
        <v>195.872</v>
      </c>
      <c r="P34" s="45">
        <f t="shared" si="8"/>
        <v>137.1104</v>
      </c>
      <c r="Q34" s="45">
        <f t="shared" si="9"/>
        <v>205.6656</v>
      </c>
      <c r="R34" s="45">
        <f t="shared" si="10"/>
        <v>108.70896</v>
      </c>
      <c r="S34" s="111">
        <f t="shared" si="11"/>
        <v>136.25346</v>
      </c>
      <c r="T34" s="111">
        <f t="shared" si="12"/>
        <v>97.936</v>
      </c>
      <c r="U34" s="140"/>
    </row>
    <row r="35" spans="1:21">
      <c r="A35" s="26" t="s">
        <v>81</v>
      </c>
      <c r="B35" s="85">
        <v>0.1016</v>
      </c>
      <c r="C35" s="37">
        <v>4</v>
      </c>
      <c r="D35" s="28" t="s">
        <v>44</v>
      </c>
      <c r="E35" s="24" t="s">
        <v>42</v>
      </c>
      <c r="F35" s="45" t="s">
        <v>87</v>
      </c>
      <c r="G35" s="85">
        <v>5.614</v>
      </c>
      <c r="H35" s="26">
        <f t="shared" si="0"/>
        <v>67.368</v>
      </c>
      <c r="I35" s="45">
        <f t="shared" si="1"/>
        <v>74.83462</v>
      </c>
      <c r="J35" s="26">
        <f t="shared" si="2"/>
        <v>78.596</v>
      </c>
      <c r="K35" s="45">
        <f t="shared" si="3"/>
        <v>69.3867944</v>
      </c>
      <c r="L35" s="45">
        <f t="shared" si="4"/>
        <v>53.8944</v>
      </c>
      <c r="M35" s="45">
        <f t="shared" si="5"/>
        <v>80.8416</v>
      </c>
      <c r="N35" s="45">
        <f t="shared" si="6"/>
        <v>59.84524</v>
      </c>
      <c r="O35" s="45">
        <f t="shared" si="7"/>
        <v>89.824</v>
      </c>
      <c r="P35" s="45">
        <f t="shared" si="8"/>
        <v>62.8768</v>
      </c>
      <c r="Q35" s="45">
        <f t="shared" si="9"/>
        <v>94.3152</v>
      </c>
      <c r="R35" s="45">
        <f t="shared" si="10"/>
        <v>49.85232</v>
      </c>
      <c r="S35" s="111">
        <f t="shared" si="11"/>
        <v>62.48382</v>
      </c>
      <c r="T35" s="111">
        <f t="shared" si="12"/>
        <v>44.912</v>
      </c>
      <c r="U35" s="140"/>
    </row>
    <row r="36" spans="1:21">
      <c r="A36" s="26" t="s">
        <v>81</v>
      </c>
      <c r="B36" s="85">
        <v>0.1016</v>
      </c>
      <c r="C36" s="37">
        <v>4</v>
      </c>
      <c r="D36" s="28" t="s">
        <v>38</v>
      </c>
      <c r="E36" s="24" t="s">
        <v>42</v>
      </c>
      <c r="F36" s="45" t="s">
        <v>87</v>
      </c>
      <c r="G36" s="85">
        <v>16.537</v>
      </c>
      <c r="H36" s="26">
        <f t="shared" si="0"/>
        <v>198.444</v>
      </c>
      <c r="I36" s="45">
        <f t="shared" si="1"/>
        <v>220.43821</v>
      </c>
      <c r="J36" s="26">
        <f t="shared" si="2"/>
        <v>231.518</v>
      </c>
      <c r="K36" s="45">
        <f t="shared" si="3"/>
        <v>204.3907052</v>
      </c>
      <c r="L36" s="45">
        <f t="shared" si="4"/>
        <v>158.7552</v>
      </c>
      <c r="M36" s="45">
        <f t="shared" si="5"/>
        <v>238.1328</v>
      </c>
      <c r="N36" s="45">
        <f t="shared" si="6"/>
        <v>176.28442</v>
      </c>
      <c r="O36" s="45">
        <f t="shared" si="7"/>
        <v>264.592</v>
      </c>
      <c r="P36" s="45">
        <f t="shared" si="8"/>
        <v>185.2144</v>
      </c>
      <c r="Q36" s="45">
        <f t="shared" si="9"/>
        <v>277.8216</v>
      </c>
      <c r="R36" s="45">
        <f t="shared" si="10"/>
        <v>146.84856</v>
      </c>
      <c r="S36" s="111">
        <f t="shared" si="11"/>
        <v>184.05681</v>
      </c>
      <c r="T36" s="111">
        <f t="shared" si="12"/>
        <v>132.296</v>
      </c>
      <c r="U36" s="140"/>
    </row>
    <row r="37" spans="1:21">
      <c r="A37" s="26" t="s">
        <v>81</v>
      </c>
      <c r="B37" s="85">
        <v>0.1016</v>
      </c>
      <c r="C37" s="37">
        <v>4</v>
      </c>
      <c r="D37" s="28" t="s">
        <v>83</v>
      </c>
      <c r="E37" s="24" t="s">
        <v>42</v>
      </c>
      <c r="F37" s="45" t="s">
        <v>87</v>
      </c>
      <c r="G37" s="85">
        <v>7.321</v>
      </c>
      <c r="H37" s="26">
        <f t="shared" si="0"/>
        <v>87.852</v>
      </c>
      <c r="I37" s="45">
        <f t="shared" si="1"/>
        <v>97.58893</v>
      </c>
      <c r="J37" s="26">
        <f t="shared" si="2"/>
        <v>102.494</v>
      </c>
      <c r="K37" s="45">
        <f t="shared" si="3"/>
        <v>90.4846316</v>
      </c>
      <c r="L37" s="45">
        <f t="shared" si="4"/>
        <v>70.2816</v>
      </c>
      <c r="M37" s="45">
        <f t="shared" si="5"/>
        <v>105.4224</v>
      </c>
      <c r="N37" s="45">
        <f t="shared" si="6"/>
        <v>78.04186</v>
      </c>
      <c r="O37" s="45">
        <f t="shared" si="7"/>
        <v>117.136</v>
      </c>
      <c r="P37" s="45">
        <f t="shared" si="8"/>
        <v>81.9952</v>
      </c>
      <c r="Q37" s="45">
        <f t="shared" si="9"/>
        <v>122.9928</v>
      </c>
      <c r="R37" s="45">
        <f t="shared" si="10"/>
        <v>65.01048</v>
      </c>
      <c r="S37" s="111">
        <f t="shared" si="11"/>
        <v>81.48273</v>
      </c>
      <c r="T37" s="111">
        <f t="shared" si="12"/>
        <v>58.568</v>
      </c>
      <c r="U37" s="140"/>
    </row>
    <row r="38" spans="1:21">
      <c r="A38" s="26" t="s">
        <v>81</v>
      </c>
      <c r="B38" s="85">
        <v>0.1016</v>
      </c>
      <c r="C38" s="37">
        <v>4</v>
      </c>
      <c r="D38" s="28" t="s">
        <v>41</v>
      </c>
      <c r="E38" s="24" t="s">
        <v>39</v>
      </c>
      <c r="F38" s="45" t="s">
        <v>87</v>
      </c>
      <c r="G38" s="85">
        <v>11.053</v>
      </c>
      <c r="H38" s="26">
        <f t="shared" si="0"/>
        <v>132.636</v>
      </c>
      <c r="I38" s="45">
        <f t="shared" si="1"/>
        <v>147.33649</v>
      </c>
      <c r="J38" s="26">
        <f t="shared" si="2"/>
        <v>154.742</v>
      </c>
      <c r="K38" s="45">
        <f t="shared" si="3"/>
        <v>136.6106588</v>
      </c>
      <c r="L38" s="45">
        <f t="shared" si="4"/>
        <v>106.1088</v>
      </c>
      <c r="M38" s="45">
        <f t="shared" si="5"/>
        <v>159.1632</v>
      </c>
      <c r="N38" s="45">
        <f t="shared" si="6"/>
        <v>117.82498</v>
      </c>
      <c r="O38" s="45">
        <f t="shared" si="7"/>
        <v>176.848</v>
      </c>
      <c r="P38" s="45">
        <f t="shared" si="8"/>
        <v>123.7936</v>
      </c>
      <c r="Q38" s="45">
        <f t="shared" si="9"/>
        <v>185.6904</v>
      </c>
      <c r="R38" s="45">
        <f t="shared" si="10"/>
        <v>98.15064</v>
      </c>
      <c r="S38" s="111">
        <f t="shared" si="11"/>
        <v>123.01989</v>
      </c>
      <c r="T38" s="111">
        <f t="shared" si="12"/>
        <v>88.424</v>
      </c>
      <c r="U38" s="140"/>
    </row>
    <row r="39" spans="1:21">
      <c r="A39" s="26" t="s">
        <v>81</v>
      </c>
      <c r="B39" s="85">
        <v>0.127</v>
      </c>
      <c r="C39" s="37">
        <v>5</v>
      </c>
      <c r="D39" s="28" t="s">
        <v>41</v>
      </c>
      <c r="E39" s="24" t="s">
        <v>42</v>
      </c>
      <c r="F39" s="45" t="s">
        <v>87</v>
      </c>
      <c r="G39" s="85">
        <v>8.777</v>
      </c>
      <c r="H39" s="26">
        <f t="shared" si="0"/>
        <v>105.324</v>
      </c>
      <c r="I39" s="45">
        <f t="shared" si="1"/>
        <v>116.99741</v>
      </c>
      <c r="J39" s="26">
        <f t="shared" si="2"/>
        <v>122.878</v>
      </c>
      <c r="K39" s="45">
        <f t="shared" si="3"/>
        <v>108.4802092</v>
      </c>
      <c r="L39" s="45">
        <f t="shared" si="4"/>
        <v>84.2592</v>
      </c>
      <c r="M39" s="45">
        <f t="shared" si="5"/>
        <v>126.3888</v>
      </c>
      <c r="N39" s="45">
        <f t="shared" si="6"/>
        <v>93.56282</v>
      </c>
      <c r="O39" s="45">
        <f t="shared" si="7"/>
        <v>140.432</v>
      </c>
      <c r="P39" s="45">
        <f t="shared" si="8"/>
        <v>98.3024</v>
      </c>
      <c r="Q39" s="45">
        <f t="shared" si="9"/>
        <v>147.4536</v>
      </c>
      <c r="R39" s="45">
        <f t="shared" si="10"/>
        <v>77.93976</v>
      </c>
      <c r="S39" s="111">
        <f t="shared" si="11"/>
        <v>97.68801</v>
      </c>
      <c r="T39" s="111">
        <f t="shared" si="12"/>
        <v>70.216</v>
      </c>
      <c r="U39" s="140"/>
    </row>
    <row r="40" spans="1:21">
      <c r="A40" s="26" t="s">
        <v>81</v>
      </c>
      <c r="B40" s="85">
        <v>0.127</v>
      </c>
      <c r="C40" s="37">
        <v>5</v>
      </c>
      <c r="D40" s="28" t="s">
        <v>85</v>
      </c>
      <c r="E40" s="24" t="s">
        <v>42</v>
      </c>
      <c r="F40" s="45" t="s">
        <v>87</v>
      </c>
      <c r="G40" s="85">
        <v>12.561</v>
      </c>
      <c r="H40" s="26">
        <f t="shared" si="0"/>
        <v>150.732</v>
      </c>
      <c r="I40" s="45">
        <f t="shared" si="1"/>
        <v>167.43813</v>
      </c>
      <c r="J40" s="26">
        <f t="shared" si="2"/>
        <v>175.854</v>
      </c>
      <c r="K40" s="45">
        <f t="shared" si="3"/>
        <v>155.2489356</v>
      </c>
      <c r="L40" s="45">
        <f t="shared" si="4"/>
        <v>120.5856</v>
      </c>
      <c r="M40" s="45">
        <f t="shared" si="5"/>
        <v>180.8784</v>
      </c>
      <c r="N40" s="45">
        <f t="shared" si="6"/>
        <v>133.90026</v>
      </c>
      <c r="O40" s="45">
        <f t="shared" si="7"/>
        <v>200.976</v>
      </c>
      <c r="P40" s="45">
        <f t="shared" si="8"/>
        <v>140.6832</v>
      </c>
      <c r="Q40" s="45">
        <f t="shared" si="9"/>
        <v>211.0248</v>
      </c>
      <c r="R40" s="45">
        <f t="shared" si="10"/>
        <v>111.54168</v>
      </c>
      <c r="S40" s="111">
        <f t="shared" si="11"/>
        <v>139.80393</v>
      </c>
      <c r="T40" s="111">
        <f t="shared" si="12"/>
        <v>100.488</v>
      </c>
      <c r="U40" s="140"/>
    </row>
    <row r="41" spans="1:21">
      <c r="A41" s="26" t="s">
        <v>81</v>
      </c>
      <c r="B41" s="85">
        <v>0.127</v>
      </c>
      <c r="C41" s="37">
        <v>5</v>
      </c>
      <c r="D41" s="28" t="s">
        <v>44</v>
      </c>
      <c r="E41" s="24" t="s">
        <v>42</v>
      </c>
      <c r="F41" s="45" t="s">
        <v>87</v>
      </c>
      <c r="G41" s="85">
        <v>5.786</v>
      </c>
      <c r="H41" s="26">
        <f t="shared" si="0"/>
        <v>69.432</v>
      </c>
      <c r="I41" s="45">
        <f t="shared" si="1"/>
        <v>77.12738</v>
      </c>
      <c r="J41" s="26">
        <f t="shared" si="2"/>
        <v>81.004</v>
      </c>
      <c r="K41" s="45">
        <f t="shared" si="3"/>
        <v>71.5126456</v>
      </c>
      <c r="L41" s="45">
        <f t="shared" si="4"/>
        <v>55.5456</v>
      </c>
      <c r="M41" s="45">
        <f t="shared" si="5"/>
        <v>83.3184</v>
      </c>
      <c r="N41" s="45">
        <f t="shared" si="6"/>
        <v>61.67876</v>
      </c>
      <c r="O41" s="45">
        <f t="shared" si="7"/>
        <v>92.576</v>
      </c>
      <c r="P41" s="45">
        <f t="shared" si="8"/>
        <v>64.8032</v>
      </c>
      <c r="Q41" s="45">
        <f t="shared" si="9"/>
        <v>97.2048</v>
      </c>
      <c r="R41" s="45">
        <f t="shared" si="10"/>
        <v>51.37968</v>
      </c>
      <c r="S41" s="111">
        <f t="shared" si="11"/>
        <v>64.39818</v>
      </c>
      <c r="T41" s="111">
        <f t="shared" si="12"/>
        <v>46.288</v>
      </c>
      <c r="U41" s="140"/>
    </row>
    <row r="42" spans="1:21">
      <c r="A42" s="26" t="s">
        <v>81</v>
      </c>
      <c r="B42" s="85">
        <v>0.127</v>
      </c>
      <c r="C42" s="37">
        <v>5</v>
      </c>
      <c r="D42" s="28" t="s">
        <v>38</v>
      </c>
      <c r="E42" s="24" t="s">
        <v>42</v>
      </c>
      <c r="F42" s="45" t="s">
        <v>87</v>
      </c>
      <c r="G42" s="85">
        <v>16.807</v>
      </c>
      <c r="H42" s="26">
        <f t="shared" si="0"/>
        <v>201.684</v>
      </c>
      <c r="I42" s="45">
        <f t="shared" si="1"/>
        <v>224.03731</v>
      </c>
      <c r="J42" s="26">
        <f t="shared" si="2"/>
        <v>235.298</v>
      </c>
      <c r="K42" s="45">
        <f t="shared" si="3"/>
        <v>207.7277972</v>
      </c>
      <c r="L42" s="45">
        <f t="shared" si="4"/>
        <v>161.3472</v>
      </c>
      <c r="M42" s="45">
        <f t="shared" si="5"/>
        <v>242.0208</v>
      </c>
      <c r="N42" s="45">
        <f t="shared" si="6"/>
        <v>179.16262</v>
      </c>
      <c r="O42" s="45">
        <f t="shared" si="7"/>
        <v>268.912</v>
      </c>
      <c r="P42" s="45">
        <f t="shared" si="8"/>
        <v>188.2384</v>
      </c>
      <c r="Q42" s="45">
        <f t="shared" si="9"/>
        <v>282.3576</v>
      </c>
      <c r="R42" s="45">
        <f t="shared" si="10"/>
        <v>149.24616</v>
      </c>
      <c r="S42" s="111">
        <f t="shared" si="11"/>
        <v>187.06191</v>
      </c>
      <c r="T42" s="111">
        <f t="shared" si="12"/>
        <v>134.456</v>
      </c>
      <c r="U42" s="140"/>
    </row>
    <row r="43" spans="1:21">
      <c r="A43" s="26" t="s">
        <v>81</v>
      </c>
      <c r="B43" s="85">
        <v>0.127</v>
      </c>
      <c r="C43" s="37">
        <v>5</v>
      </c>
      <c r="D43" s="28" t="s">
        <v>83</v>
      </c>
      <c r="E43" s="24" t="s">
        <v>42</v>
      </c>
      <c r="F43" s="45" t="s">
        <v>87</v>
      </c>
      <c r="G43" s="85">
        <v>7.682</v>
      </c>
      <c r="H43" s="26">
        <f t="shared" si="0"/>
        <v>92.184</v>
      </c>
      <c r="I43" s="45">
        <f t="shared" si="1"/>
        <v>102.40106</v>
      </c>
      <c r="J43" s="26">
        <f t="shared" si="2"/>
        <v>107.548</v>
      </c>
      <c r="K43" s="45">
        <f t="shared" si="3"/>
        <v>94.9464472</v>
      </c>
      <c r="L43" s="45">
        <f t="shared" si="4"/>
        <v>73.7472</v>
      </c>
      <c r="M43" s="45">
        <f t="shared" si="5"/>
        <v>110.6208</v>
      </c>
      <c r="N43" s="45">
        <f t="shared" si="6"/>
        <v>81.89012</v>
      </c>
      <c r="O43" s="45">
        <f t="shared" si="7"/>
        <v>122.912</v>
      </c>
      <c r="P43" s="45">
        <f t="shared" si="8"/>
        <v>86.0384</v>
      </c>
      <c r="Q43" s="45">
        <f t="shared" si="9"/>
        <v>129.0576</v>
      </c>
      <c r="R43" s="45">
        <f t="shared" si="10"/>
        <v>68.21616</v>
      </c>
      <c r="S43" s="111">
        <f t="shared" si="11"/>
        <v>85.50066</v>
      </c>
      <c r="T43" s="111">
        <f t="shared" si="12"/>
        <v>61.456</v>
      </c>
      <c r="U43" s="140"/>
    </row>
    <row r="44" spans="1:21">
      <c r="A44" s="26" t="s">
        <v>81</v>
      </c>
      <c r="B44" s="85">
        <v>0.127</v>
      </c>
      <c r="C44" s="37">
        <v>5</v>
      </c>
      <c r="D44" s="28" t="s">
        <v>41</v>
      </c>
      <c r="E44" s="24" t="s">
        <v>39</v>
      </c>
      <c r="F44" s="45" t="s">
        <v>88</v>
      </c>
      <c r="G44" s="85">
        <v>11.642</v>
      </c>
      <c r="H44" s="26">
        <f t="shared" si="0"/>
        <v>139.704</v>
      </c>
      <c r="I44" s="45">
        <f t="shared" si="1"/>
        <v>155.18786</v>
      </c>
      <c r="J44" s="26">
        <f t="shared" si="2"/>
        <v>162.988</v>
      </c>
      <c r="K44" s="45">
        <f t="shared" si="3"/>
        <v>143.8904632</v>
      </c>
      <c r="L44" s="45">
        <f t="shared" si="4"/>
        <v>111.7632</v>
      </c>
      <c r="M44" s="45">
        <f t="shared" si="5"/>
        <v>167.6448</v>
      </c>
      <c r="N44" s="45">
        <f t="shared" si="6"/>
        <v>124.10372</v>
      </c>
      <c r="O44" s="45">
        <f t="shared" si="7"/>
        <v>186.272</v>
      </c>
      <c r="P44" s="45">
        <f t="shared" si="8"/>
        <v>130.3904</v>
      </c>
      <c r="Q44" s="45">
        <f t="shared" si="9"/>
        <v>195.5856</v>
      </c>
      <c r="R44" s="45">
        <f t="shared" si="10"/>
        <v>103.38096</v>
      </c>
      <c r="S44" s="111">
        <f t="shared" si="11"/>
        <v>129.57546</v>
      </c>
      <c r="T44" s="111">
        <f t="shared" si="12"/>
        <v>93.136</v>
      </c>
      <c r="U44" s="140"/>
    </row>
    <row r="45" spans="1:21">
      <c r="A45" s="26" t="s">
        <v>81</v>
      </c>
      <c r="B45" s="85">
        <v>0.127</v>
      </c>
      <c r="C45" s="37">
        <v>5</v>
      </c>
      <c r="D45" s="28" t="s">
        <v>38</v>
      </c>
      <c r="E45" s="24" t="s">
        <v>39</v>
      </c>
      <c r="F45" s="45" t="s">
        <v>88</v>
      </c>
      <c r="G45" s="85">
        <v>20.612</v>
      </c>
      <c r="H45" s="26">
        <f t="shared" si="0"/>
        <v>247.344</v>
      </c>
      <c r="I45" s="45">
        <f t="shared" si="1"/>
        <v>274.75796</v>
      </c>
      <c r="J45" s="26">
        <f t="shared" si="2"/>
        <v>288.568</v>
      </c>
      <c r="K45" s="45">
        <f t="shared" si="3"/>
        <v>254.7560752</v>
      </c>
      <c r="L45" s="45">
        <f t="shared" si="4"/>
        <v>197.8752</v>
      </c>
      <c r="M45" s="45">
        <f t="shared" si="5"/>
        <v>296.8128</v>
      </c>
      <c r="N45" s="45">
        <f t="shared" si="6"/>
        <v>219.72392</v>
      </c>
      <c r="O45" s="45">
        <f t="shared" si="7"/>
        <v>329.792</v>
      </c>
      <c r="P45" s="45">
        <f t="shared" si="8"/>
        <v>230.8544</v>
      </c>
      <c r="Q45" s="45">
        <f t="shared" si="9"/>
        <v>346.2816</v>
      </c>
      <c r="R45" s="45">
        <f t="shared" si="10"/>
        <v>183.03456</v>
      </c>
      <c r="S45" s="111">
        <f t="shared" si="11"/>
        <v>229.41156</v>
      </c>
      <c r="T45" s="111">
        <f t="shared" si="12"/>
        <v>164.896</v>
      </c>
      <c r="U45" s="140"/>
    </row>
    <row r="46" spans="1:21">
      <c r="A46" s="26" t="s">
        <v>81</v>
      </c>
      <c r="B46" s="85">
        <v>0.127</v>
      </c>
      <c r="C46" s="37">
        <v>5</v>
      </c>
      <c r="D46" s="28" t="s">
        <v>85</v>
      </c>
      <c r="E46" s="24" t="s">
        <v>39</v>
      </c>
      <c r="F46" s="45" t="s">
        <v>88</v>
      </c>
      <c r="G46" s="85">
        <v>16.605</v>
      </c>
      <c r="H46" s="26">
        <f t="shared" si="0"/>
        <v>199.26</v>
      </c>
      <c r="I46" s="45">
        <f t="shared" si="1"/>
        <v>221.34465</v>
      </c>
      <c r="J46" s="26">
        <f t="shared" si="2"/>
        <v>232.47</v>
      </c>
      <c r="K46" s="45">
        <f t="shared" si="3"/>
        <v>205.231158</v>
      </c>
      <c r="L46" s="45">
        <f t="shared" si="4"/>
        <v>159.408</v>
      </c>
      <c r="M46" s="45">
        <f t="shared" si="5"/>
        <v>239.112</v>
      </c>
      <c r="N46" s="45">
        <f t="shared" si="6"/>
        <v>177.0093</v>
      </c>
      <c r="O46" s="45">
        <f t="shared" si="7"/>
        <v>265.68</v>
      </c>
      <c r="P46" s="45">
        <f t="shared" si="8"/>
        <v>185.976</v>
      </c>
      <c r="Q46" s="45">
        <f t="shared" si="9"/>
        <v>278.964</v>
      </c>
      <c r="R46" s="45">
        <f t="shared" si="10"/>
        <v>147.4524</v>
      </c>
      <c r="S46" s="111">
        <f t="shared" si="11"/>
        <v>184.81365</v>
      </c>
      <c r="T46" s="111">
        <f t="shared" si="12"/>
        <v>132.84</v>
      </c>
      <c r="U46" s="140"/>
    </row>
    <row r="47" spans="1:21">
      <c r="A47" s="26" t="s">
        <v>81</v>
      </c>
      <c r="B47" s="85">
        <v>0.1524</v>
      </c>
      <c r="C47" s="37">
        <v>6</v>
      </c>
      <c r="D47" s="28" t="s">
        <v>44</v>
      </c>
      <c r="E47" s="24" t="s">
        <v>42</v>
      </c>
      <c r="F47" s="45" t="s">
        <v>89</v>
      </c>
      <c r="G47" s="85">
        <v>5.875</v>
      </c>
      <c r="H47" s="26">
        <f t="shared" si="0"/>
        <v>70.5</v>
      </c>
      <c r="I47" s="45">
        <f t="shared" si="1"/>
        <v>78.31375</v>
      </c>
      <c r="J47" s="26">
        <f t="shared" si="2"/>
        <v>82.25</v>
      </c>
      <c r="K47" s="45">
        <f t="shared" si="3"/>
        <v>72.61265</v>
      </c>
      <c r="L47" s="45">
        <f t="shared" si="4"/>
        <v>56.4</v>
      </c>
      <c r="M47" s="45">
        <f t="shared" si="5"/>
        <v>84.6</v>
      </c>
      <c r="N47" s="45">
        <f t="shared" si="6"/>
        <v>62.6275</v>
      </c>
      <c r="O47" s="45">
        <f t="shared" si="7"/>
        <v>94</v>
      </c>
      <c r="P47" s="45">
        <f t="shared" si="8"/>
        <v>65.8</v>
      </c>
      <c r="Q47" s="45">
        <f t="shared" si="9"/>
        <v>98.7</v>
      </c>
      <c r="R47" s="45">
        <f t="shared" si="10"/>
        <v>52.17</v>
      </c>
      <c r="S47" s="111">
        <f t="shared" si="11"/>
        <v>65.38875</v>
      </c>
      <c r="T47" s="111">
        <f t="shared" si="12"/>
        <v>47</v>
      </c>
      <c r="U47" s="140"/>
    </row>
    <row r="48" spans="1:21">
      <c r="A48" s="26" t="s">
        <v>81</v>
      </c>
      <c r="B48" s="85">
        <v>0.1524</v>
      </c>
      <c r="C48" s="37">
        <v>6</v>
      </c>
      <c r="D48" s="28" t="s">
        <v>38</v>
      </c>
      <c r="E48" s="24" t="s">
        <v>42</v>
      </c>
      <c r="F48" s="45" t="s">
        <v>89</v>
      </c>
      <c r="G48" s="85">
        <v>16.899</v>
      </c>
      <c r="H48" s="26">
        <f t="shared" si="0"/>
        <v>202.788</v>
      </c>
      <c r="I48" s="45">
        <f t="shared" si="1"/>
        <v>225.26367</v>
      </c>
      <c r="J48" s="26">
        <f t="shared" si="2"/>
        <v>236.586</v>
      </c>
      <c r="K48" s="45">
        <f t="shared" si="3"/>
        <v>208.8648804</v>
      </c>
      <c r="L48" s="45">
        <f t="shared" si="4"/>
        <v>162.2304</v>
      </c>
      <c r="M48" s="45">
        <f t="shared" si="5"/>
        <v>243.3456</v>
      </c>
      <c r="N48" s="45">
        <f t="shared" si="6"/>
        <v>180.14334</v>
      </c>
      <c r="O48" s="45">
        <f t="shared" si="7"/>
        <v>270.384</v>
      </c>
      <c r="P48" s="45">
        <f t="shared" si="8"/>
        <v>189.2688</v>
      </c>
      <c r="Q48" s="45">
        <f t="shared" si="9"/>
        <v>283.9032</v>
      </c>
      <c r="R48" s="45">
        <f t="shared" si="10"/>
        <v>150.06312</v>
      </c>
      <c r="S48" s="111">
        <f t="shared" si="11"/>
        <v>188.08587</v>
      </c>
      <c r="T48" s="111">
        <f t="shared" si="12"/>
        <v>135.192</v>
      </c>
      <c r="U48" s="140"/>
    </row>
    <row r="49" spans="1:21">
      <c r="A49" s="26" t="s">
        <v>81</v>
      </c>
      <c r="B49" s="85">
        <v>0.1524</v>
      </c>
      <c r="C49" s="37">
        <v>6</v>
      </c>
      <c r="D49" s="28" t="s">
        <v>83</v>
      </c>
      <c r="E49" s="24" t="s">
        <v>42</v>
      </c>
      <c r="F49" s="45" t="s">
        <v>89</v>
      </c>
      <c r="G49" s="85">
        <v>7.774</v>
      </c>
      <c r="H49" s="26">
        <f t="shared" si="0"/>
        <v>93.288</v>
      </c>
      <c r="I49" s="45">
        <f t="shared" si="1"/>
        <v>103.62742</v>
      </c>
      <c r="J49" s="26">
        <f t="shared" si="2"/>
        <v>108.836</v>
      </c>
      <c r="K49" s="45">
        <f t="shared" si="3"/>
        <v>96.0835304</v>
      </c>
      <c r="L49" s="45">
        <f t="shared" si="4"/>
        <v>74.6304</v>
      </c>
      <c r="M49" s="45">
        <f t="shared" si="5"/>
        <v>111.9456</v>
      </c>
      <c r="N49" s="45">
        <f t="shared" si="6"/>
        <v>82.87084</v>
      </c>
      <c r="O49" s="45">
        <f t="shared" si="7"/>
        <v>124.384</v>
      </c>
      <c r="P49" s="45">
        <f t="shared" si="8"/>
        <v>87.0688</v>
      </c>
      <c r="Q49" s="45">
        <f t="shared" si="9"/>
        <v>130.6032</v>
      </c>
      <c r="R49" s="45">
        <f t="shared" si="10"/>
        <v>69.03312</v>
      </c>
      <c r="S49" s="111">
        <f t="shared" si="11"/>
        <v>86.52462</v>
      </c>
      <c r="T49" s="111">
        <f t="shared" ref="T49:T52" si="13">H49*2/3</f>
        <v>62.192</v>
      </c>
      <c r="U49" s="140"/>
    </row>
    <row r="50" spans="1:21">
      <c r="A50" s="26" t="s">
        <v>81</v>
      </c>
      <c r="B50" s="85">
        <v>0.1524</v>
      </c>
      <c r="C50" s="37">
        <v>6</v>
      </c>
      <c r="D50" s="28" t="s">
        <v>41</v>
      </c>
      <c r="E50" s="24" t="s">
        <v>42</v>
      </c>
      <c r="F50" s="45" t="s">
        <v>89</v>
      </c>
      <c r="G50" s="85">
        <v>8.403</v>
      </c>
      <c r="H50" s="26">
        <f t="shared" si="0"/>
        <v>100.836</v>
      </c>
      <c r="I50" s="45">
        <f t="shared" si="1"/>
        <v>112.01199</v>
      </c>
      <c r="J50" s="26">
        <f t="shared" si="2"/>
        <v>117.642</v>
      </c>
      <c r="K50" s="45">
        <f t="shared" si="3"/>
        <v>103.8577188</v>
      </c>
      <c r="L50" s="45">
        <f t="shared" si="4"/>
        <v>80.6688</v>
      </c>
      <c r="M50" s="45">
        <f t="shared" si="5"/>
        <v>121.0032</v>
      </c>
      <c r="N50" s="45">
        <f t="shared" si="6"/>
        <v>89.57598</v>
      </c>
      <c r="O50" s="45">
        <f t="shared" si="7"/>
        <v>134.448</v>
      </c>
      <c r="P50" s="45">
        <f t="shared" si="8"/>
        <v>94.1136</v>
      </c>
      <c r="Q50" s="45">
        <f t="shared" si="9"/>
        <v>141.1704</v>
      </c>
      <c r="R50" s="45">
        <f t="shared" si="10"/>
        <v>74.61864</v>
      </c>
      <c r="S50" s="111">
        <f t="shared" si="11"/>
        <v>93.52539</v>
      </c>
      <c r="T50" s="111">
        <f t="shared" si="13"/>
        <v>67.224</v>
      </c>
      <c r="U50" s="140"/>
    </row>
    <row r="51" spans="1:21">
      <c r="A51" s="26" t="s">
        <v>81</v>
      </c>
      <c r="B51" s="85">
        <v>0.1778</v>
      </c>
      <c r="C51" s="37">
        <v>7</v>
      </c>
      <c r="D51" s="28" t="s">
        <v>44</v>
      </c>
      <c r="E51" s="24" t="s">
        <v>42</v>
      </c>
      <c r="F51" s="45" t="s">
        <v>90</v>
      </c>
      <c r="G51" s="85">
        <v>5.967</v>
      </c>
      <c r="H51" s="26">
        <f t="shared" si="0"/>
        <v>71.604</v>
      </c>
      <c r="I51" s="45">
        <f t="shared" si="1"/>
        <v>79.54011</v>
      </c>
      <c r="J51" s="26">
        <f t="shared" si="2"/>
        <v>83.538</v>
      </c>
      <c r="K51" s="45">
        <f t="shared" si="3"/>
        <v>73.7497332</v>
      </c>
      <c r="L51" s="45">
        <f t="shared" si="4"/>
        <v>57.2832</v>
      </c>
      <c r="M51" s="45">
        <f t="shared" si="5"/>
        <v>85.9248</v>
      </c>
      <c r="N51" s="45">
        <f t="shared" si="6"/>
        <v>63.60822</v>
      </c>
      <c r="O51" s="45">
        <f t="shared" si="7"/>
        <v>95.472</v>
      </c>
      <c r="P51" s="45">
        <f t="shared" si="8"/>
        <v>66.8304</v>
      </c>
      <c r="Q51" s="45">
        <f t="shared" si="9"/>
        <v>100.2456</v>
      </c>
      <c r="R51" s="45">
        <f t="shared" si="10"/>
        <v>52.98696</v>
      </c>
      <c r="S51" s="111">
        <f t="shared" si="11"/>
        <v>66.41271</v>
      </c>
      <c r="T51" s="111">
        <f t="shared" si="13"/>
        <v>47.736</v>
      </c>
      <c r="U51" s="140"/>
    </row>
    <row r="52" spans="1:21">
      <c r="A52" s="26" t="s">
        <v>81</v>
      </c>
      <c r="B52" s="85">
        <v>0.1778</v>
      </c>
      <c r="C52" s="37">
        <v>7</v>
      </c>
      <c r="D52" s="28" t="s">
        <v>38</v>
      </c>
      <c r="E52" s="24" t="s">
        <v>42</v>
      </c>
      <c r="F52" s="45" t="s">
        <v>90</v>
      </c>
      <c r="G52" s="85">
        <v>21.325</v>
      </c>
      <c r="H52" s="26">
        <f t="shared" si="0"/>
        <v>255.9</v>
      </c>
      <c r="I52" s="45">
        <f t="shared" si="1"/>
        <v>284.26225</v>
      </c>
      <c r="J52" s="26">
        <f t="shared" si="2"/>
        <v>298.55</v>
      </c>
      <c r="K52" s="45">
        <f t="shared" si="3"/>
        <v>263.56847</v>
      </c>
      <c r="L52" s="45">
        <f t="shared" si="4"/>
        <v>204.72</v>
      </c>
      <c r="M52" s="45">
        <f t="shared" si="5"/>
        <v>307.08</v>
      </c>
      <c r="N52" s="45">
        <f t="shared" si="6"/>
        <v>227.3245</v>
      </c>
      <c r="O52" s="45">
        <f t="shared" si="7"/>
        <v>341.2</v>
      </c>
      <c r="P52" s="45">
        <f t="shared" si="8"/>
        <v>238.84</v>
      </c>
      <c r="Q52" s="45">
        <f t="shared" si="9"/>
        <v>358.26</v>
      </c>
      <c r="R52" s="45">
        <f t="shared" si="10"/>
        <v>189.366</v>
      </c>
      <c r="S52" s="111">
        <f t="shared" si="11"/>
        <v>237.34725</v>
      </c>
      <c r="T52" s="111">
        <f t="shared" si="13"/>
        <v>170.6</v>
      </c>
      <c r="U52" s="140"/>
    </row>
    <row r="53" spans="1:21">
      <c r="A53" s="26" t="s">
        <v>81</v>
      </c>
      <c r="B53" s="85">
        <v>0.2032</v>
      </c>
      <c r="C53" s="37">
        <v>8</v>
      </c>
      <c r="D53" s="28" t="s">
        <v>41</v>
      </c>
      <c r="E53" s="24" t="s">
        <v>42</v>
      </c>
      <c r="F53" s="45" t="s">
        <v>91</v>
      </c>
      <c r="G53" s="85">
        <v>11.331</v>
      </c>
      <c r="H53" s="26">
        <f t="shared" si="0"/>
        <v>135.972</v>
      </c>
      <c r="I53" s="45">
        <f t="shared" si="1"/>
        <v>151.04223</v>
      </c>
      <c r="J53" s="26">
        <f t="shared" si="2"/>
        <v>158.634</v>
      </c>
      <c r="K53" s="45">
        <f t="shared" si="3"/>
        <v>140.0466276</v>
      </c>
      <c r="L53" s="45">
        <f t="shared" si="4"/>
        <v>108.7776</v>
      </c>
      <c r="M53" s="45">
        <f t="shared" si="5"/>
        <v>163.1664</v>
      </c>
      <c r="N53" s="45">
        <f t="shared" si="6"/>
        <v>120.78846</v>
      </c>
      <c r="O53" s="45">
        <f t="shared" si="7"/>
        <v>181.296</v>
      </c>
      <c r="P53" s="45">
        <f t="shared" si="8"/>
        <v>126.9072</v>
      </c>
      <c r="Q53" s="45">
        <f t="shared" si="9"/>
        <v>190.3608</v>
      </c>
      <c r="R53" s="45">
        <f t="shared" si="10"/>
        <v>100.61928</v>
      </c>
      <c r="S53" s="111">
        <f t="shared" si="11"/>
        <v>126.11403</v>
      </c>
      <c r="T53" s="111">
        <f t="shared" ref="T53:T81" si="14">H53*2/3</f>
        <v>90.648</v>
      </c>
      <c r="U53" s="140"/>
    </row>
    <row r="54" spans="1:21">
      <c r="A54" s="26" t="s">
        <v>81</v>
      </c>
      <c r="B54" s="85">
        <v>0.2032</v>
      </c>
      <c r="C54" s="37">
        <v>8</v>
      </c>
      <c r="D54" s="28" t="s">
        <v>41</v>
      </c>
      <c r="E54" s="24" t="s">
        <v>42</v>
      </c>
      <c r="F54" s="45" t="s">
        <v>90</v>
      </c>
      <c r="G54" s="85">
        <v>8.81</v>
      </c>
      <c r="H54" s="26">
        <f t="shared" si="0"/>
        <v>105.72</v>
      </c>
      <c r="I54" s="45">
        <f t="shared" si="1"/>
        <v>117.4373</v>
      </c>
      <c r="J54" s="26">
        <f t="shared" si="2"/>
        <v>123.34</v>
      </c>
      <c r="K54" s="45">
        <f t="shared" si="3"/>
        <v>108.888076</v>
      </c>
      <c r="L54" s="45">
        <f t="shared" si="4"/>
        <v>84.576</v>
      </c>
      <c r="M54" s="45">
        <f t="shared" si="5"/>
        <v>126.864</v>
      </c>
      <c r="N54" s="45">
        <f t="shared" si="6"/>
        <v>93.9146</v>
      </c>
      <c r="O54" s="45">
        <f t="shared" si="7"/>
        <v>140.96</v>
      </c>
      <c r="P54" s="45">
        <f t="shared" si="8"/>
        <v>98.672</v>
      </c>
      <c r="Q54" s="45">
        <f t="shared" si="9"/>
        <v>148.008</v>
      </c>
      <c r="R54" s="45">
        <f t="shared" si="10"/>
        <v>78.2328</v>
      </c>
      <c r="S54" s="111">
        <f t="shared" si="11"/>
        <v>98.0553</v>
      </c>
      <c r="T54" s="111">
        <f t="shared" si="14"/>
        <v>70.48</v>
      </c>
      <c r="U54" s="140"/>
    </row>
    <row r="55" spans="1:21">
      <c r="A55" s="26" t="s">
        <v>81</v>
      </c>
      <c r="B55" s="85">
        <v>0.2032</v>
      </c>
      <c r="C55" s="37">
        <v>8</v>
      </c>
      <c r="D55" s="28" t="s">
        <v>85</v>
      </c>
      <c r="E55" s="24" t="s">
        <v>42</v>
      </c>
      <c r="F55" s="45" t="s">
        <v>90</v>
      </c>
      <c r="G55" s="85">
        <v>12.972</v>
      </c>
      <c r="H55" s="26">
        <f t="shared" si="0"/>
        <v>155.664</v>
      </c>
      <c r="I55" s="45">
        <f t="shared" si="1"/>
        <v>172.91676</v>
      </c>
      <c r="J55" s="26">
        <f t="shared" si="2"/>
        <v>181.608</v>
      </c>
      <c r="K55" s="45">
        <f t="shared" si="3"/>
        <v>160.3287312</v>
      </c>
      <c r="L55" s="45">
        <f t="shared" si="4"/>
        <v>124.5312</v>
      </c>
      <c r="M55" s="45">
        <f t="shared" si="5"/>
        <v>186.7968</v>
      </c>
      <c r="N55" s="45">
        <f t="shared" si="6"/>
        <v>138.28152</v>
      </c>
      <c r="O55" s="45">
        <f t="shared" si="7"/>
        <v>207.552</v>
      </c>
      <c r="P55" s="45">
        <f t="shared" si="8"/>
        <v>145.2864</v>
      </c>
      <c r="Q55" s="45">
        <f t="shared" si="9"/>
        <v>217.9296</v>
      </c>
      <c r="R55" s="45">
        <f t="shared" si="10"/>
        <v>115.19136</v>
      </c>
      <c r="S55" s="111">
        <f t="shared" si="11"/>
        <v>144.37836</v>
      </c>
      <c r="T55" s="111">
        <f t="shared" si="14"/>
        <v>103.776</v>
      </c>
      <c r="U55" s="140"/>
    </row>
    <row r="56" spans="1:21">
      <c r="A56" s="26" t="s">
        <v>81</v>
      </c>
      <c r="B56" s="85">
        <v>0.2032</v>
      </c>
      <c r="C56" s="37">
        <v>8</v>
      </c>
      <c r="D56" s="28" t="s">
        <v>38</v>
      </c>
      <c r="E56" s="24" t="s">
        <v>42</v>
      </c>
      <c r="F56" s="45" t="s">
        <v>90</v>
      </c>
      <c r="G56" s="85">
        <v>16.988</v>
      </c>
      <c r="H56" s="26">
        <f t="shared" si="0"/>
        <v>203.856</v>
      </c>
      <c r="I56" s="45">
        <f t="shared" si="1"/>
        <v>226.45004</v>
      </c>
      <c r="J56" s="26">
        <f t="shared" si="2"/>
        <v>237.832</v>
      </c>
      <c r="K56" s="45">
        <f t="shared" si="3"/>
        <v>209.9648848</v>
      </c>
      <c r="L56" s="45">
        <f t="shared" si="4"/>
        <v>163.0848</v>
      </c>
      <c r="M56" s="45">
        <f t="shared" si="5"/>
        <v>244.6272</v>
      </c>
      <c r="N56" s="45">
        <f t="shared" si="6"/>
        <v>181.09208</v>
      </c>
      <c r="O56" s="45">
        <f t="shared" si="7"/>
        <v>271.808</v>
      </c>
      <c r="P56" s="45">
        <f t="shared" si="8"/>
        <v>190.2656</v>
      </c>
      <c r="Q56" s="45">
        <f t="shared" si="9"/>
        <v>285.3984</v>
      </c>
      <c r="R56" s="45">
        <f t="shared" si="10"/>
        <v>150.85344</v>
      </c>
      <c r="S56" s="111">
        <f t="shared" si="11"/>
        <v>189.07644</v>
      </c>
      <c r="T56" s="111">
        <f t="shared" si="14"/>
        <v>135.904</v>
      </c>
      <c r="U56" s="140"/>
    </row>
    <row r="57" spans="1:21">
      <c r="A57" s="26" t="s">
        <v>81</v>
      </c>
      <c r="B57" s="85">
        <v>0.2032</v>
      </c>
      <c r="C57" s="37">
        <v>8</v>
      </c>
      <c r="D57" s="28" t="s">
        <v>44</v>
      </c>
      <c r="E57" s="24" t="s">
        <v>42</v>
      </c>
      <c r="F57" s="45" t="s">
        <v>90</v>
      </c>
      <c r="G57" s="85">
        <v>5.967</v>
      </c>
      <c r="H57" s="26">
        <f t="shared" si="0"/>
        <v>71.604</v>
      </c>
      <c r="I57" s="45">
        <f t="shared" si="1"/>
        <v>79.54011</v>
      </c>
      <c r="J57" s="26">
        <f t="shared" si="2"/>
        <v>83.538</v>
      </c>
      <c r="K57" s="45">
        <f t="shared" si="3"/>
        <v>73.7497332</v>
      </c>
      <c r="L57" s="45">
        <f t="shared" si="4"/>
        <v>57.2832</v>
      </c>
      <c r="M57" s="45">
        <f t="shared" si="5"/>
        <v>85.9248</v>
      </c>
      <c r="N57" s="45">
        <f t="shared" si="6"/>
        <v>63.60822</v>
      </c>
      <c r="O57" s="45">
        <f t="shared" si="7"/>
        <v>95.472</v>
      </c>
      <c r="P57" s="45">
        <f t="shared" si="8"/>
        <v>66.8304</v>
      </c>
      <c r="Q57" s="45">
        <f t="shared" si="9"/>
        <v>100.2456</v>
      </c>
      <c r="R57" s="45">
        <f t="shared" si="10"/>
        <v>52.98696</v>
      </c>
      <c r="S57" s="111">
        <f t="shared" si="11"/>
        <v>66.41271</v>
      </c>
      <c r="T57" s="111">
        <f t="shared" si="14"/>
        <v>47.736</v>
      </c>
      <c r="U57" s="140"/>
    </row>
    <row r="58" spans="1:21">
      <c r="A58" s="26" t="s">
        <v>81</v>
      </c>
      <c r="B58" s="85">
        <v>0.2032</v>
      </c>
      <c r="C58" s="37">
        <v>8</v>
      </c>
      <c r="D58" s="28" t="s">
        <v>83</v>
      </c>
      <c r="E58" s="24" t="s">
        <v>42</v>
      </c>
      <c r="F58" s="45" t="s">
        <v>90</v>
      </c>
      <c r="G58" s="85">
        <v>7.863</v>
      </c>
      <c r="H58" s="26">
        <f t="shared" si="0"/>
        <v>94.356</v>
      </c>
      <c r="I58" s="45">
        <f t="shared" si="1"/>
        <v>104.81379</v>
      </c>
      <c r="J58" s="26">
        <f t="shared" si="2"/>
        <v>110.082</v>
      </c>
      <c r="K58" s="45">
        <f t="shared" si="3"/>
        <v>97.1835348</v>
      </c>
      <c r="L58" s="45">
        <f t="shared" si="4"/>
        <v>75.4848</v>
      </c>
      <c r="M58" s="45">
        <f t="shared" si="5"/>
        <v>113.2272</v>
      </c>
      <c r="N58" s="45">
        <f t="shared" si="6"/>
        <v>83.81958</v>
      </c>
      <c r="O58" s="45">
        <f t="shared" si="7"/>
        <v>125.808</v>
      </c>
      <c r="P58" s="45">
        <f t="shared" si="8"/>
        <v>88.0656</v>
      </c>
      <c r="Q58" s="45">
        <f t="shared" si="9"/>
        <v>132.0984</v>
      </c>
      <c r="R58" s="45">
        <f t="shared" si="10"/>
        <v>69.82344</v>
      </c>
      <c r="S58" s="111">
        <f t="shared" si="11"/>
        <v>87.51519</v>
      </c>
      <c r="T58" s="111">
        <f t="shared" si="14"/>
        <v>62.904</v>
      </c>
      <c r="U58" s="140"/>
    </row>
    <row r="59" spans="1:21">
      <c r="A59" s="26" t="s">
        <v>81</v>
      </c>
      <c r="B59" s="85">
        <v>0.254</v>
      </c>
      <c r="C59" s="37">
        <v>10</v>
      </c>
      <c r="D59" s="28" t="s">
        <v>41</v>
      </c>
      <c r="E59" s="24" t="s">
        <v>42</v>
      </c>
      <c r="F59" s="45" t="s">
        <v>91</v>
      </c>
      <c r="G59" s="85">
        <v>10.03</v>
      </c>
      <c r="H59" s="26">
        <f t="shared" si="0"/>
        <v>120.36</v>
      </c>
      <c r="I59" s="45">
        <f t="shared" si="1"/>
        <v>133.6999</v>
      </c>
      <c r="J59" s="26">
        <f t="shared" si="2"/>
        <v>140.42</v>
      </c>
      <c r="K59" s="45">
        <f t="shared" si="3"/>
        <v>123.966788</v>
      </c>
      <c r="L59" s="45">
        <f t="shared" si="4"/>
        <v>96.288</v>
      </c>
      <c r="M59" s="45">
        <f t="shared" si="5"/>
        <v>144.432</v>
      </c>
      <c r="N59" s="45">
        <f t="shared" si="6"/>
        <v>106.9198</v>
      </c>
      <c r="O59" s="45">
        <f t="shared" si="7"/>
        <v>160.48</v>
      </c>
      <c r="P59" s="45">
        <f t="shared" si="8"/>
        <v>112.336</v>
      </c>
      <c r="Q59" s="45">
        <f t="shared" si="9"/>
        <v>168.504</v>
      </c>
      <c r="R59" s="45">
        <f t="shared" si="10"/>
        <v>89.0664</v>
      </c>
      <c r="S59" s="111">
        <f t="shared" si="11"/>
        <v>111.6339</v>
      </c>
      <c r="T59" s="111">
        <f t="shared" si="14"/>
        <v>80.24</v>
      </c>
      <c r="U59" s="140"/>
    </row>
    <row r="60" spans="1:21">
      <c r="A60" s="26" t="s">
        <v>81</v>
      </c>
      <c r="B60" s="85">
        <v>0.254</v>
      </c>
      <c r="C60" s="37">
        <v>10</v>
      </c>
      <c r="D60" s="28" t="s">
        <v>85</v>
      </c>
      <c r="E60" s="24" t="s">
        <v>42</v>
      </c>
      <c r="F60" s="45" t="s">
        <v>91</v>
      </c>
      <c r="G60" s="85">
        <v>14.098</v>
      </c>
      <c r="H60" s="26">
        <f t="shared" si="0"/>
        <v>169.176</v>
      </c>
      <c r="I60" s="45">
        <f t="shared" si="1"/>
        <v>187.92634</v>
      </c>
      <c r="J60" s="26">
        <f t="shared" si="2"/>
        <v>197.372</v>
      </c>
      <c r="K60" s="45">
        <f t="shared" si="3"/>
        <v>174.2456408</v>
      </c>
      <c r="L60" s="45">
        <f t="shared" si="4"/>
        <v>135.3408</v>
      </c>
      <c r="M60" s="45">
        <f t="shared" si="5"/>
        <v>203.0112</v>
      </c>
      <c r="N60" s="45">
        <f t="shared" si="6"/>
        <v>150.28468</v>
      </c>
      <c r="O60" s="45">
        <f t="shared" si="7"/>
        <v>225.568</v>
      </c>
      <c r="P60" s="45">
        <f t="shared" si="8"/>
        <v>157.8976</v>
      </c>
      <c r="Q60" s="45">
        <f t="shared" si="9"/>
        <v>236.8464</v>
      </c>
      <c r="R60" s="45">
        <f t="shared" si="10"/>
        <v>125.19024</v>
      </c>
      <c r="S60" s="111">
        <f t="shared" si="11"/>
        <v>156.91074</v>
      </c>
      <c r="T60" s="111">
        <f t="shared" si="14"/>
        <v>112.784</v>
      </c>
      <c r="U60" s="140"/>
    </row>
    <row r="61" spans="1:21">
      <c r="A61" s="26" t="s">
        <v>81</v>
      </c>
      <c r="B61" s="85">
        <v>0.254</v>
      </c>
      <c r="C61" s="37">
        <v>10</v>
      </c>
      <c r="D61" s="28" t="s">
        <v>38</v>
      </c>
      <c r="E61" s="24" t="s">
        <v>42</v>
      </c>
      <c r="F61" s="45" t="s">
        <v>91</v>
      </c>
      <c r="G61" s="85">
        <v>18.344</v>
      </c>
      <c r="H61" s="26">
        <f t="shared" si="0"/>
        <v>220.128</v>
      </c>
      <c r="I61" s="45">
        <f t="shared" si="1"/>
        <v>244.52552</v>
      </c>
      <c r="J61" s="26">
        <f t="shared" si="2"/>
        <v>256.816</v>
      </c>
      <c r="K61" s="45">
        <f t="shared" si="3"/>
        <v>226.7245024</v>
      </c>
      <c r="L61" s="45">
        <f t="shared" si="4"/>
        <v>176.1024</v>
      </c>
      <c r="M61" s="45">
        <f t="shared" si="5"/>
        <v>264.1536</v>
      </c>
      <c r="N61" s="45">
        <f t="shared" si="6"/>
        <v>195.54704</v>
      </c>
      <c r="O61" s="45">
        <f t="shared" si="7"/>
        <v>293.504</v>
      </c>
      <c r="P61" s="45">
        <f t="shared" si="8"/>
        <v>205.4528</v>
      </c>
      <c r="Q61" s="45">
        <f t="shared" si="9"/>
        <v>308.1792</v>
      </c>
      <c r="R61" s="45">
        <f t="shared" si="10"/>
        <v>162.89472</v>
      </c>
      <c r="S61" s="111">
        <f t="shared" si="11"/>
        <v>204.16872</v>
      </c>
      <c r="T61" s="111">
        <f t="shared" si="14"/>
        <v>146.752</v>
      </c>
      <c r="U61" s="140"/>
    </row>
    <row r="62" spans="1:21">
      <c r="A62" s="26" t="s">
        <v>81</v>
      </c>
      <c r="B62" s="85">
        <v>0.254</v>
      </c>
      <c r="C62" s="37">
        <v>10</v>
      </c>
      <c r="D62" s="28" t="s">
        <v>92</v>
      </c>
      <c r="E62" s="24" t="s">
        <v>42</v>
      </c>
      <c r="F62" s="45" t="s">
        <v>91</v>
      </c>
      <c r="G62" s="85">
        <v>26.839</v>
      </c>
      <c r="H62" s="26">
        <f t="shared" si="0"/>
        <v>322.068</v>
      </c>
      <c r="I62" s="45">
        <f t="shared" si="1"/>
        <v>357.76387</v>
      </c>
      <c r="J62" s="26">
        <f t="shared" si="2"/>
        <v>375.746</v>
      </c>
      <c r="K62" s="45">
        <f t="shared" si="3"/>
        <v>331.7193044</v>
      </c>
      <c r="L62" s="45">
        <f t="shared" si="4"/>
        <v>257.6544</v>
      </c>
      <c r="M62" s="45">
        <f t="shared" si="5"/>
        <v>386.4816</v>
      </c>
      <c r="N62" s="45">
        <f t="shared" si="6"/>
        <v>286.10374</v>
      </c>
      <c r="O62" s="45">
        <f t="shared" si="7"/>
        <v>429.424</v>
      </c>
      <c r="P62" s="45">
        <f t="shared" si="8"/>
        <v>300.5968</v>
      </c>
      <c r="Q62" s="45">
        <f t="shared" si="9"/>
        <v>450.8952</v>
      </c>
      <c r="R62" s="45">
        <f t="shared" si="10"/>
        <v>238.33032</v>
      </c>
      <c r="S62" s="111">
        <f t="shared" si="11"/>
        <v>298.71807</v>
      </c>
      <c r="T62" s="111">
        <f t="shared" si="14"/>
        <v>214.712</v>
      </c>
      <c r="U62" s="140"/>
    </row>
    <row r="63" spans="1:21">
      <c r="A63" s="26" t="s">
        <v>81</v>
      </c>
      <c r="B63" s="85">
        <v>0.254</v>
      </c>
      <c r="C63" s="37">
        <v>10</v>
      </c>
      <c r="D63" s="28" t="s">
        <v>44</v>
      </c>
      <c r="E63" s="24" t="s">
        <v>42</v>
      </c>
      <c r="F63" s="45" t="s">
        <v>91</v>
      </c>
      <c r="G63" s="85">
        <v>7.325</v>
      </c>
      <c r="H63" s="26">
        <f t="shared" si="0"/>
        <v>87.9</v>
      </c>
      <c r="I63" s="45">
        <f t="shared" si="1"/>
        <v>97.64225</v>
      </c>
      <c r="J63" s="26">
        <f t="shared" si="2"/>
        <v>102.55</v>
      </c>
      <c r="K63" s="45">
        <f t="shared" si="3"/>
        <v>90.53407</v>
      </c>
      <c r="L63" s="45">
        <f t="shared" si="4"/>
        <v>70.32</v>
      </c>
      <c r="M63" s="45">
        <f t="shared" si="5"/>
        <v>105.48</v>
      </c>
      <c r="N63" s="45">
        <f t="shared" si="6"/>
        <v>78.0845</v>
      </c>
      <c r="O63" s="45">
        <f t="shared" si="7"/>
        <v>117.2</v>
      </c>
      <c r="P63" s="45">
        <f t="shared" si="8"/>
        <v>82.04</v>
      </c>
      <c r="Q63" s="45">
        <f t="shared" si="9"/>
        <v>123.06</v>
      </c>
      <c r="R63" s="45">
        <f t="shared" si="10"/>
        <v>65.046</v>
      </c>
      <c r="S63" s="111">
        <f t="shared" si="11"/>
        <v>81.52725</v>
      </c>
      <c r="T63" s="111">
        <f t="shared" si="14"/>
        <v>58.6</v>
      </c>
      <c r="U63" s="140"/>
    </row>
    <row r="64" spans="1:21">
      <c r="A64" s="26" t="s">
        <v>81</v>
      </c>
      <c r="B64" s="85">
        <v>0.3048</v>
      </c>
      <c r="C64" s="37">
        <v>12</v>
      </c>
      <c r="D64" s="28" t="s">
        <v>41</v>
      </c>
      <c r="E64" s="24" t="s">
        <v>42</v>
      </c>
      <c r="F64" s="45" t="s">
        <v>93</v>
      </c>
      <c r="G64" s="85">
        <v>10.398</v>
      </c>
      <c r="H64" s="26">
        <f t="shared" si="0"/>
        <v>124.776</v>
      </c>
      <c r="I64" s="45">
        <f t="shared" si="1"/>
        <v>138.60534</v>
      </c>
      <c r="J64" s="26">
        <f t="shared" si="2"/>
        <v>145.572</v>
      </c>
      <c r="K64" s="45">
        <f t="shared" si="3"/>
        <v>128.5151208</v>
      </c>
      <c r="L64" s="45">
        <f t="shared" si="4"/>
        <v>99.8208</v>
      </c>
      <c r="M64" s="45">
        <f t="shared" si="5"/>
        <v>149.7312</v>
      </c>
      <c r="N64" s="45">
        <f t="shared" si="6"/>
        <v>110.84268</v>
      </c>
      <c r="O64" s="45">
        <f t="shared" si="7"/>
        <v>166.368</v>
      </c>
      <c r="P64" s="45">
        <f t="shared" si="8"/>
        <v>116.4576</v>
      </c>
      <c r="Q64" s="45">
        <f t="shared" si="9"/>
        <v>174.6864</v>
      </c>
      <c r="R64" s="45">
        <f t="shared" si="10"/>
        <v>92.33424</v>
      </c>
      <c r="S64" s="111">
        <f t="shared" si="11"/>
        <v>115.72974</v>
      </c>
      <c r="T64" s="111">
        <f t="shared" si="14"/>
        <v>83.184</v>
      </c>
      <c r="U64" s="140"/>
    </row>
    <row r="65" spans="1:21">
      <c r="A65" s="26" t="s">
        <v>81</v>
      </c>
      <c r="B65" s="85">
        <v>0.3048</v>
      </c>
      <c r="C65" s="37">
        <v>12</v>
      </c>
      <c r="D65" s="28" t="s">
        <v>38</v>
      </c>
      <c r="E65" s="24" t="s">
        <v>42</v>
      </c>
      <c r="F65" s="45" t="s">
        <v>93</v>
      </c>
      <c r="G65" s="85">
        <v>18.707</v>
      </c>
      <c r="H65" s="26">
        <f t="shared" si="0"/>
        <v>224.484</v>
      </c>
      <c r="I65" s="45">
        <f t="shared" si="1"/>
        <v>249.36431</v>
      </c>
      <c r="J65" s="26">
        <f t="shared" si="2"/>
        <v>261.898</v>
      </c>
      <c r="K65" s="45">
        <f t="shared" si="3"/>
        <v>231.2110372</v>
      </c>
      <c r="L65" s="45">
        <f t="shared" si="4"/>
        <v>179.5872</v>
      </c>
      <c r="M65" s="45">
        <f t="shared" si="5"/>
        <v>269.3808</v>
      </c>
      <c r="N65" s="45">
        <f t="shared" si="6"/>
        <v>199.41662</v>
      </c>
      <c r="O65" s="45">
        <f t="shared" si="7"/>
        <v>299.312</v>
      </c>
      <c r="P65" s="45">
        <f t="shared" si="8"/>
        <v>209.5184</v>
      </c>
      <c r="Q65" s="45">
        <f t="shared" si="9"/>
        <v>314.2776</v>
      </c>
      <c r="R65" s="45">
        <f t="shared" si="10"/>
        <v>166.11816</v>
      </c>
      <c r="S65" s="111">
        <f t="shared" si="11"/>
        <v>208.20891</v>
      </c>
      <c r="T65" s="111">
        <f t="shared" si="14"/>
        <v>149.656</v>
      </c>
      <c r="U65" s="140"/>
    </row>
    <row r="66" spans="1:21">
      <c r="A66" s="26" t="s">
        <v>81</v>
      </c>
      <c r="B66" s="85">
        <v>0.3048</v>
      </c>
      <c r="C66" s="37">
        <v>12</v>
      </c>
      <c r="D66" s="28" t="s">
        <v>44</v>
      </c>
      <c r="E66" s="24" t="s">
        <v>42</v>
      </c>
      <c r="F66" s="45" t="s">
        <v>93</v>
      </c>
      <c r="G66" s="85">
        <v>7.595</v>
      </c>
      <c r="H66" s="26">
        <f t="shared" si="0"/>
        <v>91.14</v>
      </c>
      <c r="I66" s="45">
        <f t="shared" si="1"/>
        <v>101.24135</v>
      </c>
      <c r="J66" s="26">
        <f t="shared" si="2"/>
        <v>106.33</v>
      </c>
      <c r="K66" s="45">
        <f t="shared" si="3"/>
        <v>93.871162</v>
      </c>
      <c r="L66" s="45">
        <f t="shared" si="4"/>
        <v>72.912</v>
      </c>
      <c r="M66" s="45">
        <f t="shared" si="5"/>
        <v>109.368</v>
      </c>
      <c r="N66" s="45">
        <f t="shared" si="6"/>
        <v>80.9627</v>
      </c>
      <c r="O66" s="45">
        <f t="shared" si="7"/>
        <v>121.52</v>
      </c>
      <c r="P66" s="45">
        <f t="shared" si="8"/>
        <v>85.064</v>
      </c>
      <c r="Q66" s="45">
        <f t="shared" si="9"/>
        <v>127.596</v>
      </c>
      <c r="R66" s="45">
        <f t="shared" si="10"/>
        <v>67.4436</v>
      </c>
      <c r="S66" s="111">
        <f t="shared" si="11"/>
        <v>84.53235</v>
      </c>
      <c r="T66" s="111">
        <f t="shared" si="14"/>
        <v>60.76</v>
      </c>
      <c r="U66" s="140"/>
    </row>
    <row r="67" spans="1:21">
      <c r="A67" s="26" t="s">
        <v>81</v>
      </c>
      <c r="B67" s="85">
        <v>0.3048</v>
      </c>
      <c r="C67" s="37">
        <v>12</v>
      </c>
      <c r="D67" s="28" t="s">
        <v>85</v>
      </c>
      <c r="E67" s="24" t="s">
        <v>42</v>
      </c>
      <c r="F67" s="45" t="s">
        <v>93</v>
      </c>
      <c r="G67" s="85">
        <v>14.46</v>
      </c>
      <c r="H67" s="26">
        <f t="shared" si="0"/>
        <v>173.52</v>
      </c>
      <c r="I67" s="45">
        <f t="shared" si="1"/>
        <v>192.7518</v>
      </c>
      <c r="J67" s="26">
        <f t="shared" si="2"/>
        <v>202.44</v>
      </c>
      <c r="K67" s="45">
        <f t="shared" si="3"/>
        <v>178.719816</v>
      </c>
      <c r="L67" s="45">
        <f t="shared" si="4"/>
        <v>138.816</v>
      </c>
      <c r="M67" s="45">
        <f t="shared" si="5"/>
        <v>208.224</v>
      </c>
      <c r="N67" s="45">
        <f t="shared" si="6"/>
        <v>154.1436</v>
      </c>
      <c r="O67" s="45">
        <f t="shared" si="7"/>
        <v>231.36</v>
      </c>
      <c r="P67" s="45">
        <f t="shared" si="8"/>
        <v>161.952</v>
      </c>
      <c r="Q67" s="45">
        <f t="shared" si="9"/>
        <v>242.928</v>
      </c>
      <c r="R67" s="45">
        <f t="shared" si="10"/>
        <v>128.4048</v>
      </c>
      <c r="S67" s="111">
        <f t="shared" si="11"/>
        <v>160.9398</v>
      </c>
      <c r="T67" s="111">
        <f t="shared" si="14"/>
        <v>115.68</v>
      </c>
      <c r="U67" s="140"/>
    </row>
    <row r="68" spans="1:21">
      <c r="A68" s="26" t="s">
        <v>81</v>
      </c>
      <c r="B68" s="85">
        <v>0.3556</v>
      </c>
      <c r="C68" s="37">
        <v>14</v>
      </c>
      <c r="D68" s="28" t="s">
        <v>41</v>
      </c>
      <c r="E68" s="24" t="s">
        <v>42</v>
      </c>
      <c r="F68" s="45" t="s">
        <v>43</v>
      </c>
      <c r="G68" s="85">
        <v>10.214</v>
      </c>
      <c r="H68" s="26">
        <f t="shared" si="0"/>
        <v>122.568</v>
      </c>
      <c r="I68" s="45">
        <f t="shared" si="1"/>
        <v>136.15262</v>
      </c>
      <c r="J68" s="26">
        <f t="shared" si="2"/>
        <v>142.996</v>
      </c>
      <c r="K68" s="45">
        <f t="shared" si="3"/>
        <v>126.2409544</v>
      </c>
      <c r="L68" s="45">
        <f t="shared" si="4"/>
        <v>98.0544</v>
      </c>
      <c r="M68" s="45">
        <f t="shared" si="5"/>
        <v>147.0816</v>
      </c>
      <c r="N68" s="45">
        <f t="shared" si="6"/>
        <v>108.88124</v>
      </c>
      <c r="O68" s="45">
        <f t="shared" si="7"/>
        <v>163.424</v>
      </c>
      <c r="P68" s="45">
        <f t="shared" si="8"/>
        <v>114.3968</v>
      </c>
      <c r="Q68" s="45">
        <f t="shared" si="9"/>
        <v>171.5952</v>
      </c>
      <c r="R68" s="45">
        <f t="shared" si="10"/>
        <v>90.70032</v>
      </c>
      <c r="S68" s="111">
        <f t="shared" si="11"/>
        <v>113.68182</v>
      </c>
      <c r="T68" s="111">
        <f t="shared" si="14"/>
        <v>81.712</v>
      </c>
      <c r="U68" s="140"/>
    </row>
    <row r="69" spans="1:21">
      <c r="A69" s="26" t="s">
        <v>81</v>
      </c>
      <c r="B69" s="85">
        <v>0.3556</v>
      </c>
      <c r="C69" s="37">
        <v>14</v>
      </c>
      <c r="D69" s="28" t="s">
        <v>44</v>
      </c>
      <c r="E69" s="24" t="s">
        <v>42</v>
      </c>
      <c r="F69" s="45" t="s">
        <v>43</v>
      </c>
      <c r="G69" s="85">
        <v>7.503</v>
      </c>
      <c r="H69" s="26">
        <f t="shared" si="0"/>
        <v>90.036</v>
      </c>
      <c r="I69" s="45">
        <f t="shared" si="1"/>
        <v>100.01499</v>
      </c>
      <c r="J69" s="26">
        <f t="shared" si="2"/>
        <v>105.042</v>
      </c>
      <c r="K69" s="45">
        <f t="shared" si="3"/>
        <v>92.7340788</v>
      </c>
      <c r="L69" s="45">
        <f t="shared" si="4"/>
        <v>72.0288</v>
      </c>
      <c r="M69" s="45">
        <f t="shared" si="5"/>
        <v>108.0432</v>
      </c>
      <c r="N69" s="45">
        <f t="shared" si="6"/>
        <v>79.98198</v>
      </c>
      <c r="O69" s="45">
        <f t="shared" si="7"/>
        <v>120.048</v>
      </c>
      <c r="P69" s="45">
        <f t="shared" si="8"/>
        <v>84.0336</v>
      </c>
      <c r="Q69" s="45">
        <f t="shared" si="9"/>
        <v>126.0504</v>
      </c>
      <c r="R69" s="45">
        <f t="shared" si="10"/>
        <v>66.62664</v>
      </c>
      <c r="S69" s="111">
        <f t="shared" si="11"/>
        <v>83.50839</v>
      </c>
      <c r="T69" s="111">
        <f t="shared" si="14"/>
        <v>60.024</v>
      </c>
      <c r="U69" s="140"/>
    </row>
    <row r="70" spans="1:21">
      <c r="A70" s="26" t="s">
        <v>81</v>
      </c>
      <c r="B70" s="85">
        <v>0.381</v>
      </c>
      <c r="C70" s="37">
        <v>15</v>
      </c>
      <c r="D70" s="28" t="s">
        <v>41</v>
      </c>
      <c r="E70" s="24" t="s">
        <v>42</v>
      </c>
      <c r="F70" s="45" t="s">
        <v>43</v>
      </c>
      <c r="G70" s="85">
        <v>10.123</v>
      </c>
      <c r="H70" s="26">
        <f t="shared" si="0"/>
        <v>121.476</v>
      </c>
      <c r="I70" s="45">
        <f t="shared" si="1"/>
        <v>134.93959</v>
      </c>
      <c r="J70" s="26">
        <f t="shared" si="2"/>
        <v>141.722</v>
      </c>
      <c r="K70" s="45">
        <f t="shared" si="3"/>
        <v>125.1162308</v>
      </c>
      <c r="L70" s="45">
        <f t="shared" si="4"/>
        <v>97.1808</v>
      </c>
      <c r="M70" s="45">
        <f t="shared" si="5"/>
        <v>145.7712</v>
      </c>
      <c r="N70" s="45">
        <f t="shared" si="6"/>
        <v>107.91118</v>
      </c>
      <c r="O70" s="45">
        <f t="shared" si="7"/>
        <v>161.968</v>
      </c>
      <c r="P70" s="45">
        <f t="shared" si="8"/>
        <v>113.3776</v>
      </c>
      <c r="Q70" s="45">
        <f t="shared" si="9"/>
        <v>170.0664</v>
      </c>
      <c r="R70" s="45">
        <f t="shared" si="10"/>
        <v>89.89224</v>
      </c>
      <c r="S70" s="111">
        <f t="shared" si="11"/>
        <v>112.66899</v>
      </c>
      <c r="T70" s="111">
        <f t="shared" si="14"/>
        <v>80.984</v>
      </c>
      <c r="U70" s="140"/>
    </row>
    <row r="71" spans="1:21">
      <c r="A71" s="26" t="s">
        <v>81</v>
      </c>
      <c r="B71" s="85">
        <v>0.381</v>
      </c>
      <c r="C71" s="37">
        <v>15</v>
      </c>
      <c r="D71" s="28" t="s">
        <v>38</v>
      </c>
      <c r="E71" s="24" t="s">
        <v>42</v>
      </c>
      <c r="F71" s="45" t="s">
        <v>43</v>
      </c>
      <c r="G71" s="85">
        <v>18.616</v>
      </c>
      <c r="H71" s="26">
        <f t="shared" si="0"/>
        <v>223.392</v>
      </c>
      <c r="I71" s="45">
        <f t="shared" si="1"/>
        <v>248.15128</v>
      </c>
      <c r="J71" s="26">
        <f t="shared" si="2"/>
        <v>260.624</v>
      </c>
      <c r="K71" s="45">
        <f t="shared" si="3"/>
        <v>230.0863136</v>
      </c>
      <c r="L71" s="45">
        <f t="shared" si="4"/>
        <v>178.7136</v>
      </c>
      <c r="M71" s="45">
        <f t="shared" si="5"/>
        <v>268.0704</v>
      </c>
      <c r="N71" s="45">
        <f t="shared" si="6"/>
        <v>198.44656</v>
      </c>
      <c r="O71" s="45">
        <f t="shared" si="7"/>
        <v>297.856</v>
      </c>
      <c r="P71" s="45">
        <f t="shared" si="8"/>
        <v>208.4992</v>
      </c>
      <c r="Q71" s="45">
        <f t="shared" si="9"/>
        <v>312.7488</v>
      </c>
      <c r="R71" s="45">
        <f t="shared" si="10"/>
        <v>165.31008</v>
      </c>
      <c r="S71" s="111">
        <f t="shared" si="11"/>
        <v>207.19608</v>
      </c>
      <c r="T71" s="111">
        <f t="shared" si="14"/>
        <v>148.928</v>
      </c>
      <c r="U71" s="140"/>
    </row>
    <row r="72" spans="1:21">
      <c r="A72" s="26" t="s">
        <v>81</v>
      </c>
      <c r="B72" s="85">
        <v>0.381</v>
      </c>
      <c r="C72" s="37">
        <v>15</v>
      </c>
      <c r="D72" s="28" t="s">
        <v>92</v>
      </c>
      <c r="E72" s="24" t="s">
        <v>42</v>
      </c>
      <c r="F72" s="45" t="s">
        <v>43</v>
      </c>
      <c r="G72" s="85">
        <v>28.417</v>
      </c>
      <c r="H72" s="26">
        <f t="shared" si="0"/>
        <v>341.004</v>
      </c>
      <c r="I72" s="45">
        <f t="shared" si="1"/>
        <v>378.79861</v>
      </c>
      <c r="J72" s="26">
        <f t="shared" si="2"/>
        <v>397.838</v>
      </c>
      <c r="K72" s="45">
        <f t="shared" si="3"/>
        <v>351.2227532</v>
      </c>
      <c r="L72" s="45">
        <f t="shared" si="4"/>
        <v>272.8032</v>
      </c>
      <c r="M72" s="45">
        <f t="shared" si="5"/>
        <v>409.2048</v>
      </c>
      <c r="N72" s="45">
        <f t="shared" si="6"/>
        <v>302.92522</v>
      </c>
      <c r="O72" s="45">
        <f t="shared" si="7"/>
        <v>454.672</v>
      </c>
      <c r="P72" s="45">
        <f t="shared" si="8"/>
        <v>318.2704</v>
      </c>
      <c r="Q72" s="45">
        <f t="shared" si="9"/>
        <v>477.4056</v>
      </c>
      <c r="R72" s="45">
        <f t="shared" si="10"/>
        <v>252.34296</v>
      </c>
      <c r="S72" s="111">
        <f t="shared" si="11"/>
        <v>316.28121</v>
      </c>
      <c r="T72" s="111">
        <f t="shared" si="14"/>
        <v>227.336</v>
      </c>
      <c r="U72" s="140"/>
    </row>
    <row r="73" spans="1:21">
      <c r="A73" s="26" t="s">
        <v>81</v>
      </c>
      <c r="B73" s="85">
        <v>0.381</v>
      </c>
      <c r="C73" s="37">
        <v>15</v>
      </c>
      <c r="D73" s="28" t="s">
        <v>44</v>
      </c>
      <c r="E73" s="24" t="s">
        <v>42</v>
      </c>
      <c r="F73" s="45" t="s">
        <v>43</v>
      </c>
      <c r="G73" s="85">
        <v>7.595</v>
      </c>
      <c r="H73" s="26">
        <f t="shared" si="0"/>
        <v>91.14</v>
      </c>
      <c r="I73" s="45">
        <f t="shared" si="1"/>
        <v>101.24135</v>
      </c>
      <c r="J73" s="26">
        <f t="shared" si="2"/>
        <v>106.33</v>
      </c>
      <c r="K73" s="45">
        <f t="shared" si="3"/>
        <v>93.871162</v>
      </c>
      <c r="L73" s="45">
        <f t="shared" si="4"/>
        <v>72.912</v>
      </c>
      <c r="M73" s="45">
        <f t="shared" si="5"/>
        <v>109.368</v>
      </c>
      <c r="N73" s="45">
        <f t="shared" si="6"/>
        <v>80.9627</v>
      </c>
      <c r="O73" s="45">
        <f t="shared" si="7"/>
        <v>121.52</v>
      </c>
      <c r="P73" s="45">
        <f t="shared" si="8"/>
        <v>85.064</v>
      </c>
      <c r="Q73" s="45">
        <f t="shared" si="9"/>
        <v>127.596</v>
      </c>
      <c r="R73" s="45">
        <f t="shared" si="10"/>
        <v>67.4436</v>
      </c>
      <c r="S73" s="111">
        <f t="shared" si="11"/>
        <v>84.53235</v>
      </c>
      <c r="T73" s="111">
        <f t="shared" si="14"/>
        <v>60.76</v>
      </c>
      <c r="U73" s="140"/>
    </row>
    <row r="74" spans="1:21">
      <c r="A74" s="26" t="s">
        <v>81</v>
      </c>
      <c r="B74" s="85">
        <v>0.381</v>
      </c>
      <c r="C74" s="37">
        <v>15</v>
      </c>
      <c r="D74" s="28" t="s">
        <v>94</v>
      </c>
      <c r="E74" s="24" t="s">
        <v>42</v>
      </c>
      <c r="F74" s="45" t="s">
        <v>43</v>
      </c>
      <c r="G74" s="85">
        <v>40.433</v>
      </c>
      <c r="H74" s="26">
        <f t="shared" si="0"/>
        <v>485.196</v>
      </c>
      <c r="I74" s="45">
        <f t="shared" si="1"/>
        <v>538.97189</v>
      </c>
      <c r="J74" s="26">
        <f t="shared" si="2"/>
        <v>566.062</v>
      </c>
      <c r="K74" s="45">
        <f t="shared" si="3"/>
        <v>499.7357068</v>
      </c>
      <c r="L74" s="45">
        <f t="shared" si="4"/>
        <v>388.1568</v>
      </c>
      <c r="M74" s="45">
        <f t="shared" si="5"/>
        <v>582.2352</v>
      </c>
      <c r="N74" s="45">
        <f t="shared" si="6"/>
        <v>431.01578</v>
      </c>
      <c r="O74" s="45">
        <f t="shared" si="7"/>
        <v>646.928</v>
      </c>
      <c r="P74" s="45">
        <f t="shared" si="8"/>
        <v>452.8496</v>
      </c>
      <c r="Q74" s="45">
        <f t="shared" si="9"/>
        <v>679.2744</v>
      </c>
      <c r="R74" s="45">
        <f t="shared" si="10"/>
        <v>359.04504</v>
      </c>
      <c r="S74" s="111">
        <f t="shared" si="11"/>
        <v>450.01929</v>
      </c>
      <c r="T74" s="111">
        <f t="shared" si="14"/>
        <v>323.464</v>
      </c>
      <c r="U74" s="140"/>
    </row>
    <row r="75" spans="1:21">
      <c r="A75" s="26" t="s">
        <v>81</v>
      </c>
      <c r="B75" s="85">
        <v>0.4064</v>
      </c>
      <c r="C75" s="37">
        <v>16</v>
      </c>
      <c r="D75" s="28" t="s">
        <v>41</v>
      </c>
      <c r="E75" s="24" t="s">
        <v>42</v>
      </c>
      <c r="F75" s="45" t="s">
        <v>43</v>
      </c>
      <c r="G75" s="85">
        <v>10.123</v>
      </c>
      <c r="H75" s="26">
        <f t="shared" si="0"/>
        <v>121.476</v>
      </c>
      <c r="I75" s="45">
        <f t="shared" si="1"/>
        <v>134.93959</v>
      </c>
      <c r="J75" s="26">
        <f t="shared" si="2"/>
        <v>141.722</v>
      </c>
      <c r="K75" s="45">
        <f t="shared" si="3"/>
        <v>125.1162308</v>
      </c>
      <c r="L75" s="45">
        <f t="shared" si="4"/>
        <v>97.1808</v>
      </c>
      <c r="M75" s="45">
        <f t="shared" si="5"/>
        <v>145.7712</v>
      </c>
      <c r="N75" s="45">
        <f t="shared" si="6"/>
        <v>107.91118</v>
      </c>
      <c r="O75" s="45">
        <f t="shared" si="7"/>
        <v>161.968</v>
      </c>
      <c r="P75" s="45">
        <f t="shared" si="8"/>
        <v>113.3776</v>
      </c>
      <c r="Q75" s="45">
        <f t="shared" si="9"/>
        <v>170.0664</v>
      </c>
      <c r="R75" s="45">
        <f t="shared" si="10"/>
        <v>89.89224</v>
      </c>
      <c r="S75" s="111">
        <f t="shared" si="11"/>
        <v>112.66899</v>
      </c>
      <c r="T75" s="111">
        <f t="shared" si="14"/>
        <v>80.984</v>
      </c>
      <c r="U75" s="140"/>
    </row>
    <row r="76" spans="1:21">
      <c r="A76" s="26" t="s">
        <v>81</v>
      </c>
      <c r="B76" s="85">
        <v>0.4064</v>
      </c>
      <c r="C76" s="37">
        <v>16</v>
      </c>
      <c r="D76" s="28" t="s">
        <v>38</v>
      </c>
      <c r="E76" s="24" t="s">
        <v>42</v>
      </c>
      <c r="F76" s="45" t="s">
        <v>43</v>
      </c>
      <c r="G76" s="85">
        <v>18.616</v>
      </c>
      <c r="H76" s="26">
        <f t="shared" si="0"/>
        <v>223.392</v>
      </c>
      <c r="I76" s="45">
        <f t="shared" si="1"/>
        <v>248.15128</v>
      </c>
      <c r="J76" s="26">
        <f t="shared" si="2"/>
        <v>260.624</v>
      </c>
      <c r="K76" s="45">
        <f t="shared" si="3"/>
        <v>230.0863136</v>
      </c>
      <c r="L76" s="45">
        <f t="shared" si="4"/>
        <v>178.7136</v>
      </c>
      <c r="M76" s="45">
        <f t="shared" si="5"/>
        <v>268.0704</v>
      </c>
      <c r="N76" s="45">
        <f t="shared" si="6"/>
        <v>198.44656</v>
      </c>
      <c r="O76" s="45">
        <f t="shared" si="7"/>
        <v>297.856</v>
      </c>
      <c r="P76" s="45">
        <f t="shared" si="8"/>
        <v>208.4992</v>
      </c>
      <c r="Q76" s="45">
        <f t="shared" si="9"/>
        <v>312.7488</v>
      </c>
      <c r="R76" s="45">
        <f t="shared" si="10"/>
        <v>165.31008</v>
      </c>
      <c r="S76" s="111">
        <f t="shared" si="11"/>
        <v>207.19608</v>
      </c>
      <c r="T76" s="111">
        <f t="shared" si="14"/>
        <v>148.928</v>
      </c>
      <c r="U76" s="140"/>
    </row>
    <row r="77" spans="1:21">
      <c r="A77" s="26" t="s">
        <v>81</v>
      </c>
      <c r="B77" s="85">
        <v>0.4064</v>
      </c>
      <c r="C77" s="37">
        <v>16</v>
      </c>
      <c r="D77" s="28" t="s">
        <v>44</v>
      </c>
      <c r="E77" s="24" t="s">
        <v>42</v>
      </c>
      <c r="F77" s="45" t="s">
        <v>43</v>
      </c>
      <c r="G77" s="85">
        <v>7.524</v>
      </c>
      <c r="H77" s="26">
        <f t="shared" si="0"/>
        <v>90.288</v>
      </c>
      <c r="I77" s="45">
        <f t="shared" si="1"/>
        <v>100.29492</v>
      </c>
      <c r="J77" s="26">
        <f t="shared" si="2"/>
        <v>105.336</v>
      </c>
      <c r="K77" s="45">
        <f t="shared" si="3"/>
        <v>92.9936304</v>
      </c>
      <c r="L77" s="45">
        <f t="shared" si="4"/>
        <v>72.2304</v>
      </c>
      <c r="M77" s="45">
        <f t="shared" si="5"/>
        <v>108.3456</v>
      </c>
      <c r="N77" s="45">
        <f t="shared" si="6"/>
        <v>80.20584</v>
      </c>
      <c r="O77" s="45">
        <f t="shared" si="7"/>
        <v>120.384</v>
      </c>
      <c r="P77" s="45">
        <f t="shared" si="8"/>
        <v>84.2688</v>
      </c>
      <c r="Q77" s="45">
        <f t="shared" si="9"/>
        <v>126.4032</v>
      </c>
      <c r="R77" s="45">
        <f t="shared" si="10"/>
        <v>66.81312</v>
      </c>
      <c r="S77" s="111">
        <f t="shared" si="11"/>
        <v>83.74212</v>
      </c>
      <c r="T77" s="111">
        <f t="shared" si="14"/>
        <v>60.192</v>
      </c>
      <c r="U77" s="140"/>
    </row>
    <row r="78" spans="1:21">
      <c r="A78" s="26" t="s">
        <v>81</v>
      </c>
      <c r="B78" s="85">
        <v>0.4572</v>
      </c>
      <c r="C78" s="37">
        <v>18</v>
      </c>
      <c r="D78" s="28" t="s">
        <v>41</v>
      </c>
      <c r="E78" s="24" t="s">
        <v>42</v>
      </c>
      <c r="F78" s="118" t="s">
        <v>46</v>
      </c>
      <c r="G78" s="85">
        <v>11.207</v>
      </c>
      <c r="H78" s="26">
        <f t="shared" si="0"/>
        <v>134.484</v>
      </c>
      <c r="I78" s="45">
        <f t="shared" si="1"/>
        <v>149.38931</v>
      </c>
      <c r="J78" s="26">
        <f t="shared" si="2"/>
        <v>156.898</v>
      </c>
      <c r="K78" s="45">
        <f t="shared" si="3"/>
        <v>138.5140372</v>
      </c>
      <c r="L78" s="45">
        <f t="shared" si="4"/>
        <v>107.5872</v>
      </c>
      <c r="M78" s="45">
        <f t="shared" si="5"/>
        <v>161.3808</v>
      </c>
      <c r="N78" s="45">
        <f t="shared" si="6"/>
        <v>119.46662</v>
      </c>
      <c r="O78" s="45">
        <f t="shared" si="7"/>
        <v>179.312</v>
      </c>
      <c r="P78" s="45">
        <f t="shared" si="8"/>
        <v>125.5184</v>
      </c>
      <c r="Q78" s="45">
        <f t="shared" si="9"/>
        <v>188.2776</v>
      </c>
      <c r="R78" s="45">
        <f t="shared" si="10"/>
        <v>99.51816</v>
      </c>
      <c r="S78" s="111">
        <f t="shared" si="11"/>
        <v>124.73391</v>
      </c>
      <c r="T78" s="111">
        <f t="shared" si="14"/>
        <v>89.656</v>
      </c>
      <c r="U78" s="140"/>
    </row>
    <row r="79" spans="1:21">
      <c r="A79" s="26" t="s">
        <v>81</v>
      </c>
      <c r="B79" s="85">
        <v>0.4572</v>
      </c>
      <c r="C79" s="37">
        <v>18</v>
      </c>
      <c r="D79" s="28" t="s">
        <v>38</v>
      </c>
      <c r="E79" s="24" t="s">
        <v>42</v>
      </c>
      <c r="F79" s="118" t="s">
        <v>46</v>
      </c>
      <c r="G79" s="85">
        <v>19.249</v>
      </c>
      <c r="H79" s="26">
        <f t="shared" si="0"/>
        <v>230.988</v>
      </c>
      <c r="I79" s="45">
        <f t="shared" si="1"/>
        <v>256.58917</v>
      </c>
      <c r="J79" s="26">
        <f t="shared" si="2"/>
        <v>269.486</v>
      </c>
      <c r="K79" s="45">
        <f t="shared" si="3"/>
        <v>237.9099404</v>
      </c>
      <c r="L79" s="45">
        <f t="shared" si="4"/>
        <v>184.7904</v>
      </c>
      <c r="M79" s="45">
        <f t="shared" si="5"/>
        <v>277.1856</v>
      </c>
      <c r="N79" s="45">
        <f t="shared" si="6"/>
        <v>205.19434</v>
      </c>
      <c r="O79" s="45">
        <f t="shared" si="7"/>
        <v>307.984</v>
      </c>
      <c r="P79" s="45">
        <f t="shared" si="8"/>
        <v>215.5888</v>
      </c>
      <c r="Q79" s="45">
        <f t="shared" si="9"/>
        <v>323.3832</v>
      </c>
      <c r="R79" s="45">
        <f t="shared" si="10"/>
        <v>170.93112</v>
      </c>
      <c r="S79" s="111">
        <f t="shared" si="11"/>
        <v>214.24137</v>
      </c>
      <c r="T79" s="111">
        <f t="shared" si="14"/>
        <v>153.992</v>
      </c>
      <c r="U79" s="140"/>
    </row>
    <row r="80" spans="1:21">
      <c r="A80" s="26" t="s">
        <v>81</v>
      </c>
      <c r="B80" s="85">
        <v>0.4572</v>
      </c>
      <c r="C80" s="37">
        <v>18</v>
      </c>
      <c r="D80" s="28" t="s">
        <v>44</v>
      </c>
      <c r="E80" s="24" t="s">
        <v>42</v>
      </c>
      <c r="F80" s="118" t="s">
        <v>46</v>
      </c>
      <c r="G80" s="85">
        <v>8.5</v>
      </c>
      <c r="H80" s="26">
        <f t="shared" ref="H80:H100" si="15">G80*12</f>
        <v>102</v>
      </c>
      <c r="I80" s="45">
        <f t="shared" ref="I80:I100" si="16">G80*13.33</f>
        <v>113.305</v>
      </c>
      <c r="J80" s="26">
        <f t="shared" ref="J80:J100" si="17">G80*14</f>
        <v>119</v>
      </c>
      <c r="K80" s="45">
        <f t="shared" ref="K80:K100" si="18">G80*11.66*1.06</f>
        <v>105.0566</v>
      </c>
      <c r="L80" s="45">
        <f t="shared" ref="L80:L100" si="19">G80*9.6</f>
        <v>81.6</v>
      </c>
      <c r="M80" s="45">
        <f t="shared" ref="M80:M100" si="20">G80*14.4</f>
        <v>122.4</v>
      </c>
      <c r="N80" s="45">
        <f t="shared" ref="N80:N100" si="21">G80*10.66</f>
        <v>90.61</v>
      </c>
      <c r="O80" s="45">
        <f t="shared" ref="O80:O100" si="22">G80*16</f>
        <v>136</v>
      </c>
      <c r="P80" s="45">
        <f t="shared" ref="P80:P100" si="23">G80*11.2</f>
        <v>95.2</v>
      </c>
      <c r="Q80" s="45">
        <f t="shared" ref="Q80:Q100" si="24">G80*16.8</f>
        <v>142.8</v>
      </c>
      <c r="R80" s="45">
        <f t="shared" ref="R80:R100" si="25">G80*8.88</f>
        <v>75.48</v>
      </c>
      <c r="S80" s="111">
        <f t="shared" ref="S80:S100" si="26">G80*10.5*1.06</f>
        <v>94.605</v>
      </c>
      <c r="T80" s="111">
        <f t="shared" si="14"/>
        <v>68</v>
      </c>
      <c r="U80" s="140"/>
    </row>
    <row r="81" spans="1:21">
      <c r="A81" s="26" t="s">
        <v>81</v>
      </c>
      <c r="B81" s="85">
        <v>0.4572</v>
      </c>
      <c r="C81" s="37">
        <v>18</v>
      </c>
      <c r="D81" s="28" t="s">
        <v>83</v>
      </c>
      <c r="E81" s="24" t="s">
        <v>42</v>
      </c>
      <c r="F81" s="118" t="s">
        <v>46</v>
      </c>
      <c r="G81" s="85">
        <v>10.216</v>
      </c>
      <c r="H81" s="26">
        <f t="shared" si="15"/>
        <v>122.592</v>
      </c>
      <c r="I81" s="45">
        <f t="shared" si="16"/>
        <v>136.17928</v>
      </c>
      <c r="J81" s="26">
        <f t="shared" si="17"/>
        <v>143.024</v>
      </c>
      <c r="K81" s="45">
        <f t="shared" si="18"/>
        <v>126.2656736</v>
      </c>
      <c r="L81" s="45">
        <f t="shared" si="19"/>
        <v>98.0736</v>
      </c>
      <c r="M81" s="45">
        <f t="shared" si="20"/>
        <v>147.1104</v>
      </c>
      <c r="N81" s="45">
        <f t="shared" si="21"/>
        <v>108.90256</v>
      </c>
      <c r="O81" s="45">
        <f t="shared" si="22"/>
        <v>163.456</v>
      </c>
      <c r="P81" s="45">
        <f t="shared" si="23"/>
        <v>114.4192</v>
      </c>
      <c r="Q81" s="45">
        <f t="shared" si="24"/>
        <v>171.6288</v>
      </c>
      <c r="R81" s="45">
        <f t="shared" si="25"/>
        <v>90.71808</v>
      </c>
      <c r="S81" s="111">
        <f t="shared" si="26"/>
        <v>113.70408</v>
      </c>
      <c r="T81" s="111">
        <f t="shared" si="14"/>
        <v>81.728</v>
      </c>
      <c r="U81" s="140"/>
    </row>
    <row r="82" spans="1:21">
      <c r="A82" s="26" t="s">
        <v>81</v>
      </c>
      <c r="B82" s="85">
        <v>0.508</v>
      </c>
      <c r="C82" s="37">
        <v>20</v>
      </c>
      <c r="D82" s="28" t="s">
        <v>41</v>
      </c>
      <c r="E82" s="24" t="s">
        <v>42</v>
      </c>
      <c r="F82" s="118" t="s">
        <v>47</v>
      </c>
      <c r="G82" s="85">
        <v>11.39</v>
      </c>
      <c r="H82" s="26">
        <f t="shared" si="15"/>
        <v>136.68</v>
      </c>
      <c r="I82" s="45">
        <f t="shared" si="16"/>
        <v>151.8287</v>
      </c>
      <c r="J82" s="26">
        <f t="shared" si="17"/>
        <v>159.46</v>
      </c>
      <c r="K82" s="45">
        <f t="shared" si="18"/>
        <v>140.775844</v>
      </c>
      <c r="L82" s="45">
        <f t="shared" si="19"/>
        <v>109.344</v>
      </c>
      <c r="M82" s="45">
        <f t="shared" si="20"/>
        <v>164.016</v>
      </c>
      <c r="N82" s="45">
        <f t="shared" si="21"/>
        <v>121.4174</v>
      </c>
      <c r="O82" s="45">
        <f t="shared" si="22"/>
        <v>182.24</v>
      </c>
      <c r="P82" s="45">
        <f t="shared" si="23"/>
        <v>127.568</v>
      </c>
      <c r="Q82" s="45">
        <f t="shared" si="24"/>
        <v>191.352</v>
      </c>
      <c r="R82" s="45">
        <f t="shared" si="25"/>
        <v>101.1432</v>
      </c>
      <c r="S82" s="111">
        <f t="shared" si="26"/>
        <v>126.7707</v>
      </c>
      <c r="T82" s="111">
        <f t="shared" ref="T82:T114" si="27">H82*2/3</f>
        <v>91.12</v>
      </c>
      <c r="U82" s="140"/>
    </row>
    <row r="83" spans="1:21">
      <c r="A83" s="26" t="s">
        <v>81</v>
      </c>
      <c r="B83" s="85">
        <v>0.508</v>
      </c>
      <c r="C83" s="37">
        <v>20</v>
      </c>
      <c r="D83" s="28" t="s">
        <v>95</v>
      </c>
      <c r="E83" s="24" t="s">
        <v>42</v>
      </c>
      <c r="F83" s="118" t="s">
        <v>47</v>
      </c>
      <c r="G83" s="85">
        <v>8.184</v>
      </c>
      <c r="H83" s="26">
        <f t="shared" si="15"/>
        <v>98.208</v>
      </c>
      <c r="I83" s="45">
        <f t="shared" si="16"/>
        <v>109.09272</v>
      </c>
      <c r="J83" s="26">
        <f t="shared" si="17"/>
        <v>114.576</v>
      </c>
      <c r="K83" s="45">
        <f t="shared" si="18"/>
        <v>101.1509664</v>
      </c>
      <c r="L83" s="45">
        <f t="shared" si="19"/>
        <v>78.5664</v>
      </c>
      <c r="M83" s="45">
        <f t="shared" si="20"/>
        <v>117.8496</v>
      </c>
      <c r="N83" s="45">
        <f t="shared" si="21"/>
        <v>87.24144</v>
      </c>
      <c r="O83" s="45">
        <f t="shared" si="22"/>
        <v>130.944</v>
      </c>
      <c r="P83" s="45">
        <f t="shared" si="23"/>
        <v>91.6608</v>
      </c>
      <c r="Q83" s="45">
        <f t="shared" si="24"/>
        <v>137.4912</v>
      </c>
      <c r="R83" s="45">
        <f t="shared" si="25"/>
        <v>72.67392</v>
      </c>
      <c r="S83" s="111">
        <f t="shared" si="26"/>
        <v>91.08792</v>
      </c>
      <c r="T83" s="111">
        <f t="shared" si="27"/>
        <v>65.472</v>
      </c>
      <c r="U83" s="140"/>
    </row>
    <row r="84" spans="1:21">
      <c r="A84" s="26" t="s">
        <v>81</v>
      </c>
      <c r="B84" s="85">
        <v>0.5334</v>
      </c>
      <c r="C84" s="37">
        <v>21</v>
      </c>
      <c r="D84" s="28" t="s">
        <v>41</v>
      </c>
      <c r="E84" s="24" t="s">
        <v>42</v>
      </c>
      <c r="F84" s="45" t="s">
        <v>48</v>
      </c>
      <c r="G84" s="85">
        <v>11.39</v>
      </c>
      <c r="H84" s="26">
        <f t="shared" si="15"/>
        <v>136.68</v>
      </c>
      <c r="I84" s="45">
        <f t="shared" si="16"/>
        <v>151.8287</v>
      </c>
      <c r="J84" s="26">
        <f t="shared" si="17"/>
        <v>159.46</v>
      </c>
      <c r="K84" s="45">
        <f t="shared" si="18"/>
        <v>140.775844</v>
      </c>
      <c r="L84" s="45">
        <f t="shared" si="19"/>
        <v>109.344</v>
      </c>
      <c r="M84" s="45">
        <f t="shared" si="20"/>
        <v>164.016</v>
      </c>
      <c r="N84" s="45">
        <f t="shared" si="21"/>
        <v>121.4174</v>
      </c>
      <c r="O84" s="45">
        <f t="shared" si="22"/>
        <v>182.24</v>
      </c>
      <c r="P84" s="45">
        <f t="shared" si="23"/>
        <v>127.568</v>
      </c>
      <c r="Q84" s="45">
        <f t="shared" si="24"/>
        <v>191.352</v>
      </c>
      <c r="R84" s="45">
        <f t="shared" si="25"/>
        <v>101.1432</v>
      </c>
      <c r="S84" s="111">
        <f t="shared" si="26"/>
        <v>126.7707</v>
      </c>
      <c r="T84" s="111">
        <f t="shared" si="27"/>
        <v>91.12</v>
      </c>
      <c r="U84" s="140"/>
    </row>
    <row r="85" spans="1:21">
      <c r="A85" s="26" t="s">
        <v>81</v>
      </c>
      <c r="B85" s="85">
        <v>0.5334</v>
      </c>
      <c r="C85" s="37">
        <v>21</v>
      </c>
      <c r="D85" s="28" t="s">
        <v>38</v>
      </c>
      <c r="E85" s="24" t="s">
        <v>42</v>
      </c>
      <c r="F85" s="45" t="s">
        <v>48</v>
      </c>
      <c r="G85" s="85">
        <v>19.698</v>
      </c>
      <c r="H85" s="26">
        <f t="shared" si="15"/>
        <v>236.376</v>
      </c>
      <c r="I85" s="45">
        <f t="shared" si="16"/>
        <v>262.57434</v>
      </c>
      <c r="J85" s="26">
        <f t="shared" si="17"/>
        <v>275.772</v>
      </c>
      <c r="K85" s="45">
        <f t="shared" si="18"/>
        <v>243.4594008</v>
      </c>
      <c r="L85" s="45">
        <f t="shared" si="19"/>
        <v>189.1008</v>
      </c>
      <c r="M85" s="45">
        <f t="shared" si="20"/>
        <v>283.6512</v>
      </c>
      <c r="N85" s="45">
        <f t="shared" si="21"/>
        <v>209.98068</v>
      </c>
      <c r="O85" s="45">
        <f t="shared" si="22"/>
        <v>315.168</v>
      </c>
      <c r="P85" s="45">
        <f t="shared" si="23"/>
        <v>220.6176</v>
      </c>
      <c r="Q85" s="45">
        <f t="shared" si="24"/>
        <v>330.9264</v>
      </c>
      <c r="R85" s="45">
        <f t="shared" si="25"/>
        <v>174.91824</v>
      </c>
      <c r="S85" s="111">
        <f t="shared" si="26"/>
        <v>219.23874</v>
      </c>
      <c r="T85" s="111">
        <f t="shared" si="27"/>
        <v>157.584</v>
      </c>
      <c r="U85" s="140"/>
    </row>
    <row r="86" spans="1:21">
      <c r="A86" s="26" t="s">
        <v>81</v>
      </c>
      <c r="B86" s="85">
        <v>0.5334</v>
      </c>
      <c r="C86" s="37">
        <v>21</v>
      </c>
      <c r="D86" s="28" t="s">
        <v>44</v>
      </c>
      <c r="E86" s="24" t="s">
        <v>42</v>
      </c>
      <c r="F86" s="45" t="s">
        <v>48</v>
      </c>
      <c r="G86" s="85">
        <v>8.77</v>
      </c>
      <c r="H86" s="26">
        <f t="shared" si="15"/>
        <v>105.24</v>
      </c>
      <c r="I86" s="45">
        <f t="shared" si="16"/>
        <v>116.9041</v>
      </c>
      <c r="J86" s="26">
        <f t="shared" si="17"/>
        <v>122.78</v>
      </c>
      <c r="K86" s="45">
        <f t="shared" si="18"/>
        <v>108.393692</v>
      </c>
      <c r="L86" s="45">
        <f t="shared" si="19"/>
        <v>84.192</v>
      </c>
      <c r="M86" s="45">
        <f t="shared" si="20"/>
        <v>126.288</v>
      </c>
      <c r="N86" s="45">
        <f t="shared" si="21"/>
        <v>93.4882</v>
      </c>
      <c r="O86" s="45">
        <f t="shared" si="22"/>
        <v>140.32</v>
      </c>
      <c r="P86" s="45">
        <f t="shared" si="23"/>
        <v>98.224</v>
      </c>
      <c r="Q86" s="45">
        <f t="shared" si="24"/>
        <v>147.336</v>
      </c>
      <c r="R86" s="45">
        <f t="shared" si="25"/>
        <v>77.8776</v>
      </c>
      <c r="S86" s="111">
        <f t="shared" si="26"/>
        <v>97.6101</v>
      </c>
      <c r="T86" s="111">
        <f t="shared" si="27"/>
        <v>70.16</v>
      </c>
      <c r="U86" s="140"/>
    </row>
    <row r="87" spans="1:21">
      <c r="A87" s="26" t="s">
        <v>81</v>
      </c>
      <c r="B87" s="85">
        <v>0.5334</v>
      </c>
      <c r="C87" s="37">
        <v>21</v>
      </c>
      <c r="D87" s="28" t="s">
        <v>95</v>
      </c>
      <c r="E87" s="24" t="s">
        <v>42</v>
      </c>
      <c r="F87" s="45" t="s">
        <v>48</v>
      </c>
      <c r="G87" s="85">
        <v>8.5</v>
      </c>
      <c r="H87" s="26">
        <f t="shared" si="15"/>
        <v>102</v>
      </c>
      <c r="I87" s="45">
        <f t="shared" si="16"/>
        <v>113.305</v>
      </c>
      <c r="J87" s="26">
        <f t="shared" si="17"/>
        <v>119</v>
      </c>
      <c r="K87" s="45">
        <f t="shared" si="18"/>
        <v>105.0566</v>
      </c>
      <c r="L87" s="45">
        <f t="shared" si="19"/>
        <v>81.6</v>
      </c>
      <c r="M87" s="45">
        <f t="shared" si="20"/>
        <v>122.4</v>
      </c>
      <c r="N87" s="45">
        <f t="shared" si="21"/>
        <v>90.61</v>
      </c>
      <c r="O87" s="45">
        <f t="shared" si="22"/>
        <v>136</v>
      </c>
      <c r="P87" s="45">
        <f t="shared" si="23"/>
        <v>95.2</v>
      </c>
      <c r="Q87" s="45">
        <f t="shared" si="24"/>
        <v>142.8</v>
      </c>
      <c r="R87" s="45">
        <f t="shared" si="25"/>
        <v>75.48</v>
      </c>
      <c r="S87" s="111">
        <f t="shared" si="26"/>
        <v>94.605</v>
      </c>
      <c r="T87" s="111">
        <f t="shared" si="27"/>
        <v>68</v>
      </c>
      <c r="U87" s="140"/>
    </row>
    <row r="88" spans="1:21">
      <c r="A88" s="26" t="s">
        <v>81</v>
      </c>
      <c r="B88" s="85">
        <v>0.5588</v>
      </c>
      <c r="C88" s="37">
        <v>22</v>
      </c>
      <c r="D88" s="28" t="s">
        <v>44</v>
      </c>
      <c r="E88" s="24" t="s">
        <v>42</v>
      </c>
      <c r="F88" s="45" t="s">
        <v>48</v>
      </c>
      <c r="G88" s="85">
        <v>9.345</v>
      </c>
      <c r="H88" s="26">
        <f t="shared" si="15"/>
        <v>112.14</v>
      </c>
      <c r="I88" s="45">
        <f t="shared" si="16"/>
        <v>124.56885</v>
      </c>
      <c r="J88" s="26">
        <f t="shared" si="17"/>
        <v>130.83</v>
      </c>
      <c r="K88" s="45">
        <f t="shared" si="18"/>
        <v>115.500462</v>
      </c>
      <c r="L88" s="45">
        <f t="shared" si="19"/>
        <v>89.712</v>
      </c>
      <c r="M88" s="45">
        <f t="shared" si="20"/>
        <v>134.568</v>
      </c>
      <c r="N88" s="45">
        <f t="shared" si="21"/>
        <v>99.6177</v>
      </c>
      <c r="O88" s="45">
        <f t="shared" si="22"/>
        <v>149.52</v>
      </c>
      <c r="P88" s="45">
        <f t="shared" si="23"/>
        <v>104.664</v>
      </c>
      <c r="Q88" s="45">
        <f t="shared" si="24"/>
        <v>156.996</v>
      </c>
      <c r="R88" s="45">
        <f t="shared" si="25"/>
        <v>82.9836</v>
      </c>
      <c r="S88" s="111">
        <f t="shared" si="26"/>
        <v>104.00985</v>
      </c>
      <c r="T88" s="111">
        <f t="shared" si="27"/>
        <v>74.76</v>
      </c>
      <c r="U88" s="140"/>
    </row>
    <row r="89" spans="1:21">
      <c r="A89" s="26" t="s">
        <v>81</v>
      </c>
      <c r="B89" s="85">
        <v>0.6096</v>
      </c>
      <c r="C89" s="37">
        <v>24</v>
      </c>
      <c r="D89" s="28" t="s">
        <v>41</v>
      </c>
      <c r="E89" s="24" t="s">
        <v>42</v>
      </c>
      <c r="F89" s="45" t="s">
        <v>48</v>
      </c>
      <c r="G89" s="85">
        <v>11.479</v>
      </c>
      <c r="H89" s="26">
        <f t="shared" si="15"/>
        <v>137.748</v>
      </c>
      <c r="I89" s="45">
        <f t="shared" si="16"/>
        <v>153.01507</v>
      </c>
      <c r="J89" s="26">
        <f t="shared" si="17"/>
        <v>160.706</v>
      </c>
      <c r="K89" s="45">
        <f t="shared" si="18"/>
        <v>141.8758484</v>
      </c>
      <c r="L89" s="45">
        <f t="shared" si="19"/>
        <v>110.1984</v>
      </c>
      <c r="M89" s="45">
        <f t="shared" si="20"/>
        <v>165.2976</v>
      </c>
      <c r="N89" s="45">
        <f t="shared" si="21"/>
        <v>122.36614</v>
      </c>
      <c r="O89" s="45">
        <f t="shared" si="22"/>
        <v>183.664</v>
      </c>
      <c r="P89" s="45">
        <f t="shared" si="23"/>
        <v>128.5648</v>
      </c>
      <c r="Q89" s="45">
        <f t="shared" si="24"/>
        <v>192.8472</v>
      </c>
      <c r="R89" s="45">
        <f t="shared" si="25"/>
        <v>101.93352</v>
      </c>
      <c r="S89" s="111">
        <f t="shared" si="26"/>
        <v>127.76127</v>
      </c>
      <c r="T89" s="111">
        <f t="shared" si="27"/>
        <v>91.832</v>
      </c>
      <c r="U89" s="140"/>
    </row>
    <row r="90" spans="1:21">
      <c r="A90" s="26" t="s">
        <v>81</v>
      </c>
      <c r="B90" s="85">
        <v>0.6096</v>
      </c>
      <c r="C90" s="37">
        <v>24</v>
      </c>
      <c r="D90" s="28" t="s">
        <v>44</v>
      </c>
      <c r="E90" s="24" t="s">
        <v>42</v>
      </c>
      <c r="F90" s="45" t="s">
        <v>48</v>
      </c>
      <c r="G90" s="85">
        <v>8.861</v>
      </c>
      <c r="H90" s="26">
        <f t="shared" si="15"/>
        <v>106.332</v>
      </c>
      <c r="I90" s="45">
        <f t="shared" si="16"/>
        <v>118.11713</v>
      </c>
      <c r="J90" s="26">
        <f t="shared" si="17"/>
        <v>124.054</v>
      </c>
      <c r="K90" s="45">
        <f t="shared" si="18"/>
        <v>109.5184156</v>
      </c>
      <c r="L90" s="45">
        <f t="shared" si="19"/>
        <v>85.0656</v>
      </c>
      <c r="M90" s="45">
        <f t="shared" si="20"/>
        <v>127.5984</v>
      </c>
      <c r="N90" s="45">
        <f t="shared" si="21"/>
        <v>94.45826</v>
      </c>
      <c r="O90" s="45">
        <f t="shared" si="22"/>
        <v>141.776</v>
      </c>
      <c r="P90" s="45">
        <f t="shared" si="23"/>
        <v>99.2432</v>
      </c>
      <c r="Q90" s="45">
        <f t="shared" si="24"/>
        <v>148.8648</v>
      </c>
      <c r="R90" s="45">
        <f t="shared" si="25"/>
        <v>78.68568</v>
      </c>
      <c r="S90" s="111">
        <f t="shared" si="26"/>
        <v>98.62293</v>
      </c>
      <c r="T90" s="111">
        <f t="shared" si="27"/>
        <v>70.888</v>
      </c>
      <c r="U90" s="140"/>
    </row>
    <row r="91" spans="1:21">
      <c r="A91" s="26" t="s">
        <v>81</v>
      </c>
      <c r="B91" s="85">
        <v>0.635</v>
      </c>
      <c r="C91" s="37">
        <v>25</v>
      </c>
      <c r="D91" s="28" t="s">
        <v>41</v>
      </c>
      <c r="E91" s="24" t="s">
        <v>42</v>
      </c>
      <c r="F91" s="118" t="s">
        <v>96</v>
      </c>
      <c r="G91" s="85">
        <v>12.293</v>
      </c>
      <c r="H91" s="26">
        <f t="shared" si="15"/>
        <v>147.516</v>
      </c>
      <c r="I91" s="45">
        <f t="shared" si="16"/>
        <v>163.86569</v>
      </c>
      <c r="J91" s="26">
        <f t="shared" si="17"/>
        <v>172.102</v>
      </c>
      <c r="K91" s="45">
        <f t="shared" si="18"/>
        <v>151.9365628</v>
      </c>
      <c r="L91" s="45">
        <f t="shared" si="19"/>
        <v>118.0128</v>
      </c>
      <c r="M91" s="45">
        <f t="shared" si="20"/>
        <v>177.0192</v>
      </c>
      <c r="N91" s="45">
        <f t="shared" si="21"/>
        <v>131.04338</v>
      </c>
      <c r="O91" s="45">
        <f t="shared" si="22"/>
        <v>196.688</v>
      </c>
      <c r="P91" s="45">
        <f t="shared" si="23"/>
        <v>137.6816</v>
      </c>
      <c r="Q91" s="45">
        <f t="shared" si="24"/>
        <v>206.5224</v>
      </c>
      <c r="R91" s="45">
        <f t="shared" si="25"/>
        <v>109.16184</v>
      </c>
      <c r="S91" s="111">
        <f t="shared" si="26"/>
        <v>136.82109</v>
      </c>
      <c r="T91" s="111">
        <f t="shared" si="27"/>
        <v>98.344</v>
      </c>
      <c r="U91" s="140"/>
    </row>
    <row r="92" spans="1:21">
      <c r="A92" s="26" t="s">
        <v>81</v>
      </c>
      <c r="B92" s="85">
        <v>0.635</v>
      </c>
      <c r="C92" s="37">
        <v>25</v>
      </c>
      <c r="D92" s="28" t="s">
        <v>44</v>
      </c>
      <c r="E92" s="24" t="s">
        <v>42</v>
      </c>
      <c r="F92" s="118" t="s">
        <v>96</v>
      </c>
      <c r="G92" s="85">
        <v>9.675</v>
      </c>
      <c r="H92" s="26">
        <f t="shared" si="15"/>
        <v>116.1</v>
      </c>
      <c r="I92" s="45">
        <f t="shared" si="16"/>
        <v>128.96775</v>
      </c>
      <c r="J92" s="26">
        <f t="shared" si="17"/>
        <v>135.45</v>
      </c>
      <c r="K92" s="45">
        <f t="shared" si="18"/>
        <v>119.57913</v>
      </c>
      <c r="L92" s="45">
        <f t="shared" si="19"/>
        <v>92.88</v>
      </c>
      <c r="M92" s="45">
        <f t="shared" si="20"/>
        <v>139.32</v>
      </c>
      <c r="N92" s="45">
        <f t="shared" si="21"/>
        <v>103.1355</v>
      </c>
      <c r="O92" s="45">
        <f t="shared" si="22"/>
        <v>154.8</v>
      </c>
      <c r="P92" s="45">
        <f t="shared" si="23"/>
        <v>108.36</v>
      </c>
      <c r="Q92" s="45">
        <f t="shared" si="24"/>
        <v>162.54</v>
      </c>
      <c r="R92" s="45">
        <f t="shared" si="25"/>
        <v>85.914</v>
      </c>
      <c r="S92" s="111">
        <f t="shared" si="26"/>
        <v>107.68275</v>
      </c>
      <c r="T92" s="111">
        <f t="shared" si="27"/>
        <v>77.4</v>
      </c>
      <c r="U92" s="140"/>
    </row>
    <row r="93" spans="1:21">
      <c r="A93" s="26" t="s">
        <v>81</v>
      </c>
      <c r="B93" s="85">
        <v>0.6604</v>
      </c>
      <c r="C93" s="37">
        <v>26</v>
      </c>
      <c r="D93" s="28" t="s">
        <v>44</v>
      </c>
      <c r="E93" s="24" t="s">
        <v>42</v>
      </c>
      <c r="F93" s="118" t="s">
        <v>96</v>
      </c>
      <c r="G93" s="85">
        <v>9.96</v>
      </c>
      <c r="H93" s="26">
        <f t="shared" si="15"/>
        <v>119.52</v>
      </c>
      <c r="I93" s="45">
        <f t="shared" si="16"/>
        <v>132.7668</v>
      </c>
      <c r="J93" s="26">
        <f t="shared" si="17"/>
        <v>139.44</v>
      </c>
      <c r="K93" s="45">
        <f t="shared" si="18"/>
        <v>123.101616</v>
      </c>
      <c r="L93" s="45">
        <f t="shared" si="19"/>
        <v>95.616</v>
      </c>
      <c r="M93" s="45">
        <f t="shared" si="20"/>
        <v>143.424</v>
      </c>
      <c r="N93" s="45">
        <f t="shared" si="21"/>
        <v>106.1736</v>
      </c>
      <c r="O93" s="45">
        <f t="shared" si="22"/>
        <v>159.36</v>
      </c>
      <c r="P93" s="45">
        <f t="shared" si="23"/>
        <v>111.552</v>
      </c>
      <c r="Q93" s="45">
        <f t="shared" si="24"/>
        <v>167.328</v>
      </c>
      <c r="R93" s="45">
        <f t="shared" si="25"/>
        <v>88.4448</v>
      </c>
      <c r="S93" s="111">
        <f t="shared" si="26"/>
        <v>110.8548</v>
      </c>
      <c r="T93" s="111">
        <f t="shared" si="27"/>
        <v>79.68</v>
      </c>
      <c r="U93" s="140"/>
    </row>
    <row r="94" spans="1:21">
      <c r="A94" s="26" t="s">
        <v>81</v>
      </c>
      <c r="B94" s="85">
        <v>0.7112</v>
      </c>
      <c r="C94" s="37">
        <v>28</v>
      </c>
      <c r="D94" s="28" t="s">
        <v>41</v>
      </c>
      <c r="E94" s="24" t="s">
        <v>42</v>
      </c>
      <c r="F94" s="45" t="s">
        <v>49</v>
      </c>
      <c r="G94" s="85">
        <v>12.474</v>
      </c>
      <c r="H94" s="26">
        <f t="shared" si="15"/>
        <v>149.688</v>
      </c>
      <c r="I94" s="45">
        <f t="shared" si="16"/>
        <v>166.27842</v>
      </c>
      <c r="J94" s="26">
        <f t="shared" si="17"/>
        <v>174.636</v>
      </c>
      <c r="K94" s="45">
        <f t="shared" si="18"/>
        <v>154.1736504</v>
      </c>
      <c r="L94" s="45">
        <f t="shared" si="19"/>
        <v>119.7504</v>
      </c>
      <c r="M94" s="45">
        <f t="shared" si="20"/>
        <v>179.6256</v>
      </c>
      <c r="N94" s="45">
        <f t="shared" si="21"/>
        <v>132.97284</v>
      </c>
      <c r="O94" s="45">
        <f t="shared" si="22"/>
        <v>199.584</v>
      </c>
      <c r="P94" s="45">
        <f t="shared" si="23"/>
        <v>139.7088</v>
      </c>
      <c r="Q94" s="45">
        <f t="shared" si="24"/>
        <v>209.5632</v>
      </c>
      <c r="R94" s="45">
        <f t="shared" si="25"/>
        <v>110.76912</v>
      </c>
      <c r="S94" s="111">
        <f t="shared" si="26"/>
        <v>138.83562</v>
      </c>
      <c r="T94" s="111">
        <f t="shared" si="27"/>
        <v>99.792</v>
      </c>
      <c r="U94" s="140"/>
    </row>
    <row r="95" spans="1:21">
      <c r="A95" s="26" t="s">
        <v>81</v>
      </c>
      <c r="B95" s="85">
        <v>0.7112</v>
      </c>
      <c r="C95" s="37">
        <v>28</v>
      </c>
      <c r="D95" s="28" t="s">
        <v>44</v>
      </c>
      <c r="E95" s="24" t="s">
        <v>42</v>
      </c>
      <c r="F95" s="45" t="s">
        <v>49</v>
      </c>
      <c r="G95" s="85">
        <v>9.856</v>
      </c>
      <c r="H95" s="26">
        <f t="shared" si="15"/>
        <v>118.272</v>
      </c>
      <c r="I95" s="45">
        <f t="shared" si="16"/>
        <v>131.38048</v>
      </c>
      <c r="J95" s="26">
        <f t="shared" si="17"/>
        <v>137.984</v>
      </c>
      <c r="K95" s="45">
        <f t="shared" si="18"/>
        <v>121.8162176</v>
      </c>
      <c r="L95" s="45">
        <f t="shared" si="19"/>
        <v>94.6176</v>
      </c>
      <c r="M95" s="45">
        <f t="shared" si="20"/>
        <v>141.9264</v>
      </c>
      <c r="N95" s="45">
        <f t="shared" si="21"/>
        <v>105.06496</v>
      </c>
      <c r="O95" s="45">
        <f t="shared" si="22"/>
        <v>157.696</v>
      </c>
      <c r="P95" s="45">
        <f t="shared" si="23"/>
        <v>110.3872</v>
      </c>
      <c r="Q95" s="45">
        <f t="shared" si="24"/>
        <v>165.5808</v>
      </c>
      <c r="R95" s="45">
        <f t="shared" si="25"/>
        <v>87.52128</v>
      </c>
      <c r="S95" s="111">
        <f t="shared" si="26"/>
        <v>109.69728</v>
      </c>
      <c r="T95" s="111">
        <f t="shared" si="27"/>
        <v>78.848</v>
      </c>
      <c r="U95" s="140"/>
    </row>
    <row r="96" spans="1:21">
      <c r="A96" s="26" t="s">
        <v>81</v>
      </c>
      <c r="B96" s="85">
        <v>0.7874</v>
      </c>
      <c r="C96" s="37">
        <v>31</v>
      </c>
      <c r="D96" s="28" t="s">
        <v>38</v>
      </c>
      <c r="E96" s="24" t="s">
        <v>42</v>
      </c>
      <c r="F96" s="45" t="s">
        <v>49</v>
      </c>
      <c r="G96" s="85">
        <v>20.425</v>
      </c>
      <c r="H96" s="26">
        <f t="shared" si="15"/>
        <v>245.1</v>
      </c>
      <c r="I96" s="45">
        <f t="shared" si="16"/>
        <v>272.26525</v>
      </c>
      <c r="J96" s="26">
        <f t="shared" si="17"/>
        <v>285.95</v>
      </c>
      <c r="K96" s="45">
        <f t="shared" si="18"/>
        <v>252.44483</v>
      </c>
      <c r="L96" s="45">
        <f t="shared" si="19"/>
        <v>196.08</v>
      </c>
      <c r="M96" s="45">
        <f t="shared" si="20"/>
        <v>294.12</v>
      </c>
      <c r="N96" s="45">
        <f t="shared" si="21"/>
        <v>217.7305</v>
      </c>
      <c r="O96" s="45">
        <f t="shared" si="22"/>
        <v>326.8</v>
      </c>
      <c r="P96" s="45">
        <f t="shared" si="23"/>
        <v>228.76</v>
      </c>
      <c r="Q96" s="45">
        <f t="shared" si="24"/>
        <v>343.14</v>
      </c>
      <c r="R96" s="45">
        <f t="shared" si="25"/>
        <v>181.374</v>
      </c>
      <c r="S96" s="111">
        <f t="shared" si="26"/>
        <v>227.33025</v>
      </c>
      <c r="T96" s="111">
        <f t="shared" si="27"/>
        <v>163.4</v>
      </c>
      <c r="U96" s="140"/>
    </row>
    <row r="97" spans="1:21">
      <c r="A97" s="26" t="s">
        <v>81</v>
      </c>
      <c r="B97" s="85">
        <v>0.7874</v>
      </c>
      <c r="C97" s="37">
        <v>31</v>
      </c>
      <c r="D97" s="28" t="s">
        <v>41</v>
      </c>
      <c r="E97" s="24" t="s">
        <v>42</v>
      </c>
      <c r="F97" s="45" t="s">
        <v>49</v>
      </c>
      <c r="G97" s="85">
        <v>12.563</v>
      </c>
      <c r="H97" s="26">
        <f t="shared" si="15"/>
        <v>150.756</v>
      </c>
      <c r="I97" s="45">
        <f t="shared" si="16"/>
        <v>167.46479</v>
      </c>
      <c r="J97" s="26">
        <f t="shared" si="17"/>
        <v>175.882</v>
      </c>
      <c r="K97" s="45">
        <f t="shared" si="18"/>
        <v>155.2736548</v>
      </c>
      <c r="L97" s="45">
        <f t="shared" si="19"/>
        <v>120.6048</v>
      </c>
      <c r="M97" s="45">
        <f t="shared" si="20"/>
        <v>180.9072</v>
      </c>
      <c r="N97" s="45">
        <f t="shared" si="21"/>
        <v>133.92158</v>
      </c>
      <c r="O97" s="45">
        <f t="shared" si="22"/>
        <v>201.008</v>
      </c>
      <c r="P97" s="45">
        <f t="shared" si="23"/>
        <v>140.7056</v>
      </c>
      <c r="Q97" s="45">
        <f t="shared" si="24"/>
        <v>211.0584</v>
      </c>
      <c r="R97" s="45">
        <f t="shared" si="25"/>
        <v>111.55944</v>
      </c>
      <c r="S97" s="111">
        <f t="shared" si="26"/>
        <v>139.82619</v>
      </c>
      <c r="T97" s="111">
        <f t="shared" si="27"/>
        <v>100.504</v>
      </c>
      <c r="U97" s="140"/>
    </row>
    <row r="98" spans="1:21">
      <c r="A98" s="26" t="s">
        <v>81</v>
      </c>
      <c r="B98" s="85">
        <v>0.7874</v>
      </c>
      <c r="C98" s="37">
        <v>31</v>
      </c>
      <c r="D98" s="28" t="s">
        <v>44</v>
      </c>
      <c r="E98" s="24" t="s">
        <v>42</v>
      </c>
      <c r="F98" s="45" t="s">
        <v>49</v>
      </c>
      <c r="G98" s="85">
        <v>9.947</v>
      </c>
      <c r="H98" s="26">
        <f t="shared" si="15"/>
        <v>119.364</v>
      </c>
      <c r="I98" s="45">
        <f t="shared" si="16"/>
        <v>132.59351</v>
      </c>
      <c r="J98" s="26">
        <f t="shared" si="17"/>
        <v>139.258</v>
      </c>
      <c r="K98" s="45">
        <f t="shared" si="18"/>
        <v>122.9409412</v>
      </c>
      <c r="L98" s="45">
        <f t="shared" si="19"/>
        <v>95.4912</v>
      </c>
      <c r="M98" s="45">
        <f t="shared" si="20"/>
        <v>143.2368</v>
      </c>
      <c r="N98" s="45">
        <f t="shared" si="21"/>
        <v>106.03502</v>
      </c>
      <c r="O98" s="45">
        <f t="shared" si="22"/>
        <v>159.152</v>
      </c>
      <c r="P98" s="45">
        <f t="shared" si="23"/>
        <v>111.4064</v>
      </c>
      <c r="Q98" s="45">
        <f t="shared" si="24"/>
        <v>167.1096</v>
      </c>
      <c r="R98" s="45">
        <f t="shared" si="25"/>
        <v>88.32936</v>
      </c>
      <c r="S98" s="111">
        <f t="shared" si="26"/>
        <v>110.71011</v>
      </c>
      <c r="T98" s="111">
        <f t="shared" si="27"/>
        <v>79.576</v>
      </c>
      <c r="U98" s="140"/>
    </row>
    <row r="99" spans="1:21">
      <c r="A99" s="26" t="s">
        <v>81</v>
      </c>
      <c r="B99" s="85">
        <v>0.9144</v>
      </c>
      <c r="C99" s="37">
        <v>36</v>
      </c>
      <c r="D99" s="28" t="s">
        <v>41</v>
      </c>
      <c r="E99" s="24" t="s">
        <v>42</v>
      </c>
      <c r="F99" s="118" t="s">
        <v>50</v>
      </c>
      <c r="G99" s="85">
        <v>13.017</v>
      </c>
      <c r="H99" s="26">
        <f t="shared" si="15"/>
        <v>156.204</v>
      </c>
      <c r="I99" s="45">
        <f t="shared" si="16"/>
        <v>173.51661</v>
      </c>
      <c r="J99" s="26">
        <f t="shared" si="17"/>
        <v>182.238</v>
      </c>
      <c r="K99" s="45">
        <f t="shared" si="18"/>
        <v>160.8849132</v>
      </c>
      <c r="L99" s="45">
        <f t="shared" si="19"/>
        <v>124.9632</v>
      </c>
      <c r="M99" s="45">
        <f t="shared" si="20"/>
        <v>187.4448</v>
      </c>
      <c r="N99" s="45">
        <f t="shared" si="21"/>
        <v>138.76122</v>
      </c>
      <c r="O99" s="45">
        <f t="shared" si="22"/>
        <v>208.272</v>
      </c>
      <c r="P99" s="45">
        <f t="shared" si="23"/>
        <v>145.7904</v>
      </c>
      <c r="Q99" s="45">
        <f t="shared" si="24"/>
        <v>218.6856</v>
      </c>
      <c r="R99" s="45">
        <f t="shared" si="25"/>
        <v>115.59096</v>
      </c>
      <c r="S99" s="111">
        <f t="shared" si="26"/>
        <v>144.87921</v>
      </c>
      <c r="T99" s="111">
        <f t="shared" si="27"/>
        <v>104.136</v>
      </c>
      <c r="U99" s="140"/>
    </row>
    <row r="100" spans="1:21">
      <c r="A100" s="26" t="s">
        <v>81</v>
      </c>
      <c r="B100" s="85">
        <v>0.9144</v>
      </c>
      <c r="C100" s="37">
        <v>36</v>
      </c>
      <c r="D100" s="28" t="s">
        <v>38</v>
      </c>
      <c r="E100" s="24" t="s">
        <v>42</v>
      </c>
      <c r="F100" s="45" t="s">
        <v>49</v>
      </c>
      <c r="G100" s="85">
        <v>21.058</v>
      </c>
      <c r="H100" s="26">
        <f t="shared" si="15"/>
        <v>252.696</v>
      </c>
      <c r="I100" s="45">
        <f t="shared" si="16"/>
        <v>280.70314</v>
      </c>
      <c r="J100" s="26">
        <f t="shared" si="17"/>
        <v>294.812</v>
      </c>
      <c r="K100" s="45">
        <f t="shared" si="18"/>
        <v>260.2684568</v>
      </c>
      <c r="L100" s="45">
        <f t="shared" si="19"/>
        <v>202.1568</v>
      </c>
      <c r="M100" s="45">
        <f t="shared" si="20"/>
        <v>303.2352</v>
      </c>
      <c r="N100" s="45">
        <f t="shared" si="21"/>
        <v>224.47828</v>
      </c>
      <c r="O100" s="45">
        <f t="shared" si="22"/>
        <v>336.928</v>
      </c>
      <c r="P100" s="45">
        <f t="shared" si="23"/>
        <v>235.8496</v>
      </c>
      <c r="Q100" s="45">
        <f t="shared" si="24"/>
        <v>353.7744</v>
      </c>
      <c r="R100" s="45">
        <f t="shared" si="25"/>
        <v>186.99504</v>
      </c>
      <c r="S100" s="111">
        <f t="shared" si="26"/>
        <v>234.37554</v>
      </c>
      <c r="T100" s="111">
        <f t="shared" si="27"/>
        <v>168.464</v>
      </c>
      <c r="U100" s="140"/>
    </row>
    <row r="101" spans="1:21">
      <c r="A101" s="26" t="s">
        <v>81</v>
      </c>
      <c r="B101" s="85">
        <v>0.9144</v>
      </c>
      <c r="C101" s="37">
        <v>36</v>
      </c>
      <c r="D101" s="28" t="s">
        <v>44</v>
      </c>
      <c r="E101" s="24" t="s">
        <v>42</v>
      </c>
      <c r="F101" s="118" t="s">
        <v>50</v>
      </c>
      <c r="G101" s="85">
        <v>10.398</v>
      </c>
      <c r="H101" s="26">
        <f t="shared" ref="H101:H106" si="28">G101*12</f>
        <v>124.776</v>
      </c>
      <c r="I101" s="45">
        <f t="shared" ref="I101:I106" si="29">G101*13.33</f>
        <v>138.60534</v>
      </c>
      <c r="J101" s="26">
        <f t="shared" ref="J101:J106" si="30">G101*14</f>
        <v>145.572</v>
      </c>
      <c r="K101" s="45">
        <f t="shared" ref="K101:K106" si="31">G101*11.66*1.06</f>
        <v>128.5151208</v>
      </c>
      <c r="L101" s="45">
        <f t="shared" ref="L101:L106" si="32">G101*9.6</f>
        <v>99.8208</v>
      </c>
      <c r="M101" s="45">
        <f t="shared" ref="M101:M106" si="33">G101*14.4</f>
        <v>149.7312</v>
      </c>
      <c r="N101" s="45">
        <f t="shared" ref="N101:N106" si="34">G101*10.66</f>
        <v>110.84268</v>
      </c>
      <c r="O101" s="45">
        <f t="shared" ref="O101:O106" si="35">G101*16</f>
        <v>166.368</v>
      </c>
      <c r="P101" s="45">
        <f t="shared" ref="P101:P106" si="36">G101*11.2</f>
        <v>116.4576</v>
      </c>
      <c r="Q101" s="45">
        <f t="shared" ref="Q101:Q106" si="37">G101*16.8</f>
        <v>174.6864</v>
      </c>
      <c r="R101" s="45">
        <f t="shared" ref="R101:R106" si="38">G101*8.88</f>
        <v>92.33424</v>
      </c>
      <c r="S101" s="111">
        <f t="shared" ref="S101:S106" si="39">G101*10.5*1.06</f>
        <v>115.72974</v>
      </c>
      <c r="T101" s="111">
        <f t="shared" si="27"/>
        <v>83.184</v>
      </c>
      <c r="U101" s="140"/>
    </row>
    <row r="102" spans="1:21">
      <c r="A102" s="26" t="s">
        <v>81</v>
      </c>
      <c r="B102" s="85">
        <v>0.9906</v>
      </c>
      <c r="C102" s="37">
        <v>39</v>
      </c>
      <c r="D102" s="28" t="s">
        <v>38</v>
      </c>
      <c r="E102" s="24" t="s">
        <v>42</v>
      </c>
      <c r="F102" s="45" t="s">
        <v>51</v>
      </c>
      <c r="G102" s="85">
        <v>21.058</v>
      </c>
      <c r="H102" s="26">
        <f t="shared" si="28"/>
        <v>252.696</v>
      </c>
      <c r="I102" s="45">
        <f t="shared" si="29"/>
        <v>280.70314</v>
      </c>
      <c r="J102" s="26">
        <f t="shared" si="30"/>
        <v>294.812</v>
      </c>
      <c r="K102" s="45">
        <f t="shared" si="31"/>
        <v>260.2684568</v>
      </c>
      <c r="L102" s="45">
        <f t="shared" si="32"/>
        <v>202.1568</v>
      </c>
      <c r="M102" s="45">
        <f t="shared" si="33"/>
        <v>303.2352</v>
      </c>
      <c r="N102" s="45">
        <f t="shared" si="34"/>
        <v>224.47828</v>
      </c>
      <c r="O102" s="45">
        <f t="shared" si="35"/>
        <v>336.928</v>
      </c>
      <c r="P102" s="45">
        <f t="shared" si="36"/>
        <v>235.8496</v>
      </c>
      <c r="Q102" s="45">
        <f t="shared" si="37"/>
        <v>353.7744</v>
      </c>
      <c r="R102" s="45">
        <f t="shared" si="38"/>
        <v>186.99504</v>
      </c>
      <c r="S102" s="111">
        <f t="shared" si="39"/>
        <v>234.37554</v>
      </c>
      <c r="T102" s="111">
        <f t="shared" si="27"/>
        <v>168.464</v>
      </c>
      <c r="U102" s="140"/>
    </row>
    <row r="103" spans="1:21">
      <c r="A103" s="26" t="s">
        <v>81</v>
      </c>
      <c r="B103" s="85">
        <v>0.9906</v>
      </c>
      <c r="C103" s="37">
        <v>39</v>
      </c>
      <c r="D103" s="28" t="s">
        <v>41</v>
      </c>
      <c r="E103" s="24" t="s">
        <v>42</v>
      </c>
      <c r="F103" s="45" t="s">
        <v>51</v>
      </c>
      <c r="G103" s="85">
        <v>13.198</v>
      </c>
      <c r="H103" s="26">
        <f t="shared" si="28"/>
        <v>158.376</v>
      </c>
      <c r="I103" s="45">
        <f t="shared" si="29"/>
        <v>175.92934</v>
      </c>
      <c r="J103" s="26">
        <f t="shared" si="30"/>
        <v>184.772</v>
      </c>
      <c r="K103" s="45">
        <f t="shared" si="31"/>
        <v>163.1220008</v>
      </c>
      <c r="L103" s="45">
        <f t="shared" si="32"/>
        <v>126.7008</v>
      </c>
      <c r="M103" s="45">
        <f t="shared" si="33"/>
        <v>190.0512</v>
      </c>
      <c r="N103" s="45">
        <f t="shared" si="34"/>
        <v>140.69068</v>
      </c>
      <c r="O103" s="45">
        <f t="shared" si="35"/>
        <v>211.168</v>
      </c>
      <c r="P103" s="45">
        <f t="shared" si="36"/>
        <v>147.8176</v>
      </c>
      <c r="Q103" s="45">
        <f t="shared" si="37"/>
        <v>221.7264</v>
      </c>
      <c r="R103" s="45">
        <f t="shared" si="38"/>
        <v>117.19824</v>
      </c>
      <c r="S103" s="111">
        <f t="shared" si="39"/>
        <v>146.89374</v>
      </c>
      <c r="T103" s="111">
        <f t="shared" si="27"/>
        <v>105.584</v>
      </c>
      <c r="U103" s="140"/>
    </row>
    <row r="104" spans="1:21">
      <c r="A104" s="26" t="s">
        <v>81</v>
      </c>
      <c r="B104" s="85">
        <v>0.9906</v>
      </c>
      <c r="C104" s="37">
        <v>39</v>
      </c>
      <c r="D104" s="28" t="s">
        <v>44</v>
      </c>
      <c r="E104" s="24" t="s">
        <v>42</v>
      </c>
      <c r="F104" s="45" t="s">
        <v>51</v>
      </c>
      <c r="G104" s="85">
        <v>10.58</v>
      </c>
      <c r="H104" s="26">
        <f t="shared" si="28"/>
        <v>126.96</v>
      </c>
      <c r="I104" s="45">
        <f t="shared" si="29"/>
        <v>141.0314</v>
      </c>
      <c r="J104" s="26">
        <f t="shared" si="30"/>
        <v>148.12</v>
      </c>
      <c r="K104" s="45">
        <f t="shared" si="31"/>
        <v>130.764568</v>
      </c>
      <c r="L104" s="45">
        <f t="shared" si="32"/>
        <v>101.568</v>
      </c>
      <c r="M104" s="45">
        <f t="shared" si="33"/>
        <v>152.352</v>
      </c>
      <c r="N104" s="45">
        <f t="shared" si="34"/>
        <v>112.7828</v>
      </c>
      <c r="O104" s="45">
        <f t="shared" si="35"/>
        <v>169.28</v>
      </c>
      <c r="P104" s="45">
        <f t="shared" si="36"/>
        <v>118.496</v>
      </c>
      <c r="Q104" s="45">
        <f t="shared" si="37"/>
        <v>177.744</v>
      </c>
      <c r="R104" s="45">
        <f t="shared" si="38"/>
        <v>93.9504</v>
      </c>
      <c r="S104" s="111">
        <f t="shared" si="39"/>
        <v>117.7554</v>
      </c>
      <c r="T104" s="111">
        <f t="shared" si="27"/>
        <v>84.64</v>
      </c>
      <c r="U104" s="140"/>
    </row>
    <row r="105" spans="1:21">
      <c r="A105" s="26" t="s">
        <v>81</v>
      </c>
      <c r="B105" s="85">
        <v>1.0668</v>
      </c>
      <c r="C105" s="37">
        <v>42</v>
      </c>
      <c r="D105" s="28" t="s">
        <v>41</v>
      </c>
      <c r="E105" s="24" t="s">
        <v>42</v>
      </c>
      <c r="F105" s="45" t="s">
        <v>52</v>
      </c>
      <c r="G105" s="85">
        <v>13.792</v>
      </c>
      <c r="H105" s="26">
        <f t="shared" si="28"/>
        <v>165.504</v>
      </c>
      <c r="I105" s="45">
        <f t="shared" si="29"/>
        <v>183.84736</v>
      </c>
      <c r="J105" s="26">
        <f t="shared" si="30"/>
        <v>193.088</v>
      </c>
      <c r="K105" s="45">
        <f t="shared" si="31"/>
        <v>170.4636032</v>
      </c>
      <c r="L105" s="45">
        <f t="shared" si="32"/>
        <v>132.4032</v>
      </c>
      <c r="M105" s="45">
        <f t="shared" si="33"/>
        <v>198.6048</v>
      </c>
      <c r="N105" s="45">
        <f t="shared" si="34"/>
        <v>147.02272</v>
      </c>
      <c r="O105" s="45">
        <f t="shared" si="35"/>
        <v>220.672</v>
      </c>
      <c r="P105" s="45">
        <f t="shared" si="36"/>
        <v>154.4704</v>
      </c>
      <c r="Q105" s="45">
        <f t="shared" si="37"/>
        <v>231.7056</v>
      </c>
      <c r="R105" s="45">
        <f t="shared" si="38"/>
        <v>122.47296</v>
      </c>
      <c r="S105" s="111">
        <f t="shared" si="39"/>
        <v>153.50496</v>
      </c>
      <c r="T105" s="111">
        <f t="shared" si="27"/>
        <v>110.336</v>
      </c>
      <c r="U105" s="140"/>
    </row>
    <row r="106" spans="1:21">
      <c r="A106" s="26" t="s">
        <v>81</v>
      </c>
      <c r="B106" s="85">
        <v>1.0668</v>
      </c>
      <c r="C106" s="37">
        <v>42</v>
      </c>
      <c r="D106" s="28" t="s">
        <v>38</v>
      </c>
      <c r="E106" s="24" t="s">
        <v>42</v>
      </c>
      <c r="F106" s="45" t="s">
        <v>51</v>
      </c>
      <c r="G106" s="85">
        <v>22.151</v>
      </c>
      <c r="H106" s="26">
        <f t="shared" si="28"/>
        <v>265.812</v>
      </c>
      <c r="I106" s="45">
        <f t="shared" si="29"/>
        <v>295.27283</v>
      </c>
      <c r="J106" s="26">
        <f t="shared" si="30"/>
        <v>310.114</v>
      </c>
      <c r="K106" s="45">
        <f t="shared" si="31"/>
        <v>273.7774996</v>
      </c>
      <c r="L106" s="45">
        <f t="shared" si="32"/>
        <v>212.6496</v>
      </c>
      <c r="M106" s="45">
        <f t="shared" si="33"/>
        <v>318.9744</v>
      </c>
      <c r="N106" s="45">
        <f t="shared" si="34"/>
        <v>236.12966</v>
      </c>
      <c r="O106" s="45">
        <f t="shared" si="35"/>
        <v>354.416</v>
      </c>
      <c r="P106" s="45">
        <f t="shared" si="36"/>
        <v>248.0912</v>
      </c>
      <c r="Q106" s="45">
        <f t="shared" si="37"/>
        <v>372.1368</v>
      </c>
      <c r="R106" s="45">
        <f t="shared" si="38"/>
        <v>196.70088</v>
      </c>
      <c r="S106" s="111">
        <f t="shared" si="39"/>
        <v>246.54063</v>
      </c>
      <c r="T106" s="111">
        <f t="shared" si="27"/>
        <v>177.208</v>
      </c>
      <c r="U106" s="140"/>
    </row>
    <row r="107" spans="1:21">
      <c r="A107" s="26" t="s">
        <v>81</v>
      </c>
      <c r="B107" s="85">
        <v>1.0922</v>
      </c>
      <c r="C107" s="37">
        <v>43</v>
      </c>
      <c r="D107" s="28" t="s">
        <v>41</v>
      </c>
      <c r="E107" s="24" t="s">
        <v>42</v>
      </c>
      <c r="F107" s="45" t="s">
        <v>52</v>
      </c>
      <c r="G107" s="85">
        <v>13.921</v>
      </c>
      <c r="H107" s="26">
        <f t="shared" ref="H107:H139" si="40">G107*12</f>
        <v>167.052</v>
      </c>
      <c r="I107" s="45">
        <f t="shared" ref="I107:I139" si="41">G107*13.33</f>
        <v>185.56693</v>
      </c>
      <c r="J107" s="26">
        <f t="shared" ref="J107:J139" si="42">G107*14</f>
        <v>194.894</v>
      </c>
      <c r="K107" s="45">
        <f t="shared" ref="K107:K139" si="43">G107*11.66*1.06</f>
        <v>172.0579916</v>
      </c>
      <c r="L107" s="45">
        <f t="shared" ref="L107:L139" si="44">G107*9.6</f>
        <v>133.6416</v>
      </c>
      <c r="M107" s="45">
        <f t="shared" ref="M107:M139" si="45">G107*14.4</f>
        <v>200.4624</v>
      </c>
      <c r="N107" s="45">
        <f t="shared" ref="N107:N139" si="46">G107*10.66</f>
        <v>148.39786</v>
      </c>
      <c r="O107" s="45">
        <f t="shared" ref="O107:O139" si="47">G107*16</f>
        <v>222.736</v>
      </c>
      <c r="P107" s="45">
        <f t="shared" ref="P107:P139" si="48">G107*11.2</f>
        <v>155.9152</v>
      </c>
      <c r="Q107" s="45">
        <f t="shared" ref="Q107:Q139" si="49">G107*16.8</f>
        <v>233.8728</v>
      </c>
      <c r="R107" s="45">
        <f t="shared" ref="R107:R139" si="50">G107*8.88</f>
        <v>123.61848</v>
      </c>
      <c r="S107" s="111">
        <f t="shared" ref="S107:S139" si="51">G107*10.5*1.06</f>
        <v>154.94073</v>
      </c>
      <c r="T107" s="111">
        <f t="shared" si="27"/>
        <v>111.368</v>
      </c>
      <c r="U107" s="140"/>
    </row>
    <row r="108" spans="1:21">
      <c r="A108" s="26" t="s">
        <v>81</v>
      </c>
      <c r="B108" s="85">
        <v>1.0922</v>
      </c>
      <c r="C108" s="37">
        <v>43</v>
      </c>
      <c r="D108" s="28" t="s">
        <v>38</v>
      </c>
      <c r="E108" s="24" t="s">
        <v>42</v>
      </c>
      <c r="F108" s="45" t="s">
        <v>51</v>
      </c>
      <c r="G108" s="85">
        <v>21.756</v>
      </c>
      <c r="H108" s="26">
        <f t="shared" si="40"/>
        <v>261.072</v>
      </c>
      <c r="I108" s="45">
        <f t="shared" si="41"/>
        <v>290.00748</v>
      </c>
      <c r="J108" s="26">
        <f t="shared" si="42"/>
        <v>304.584</v>
      </c>
      <c r="K108" s="45">
        <f t="shared" si="43"/>
        <v>268.8954576</v>
      </c>
      <c r="L108" s="45">
        <f t="shared" si="44"/>
        <v>208.8576</v>
      </c>
      <c r="M108" s="45">
        <f t="shared" si="45"/>
        <v>313.2864</v>
      </c>
      <c r="N108" s="45">
        <f t="shared" si="46"/>
        <v>231.91896</v>
      </c>
      <c r="O108" s="45">
        <f t="shared" si="47"/>
        <v>348.096</v>
      </c>
      <c r="P108" s="45">
        <f t="shared" si="48"/>
        <v>243.6672</v>
      </c>
      <c r="Q108" s="45">
        <f t="shared" si="49"/>
        <v>365.5008</v>
      </c>
      <c r="R108" s="45">
        <f t="shared" si="50"/>
        <v>193.19328</v>
      </c>
      <c r="S108" s="111">
        <f t="shared" si="51"/>
        <v>242.14428</v>
      </c>
      <c r="T108" s="111">
        <f t="shared" si="27"/>
        <v>174.048</v>
      </c>
      <c r="U108" s="140"/>
    </row>
    <row r="109" spans="1:21">
      <c r="A109" s="26" t="s">
        <v>81</v>
      </c>
      <c r="B109" s="85">
        <v>1.0922</v>
      </c>
      <c r="C109" s="37">
        <v>43</v>
      </c>
      <c r="D109" s="28" t="s">
        <v>44</v>
      </c>
      <c r="E109" s="24" t="s">
        <v>42</v>
      </c>
      <c r="F109" s="45" t="s">
        <v>52</v>
      </c>
      <c r="G109" s="85">
        <v>11.199</v>
      </c>
      <c r="H109" s="26">
        <f t="shared" si="40"/>
        <v>134.388</v>
      </c>
      <c r="I109" s="45">
        <f t="shared" si="41"/>
        <v>149.28267</v>
      </c>
      <c r="J109" s="26">
        <f t="shared" si="42"/>
        <v>156.786</v>
      </c>
      <c r="K109" s="45">
        <f t="shared" si="43"/>
        <v>138.4151604</v>
      </c>
      <c r="L109" s="45">
        <f t="shared" si="44"/>
        <v>107.5104</v>
      </c>
      <c r="M109" s="45">
        <f t="shared" si="45"/>
        <v>161.2656</v>
      </c>
      <c r="N109" s="45">
        <f t="shared" si="46"/>
        <v>119.38134</v>
      </c>
      <c r="O109" s="45">
        <f t="shared" si="47"/>
        <v>179.184</v>
      </c>
      <c r="P109" s="45">
        <f t="shared" si="48"/>
        <v>125.4288</v>
      </c>
      <c r="Q109" s="45">
        <f t="shared" si="49"/>
        <v>188.1432</v>
      </c>
      <c r="R109" s="45">
        <f t="shared" si="50"/>
        <v>99.44712</v>
      </c>
      <c r="S109" s="111">
        <f t="shared" si="51"/>
        <v>124.64487</v>
      </c>
      <c r="T109" s="111">
        <f t="shared" si="27"/>
        <v>89.592</v>
      </c>
      <c r="U109" s="140"/>
    </row>
    <row r="110" spans="1:21">
      <c r="A110" s="26" t="s">
        <v>81</v>
      </c>
      <c r="B110" s="85">
        <v>1.1176</v>
      </c>
      <c r="C110" s="37">
        <v>44</v>
      </c>
      <c r="D110" s="28" t="s">
        <v>38</v>
      </c>
      <c r="E110" s="24" t="s">
        <v>42</v>
      </c>
      <c r="F110" s="45" t="s">
        <v>51</v>
      </c>
      <c r="G110" s="85">
        <v>21.555</v>
      </c>
      <c r="H110" s="26">
        <f t="shared" si="40"/>
        <v>258.66</v>
      </c>
      <c r="I110" s="45">
        <f t="shared" si="41"/>
        <v>287.32815</v>
      </c>
      <c r="J110" s="26">
        <f t="shared" si="42"/>
        <v>301.77</v>
      </c>
      <c r="K110" s="45">
        <f t="shared" si="43"/>
        <v>266.411178</v>
      </c>
      <c r="L110" s="45">
        <f t="shared" si="44"/>
        <v>206.928</v>
      </c>
      <c r="M110" s="45">
        <f t="shared" si="45"/>
        <v>310.392</v>
      </c>
      <c r="N110" s="45">
        <f t="shared" si="46"/>
        <v>229.7763</v>
      </c>
      <c r="O110" s="45">
        <f t="shared" si="47"/>
        <v>344.88</v>
      </c>
      <c r="P110" s="45">
        <f t="shared" si="48"/>
        <v>241.416</v>
      </c>
      <c r="Q110" s="45">
        <f t="shared" si="49"/>
        <v>362.124</v>
      </c>
      <c r="R110" s="45">
        <f t="shared" si="50"/>
        <v>191.4084</v>
      </c>
      <c r="S110" s="111">
        <f t="shared" si="51"/>
        <v>239.90715</v>
      </c>
      <c r="T110" s="111">
        <f t="shared" si="27"/>
        <v>172.44</v>
      </c>
      <c r="U110" s="140"/>
    </row>
    <row r="111" spans="1:21">
      <c r="A111" s="26" t="s">
        <v>81</v>
      </c>
      <c r="B111" s="85">
        <v>1.1176</v>
      </c>
      <c r="C111" s="37">
        <v>44</v>
      </c>
      <c r="D111" s="28" t="s">
        <v>41</v>
      </c>
      <c r="E111" s="24" t="s">
        <v>42</v>
      </c>
      <c r="F111" s="45" t="s">
        <v>52</v>
      </c>
      <c r="G111" s="85">
        <v>13.792</v>
      </c>
      <c r="H111" s="26">
        <f t="shared" si="40"/>
        <v>165.504</v>
      </c>
      <c r="I111" s="45">
        <f t="shared" si="41"/>
        <v>183.84736</v>
      </c>
      <c r="J111" s="26">
        <f t="shared" si="42"/>
        <v>193.088</v>
      </c>
      <c r="K111" s="45">
        <f t="shared" si="43"/>
        <v>170.4636032</v>
      </c>
      <c r="L111" s="45">
        <f t="shared" si="44"/>
        <v>132.4032</v>
      </c>
      <c r="M111" s="45">
        <f t="shared" si="45"/>
        <v>198.6048</v>
      </c>
      <c r="N111" s="45">
        <f t="shared" si="46"/>
        <v>147.02272</v>
      </c>
      <c r="O111" s="45">
        <f t="shared" si="47"/>
        <v>220.672</v>
      </c>
      <c r="P111" s="45">
        <f t="shared" si="48"/>
        <v>154.4704</v>
      </c>
      <c r="Q111" s="45">
        <f t="shared" si="49"/>
        <v>231.7056</v>
      </c>
      <c r="R111" s="45">
        <f t="shared" si="50"/>
        <v>122.47296</v>
      </c>
      <c r="S111" s="111">
        <f t="shared" si="51"/>
        <v>153.50496</v>
      </c>
      <c r="T111" s="111">
        <f t="shared" si="27"/>
        <v>110.336</v>
      </c>
      <c r="U111" s="140"/>
    </row>
    <row r="112" spans="1:21">
      <c r="A112" s="26" t="s">
        <v>81</v>
      </c>
      <c r="B112" s="85">
        <v>1.1176</v>
      </c>
      <c r="C112" s="37">
        <v>44</v>
      </c>
      <c r="D112" s="28" t="s">
        <v>44</v>
      </c>
      <c r="E112" s="24" t="s">
        <v>42</v>
      </c>
      <c r="F112" s="45" t="s">
        <v>52</v>
      </c>
      <c r="G112" s="85">
        <v>11.303</v>
      </c>
      <c r="H112" s="26">
        <f t="shared" si="40"/>
        <v>135.636</v>
      </c>
      <c r="I112" s="45">
        <f t="shared" si="41"/>
        <v>150.66899</v>
      </c>
      <c r="J112" s="26">
        <f t="shared" si="42"/>
        <v>158.242</v>
      </c>
      <c r="K112" s="45">
        <f t="shared" si="43"/>
        <v>139.7005588</v>
      </c>
      <c r="L112" s="45">
        <f t="shared" si="44"/>
        <v>108.5088</v>
      </c>
      <c r="M112" s="45">
        <f t="shared" si="45"/>
        <v>162.7632</v>
      </c>
      <c r="N112" s="45">
        <f t="shared" si="46"/>
        <v>120.48998</v>
      </c>
      <c r="O112" s="45">
        <f t="shared" si="47"/>
        <v>180.848</v>
      </c>
      <c r="P112" s="45">
        <f t="shared" si="48"/>
        <v>126.5936</v>
      </c>
      <c r="Q112" s="45">
        <f t="shared" si="49"/>
        <v>189.8904</v>
      </c>
      <c r="R112" s="45">
        <f t="shared" si="50"/>
        <v>100.37064</v>
      </c>
      <c r="S112" s="111">
        <f t="shared" si="51"/>
        <v>125.80239</v>
      </c>
      <c r="T112" s="111">
        <f t="shared" si="27"/>
        <v>90.424</v>
      </c>
      <c r="U112" s="140"/>
    </row>
    <row r="113" spans="1:21">
      <c r="A113" s="26" t="s">
        <v>81</v>
      </c>
      <c r="B113" s="85">
        <v>1.1938</v>
      </c>
      <c r="C113" s="37">
        <v>47</v>
      </c>
      <c r="D113" s="28" t="s">
        <v>41</v>
      </c>
      <c r="E113" s="24" t="s">
        <v>42</v>
      </c>
      <c r="F113" s="45" t="s">
        <v>52</v>
      </c>
      <c r="G113" s="85">
        <v>14.374</v>
      </c>
      <c r="H113" s="26">
        <f t="shared" si="40"/>
        <v>172.488</v>
      </c>
      <c r="I113" s="45">
        <f t="shared" si="41"/>
        <v>191.60542</v>
      </c>
      <c r="J113" s="26">
        <f t="shared" si="42"/>
        <v>201.236</v>
      </c>
      <c r="K113" s="45">
        <f t="shared" si="43"/>
        <v>177.6568904</v>
      </c>
      <c r="L113" s="45">
        <f t="shared" si="44"/>
        <v>137.9904</v>
      </c>
      <c r="M113" s="45">
        <f t="shared" si="45"/>
        <v>206.9856</v>
      </c>
      <c r="N113" s="45">
        <f t="shared" si="46"/>
        <v>153.22684</v>
      </c>
      <c r="O113" s="45">
        <f t="shared" si="47"/>
        <v>229.984</v>
      </c>
      <c r="P113" s="45">
        <f t="shared" si="48"/>
        <v>160.9888</v>
      </c>
      <c r="Q113" s="45">
        <f t="shared" si="49"/>
        <v>241.4832</v>
      </c>
      <c r="R113" s="45">
        <f t="shared" si="50"/>
        <v>127.64112</v>
      </c>
      <c r="S113" s="111">
        <f t="shared" si="51"/>
        <v>159.98262</v>
      </c>
      <c r="T113" s="111">
        <f t="shared" si="27"/>
        <v>114.992</v>
      </c>
      <c r="U113" s="140"/>
    </row>
    <row r="114" spans="1:21">
      <c r="A114" s="26" t="s">
        <v>81</v>
      </c>
      <c r="B114" s="85">
        <v>1.1938</v>
      </c>
      <c r="C114" s="37">
        <v>47</v>
      </c>
      <c r="D114" s="28" t="s">
        <v>38</v>
      </c>
      <c r="E114" s="24" t="s">
        <v>42</v>
      </c>
      <c r="F114" s="45" t="s">
        <v>52</v>
      </c>
      <c r="G114" s="85">
        <v>22.029</v>
      </c>
      <c r="H114" s="26">
        <f t="shared" si="40"/>
        <v>264.348</v>
      </c>
      <c r="I114" s="45">
        <f t="shared" si="41"/>
        <v>293.64657</v>
      </c>
      <c r="J114" s="26">
        <f t="shared" si="42"/>
        <v>308.406</v>
      </c>
      <c r="K114" s="45">
        <f t="shared" si="43"/>
        <v>272.2696284</v>
      </c>
      <c r="L114" s="45">
        <f t="shared" si="44"/>
        <v>211.4784</v>
      </c>
      <c r="M114" s="45">
        <f t="shared" si="45"/>
        <v>317.2176</v>
      </c>
      <c r="N114" s="45">
        <f t="shared" si="46"/>
        <v>234.82914</v>
      </c>
      <c r="O114" s="45">
        <f t="shared" si="47"/>
        <v>352.464</v>
      </c>
      <c r="P114" s="45">
        <f t="shared" si="48"/>
        <v>246.7248</v>
      </c>
      <c r="Q114" s="45">
        <f t="shared" si="49"/>
        <v>370.0872</v>
      </c>
      <c r="R114" s="45">
        <f t="shared" si="50"/>
        <v>195.61752</v>
      </c>
      <c r="S114" s="111">
        <f t="shared" si="51"/>
        <v>245.18277</v>
      </c>
      <c r="T114" s="111">
        <f t="shared" si="27"/>
        <v>176.232</v>
      </c>
      <c r="U114" s="140"/>
    </row>
    <row r="115" spans="1:21">
      <c r="A115" s="26" t="s">
        <v>81</v>
      </c>
      <c r="B115" s="85">
        <v>1.1938</v>
      </c>
      <c r="C115" s="37">
        <v>47</v>
      </c>
      <c r="D115" s="28" t="s">
        <v>44</v>
      </c>
      <c r="E115" s="24" t="s">
        <v>42</v>
      </c>
      <c r="F115" s="45" t="s">
        <v>52</v>
      </c>
      <c r="G115" s="85">
        <v>11.756</v>
      </c>
      <c r="H115" s="26">
        <f t="shared" si="40"/>
        <v>141.072</v>
      </c>
      <c r="I115" s="45">
        <f t="shared" si="41"/>
        <v>156.70748</v>
      </c>
      <c r="J115" s="26">
        <f t="shared" si="42"/>
        <v>164.584</v>
      </c>
      <c r="K115" s="45">
        <f t="shared" si="43"/>
        <v>145.2994576</v>
      </c>
      <c r="L115" s="45">
        <f t="shared" si="44"/>
        <v>112.8576</v>
      </c>
      <c r="M115" s="45">
        <f t="shared" si="45"/>
        <v>169.2864</v>
      </c>
      <c r="N115" s="45">
        <f t="shared" si="46"/>
        <v>125.31896</v>
      </c>
      <c r="O115" s="45">
        <f t="shared" si="47"/>
        <v>188.096</v>
      </c>
      <c r="P115" s="45">
        <f t="shared" si="48"/>
        <v>131.6672</v>
      </c>
      <c r="Q115" s="45">
        <f t="shared" si="49"/>
        <v>197.5008</v>
      </c>
      <c r="R115" s="45">
        <f t="shared" si="50"/>
        <v>104.39328</v>
      </c>
      <c r="S115" s="111">
        <f t="shared" si="51"/>
        <v>130.84428</v>
      </c>
      <c r="T115" s="111">
        <f t="shared" ref="T115:T139" si="52">H115*2/3</f>
        <v>94.048</v>
      </c>
      <c r="U115" s="140"/>
    </row>
    <row r="116" spans="1:21">
      <c r="A116" s="26" t="s">
        <v>81</v>
      </c>
      <c r="B116" s="85">
        <v>1.2446</v>
      </c>
      <c r="C116" s="37">
        <v>49</v>
      </c>
      <c r="D116" s="28" t="s">
        <v>38</v>
      </c>
      <c r="E116" s="24" t="s">
        <v>42</v>
      </c>
      <c r="F116" s="45" t="s">
        <v>52</v>
      </c>
      <c r="G116" s="85">
        <v>23.59</v>
      </c>
      <c r="H116" s="26">
        <f t="shared" si="40"/>
        <v>283.08</v>
      </c>
      <c r="I116" s="45">
        <f t="shared" si="41"/>
        <v>314.4547</v>
      </c>
      <c r="J116" s="26">
        <f t="shared" si="42"/>
        <v>330.26</v>
      </c>
      <c r="K116" s="45">
        <f t="shared" si="43"/>
        <v>291.562964</v>
      </c>
      <c r="L116" s="45">
        <f t="shared" si="44"/>
        <v>226.464</v>
      </c>
      <c r="M116" s="45">
        <f t="shared" si="45"/>
        <v>339.696</v>
      </c>
      <c r="N116" s="45">
        <f t="shared" si="46"/>
        <v>251.4694</v>
      </c>
      <c r="O116" s="45">
        <f t="shared" si="47"/>
        <v>377.44</v>
      </c>
      <c r="P116" s="45">
        <f t="shared" si="48"/>
        <v>264.208</v>
      </c>
      <c r="Q116" s="45">
        <f t="shared" si="49"/>
        <v>396.312</v>
      </c>
      <c r="R116" s="45">
        <f t="shared" si="50"/>
        <v>209.4792</v>
      </c>
      <c r="S116" s="111">
        <f t="shared" si="51"/>
        <v>262.5567</v>
      </c>
      <c r="T116" s="111">
        <f t="shared" si="52"/>
        <v>188.72</v>
      </c>
      <c r="U116" s="140"/>
    </row>
    <row r="117" spans="1:21">
      <c r="A117" s="26" t="s">
        <v>81</v>
      </c>
      <c r="B117" s="85">
        <v>1.2446</v>
      </c>
      <c r="C117" s="37">
        <v>49</v>
      </c>
      <c r="D117" s="28" t="s">
        <v>41</v>
      </c>
      <c r="E117" s="24" t="s">
        <v>42</v>
      </c>
      <c r="F117" s="45" t="s">
        <v>52</v>
      </c>
      <c r="G117" s="85">
        <v>15.729</v>
      </c>
      <c r="H117" s="26">
        <f t="shared" si="40"/>
        <v>188.748</v>
      </c>
      <c r="I117" s="45">
        <f t="shared" si="41"/>
        <v>209.66757</v>
      </c>
      <c r="J117" s="26">
        <f t="shared" si="42"/>
        <v>220.206</v>
      </c>
      <c r="K117" s="45">
        <f t="shared" si="43"/>
        <v>194.4041484</v>
      </c>
      <c r="L117" s="45">
        <f t="shared" si="44"/>
        <v>150.9984</v>
      </c>
      <c r="M117" s="45">
        <f t="shared" si="45"/>
        <v>226.4976</v>
      </c>
      <c r="N117" s="45">
        <f t="shared" si="46"/>
        <v>167.67114</v>
      </c>
      <c r="O117" s="45">
        <f t="shared" si="47"/>
        <v>251.664</v>
      </c>
      <c r="P117" s="45">
        <f t="shared" si="48"/>
        <v>176.1648</v>
      </c>
      <c r="Q117" s="45">
        <f t="shared" si="49"/>
        <v>264.2472</v>
      </c>
      <c r="R117" s="45">
        <f t="shared" si="50"/>
        <v>139.67352</v>
      </c>
      <c r="S117" s="111">
        <f t="shared" si="51"/>
        <v>175.06377</v>
      </c>
      <c r="T117" s="111">
        <f t="shared" si="52"/>
        <v>125.832</v>
      </c>
      <c r="U117" s="140"/>
    </row>
    <row r="118" spans="1:21">
      <c r="A118" s="26" t="s">
        <v>81</v>
      </c>
      <c r="B118" s="85">
        <v>1.2446</v>
      </c>
      <c r="C118" s="37">
        <v>49</v>
      </c>
      <c r="D118" s="28" t="s">
        <v>44</v>
      </c>
      <c r="E118" s="24" t="s">
        <v>42</v>
      </c>
      <c r="F118" s="45" t="s">
        <v>52</v>
      </c>
      <c r="G118" s="85">
        <v>13.111</v>
      </c>
      <c r="H118" s="26">
        <f t="shared" si="40"/>
        <v>157.332</v>
      </c>
      <c r="I118" s="45">
        <f t="shared" si="41"/>
        <v>174.76963</v>
      </c>
      <c r="J118" s="26">
        <f t="shared" si="42"/>
        <v>183.554</v>
      </c>
      <c r="K118" s="45">
        <f t="shared" si="43"/>
        <v>162.0467156</v>
      </c>
      <c r="L118" s="45">
        <f t="shared" si="44"/>
        <v>125.8656</v>
      </c>
      <c r="M118" s="45">
        <f t="shared" si="45"/>
        <v>188.7984</v>
      </c>
      <c r="N118" s="45">
        <f t="shared" si="46"/>
        <v>139.76326</v>
      </c>
      <c r="O118" s="45">
        <f t="shared" si="47"/>
        <v>209.776</v>
      </c>
      <c r="P118" s="45">
        <f t="shared" si="48"/>
        <v>146.8432</v>
      </c>
      <c r="Q118" s="45">
        <f t="shared" si="49"/>
        <v>220.2648</v>
      </c>
      <c r="R118" s="45">
        <f t="shared" si="50"/>
        <v>116.42568</v>
      </c>
      <c r="S118" s="111">
        <f t="shared" si="51"/>
        <v>145.92543</v>
      </c>
      <c r="T118" s="111">
        <f t="shared" si="52"/>
        <v>104.888</v>
      </c>
      <c r="U118" s="140"/>
    </row>
    <row r="119" spans="1:21">
      <c r="A119" s="26" t="s">
        <v>81</v>
      </c>
      <c r="B119" s="85">
        <v>1.2954</v>
      </c>
      <c r="C119" s="37">
        <v>51</v>
      </c>
      <c r="D119" s="28" t="s">
        <v>41</v>
      </c>
      <c r="E119" s="24" t="s">
        <v>42</v>
      </c>
      <c r="F119" s="45" t="s">
        <v>53</v>
      </c>
      <c r="G119" s="85">
        <v>15.911</v>
      </c>
      <c r="H119" s="26">
        <f t="shared" si="40"/>
        <v>190.932</v>
      </c>
      <c r="I119" s="45">
        <f t="shared" si="41"/>
        <v>212.09363</v>
      </c>
      <c r="J119" s="26">
        <f t="shared" si="42"/>
        <v>222.754</v>
      </c>
      <c r="K119" s="45">
        <f t="shared" si="43"/>
        <v>196.6535956</v>
      </c>
      <c r="L119" s="45">
        <f t="shared" si="44"/>
        <v>152.7456</v>
      </c>
      <c r="M119" s="45">
        <f t="shared" si="45"/>
        <v>229.1184</v>
      </c>
      <c r="N119" s="45">
        <f t="shared" si="46"/>
        <v>169.61126</v>
      </c>
      <c r="O119" s="45">
        <f t="shared" si="47"/>
        <v>254.576</v>
      </c>
      <c r="P119" s="45">
        <f t="shared" si="48"/>
        <v>178.2032</v>
      </c>
      <c r="Q119" s="45">
        <f t="shared" si="49"/>
        <v>267.3048</v>
      </c>
      <c r="R119" s="45">
        <f t="shared" si="50"/>
        <v>141.28968</v>
      </c>
      <c r="S119" s="111">
        <f t="shared" si="51"/>
        <v>177.08943</v>
      </c>
      <c r="T119" s="111">
        <f t="shared" si="52"/>
        <v>127.288</v>
      </c>
      <c r="U119" s="140"/>
    </row>
    <row r="120" spans="1:21">
      <c r="A120" s="26" t="s">
        <v>81</v>
      </c>
      <c r="B120" s="85">
        <v>1.2954</v>
      </c>
      <c r="C120" s="37">
        <v>51</v>
      </c>
      <c r="D120" s="28" t="s">
        <v>38</v>
      </c>
      <c r="E120" s="24" t="s">
        <v>42</v>
      </c>
      <c r="F120" s="45" t="s">
        <v>52</v>
      </c>
      <c r="G120" s="85">
        <v>23.772</v>
      </c>
      <c r="H120" s="26">
        <f t="shared" si="40"/>
        <v>285.264</v>
      </c>
      <c r="I120" s="45">
        <f t="shared" si="41"/>
        <v>316.88076</v>
      </c>
      <c r="J120" s="26">
        <f t="shared" si="42"/>
        <v>332.808</v>
      </c>
      <c r="K120" s="45">
        <f t="shared" si="43"/>
        <v>293.8124112</v>
      </c>
      <c r="L120" s="45">
        <f t="shared" si="44"/>
        <v>228.2112</v>
      </c>
      <c r="M120" s="45">
        <f t="shared" si="45"/>
        <v>342.3168</v>
      </c>
      <c r="N120" s="45">
        <f t="shared" si="46"/>
        <v>253.40952</v>
      </c>
      <c r="O120" s="45">
        <f t="shared" si="47"/>
        <v>380.352</v>
      </c>
      <c r="P120" s="45">
        <f t="shared" si="48"/>
        <v>266.2464</v>
      </c>
      <c r="Q120" s="45">
        <f t="shared" si="49"/>
        <v>399.3696</v>
      </c>
      <c r="R120" s="45">
        <f t="shared" si="50"/>
        <v>211.09536</v>
      </c>
      <c r="S120" s="111">
        <f t="shared" si="51"/>
        <v>264.58236</v>
      </c>
      <c r="T120" s="111">
        <f t="shared" si="52"/>
        <v>190.176</v>
      </c>
      <c r="U120" s="140"/>
    </row>
    <row r="121" spans="1:21">
      <c r="A121" s="26" t="s">
        <v>81</v>
      </c>
      <c r="B121" s="85">
        <v>1.2954</v>
      </c>
      <c r="C121" s="37">
        <v>51</v>
      </c>
      <c r="D121" s="28" t="s">
        <v>44</v>
      </c>
      <c r="E121" s="24" t="s">
        <v>42</v>
      </c>
      <c r="F121" s="45" t="s">
        <v>53</v>
      </c>
      <c r="G121" s="85">
        <v>13.294</v>
      </c>
      <c r="H121" s="26">
        <f t="shared" si="40"/>
        <v>159.528</v>
      </c>
      <c r="I121" s="45">
        <f t="shared" si="41"/>
        <v>177.20902</v>
      </c>
      <c r="J121" s="26">
        <f t="shared" si="42"/>
        <v>186.116</v>
      </c>
      <c r="K121" s="45">
        <f t="shared" si="43"/>
        <v>164.3085224</v>
      </c>
      <c r="L121" s="45">
        <f t="shared" si="44"/>
        <v>127.6224</v>
      </c>
      <c r="M121" s="45">
        <f t="shared" si="45"/>
        <v>191.4336</v>
      </c>
      <c r="N121" s="45">
        <f t="shared" si="46"/>
        <v>141.71404</v>
      </c>
      <c r="O121" s="45">
        <f t="shared" si="47"/>
        <v>212.704</v>
      </c>
      <c r="P121" s="45">
        <f t="shared" si="48"/>
        <v>148.8928</v>
      </c>
      <c r="Q121" s="45">
        <f t="shared" si="49"/>
        <v>223.3392</v>
      </c>
      <c r="R121" s="45">
        <f t="shared" si="50"/>
        <v>118.05072</v>
      </c>
      <c r="S121" s="111">
        <f t="shared" si="51"/>
        <v>147.96222</v>
      </c>
      <c r="T121" s="111">
        <f t="shared" si="52"/>
        <v>106.352</v>
      </c>
      <c r="U121" s="140"/>
    </row>
    <row r="122" spans="1:21">
      <c r="A122" s="26" t="s">
        <v>81</v>
      </c>
      <c r="B122" s="85">
        <v>1.397</v>
      </c>
      <c r="C122" s="37">
        <v>55</v>
      </c>
      <c r="D122" s="28" t="s">
        <v>38</v>
      </c>
      <c r="E122" s="24" t="s">
        <v>42</v>
      </c>
      <c r="F122" s="45" t="s">
        <v>53</v>
      </c>
      <c r="G122" s="85">
        <v>24.224</v>
      </c>
      <c r="H122" s="26">
        <f t="shared" si="40"/>
        <v>290.688</v>
      </c>
      <c r="I122" s="45">
        <f t="shared" si="41"/>
        <v>322.90592</v>
      </c>
      <c r="J122" s="26">
        <f t="shared" si="42"/>
        <v>339.136</v>
      </c>
      <c r="K122" s="45">
        <f t="shared" si="43"/>
        <v>299.3989504</v>
      </c>
      <c r="L122" s="45">
        <f t="shared" si="44"/>
        <v>232.5504</v>
      </c>
      <c r="M122" s="45">
        <f t="shared" si="45"/>
        <v>348.8256</v>
      </c>
      <c r="N122" s="45">
        <f t="shared" si="46"/>
        <v>258.22784</v>
      </c>
      <c r="O122" s="45">
        <f t="shared" si="47"/>
        <v>387.584</v>
      </c>
      <c r="P122" s="45">
        <f t="shared" si="48"/>
        <v>271.3088</v>
      </c>
      <c r="Q122" s="45">
        <f t="shared" si="49"/>
        <v>406.9632</v>
      </c>
      <c r="R122" s="45">
        <f t="shared" si="50"/>
        <v>215.10912</v>
      </c>
      <c r="S122" s="111">
        <f t="shared" si="51"/>
        <v>269.61312</v>
      </c>
      <c r="T122" s="111">
        <f t="shared" si="52"/>
        <v>193.792</v>
      </c>
      <c r="U122" s="140"/>
    </row>
    <row r="123" spans="1:21">
      <c r="A123" s="26" t="s">
        <v>81</v>
      </c>
      <c r="B123" s="85">
        <v>1.397</v>
      </c>
      <c r="C123" s="37">
        <v>55</v>
      </c>
      <c r="D123" s="28" t="s">
        <v>41</v>
      </c>
      <c r="E123" s="24" t="s">
        <v>42</v>
      </c>
      <c r="F123" s="45" t="s">
        <v>53</v>
      </c>
      <c r="G123" s="85">
        <v>16.363</v>
      </c>
      <c r="H123" s="26">
        <f t="shared" si="40"/>
        <v>196.356</v>
      </c>
      <c r="I123" s="45">
        <f t="shared" si="41"/>
        <v>218.11879</v>
      </c>
      <c r="J123" s="26">
        <f t="shared" si="42"/>
        <v>229.082</v>
      </c>
      <c r="K123" s="45">
        <f t="shared" si="43"/>
        <v>202.2401348</v>
      </c>
      <c r="L123" s="45">
        <f t="shared" si="44"/>
        <v>157.0848</v>
      </c>
      <c r="M123" s="45">
        <f t="shared" si="45"/>
        <v>235.6272</v>
      </c>
      <c r="N123" s="45">
        <f t="shared" si="46"/>
        <v>174.42958</v>
      </c>
      <c r="O123" s="45">
        <f t="shared" si="47"/>
        <v>261.808</v>
      </c>
      <c r="P123" s="45">
        <f t="shared" si="48"/>
        <v>183.2656</v>
      </c>
      <c r="Q123" s="45">
        <f t="shared" si="49"/>
        <v>274.8984</v>
      </c>
      <c r="R123" s="45">
        <f t="shared" si="50"/>
        <v>145.30344</v>
      </c>
      <c r="S123" s="111">
        <f t="shared" si="51"/>
        <v>182.12019</v>
      </c>
      <c r="T123" s="111">
        <f t="shared" si="52"/>
        <v>130.904</v>
      </c>
      <c r="U123" s="140"/>
    </row>
    <row r="124" spans="1:21">
      <c r="A124" s="26" t="s">
        <v>81</v>
      </c>
      <c r="B124" s="85">
        <v>1.397</v>
      </c>
      <c r="C124" s="37">
        <v>55</v>
      </c>
      <c r="D124" s="28" t="s">
        <v>44</v>
      </c>
      <c r="E124" s="24" t="s">
        <v>42</v>
      </c>
      <c r="F124" s="45" t="s">
        <v>53</v>
      </c>
      <c r="G124" s="85">
        <v>13.745</v>
      </c>
      <c r="H124" s="26">
        <f t="shared" si="40"/>
        <v>164.94</v>
      </c>
      <c r="I124" s="45">
        <f t="shared" si="41"/>
        <v>183.22085</v>
      </c>
      <c r="J124" s="26">
        <f t="shared" si="42"/>
        <v>192.43</v>
      </c>
      <c r="K124" s="45">
        <f t="shared" si="43"/>
        <v>169.882702</v>
      </c>
      <c r="L124" s="45">
        <f t="shared" si="44"/>
        <v>131.952</v>
      </c>
      <c r="M124" s="45">
        <f t="shared" si="45"/>
        <v>197.928</v>
      </c>
      <c r="N124" s="45">
        <f t="shared" si="46"/>
        <v>146.5217</v>
      </c>
      <c r="O124" s="45">
        <f t="shared" si="47"/>
        <v>219.92</v>
      </c>
      <c r="P124" s="45">
        <f t="shared" si="48"/>
        <v>153.944</v>
      </c>
      <c r="Q124" s="45">
        <f t="shared" si="49"/>
        <v>230.916</v>
      </c>
      <c r="R124" s="45">
        <f t="shared" si="50"/>
        <v>122.0556</v>
      </c>
      <c r="S124" s="111">
        <f t="shared" si="51"/>
        <v>152.98185</v>
      </c>
      <c r="T124" s="111">
        <f t="shared" si="52"/>
        <v>109.96</v>
      </c>
      <c r="U124" s="140"/>
    </row>
    <row r="125" spans="1:21">
      <c r="A125" s="26" t="s">
        <v>81</v>
      </c>
      <c r="B125" s="85">
        <v>1.4986</v>
      </c>
      <c r="C125" s="37">
        <v>59</v>
      </c>
      <c r="D125" s="28" t="s">
        <v>38</v>
      </c>
      <c r="E125" s="24" t="s">
        <v>42</v>
      </c>
      <c r="F125" s="45" t="s">
        <v>53</v>
      </c>
      <c r="G125" s="85">
        <v>24.179</v>
      </c>
      <c r="H125" s="26">
        <f t="shared" si="40"/>
        <v>290.148</v>
      </c>
      <c r="I125" s="45">
        <f t="shared" si="41"/>
        <v>322.30607</v>
      </c>
      <c r="J125" s="26">
        <f t="shared" si="42"/>
        <v>338.506</v>
      </c>
      <c r="K125" s="45">
        <f t="shared" si="43"/>
        <v>298.8427684</v>
      </c>
      <c r="L125" s="45">
        <f t="shared" si="44"/>
        <v>232.1184</v>
      </c>
      <c r="M125" s="45">
        <f t="shared" si="45"/>
        <v>348.1776</v>
      </c>
      <c r="N125" s="45">
        <f t="shared" si="46"/>
        <v>257.74814</v>
      </c>
      <c r="O125" s="45">
        <f t="shared" si="47"/>
        <v>386.864</v>
      </c>
      <c r="P125" s="45">
        <f t="shared" si="48"/>
        <v>270.8048</v>
      </c>
      <c r="Q125" s="45">
        <f t="shared" si="49"/>
        <v>406.2072</v>
      </c>
      <c r="R125" s="45">
        <f t="shared" si="50"/>
        <v>214.70952</v>
      </c>
      <c r="S125" s="111">
        <f t="shared" si="51"/>
        <v>269.11227</v>
      </c>
      <c r="T125" s="111">
        <f t="shared" si="52"/>
        <v>193.432</v>
      </c>
      <c r="U125" s="140"/>
    </row>
    <row r="126" spans="1:21">
      <c r="A126" s="26" t="s">
        <v>81</v>
      </c>
      <c r="B126" s="85">
        <v>1.4986</v>
      </c>
      <c r="C126" s="37">
        <v>59</v>
      </c>
      <c r="D126" s="28" t="s">
        <v>44</v>
      </c>
      <c r="E126" s="24" t="s">
        <v>42</v>
      </c>
      <c r="F126" s="45" t="s">
        <v>54</v>
      </c>
      <c r="G126" s="85">
        <v>13.294</v>
      </c>
      <c r="H126" s="26">
        <f t="shared" si="40"/>
        <v>159.528</v>
      </c>
      <c r="I126" s="45">
        <f t="shared" si="41"/>
        <v>177.20902</v>
      </c>
      <c r="J126" s="26">
        <f t="shared" si="42"/>
        <v>186.116</v>
      </c>
      <c r="K126" s="45">
        <f t="shared" si="43"/>
        <v>164.3085224</v>
      </c>
      <c r="L126" s="45">
        <f t="shared" si="44"/>
        <v>127.6224</v>
      </c>
      <c r="M126" s="45">
        <f t="shared" si="45"/>
        <v>191.4336</v>
      </c>
      <c r="N126" s="45">
        <f t="shared" si="46"/>
        <v>141.71404</v>
      </c>
      <c r="O126" s="45">
        <f t="shared" si="47"/>
        <v>212.704</v>
      </c>
      <c r="P126" s="45">
        <f t="shared" si="48"/>
        <v>148.8928</v>
      </c>
      <c r="Q126" s="45">
        <f t="shared" si="49"/>
        <v>223.3392</v>
      </c>
      <c r="R126" s="45">
        <f t="shared" si="50"/>
        <v>118.05072</v>
      </c>
      <c r="S126" s="111">
        <f t="shared" si="51"/>
        <v>147.96222</v>
      </c>
      <c r="T126" s="111">
        <f t="shared" si="52"/>
        <v>106.352</v>
      </c>
      <c r="U126" s="140"/>
    </row>
    <row r="127" spans="1:21">
      <c r="A127" s="26" t="s">
        <v>81</v>
      </c>
      <c r="B127" s="85">
        <v>1.4986</v>
      </c>
      <c r="C127" s="37">
        <v>59</v>
      </c>
      <c r="D127" s="28" t="s">
        <v>41</v>
      </c>
      <c r="E127" s="24" t="s">
        <v>42</v>
      </c>
      <c r="F127" s="45" t="s">
        <v>54</v>
      </c>
      <c r="G127" s="85">
        <v>15.763</v>
      </c>
      <c r="H127" s="26">
        <f t="shared" si="40"/>
        <v>189.156</v>
      </c>
      <c r="I127" s="45">
        <f t="shared" si="41"/>
        <v>210.12079</v>
      </c>
      <c r="J127" s="26">
        <f t="shared" si="42"/>
        <v>220.682</v>
      </c>
      <c r="K127" s="45">
        <f t="shared" si="43"/>
        <v>194.8243748</v>
      </c>
      <c r="L127" s="45">
        <f t="shared" si="44"/>
        <v>151.3248</v>
      </c>
      <c r="M127" s="45">
        <f t="shared" si="45"/>
        <v>226.9872</v>
      </c>
      <c r="N127" s="45">
        <f t="shared" si="46"/>
        <v>168.03358</v>
      </c>
      <c r="O127" s="45">
        <f t="shared" si="47"/>
        <v>252.208</v>
      </c>
      <c r="P127" s="45">
        <f t="shared" si="48"/>
        <v>176.5456</v>
      </c>
      <c r="Q127" s="45">
        <f t="shared" si="49"/>
        <v>264.8184</v>
      </c>
      <c r="R127" s="45">
        <f t="shared" si="50"/>
        <v>139.97544</v>
      </c>
      <c r="S127" s="111">
        <f t="shared" si="51"/>
        <v>175.44219</v>
      </c>
      <c r="T127" s="111">
        <f t="shared" si="52"/>
        <v>126.104</v>
      </c>
      <c r="U127" s="140"/>
    </row>
    <row r="128" spans="1:21">
      <c r="A128" s="26" t="s">
        <v>81</v>
      </c>
      <c r="B128" s="85">
        <v>1.5748</v>
      </c>
      <c r="C128" s="37">
        <v>62</v>
      </c>
      <c r="D128" s="28" t="s">
        <v>38</v>
      </c>
      <c r="E128" s="24" t="s">
        <v>42</v>
      </c>
      <c r="F128" s="45" t="s">
        <v>54</v>
      </c>
      <c r="G128" s="85">
        <v>24.495</v>
      </c>
      <c r="H128" s="26">
        <f t="shared" si="40"/>
        <v>293.94</v>
      </c>
      <c r="I128" s="45">
        <f t="shared" si="41"/>
        <v>326.51835</v>
      </c>
      <c r="J128" s="26">
        <f t="shared" si="42"/>
        <v>342.93</v>
      </c>
      <c r="K128" s="45">
        <f t="shared" si="43"/>
        <v>302.748402</v>
      </c>
      <c r="L128" s="45">
        <f t="shared" si="44"/>
        <v>235.152</v>
      </c>
      <c r="M128" s="45">
        <f t="shared" si="45"/>
        <v>352.728</v>
      </c>
      <c r="N128" s="45">
        <f t="shared" si="46"/>
        <v>261.1167</v>
      </c>
      <c r="O128" s="45">
        <f t="shared" si="47"/>
        <v>391.92</v>
      </c>
      <c r="P128" s="45">
        <f t="shared" si="48"/>
        <v>274.344</v>
      </c>
      <c r="Q128" s="45">
        <f t="shared" si="49"/>
        <v>411.516</v>
      </c>
      <c r="R128" s="45">
        <f t="shared" si="50"/>
        <v>217.5156</v>
      </c>
      <c r="S128" s="111">
        <f t="shared" si="51"/>
        <v>272.62935</v>
      </c>
      <c r="T128" s="111">
        <f t="shared" si="52"/>
        <v>195.96</v>
      </c>
      <c r="U128" s="140"/>
    </row>
    <row r="129" spans="1:21">
      <c r="A129" s="26" t="s">
        <v>81</v>
      </c>
      <c r="B129" s="85">
        <v>1.5748</v>
      </c>
      <c r="C129" s="37">
        <v>62</v>
      </c>
      <c r="D129" s="28" t="s">
        <v>41</v>
      </c>
      <c r="E129" s="24" t="s">
        <v>42</v>
      </c>
      <c r="F129" s="45" t="s">
        <v>54</v>
      </c>
      <c r="G129" s="85">
        <v>16.481</v>
      </c>
      <c r="H129" s="26">
        <f t="shared" si="40"/>
        <v>197.772</v>
      </c>
      <c r="I129" s="45">
        <f t="shared" si="41"/>
        <v>219.69173</v>
      </c>
      <c r="J129" s="26">
        <f t="shared" si="42"/>
        <v>230.734</v>
      </c>
      <c r="K129" s="45">
        <f t="shared" si="43"/>
        <v>203.6985676</v>
      </c>
      <c r="L129" s="45">
        <f t="shared" si="44"/>
        <v>158.2176</v>
      </c>
      <c r="M129" s="45">
        <f t="shared" si="45"/>
        <v>237.3264</v>
      </c>
      <c r="N129" s="45">
        <f t="shared" si="46"/>
        <v>175.68746</v>
      </c>
      <c r="O129" s="45">
        <f t="shared" si="47"/>
        <v>263.696</v>
      </c>
      <c r="P129" s="45">
        <f t="shared" si="48"/>
        <v>184.5872</v>
      </c>
      <c r="Q129" s="45">
        <f t="shared" si="49"/>
        <v>276.8808</v>
      </c>
      <c r="R129" s="45">
        <f t="shared" si="50"/>
        <v>146.35128</v>
      </c>
      <c r="S129" s="111">
        <f t="shared" si="51"/>
        <v>183.43353</v>
      </c>
      <c r="T129" s="111">
        <f t="shared" si="52"/>
        <v>131.848</v>
      </c>
      <c r="U129" s="140"/>
    </row>
    <row r="130" spans="1:21">
      <c r="A130" s="26" t="s">
        <v>81</v>
      </c>
      <c r="B130" s="85">
        <v>1.5748</v>
      </c>
      <c r="C130" s="37">
        <v>62</v>
      </c>
      <c r="D130" s="28" t="s">
        <v>44</v>
      </c>
      <c r="E130" s="24" t="s">
        <v>42</v>
      </c>
      <c r="F130" s="45" t="s">
        <v>54</v>
      </c>
      <c r="G130" s="85">
        <v>14.016</v>
      </c>
      <c r="H130" s="26">
        <f t="shared" si="40"/>
        <v>168.192</v>
      </c>
      <c r="I130" s="45">
        <f t="shared" si="41"/>
        <v>186.83328</v>
      </c>
      <c r="J130" s="26">
        <f t="shared" si="42"/>
        <v>196.224</v>
      </c>
      <c r="K130" s="45">
        <f t="shared" si="43"/>
        <v>173.2321536</v>
      </c>
      <c r="L130" s="45">
        <f t="shared" si="44"/>
        <v>134.5536</v>
      </c>
      <c r="M130" s="45">
        <f t="shared" si="45"/>
        <v>201.8304</v>
      </c>
      <c r="N130" s="45">
        <f t="shared" si="46"/>
        <v>149.41056</v>
      </c>
      <c r="O130" s="45">
        <f t="shared" si="47"/>
        <v>224.256</v>
      </c>
      <c r="P130" s="45">
        <f t="shared" si="48"/>
        <v>156.9792</v>
      </c>
      <c r="Q130" s="45">
        <f t="shared" si="49"/>
        <v>235.4688</v>
      </c>
      <c r="R130" s="45">
        <f t="shared" si="50"/>
        <v>124.46208</v>
      </c>
      <c r="S130" s="111">
        <f t="shared" si="51"/>
        <v>155.99808</v>
      </c>
      <c r="T130" s="111">
        <f t="shared" si="52"/>
        <v>112.128</v>
      </c>
      <c r="U130" s="140"/>
    </row>
    <row r="131" spans="1:21">
      <c r="A131" s="26" t="s">
        <v>81</v>
      </c>
      <c r="B131" s="85">
        <v>1.6002</v>
      </c>
      <c r="C131" s="37">
        <v>63</v>
      </c>
      <c r="D131" s="28" t="s">
        <v>41</v>
      </c>
      <c r="E131" s="24" t="s">
        <v>42</v>
      </c>
      <c r="F131" s="45" t="s">
        <v>55</v>
      </c>
      <c r="G131" s="85">
        <v>17.276</v>
      </c>
      <c r="H131" s="26">
        <f t="shared" si="40"/>
        <v>207.312</v>
      </c>
      <c r="I131" s="45">
        <f t="shared" si="41"/>
        <v>230.28908</v>
      </c>
      <c r="J131" s="26">
        <f t="shared" si="42"/>
        <v>241.864</v>
      </c>
      <c r="K131" s="45">
        <f t="shared" si="43"/>
        <v>213.5244496</v>
      </c>
      <c r="L131" s="45">
        <f t="shared" si="44"/>
        <v>165.8496</v>
      </c>
      <c r="M131" s="45">
        <f t="shared" si="45"/>
        <v>248.7744</v>
      </c>
      <c r="N131" s="45">
        <f t="shared" si="46"/>
        <v>184.16216</v>
      </c>
      <c r="O131" s="45">
        <f t="shared" si="47"/>
        <v>276.416</v>
      </c>
      <c r="P131" s="45">
        <f t="shared" si="48"/>
        <v>193.4912</v>
      </c>
      <c r="Q131" s="45">
        <f t="shared" si="49"/>
        <v>290.2368</v>
      </c>
      <c r="R131" s="45">
        <f t="shared" si="50"/>
        <v>153.41088</v>
      </c>
      <c r="S131" s="111">
        <f t="shared" si="51"/>
        <v>192.28188</v>
      </c>
      <c r="T131" s="111">
        <f t="shared" si="52"/>
        <v>138.208</v>
      </c>
      <c r="U131" s="140"/>
    </row>
    <row r="132" spans="1:21">
      <c r="A132" s="26" t="s">
        <v>81</v>
      </c>
      <c r="B132" s="85">
        <v>1.6002</v>
      </c>
      <c r="C132" s="37">
        <v>63</v>
      </c>
      <c r="D132" s="28" t="s">
        <v>44</v>
      </c>
      <c r="E132" s="24" t="s">
        <v>42</v>
      </c>
      <c r="F132" s="45" t="s">
        <v>55</v>
      </c>
      <c r="G132" s="85">
        <v>15.226</v>
      </c>
      <c r="H132" s="26">
        <f t="shared" si="40"/>
        <v>182.712</v>
      </c>
      <c r="I132" s="45">
        <f t="shared" si="41"/>
        <v>202.96258</v>
      </c>
      <c r="J132" s="26">
        <f t="shared" si="42"/>
        <v>213.164</v>
      </c>
      <c r="K132" s="45">
        <f t="shared" si="43"/>
        <v>188.1872696</v>
      </c>
      <c r="L132" s="45">
        <f t="shared" si="44"/>
        <v>146.1696</v>
      </c>
      <c r="M132" s="45">
        <f t="shared" si="45"/>
        <v>219.2544</v>
      </c>
      <c r="N132" s="45">
        <f t="shared" si="46"/>
        <v>162.30916</v>
      </c>
      <c r="O132" s="45">
        <f t="shared" si="47"/>
        <v>243.616</v>
      </c>
      <c r="P132" s="45">
        <f t="shared" si="48"/>
        <v>170.5312</v>
      </c>
      <c r="Q132" s="45">
        <f t="shared" si="49"/>
        <v>255.7968</v>
      </c>
      <c r="R132" s="45">
        <f t="shared" si="50"/>
        <v>135.20688</v>
      </c>
      <c r="S132" s="111">
        <f t="shared" si="51"/>
        <v>169.46538</v>
      </c>
      <c r="T132" s="111">
        <f t="shared" si="52"/>
        <v>121.808</v>
      </c>
      <c r="U132" s="140"/>
    </row>
    <row r="133" spans="1:21">
      <c r="A133" s="26" t="s">
        <v>81</v>
      </c>
      <c r="B133" s="85">
        <v>1.778</v>
      </c>
      <c r="C133" s="37">
        <v>70</v>
      </c>
      <c r="D133" s="28" t="s">
        <v>41</v>
      </c>
      <c r="E133" s="24" t="s">
        <v>42</v>
      </c>
      <c r="F133" s="45" t="s">
        <v>55</v>
      </c>
      <c r="G133" s="85">
        <v>18.093</v>
      </c>
      <c r="H133" s="26">
        <f t="shared" si="40"/>
        <v>217.116</v>
      </c>
      <c r="I133" s="45">
        <f t="shared" si="41"/>
        <v>241.17969</v>
      </c>
      <c r="J133" s="26">
        <f t="shared" si="42"/>
        <v>253.302</v>
      </c>
      <c r="K133" s="45">
        <f t="shared" si="43"/>
        <v>223.6222428</v>
      </c>
      <c r="L133" s="45">
        <f t="shared" si="44"/>
        <v>173.6928</v>
      </c>
      <c r="M133" s="45">
        <f t="shared" si="45"/>
        <v>260.5392</v>
      </c>
      <c r="N133" s="45">
        <f t="shared" si="46"/>
        <v>192.87138</v>
      </c>
      <c r="O133" s="45">
        <f t="shared" si="47"/>
        <v>289.488</v>
      </c>
      <c r="P133" s="45">
        <f t="shared" si="48"/>
        <v>202.6416</v>
      </c>
      <c r="Q133" s="45">
        <f t="shared" si="49"/>
        <v>303.9624</v>
      </c>
      <c r="R133" s="45">
        <f t="shared" si="50"/>
        <v>160.66584</v>
      </c>
      <c r="S133" s="111">
        <f t="shared" si="51"/>
        <v>201.37509</v>
      </c>
      <c r="T133" s="111">
        <f t="shared" si="52"/>
        <v>144.744</v>
      </c>
      <c r="U133" s="140"/>
    </row>
    <row r="134" spans="1:21">
      <c r="A134" s="26" t="s">
        <v>81</v>
      </c>
      <c r="B134" s="85">
        <v>1.778</v>
      </c>
      <c r="C134" s="37">
        <v>70</v>
      </c>
      <c r="D134" s="28" t="s">
        <v>38</v>
      </c>
      <c r="E134" s="24" t="s">
        <v>42</v>
      </c>
      <c r="F134" s="45" t="s">
        <v>55</v>
      </c>
      <c r="G134" s="85">
        <v>26.51</v>
      </c>
      <c r="H134" s="26">
        <f t="shared" si="40"/>
        <v>318.12</v>
      </c>
      <c r="I134" s="45">
        <f t="shared" si="41"/>
        <v>353.3783</v>
      </c>
      <c r="J134" s="26">
        <f t="shared" si="42"/>
        <v>371.14</v>
      </c>
      <c r="K134" s="45">
        <f t="shared" si="43"/>
        <v>327.652996</v>
      </c>
      <c r="L134" s="45">
        <f t="shared" si="44"/>
        <v>254.496</v>
      </c>
      <c r="M134" s="45">
        <f t="shared" si="45"/>
        <v>381.744</v>
      </c>
      <c r="N134" s="45">
        <f t="shared" si="46"/>
        <v>282.5966</v>
      </c>
      <c r="O134" s="45">
        <f t="shared" si="47"/>
        <v>424.16</v>
      </c>
      <c r="P134" s="45">
        <f t="shared" si="48"/>
        <v>296.912</v>
      </c>
      <c r="Q134" s="45">
        <f t="shared" si="49"/>
        <v>445.368</v>
      </c>
      <c r="R134" s="45">
        <f t="shared" si="50"/>
        <v>235.4088</v>
      </c>
      <c r="S134" s="111">
        <f t="shared" si="51"/>
        <v>295.0563</v>
      </c>
      <c r="T134" s="111">
        <f t="shared" si="52"/>
        <v>212.08</v>
      </c>
      <c r="U134" s="140"/>
    </row>
    <row r="135" spans="1:21">
      <c r="A135" s="26" t="s">
        <v>81</v>
      </c>
      <c r="B135" s="85">
        <v>1.9812</v>
      </c>
      <c r="C135" s="37">
        <v>78</v>
      </c>
      <c r="D135" s="28" t="s">
        <v>38</v>
      </c>
      <c r="E135" s="24" t="s">
        <v>42</v>
      </c>
      <c r="F135" s="45" t="s">
        <v>56</v>
      </c>
      <c r="G135" s="85">
        <v>29.198</v>
      </c>
      <c r="H135" s="26">
        <f t="shared" si="40"/>
        <v>350.376</v>
      </c>
      <c r="I135" s="45">
        <f t="shared" si="41"/>
        <v>389.20934</v>
      </c>
      <c r="J135" s="26">
        <f t="shared" si="42"/>
        <v>408.772</v>
      </c>
      <c r="K135" s="45">
        <f t="shared" si="43"/>
        <v>360.8756008</v>
      </c>
      <c r="L135" s="45">
        <f t="shared" si="44"/>
        <v>280.3008</v>
      </c>
      <c r="M135" s="45">
        <f t="shared" si="45"/>
        <v>420.4512</v>
      </c>
      <c r="N135" s="45">
        <f t="shared" si="46"/>
        <v>311.25068</v>
      </c>
      <c r="O135" s="45">
        <f t="shared" si="47"/>
        <v>467.168</v>
      </c>
      <c r="P135" s="45">
        <f t="shared" si="48"/>
        <v>327.0176</v>
      </c>
      <c r="Q135" s="45">
        <f t="shared" si="49"/>
        <v>490.5264</v>
      </c>
      <c r="R135" s="45">
        <f t="shared" si="50"/>
        <v>259.27824</v>
      </c>
      <c r="S135" s="111">
        <f t="shared" si="51"/>
        <v>324.97374</v>
      </c>
      <c r="T135" s="111">
        <f t="shared" si="52"/>
        <v>233.584</v>
      </c>
      <c r="U135" s="140"/>
    </row>
    <row r="136" spans="1:21">
      <c r="A136" s="26" t="s">
        <v>81</v>
      </c>
      <c r="B136" s="85">
        <v>1.9812</v>
      </c>
      <c r="C136" s="37">
        <v>78</v>
      </c>
      <c r="D136" s="28" t="s">
        <v>41</v>
      </c>
      <c r="E136" s="24" t="s">
        <v>42</v>
      </c>
      <c r="F136" s="45" t="s">
        <v>57</v>
      </c>
      <c r="G136" s="85">
        <v>20.782</v>
      </c>
      <c r="H136" s="26">
        <f t="shared" si="40"/>
        <v>249.384</v>
      </c>
      <c r="I136" s="45">
        <f t="shared" si="41"/>
        <v>277.02406</v>
      </c>
      <c r="J136" s="26">
        <f t="shared" si="42"/>
        <v>290.948</v>
      </c>
      <c r="K136" s="45">
        <f t="shared" si="43"/>
        <v>256.8572072</v>
      </c>
      <c r="L136" s="45">
        <f t="shared" si="44"/>
        <v>199.5072</v>
      </c>
      <c r="M136" s="45">
        <f t="shared" si="45"/>
        <v>299.2608</v>
      </c>
      <c r="N136" s="45">
        <f t="shared" si="46"/>
        <v>221.53612</v>
      </c>
      <c r="O136" s="45">
        <f t="shared" si="47"/>
        <v>332.512</v>
      </c>
      <c r="P136" s="45">
        <f t="shared" si="48"/>
        <v>232.7584</v>
      </c>
      <c r="Q136" s="45">
        <f t="shared" si="49"/>
        <v>349.1376</v>
      </c>
      <c r="R136" s="45">
        <f t="shared" si="50"/>
        <v>184.54416</v>
      </c>
      <c r="S136" s="111">
        <f t="shared" si="51"/>
        <v>231.30366</v>
      </c>
      <c r="T136" s="111">
        <f t="shared" si="52"/>
        <v>166.256</v>
      </c>
      <c r="U136" s="140"/>
    </row>
    <row r="137" spans="1:21">
      <c r="A137" s="26" t="s">
        <v>81</v>
      </c>
      <c r="B137" s="85">
        <v>1.9812</v>
      </c>
      <c r="C137" s="37">
        <v>78</v>
      </c>
      <c r="D137" s="28" t="s">
        <v>44</v>
      </c>
      <c r="E137" s="24" t="s">
        <v>42</v>
      </c>
      <c r="F137" s="45" t="s">
        <v>57</v>
      </c>
      <c r="G137" s="85">
        <v>18.098</v>
      </c>
      <c r="H137" s="26">
        <f t="shared" si="40"/>
        <v>217.176</v>
      </c>
      <c r="I137" s="45">
        <f t="shared" si="41"/>
        <v>241.24634</v>
      </c>
      <c r="J137" s="26">
        <f t="shared" si="42"/>
        <v>253.372</v>
      </c>
      <c r="K137" s="45">
        <f t="shared" si="43"/>
        <v>223.6840408</v>
      </c>
      <c r="L137" s="45">
        <f t="shared" si="44"/>
        <v>173.7408</v>
      </c>
      <c r="M137" s="45">
        <f t="shared" si="45"/>
        <v>260.6112</v>
      </c>
      <c r="N137" s="45">
        <f t="shared" si="46"/>
        <v>192.92468</v>
      </c>
      <c r="O137" s="45">
        <f t="shared" si="47"/>
        <v>289.568</v>
      </c>
      <c r="P137" s="45">
        <f t="shared" si="48"/>
        <v>202.6976</v>
      </c>
      <c r="Q137" s="45">
        <f t="shared" si="49"/>
        <v>304.0464</v>
      </c>
      <c r="R137" s="45">
        <f t="shared" si="50"/>
        <v>160.71024</v>
      </c>
      <c r="S137" s="111">
        <f t="shared" si="51"/>
        <v>201.43074</v>
      </c>
      <c r="T137" s="111">
        <f t="shared" si="52"/>
        <v>144.784</v>
      </c>
      <c r="U137" s="140"/>
    </row>
    <row r="138" spans="1:21">
      <c r="A138" s="26" t="s">
        <v>81</v>
      </c>
      <c r="B138" s="85">
        <v>2.159</v>
      </c>
      <c r="C138" s="37">
        <v>85</v>
      </c>
      <c r="D138" s="28" t="s">
        <v>38</v>
      </c>
      <c r="E138" s="24" t="s">
        <v>42</v>
      </c>
      <c r="F138" s="45" t="s">
        <v>57</v>
      </c>
      <c r="G138" s="85">
        <v>31.887</v>
      </c>
      <c r="H138" s="26">
        <f t="shared" si="40"/>
        <v>382.644</v>
      </c>
      <c r="I138" s="45">
        <f t="shared" si="41"/>
        <v>425.05371</v>
      </c>
      <c r="J138" s="26">
        <f t="shared" si="42"/>
        <v>446.418</v>
      </c>
      <c r="K138" s="45">
        <f t="shared" si="43"/>
        <v>394.1105652</v>
      </c>
      <c r="L138" s="45">
        <f t="shared" si="44"/>
        <v>306.1152</v>
      </c>
      <c r="M138" s="45">
        <f t="shared" si="45"/>
        <v>459.1728</v>
      </c>
      <c r="N138" s="45">
        <f t="shared" si="46"/>
        <v>339.91542</v>
      </c>
      <c r="O138" s="45">
        <f t="shared" si="47"/>
        <v>510.192</v>
      </c>
      <c r="P138" s="45">
        <f t="shared" si="48"/>
        <v>357.1344</v>
      </c>
      <c r="Q138" s="45">
        <f t="shared" si="49"/>
        <v>535.7016</v>
      </c>
      <c r="R138" s="45">
        <f t="shared" si="50"/>
        <v>283.15656</v>
      </c>
      <c r="S138" s="111">
        <f t="shared" si="51"/>
        <v>354.90231</v>
      </c>
      <c r="T138" s="111">
        <f t="shared" si="52"/>
        <v>255.096</v>
      </c>
      <c r="U138" s="140"/>
    </row>
    <row r="139" spans="1:21">
      <c r="A139" s="26" t="s">
        <v>81</v>
      </c>
      <c r="B139" s="85">
        <v>2.591</v>
      </c>
      <c r="C139" s="37">
        <v>102</v>
      </c>
      <c r="D139" s="28" t="s">
        <v>44</v>
      </c>
      <c r="E139" s="24" t="s">
        <v>42</v>
      </c>
      <c r="F139" s="45" t="s">
        <v>97</v>
      </c>
      <c r="G139" s="85">
        <v>25.482</v>
      </c>
      <c r="H139" s="26">
        <f t="shared" si="40"/>
        <v>305.784</v>
      </c>
      <c r="I139" s="45">
        <f t="shared" si="41"/>
        <v>339.67506</v>
      </c>
      <c r="J139" s="26">
        <f t="shared" si="42"/>
        <v>356.748</v>
      </c>
      <c r="K139" s="45">
        <f t="shared" si="43"/>
        <v>314.9473272</v>
      </c>
      <c r="L139" s="45">
        <f t="shared" si="44"/>
        <v>244.6272</v>
      </c>
      <c r="M139" s="45">
        <f t="shared" si="45"/>
        <v>366.9408</v>
      </c>
      <c r="N139" s="45">
        <f t="shared" si="46"/>
        <v>271.63812</v>
      </c>
      <c r="O139" s="45">
        <f t="shared" si="47"/>
        <v>407.712</v>
      </c>
      <c r="P139" s="45">
        <f t="shared" si="48"/>
        <v>285.3984</v>
      </c>
      <c r="Q139" s="45">
        <f t="shared" si="49"/>
        <v>428.0976</v>
      </c>
      <c r="R139" s="45">
        <f t="shared" si="50"/>
        <v>226.28016</v>
      </c>
      <c r="S139" s="111">
        <f t="shared" si="51"/>
        <v>283.61466</v>
      </c>
      <c r="T139" s="111">
        <f t="shared" si="52"/>
        <v>203.856</v>
      </c>
      <c r="U139" s="140"/>
    </row>
    <row r="141" ht="20.4" spans="1:9">
      <c r="A141" s="141" t="s">
        <v>98</v>
      </c>
      <c r="B141" s="141"/>
      <c r="C141" s="141"/>
      <c r="D141" s="141"/>
      <c r="E141" s="141"/>
      <c r="F141" s="141"/>
      <c r="G141" s="141"/>
      <c r="H141" s="141"/>
      <c r="I141" s="141"/>
    </row>
    <row r="142" ht="31.2" spans="1:9">
      <c r="A142" s="32" t="s">
        <v>59</v>
      </c>
      <c r="B142" s="32" t="s">
        <v>60</v>
      </c>
      <c r="C142" s="32" t="s">
        <v>61</v>
      </c>
      <c r="D142" s="32" t="s">
        <v>62</v>
      </c>
      <c r="E142" s="33" t="s">
        <v>63</v>
      </c>
      <c r="F142" s="34"/>
      <c r="G142" s="34"/>
      <c r="H142" s="33" t="s">
        <v>64</v>
      </c>
      <c r="I142" s="33"/>
    </row>
    <row r="143" ht="31.2" spans="1:9">
      <c r="A143" s="35" t="s">
        <v>65</v>
      </c>
      <c r="B143" s="35" t="s">
        <v>66</v>
      </c>
      <c r="C143" s="35" t="s">
        <v>67</v>
      </c>
      <c r="D143" s="35" t="s">
        <v>68</v>
      </c>
      <c r="E143" s="36" t="s">
        <v>69</v>
      </c>
      <c r="F143" s="36" t="s">
        <v>70</v>
      </c>
      <c r="G143" s="36" t="s">
        <v>71</v>
      </c>
      <c r="H143" s="36" t="s">
        <v>70</v>
      </c>
      <c r="I143" s="36" t="s">
        <v>71</v>
      </c>
    </row>
    <row r="144" spans="1:10">
      <c r="A144" s="26" t="s">
        <v>99</v>
      </c>
      <c r="B144" s="37">
        <v>106</v>
      </c>
      <c r="C144" s="38">
        <v>0.75</v>
      </c>
      <c r="D144" s="37">
        <v>300</v>
      </c>
      <c r="E144" s="27">
        <v>1.615</v>
      </c>
      <c r="F144" s="39">
        <f t="shared" ref="F144:F168" si="53">G144/D144</f>
        <v>21.1888</v>
      </c>
      <c r="G144" s="39">
        <f>E144*3936</f>
        <v>6356.64</v>
      </c>
      <c r="H144" s="39">
        <f t="shared" ref="H144:H168" si="54">I144/D144</f>
        <v>20.12936</v>
      </c>
      <c r="I144" s="26">
        <f t="shared" ref="I144:I168" si="55">G144*0.95</f>
        <v>6038.808</v>
      </c>
      <c r="J144" s="146"/>
    </row>
    <row r="145" spans="1:10">
      <c r="A145" s="26" t="s">
        <v>99</v>
      </c>
      <c r="B145" s="37">
        <v>106</v>
      </c>
      <c r="C145" s="38">
        <v>0.72</v>
      </c>
      <c r="D145" s="37">
        <v>300</v>
      </c>
      <c r="E145" s="27">
        <v>1.588</v>
      </c>
      <c r="F145" s="39">
        <f t="shared" si="53"/>
        <v>20.83456</v>
      </c>
      <c r="G145" s="39">
        <f t="shared" ref="G145:G156" si="56">E145*3936</f>
        <v>6250.368</v>
      </c>
      <c r="H145" s="39">
        <f t="shared" si="54"/>
        <v>19.792832</v>
      </c>
      <c r="I145" s="26">
        <f t="shared" si="55"/>
        <v>5937.8496</v>
      </c>
      <c r="J145" s="146"/>
    </row>
    <row r="146" spans="1:10">
      <c r="A146" s="26" t="s">
        <v>99</v>
      </c>
      <c r="B146" s="37">
        <v>106</v>
      </c>
      <c r="C146" s="38">
        <v>0.78</v>
      </c>
      <c r="D146" s="37">
        <v>300</v>
      </c>
      <c r="E146" s="27">
        <v>1.676</v>
      </c>
      <c r="F146" s="39">
        <f t="shared" si="53"/>
        <v>21.98912</v>
      </c>
      <c r="G146" s="39">
        <f t="shared" si="56"/>
        <v>6596.736</v>
      </c>
      <c r="H146" s="39">
        <f t="shared" si="54"/>
        <v>20.889664</v>
      </c>
      <c r="I146" s="26">
        <f t="shared" si="55"/>
        <v>6266.8992</v>
      </c>
      <c r="J146" s="146"/>
    </row>
    <row r="147" spans="1:10">
      <c r="A147" s="26" t="s">
        <v>99</v>
      </c>
      <c r="B147" s="37">
        <v>1037</v>
      </c>
      <c r="C147" s="38">
        <v>0.76</v>
      </c>
      <c r="D147" s="37">
        <v>300</v>
      </c>
      <c r="E147" s="27">
        <v>2.219</v>
      </c>
      <c r="F147" s="39">
        <f t="shared" si="53"/>
        <v>29.11328</v>
      </c>
      <c r="G147" s="39">
        <f t="shared" si="56"/>
        <v>8733.984</v>
      </c>
      <c r="H147" s="39">
        <f t="shared" si="54"/>
        <v>27.657616</v>
      </c>
      <c r="I147" s="26">
        <f t="shared" si="55"/>
        <v>8297.2848</v>
      </c>
      <c r="J147" s="146"/>
    </row>
    <row r="148" spans="1:10">
      <c r="A148" s="26" t="s">
        <v>99</v>
      </c>
      <c r="B148" s="37">
        <v>1067</v>
      </c>
      <c r="C148" s="38">
        <v>0.72</v>
      </c>
      <c r="D148" s="37">
        <v>300</v>
      </c>
      <c r="E148" s="27">
        <v>1.46</v>
      </c>
      <c r="F148" s="39">
        <f t="shared" si="53"/>
        <v>19.1552</v>
      </c>
      <c r="G148" s="39">
        <f t="shared" si="56"/>
        <v>5746.56</v>
      </c>
      <c r="H148" s="39">
        <f t="shared" si="54"/>
        <v>18.19744</v>
      </c>
      <c r="I148" s="26">
        <f t="shared" si="55"/>
        <v>5459.232</v>
      </c>
      <c r="J148" s="146"/>
    </row>
    <row r="149" spans="1:10">
      <c r="A149" s="26" t="s">
        <v>99</v>
      </c>
      <c r="B149" s="37">
        <v>1067</v>
      </c>
      <c r="C149" s="38">
        <v>0.74</v>
      </c>
      <c r="D149" s="37">
        <v>300</v>
      </c>
      <c r="E149" s="27">
        <v>1.574</v>
      </c>
      <c r="F149" s="39">
        <f t="shared" si="53"/>
        <v>20.65088</v>
      </c>
      <c r="G149" s="39">
        <f t="shared" si="56"/>
        <v>6195.264</v>
      </c>
      <c r="H149" s="39">
        <f t="shared" si="54"/>
        <v>19.618336</v>
      </c>
      <c r="I149" s="26">
        <f t="shared" si="55"/>
        <v>5885.5008</v>
      </c>
      <c r="J149" s="146"/>
    </row>
    <row r="150" spans="1:10">
      <c r="A150" s="26" t="s">
        <v>99</v>
      </c>
      <c r="B150" s="37">
        <v>1067</v>
      </c>
      <c r="C150" s="38">
        <v>0.76</v>
      </c>
      <c r="D150" s="37">
        <v>300</v>
      </c>
      <c r="E150" s="27">
        <v>1.611</v>
      </c>
      <c r="F150" s="39">
        <f t="shared" si="53"/>
        <v>21.13632</v>
      </c>
      <c r="G150" s="39">
        <f t="shared" si="56"/>
        <v>6340.896</v>
      </c>
      <c r="H150" s="39">
        <f t="shared" si="54"/>
        <v>20.079504</v>
      </c>
      <c r="I150" s="26">
        <f t="shared" si="55"/>
        <v>6023.8512</v>
      </c>
      <c r="J150" s="146"/>
    </row>
    <row r="151" spans="1:10">
      <c r="A151" s="26" t="s">
        <v>99</v>
      </c>
      <c r="B151" s="37">
        <v>1080</v>
      </c>
      <c r="C151" s="38">
        <v>0.64</v>
      </c>
      <c r="D151" s="37">
        <v>300</v>
      </c>
      <c r="E151" s="27">
        <v>1.548</v>
      </c>
      <c r="F151" s="39">
        <f t="shared" si="53"/>
        <v>20.30976</v>
      </c>
      <c r="G151" s="39">
        <f t="shared" si="56"/>
        <v>6092.928</v>
      </c>
      <c r="H151" s="39">
        <f t="shared" si="54"/>
        <v>19.294272</v>
      </c>
      <c r="I151" s="26">
        <f t="shared" si="55"/>
        <v>5788.2816</v>
      </c>
      <c r="J151" s="146"/>
    </row>
    <row r="152" spans="1:10">
      <c r="A152" s="26" t="s">
        <v>99</v>
      </c>
      <c r="B152" s="37">
        <v>1080</v>
      </c>
      <c r="C152" s="38">
        <v>0.68</v>
      </c>
      <c r="D152" s="37">
        <v>300</v>
      </c>
      <c r="E152" s="27">
        <v>1.541</v>
      </c>
      <c r="F152" s="39">
        <f t="shared" si="53"/>
        <v>20.21792</v>
      </c>
      <c r="G152" s="39">
        <f t="shared" si="56"/>
        <v>6065.376</v>
      </c>
      <c r="H152" s="39">
        <f t="shared" si="54"/>
        <v>19.207024</v>
      </c>
      <c r="I152" s="26">
        <f t="shared" si="55"/>
        <v>5762.1072</v>
      </c>
      <c r="J152" s="146"/>
    </row>
    <row r="153" spans="1:10">
      <c r="A153" s="26" t="s">
        <v>99</v>
      </c>
      <c r="B153" s="37">
        <v>1080</v>
      </c>
      <c r="C153" s="38">
        <v>0.71</v>
      </c>
      <c r="D153" s="37">
        <v>300</v>
      </c>
      <c r="E153" s="27">
        <v>1.623</v>
      </c>
      <c r="F153" s="39">
        <f t="shared" si="53"/>
        <v>21.29376</v>
      </c>
      <c r="G153" s="39">
        <f t="shared" si="56"/>
        <v>6388.128</v>
      </c>
      <c r="H153" s="39">
        <f t="shared" si="54"/>
        <v>20.229072</v>
      </c>
      <c r="I153" s="26">
        <f t="shared" si="55"/>
        <v>6068.7216</v>
      </c>
      <c r="J153" s="146"/>
    </row>
    <row r="154" spans="1:10">
      <c r="A154" s="26" t="s">
        <v>99</v>
      </c>
      <c r="B154" s="37">
        <v>1086</v>
      </c>
      <c r="C154" s="38">
        <v>0.7</v>
      </c>
      <c r="D154" s="37">
        <v>300</v>
      </c>
      <c r="E154" s="27">
        <v>1.564</v>
      </c>
      <c r="F154" s="39">
        <f t="shared" si="53"/>
        <v>20.51968</v>
      </c>
      <c r="G154" s="39">
        <f t="shared" si="56"/>
        <v>6155.904</v>
      </c>
      <c r="H154" s="39">
        <f t="shared" si="54"/>
        <v>19.493696</v>
      </c>
      <c r="I154" s="26">
        <f t="shared" si="55"/>
        <v>5848.1088</v>
      </c>
      <c r="J154" s="146"/>
    </row>
    <row r="155" spans="1:10">
      <c r="A155" s="26" t="s">
        <v>99</v>
      </c>
      <c r="B155" s="37">
        <v>1086</v>
      </c>
      <c r="C155" s="38">
        <v>0.67</v>
      </c>
      <c r="D155" s="37">
        <v>300</v>
      </c>
      <c r="E155" s="27">
        <v>1.525</v>
      </c>
      <c r="F155" s="39">
        <f t="shared" si="53"/>
        <v>20.008</v>
      </c>
      <c r="G155" s="39">
        <f t="shared" si="56"/>
        <v>6002.4</v>
      </c>
      <c r="H155" s="39">
        <f t="shared" si="54"/>
        <v>19.0076</v>
      </c>
      <c r="I155" s="26">
        <f t="shared" si="55"/>
        <v>5702.28</v>
      </c>
      <c r="J155" s="146"/>
    </row>
    <row r="156" spans="1:10">
      <c r="A156" s="26" t="s">
        <v>99</v>
      </c>
      <c r="B156" s="37">
        <v>1086</v>
      </c>
      <c r="C156" s="38">
        <v>0.64</v>
      </c>
      <c r="D156" s="37">
        <v>300</v>
      </c>
      <c r="E156" s="27">
        <v>1.575</v>
      </c>
      <c r="F156" s="39">
        <f t="shared" si="53"/>
        <v>20.664</v>
      </c>
      <c r="G156" s="39">
        <f t="shared" si="56"/>
        <v>6199.2</v>
      </c>
      <c r="H156" s="39">
        <f t="shared" si="54"/>
        <v>19.6308</v>
      </c>
      <c r="I156" s="26">
        <f t="shared" si="55"/>
        <v>5889.24</v>
      </c>
      <c r="J156" s="146"/>
    </row>
    <row r="157" spans="1:10">
      <c r="A157" s="26" t="s">
        <v>99</v>
      </c>
      <c r="B157" s="37">
        <v>1506</v>
      </c>
      <c r="C157" s="38">
        <v>0.53</v>
      </c>
      <c r="D157" s="37">
        <v>150</v>
      </c>
      <c r="E157" s="27">
        <v>1.93</v>
      </c>
      <c r="F157" s="39">
        <f t="shared" si="53"/>
        <v>25.3216</v>
      </c>
      <c r="G157" s="39">
        <f>E157*3936/2</f>
        <v>3798.24</v>
      </c>
      <c r="H157" s="39">
        <f t="shared" si="54"/>
        <v>24.05552</v>
      </c>
      <c r="I157" s="26">
        <f t="shared" si="55"/>
        <v>3608.328</v>
      </c>
      <c r="J157" s="146"/>
    </row>
    <row r="158" spans="1:10">
      <c r="A158" s="26" t="s">
        <v>99</v>
      </c>
      <c r="B158" s="37">
        <v>1506</v>
      </c>
      <c r="C158" s="38">
        <v>0.54</v>
      </c>
      <c r="D158" s="37">
        <v>150</v>
      </c>
      <c r="E158" s="27">
        <v>1.957</v>
      </c>
      <c r="F158" s="39">
        <f t="shared" si="53"/>
        <v>25.67584</v>
      </c>
      <c r="G158" s="39">
        <f>E158*3936/2</f>
        <v>3851.376</v>
      </c>
      <c r="H158" s="39">
        <f t="shared" si="54"/>
        <v>24.392048</v>
      </c>
      <c r="I158" s="26">
        <f t="shared" si="55"/>
        <v>3658.8072</v>
      </c>
      <c r="J158" s="146"/>
    </row>
    <row r="159" spans="1:10">
      <c r="A159" s="26" t="s">
        <v>99</v>
      </c>
      <c r="B159" s="37">
        <v>1506</v>
      </c>
      <c r="C159" s="38">
        <v>0.5</v>
      </c>
      <c r="D159" s="37">
        <v>150</v>
      </c>
      <c r="E159" s="27">
        <v>1.876</v>
      </c>
      <c r="F159" s="39">
        <f t="shared" si="53"/>
        <v>24.61312</v>
      </c>
      <c r="G159" s="39">
        <f>E159*3936/2</f>
        <v>3691.968</v>
      </c>
      <c r="H159" s="39">
        <f t="shared" si="54"/>
        <v>23.382464</v>
      </c>
      <c r="I159" s="26">
        <f t="shared" si="55"/>
        <v>3507.3696</v>
      </c>
      <c r="J159" s="146"/>
    </row>
    <row r="160" spans="1:10">
      <c r="A160" s="26" t="s">
        <v>99</v>
      </c>
      <c r="B160" s="37">
        <v>2112</v>
      </c>
      <c r="C160" s="38">
        <v>0.62</v>
      </c>
      <c r="D160" s="37">
        <v>300</v>
      </c>
      <c r="E160" s="27">
        <v>1.716</v>
      </c>
      <c r="F160" s="39">
        <f t="shared" si="53"/>
        <v>22.51392</v>
      </c>
      <c r="G160" s="39">
        <f>E160*3936</f>
        <v>6754.176</v>
      </c>
      <c r="H160" s="39">
        <f t="shared" si="54"/>
        <v>21.388224</v>
      </c>
      <c r="I160" s="26">
        <f t="shared" si="55"/>
        <v>6416.4672</v>
      </c>
      <c r="J160" s="146"/>
    </row>
    <row r="161" spans="1:10">
      <c r="A161" s="26" t="s">
        <v>99</v>
      </c>
      <c r="B161" s="37">
        <v>2113</v>
      </c>
      <c r="C161" s="38">
        <v>0.58</v>
      </c>
      <c r="D161" s="37">
        <v>300</v>
      </c>
      <c r="E161" s="27">
        <v>2.022</v>
      </c>
      <c r="F161" s="39">
        <f t="shared" si="53"/>
        <v>26.52864</v>
      </c>
      <c r="G161" s="39">
        <f>E161*3936</f>
        <v>7958.592</v>
      </c>
      <c r="H161" s="39">
        <f t="shared" si="54"/>
        <v>25.202208</v>
      </c>
      <c r="I161" s="26">
        <f t="shared" si="55"/>
        <v>7560.6624</v>
      </c>
      <c r="J161" s="146"/>
    </row>
    <row r="162" spans="1:10">
      <c r="A162" s="26" t="s">
        <v>99</v>
      </c>
      <c r="B162" s="37">
        <v>2116</v>
      </c>
      <c r="C162" s="38">
        <v>0.57</v>
      </c>
      <c r="D162" s="37">
        <v>300</v>
      </c>
      <c r="E162" s="27">
        <v>1.587</v>
      </c>
      <c r="F162" s="39">
        <f t="shared" si="53"/>
        <v>20.82144</v>
      </c>
      <c r="G162" s="39">
        <f>E162*3936</f>
        <v>6246.432</v>
      </c>
      <c r="H162" s="39">
        <f t="shared" si="54"/>
        <v>19.780368</v>
      </c>
      <c r="I162" s="26">
        <f t="shared" si="55"/>
        <v>5934.1104</v>
      </c>
      <c r="J162" s="146"/>
    </row>
    <row r="163" spans="1:10">
      <c r="A163" s="26" t="s">
        <v>99</v>
      </c>
      <c r="B163" s="37">
        <v>2116</v>
      </c>
      <c r="C163" s="38">
        <v>0.61</v>
      </c>
      <c r="D163" s="37">
        <v>200</v>
      </c>
      <c r="E163" s="27">
        <v>1.67</v>
      </c>
      <c r="F163" s="39">
        <f t="shared" si="53"/>
        <v>21.9104</v>
      </c>
      <c r="G163" s="39">
        <f>E163*3936/3*2</f>
        <v>4382.08</v>
      </c>
      <c r="H163" s="39">
        <f t="shared" si="54"/>
        <v>20.81488</v>
      </c>
      <c r="I163" s="26">
        <f t="shared" si="55"/>
        <v>4162.976</v>
      </c>
      <c r="J163" s="146"/>
    </row>
    <row r="164" spans="1:10">
      <c r="A164" s="26" t="s">
        <v>99</v>
      </c>
      <c r="B164" s="37">
        <v>2116</v>
      </c>
      <c r="C164" s="38">
        <v>0.53</v>
      </c>
      <c r="D164" s="37">
        <v>300</v>
      </c>
      <c r="E164" s="27">
        <v>1.549</v>
      </c>
      <c r="F164" s="39">
        <f t="shared" si="53"/>
        <v>20.32288</v>
      </c>
      <c r="G164" s="39">
        <f>E164*3936</f>
        <v>6096.864</v>
      </c>
      <c r="H164" s="39">
        <f t="shared" si="54"/>
        <v>19.306736</v>
      </c>
      <c r="I164" s="26">
        <f t="shared" si="55"/>
        <v>5792.0208</v>
      </c>
      <c r="J164" s="146"/>
    </row>
    <row r="165" spans="1:10">
      <c r="A165" s="26" t="s">
        <v>99</v>
      </c>
      <c r="B165" s="37">
        <v>7628</v>
      </c>
      <c r="C165" s="38">
        <v>0.45</v>
      </c>
      <c r="D165" s="37">
        <v>150</v>
      </c>
      <c r="E165" s="27">
        <v>1.53</v>
      </c>
      <c r="F165" s="39">
        <f t="shared" si="53"/>
        <v>20.0736</v>
      </c>
      <c r="G165" s="39">
        <f t="shared" ref="G165:G168" si="57">E165*3936/2</f>
        <v>3011.04</v>
      </c>
      <c r="H165" s="39">
        <f t="shared" si="54"/>
        <v>19.06992</v>
      </c>
      <c r="I165" s="26">
        <f t="shared" si="55"/>
        <v>2860.488</v>
      </c>
      <c r="J165" s="146"/>
    </row>
    <row r="166" spans="1:10">
      <c r="A166" s="26" t="s">
        <v>99</v>
      </c>
      <c r="B166" s="37">
        <v>7628</v>
      </c>
      <c r="C166" s="38">
        <v>0.48</v>
      </c>
      <c r="D166" s="37">
        <v>150</v>
      </c>
      <c r="E166" s="27">
        <v>1.651</v>
      </c>
      <c r="F166" s="39">
        <f t="shared" si="53"/>
        <v>21.66112</v>
      </c>
      <c r="G166" s="39">
        <f t="shared" si="57"/>
        <v>3249.168</v>
      </c>
      <c r="H166" s="39">
        <f t="shared" si="54"/>
        <v>20.578064</v>
      </c>
      <c r="I166" s="26">
        <f t="shared" si="55"/>
        <v>3086.7096</v>
      </c>
      <c r="J166" s="146"/>
    </row>
    <row r="167" spans="1:10">
      <c r="A167" s="26" t="s">
        <v>99</v>
      </c>
      <c r="B167" s="37">
        <v>7628</v>
      </c>
      <c r="C167" s="38">
        <v>0.5</v>
      </c>
      <c r="D167" s="37">
        <v>150</v>
      </c>
      <c r="E167" s="27">
        <v>1.71</v>
      </c>
      <c r="F167" s="39">
        <f t="shared" si="53"/>
        <v>22.4352</v>
      </c>
      <c r="G167" s="39">
        <f t="shared" si="57"/>
        <v>3365.28</v>
      </c>
      <c r="H167" s="39">
        <f t="shared" si="54"/>
        <v>21.31344</v>
      </c>
      <c r="I167" s="26">
        <f t="shared" si="55"/>
        <v>3197.016</v>
      </c>
      <c r="J167" s="146"/>
    </row>
    <row r="168" spans="1:10">
      <c r="A168" s="26" t="s">
        <v>99</v>
      </c>
      <c r="B168" s="37">
        <v>7628</v>
      </c>
      <c r="C168" s="38">
        <v>0.52</v>
      </c>
      <c r="D168" s="37">
        <v>150</v>
      </c>
      <c r="E168" s="27">
        <v>1.836</v>
      </c>
      <c r="F168" s="39">
        <f t="shared" si="53"/>
        <v>24.08832</v>
      </c>
      <c r="G168" s="39">
        <f t="shared" si="57"/>
        <v>3613.248</v>
      </c>
      <c r="H168" s="39">
        <f t="shared" si="54"/>
        <v>22.883904</v>
      </c>
      <c r="I168" s="26">
        <f t="shared" si="55"/>
        <v>3432.5856</v>
      </c>
      <c r="J168" s="146"/>
    </row>
    <row r="169" spans="1:13">
      <c r="A169" s="142"/>
      <c r="B169" s="142"/>
      <c r="C169" s="142"/>
      <c r="D169" s="143"/>
      <c r="E169" s="142"/>
      <c r="F169" s="142"/>
      <c r="G169" s="41"/>
      <c r="H169" s="41"/>
      <c r="I169" s="41"/>
      <c r="J169" s="41"/>
      <c r="K169" s="41"/>
      <c r="L169" s="41"/>
      <c r="M169" s="41"/>
    </row>
    <row r="170" spans="1:13">
      <c r="A170" s="144" t="s">
        <v>75</v>
      </c>
      <c r="B170" s="66"/>
      <c r="C170" s="66"/>
      <c r="D170" s="66"/>
      <c r="E170" s="66"/>
      <c r="F170" s="145"/>
      <c r="G170" s="145"/>
      <c r="H170" s="145"/>
      <c r="I170" s="41"/>
      <c r="J170" s="40" t="s">
        <v>76</v>
      </c>
      <c r="K170" s="41"/>
      <c r="L170" s="41"/>
      <c r="M170" s="41"/>
    </row>
  </sheetData>
  <autoFilter xmlns:etc="http://www.wps.cn/officeDocument/2017/etCustomData" ref="A15:U139" etc:filterBottomFollowUsedRange="0">
    <extLst/>
  </autoFilter>
  <mergeCells count="11">
    <mergeCell ref="A1:N1"/>
    <mergeCell ref="A5:R5"/>
    <mergeCell ref="A6:R6"/>
    <mergeCell ref="A13:S13"/>
    <mergeCell ref="B14:C14"/>
    <mergeCell ref="G14:T14"/>
    <mergeCell ref="A141:I141"/>
    <mergeCell ref="E142:G142"/>
    <mergeCell ref="H142:I142"/>
    <mergeCell ref="U14:U15"/>
    <mergeCell ref="A2:R4"/>
  </mergeCells>
  <pageMargins left="0.75" right="0.75" top="1" bottom="1" header="0.5" footer="0.5"/>
  <pageSetup paperSize="9" scale="62" orientation="landscape"/>
  <headerFooter/>
  <rowBreaks count="1" manualBreakCount="1">
    <brk id="12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9"/>
  <sheetViews>
    <sheetView view="pageBreakPreview" zoomScale="85" zoomScaleNormal="85" topLeftCell="A80" workbookViewId="0">
      <selection activeCell="S14" sqref="S14:S65"/>
    </sheetView>
  </sheetViews>
  <sheetFormatPr defaultColWidth="8.8" defaultRowHeight="15.6"/>
  <cols>
    <col min="1" max="2" width="8.8" style="66"/>
    <col min="3" max="3" width="7.9" style="66" customWidth="1"/>
    <col min="4" max="5" width="8.8" style="66"/>
    <col min="6" max="6" width="13.1666666666667" style="66" customWidth="1"/>
    <col min="7" max="7" width="7.9" style="66" customWidth="1"/>
    <col min="8" max="11" width="8.7" style="66" customWidth="1"/>
    <col min="12" max="12" width="9.9" style="66" customWidth="1"/>
    <col min="13" max="14" width="10.3" style="66" customWidth="1"/>
    <col min="15" max="15" width="11.2" style="66" customWidth="1"/>
    <col min="16" max="17" width="10.3" style="66" customWidth="1"/>
    <col min="18" max="18" width="9.9" style="66" customWidth="1"/>
    <col min="19" max="19" width="12.8" style="66"/>
    <col min="20" max="16384" width="8.8" style="66"/>
  </cols>
  <sheetData>
    <row r="1" s="65" customForma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65" customForma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2"/>
    </row>
    <row r="3" s="65" customForma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2"/>
    </row>
    <row r="4" s="65" customFormat="1" spans="1:19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2"/>
    </row>
    <row r="5" s="65" customFormat="1" spans="1:19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2"/>
    </row>
    <row r="6" s="65" customFormat="1" ht="17.4" spans="1:19">
      <c r="A6" s="5" t="s">
        <v>3</v>
      </c>
      <c r="B6" s="6"/>
      <c r="C6" s="6"/>
      <c r="D6" s="7"/>
      <c r="E6" s="6"/>
      <c r="F6" s="6"/>
      <c r="G6" s="8"/>
      <c r="H6" s="9"/>
      <c r="I6" s="9"/>
      <c r="J6" s="43"/>
      <c r="K6" s="43"/>
      <c r="L6" s="43"/>
      <c r="M6" s="43"/>
      <c r="N6" s="43"/>
      <c r="O6" s="9" t="s">
        <v>4</v>
      </c>
      <c r="P6" s="43"/>
      <c r="Q6" s="43"/>
      <c r="R6" s="43"/>
      <c r="S6" s="42"/>
    </row>
    <row r="7" s="65" customFormat="1" ht="17.4" spans="1:19">
      <c r="A7" s="10" t="s">
        <v>5</v>
      </c>
      <c r="B7" s="6"/>
      <c r="C7" s="6"/>
      <c r="D7" s="7"/>
      <c r="E7" s="6"/>
      <c r="F7" s="6"/>
      <c r="G7" s="8"/>
      <c r="H7" s="11"/>
      <c r="I7" s="9"/>
      <c r="J7" s="43"/>
      <c r="K7" s="43"/>
      <c r="L7" s="43"/>
      <c r="M7" s="43"/>
      <c r="N7" s="43"/>
      <c r="O7" s="9" t="s">
        <v>6</v>
      </c>
      <c r="P7" s="43"/>
      <c r="Q7" s="43"/>
      <c r="R7" s="43"/>
      <c r="S7" s="42"/>
    </row>
    <row r="8" s="65" customFormat="1" ht="17.4" spans="1:19">
      <c r="A8" s="10" t="s">
        <v>7</v>
      </c>
      <c r="B8" s="6"/>
      <c r="C8" s="6"/>
      <c r="D8" s="7"/>
      <c r="E8" s="6"/>
      <c r="F8" s="6"/>
      <c r="G8" s="8"/>
      <c r="H8" s="9"/>
      <c r="I8" s="9"/>
      <c r="J8" s="43"/>
      <c r="K8" s="43"/>
      <c r="L8" s="43"/>
      <c r="M8" s="43"/>
      <c r="N8" s="43"/>
      <c r="O8" s="14" t="s">
        <v>8</v>
      </c>
      <c r="P8" s="43"/>
      <c r="Q8" s="43"/>
      <c r="R8" s="43"/>
      <c r="S8" s="42"/>
    </row>
    <row r="9" s="65" customFormat="1" ht="17.4" spans="1:19">
      <c r="A9" s="10" t="s">
        <v>9</v>
      </c>
      <c r="B9" s="12"/>
      <c r="C9" s="12"/>
      <c r="D9" s="13"/>
      <c r="E9" s="12"/>
      <c r="F9" s="12"/>
      <c r="G9" s="14"/>
      <c r="H9" s="15"/>
      <c r="I9" s="9"/>
      <c r="J9" s="43"/>
      <c r="K9" s="43"/>
      <c r="L9" s="43"/>
      <c r="M9" s="43"/>
      <c r="N9" s="43"/>
      <c r="O9" s="14" t="s">
        <v>100</v>
      </c>
      <c r="P9" s="43"/>
      <c r="Q9" s="43"/>
      <c r="R9" s="43"/>
      <c r="S9" s="42"/>
    </row>
    <row r="10" s="65" customFormat="1" ht="17.4" spans="1:19">
      <c r="A10" s="5" t="s">
        <v>11</v>
      </c>
      <c r="B10" s="12"/>
      <c r="C10" s="16"/>
      <c r="D10" s="17"/>
      <c r="E10" s="16"/>
      <c r="F10" s="16"/>
      <c r="G10" s="18"/>
      <c r="H10" s="19"/>
      <c r="I10" s="15"/>
      <c r="J10" s="43"/>
      <c r="K10" s="43"/>
      <c r="L10" s="43"/>
      <c r="M10" s="43"/>
      <c r="N10" s="43"/>
      <c r="O10" s="43"/>
      <c r="P10" s="43"/>
      <c r="Q10" s="43"/>
      <c r="R10" s="43"/>
      <c r="S10" s="42"/>
    </row>
    <row r="11" ht="19.2" spans="1:18">
      <c r="A11" s="20" t="s">
        <v>101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18">
      <c r="A12" s="21" t="s">
        <v>13</v>
      </c>
      <c r="B12" s="21" t="s">
        <v>14</v>
      </c>
      <c r="C12" s="21"/>
      <c r="D12" s="22" t="s">
        <v>15</v>
      </c>
      <c r="E12" s="22" t="s">
        <v>16</v>
      </c>
      <c r="F12" s="22" t="s">
        <v>17</v>
      </c>
      <c r="G12" s="22" t="s">
        <v>18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8">
      <c r="A13" s="23" t="s">
        <v>19</v>
      </c>
      <c r="B13" s="23" t="s">
        <v>20</v>
      </c>
      <c r="C13" s="23" t="s">
        <v>21</v>
      </c>
      <c r="D13" s="24" t="s">
        <v>22</v>
      </c>
      <c r="E13" s="24" t="s">
        <v>22</v>
      </c>
      <c r="F13" s="24" t="s">
        <v>23</v>
      </c>
      <c r="G13" s="24" t="s">
        <v>24</v>
      </c>
      <c r="H13" s="25" t="s">
        <v>25</v>
      </c>
      <c r="I13" s="25" t="s">
        <v>26</v>
      </c>
      <c r="J13" s="23" t="s">
        <v>27</v>
      </c>
      <c r="K13" s="23" t="s">
        <v>28</v>
      </c>
      <c r="L13" s="25" t="s">
        <v>29</v>
      </c>
      <c r="M13" s="23" t="s">
        <v>30</v>
      </c>
      <c r="N13" s="24" t="s">
        <v>31</v>
      </c>
      <c r="O13" s="25" t="s">
        <v>102</v>
      </c>
      <c r="P13" s="23" t="s">
        <v>33</v>
      </c>
      <c r="Q13" s="23" t="s">
        <v>34</v>
      </c>
      <c r="R13" s="44" t="s">
        <v>35</v>
      </c>
    </row>
    <row r="14" spans="1:19">
      <c r="A14" s="26" t="s">
        <v>103</v>
      </c>
      <c r="B14" s="85">
        <v>0.079</v>
      </c>
      <c r="C14" s="107">
        <v>3</v>
      </c>
      <c r="D14" s="28" t="s">
        <v>41</v>
      </c>
      <c r="E14" s="24" t="s">
        <v>42</v>
      </c>
      <c r="F14" s="45" t="s">
        <v>82</v>
      </c>
      <c r="G14" s="27">
        <v>9.192</v>
      </c>
      <c r="H14" s="26">
        <f t="shared" ref="H14:H18" si="0">G14*12</f>
        <v>110.304</v>
      </c>
      <c r="I14" s="45">
        <f t="shared" ref="I14:I18" si="1">G14*13.33</f>
        <v>122.52936</v>
      </c>
      <c r="J14" s="26">
        <f t="shared" ref="J14:J18" si="2">G14*14</f>
        <v>128.688</v>
      </c>
      <c r="K14" s="26">
        <f t="shared" ref="K14:K18" si="3">G14*11.66*1.06</f>
        <v>113.6094432</v>
      </c>
      <c r="L14" s="45">
        <f t="shared" ref="L14:L18" si="4">G14*9.6</f>
        <v>88.2432</v>
      </c>
      <c r="M14" s="45">
        <f t="shared" ref="M14:M18" si="5">G14*14.4</f>
        <v>132.3648</v>
      </c>
      <c r="N14" s="45">
        <f t="shared" ref="N14:N18" si="6">G14*10.66</f>
        <v>97.98672</v>
      </c>
      <c r="O14" s="45">
        <f t="shared" ref="O14:O18" si="7">G14*16</f>
        <v>147.072</v>
      </c>
      <c r="P14" s="45">
        <f t="shared" ref="P14:P18" si="8">G14*11.2</f>
        <v>102.9504</v>
      </c>
      <c r="Q14" s="45">
        <f t="shared" ref="Q14:Q18" si="9">G14*16.8</f>
        <v>154.4256</v>
      </c>
      <c r="R14" s="45">
        <f t="shared" ref="R14:R18" si="10">G14*8.88</f>
        <v>81.62496</v>
      </c>
      <c r="S14" s="131"/>
    </row>
    <row r="15" spans="1:19">
      <c r="A15" s="26" t="s">
        <v>103</v>
      </c>
      <c r="B15" s="85">
        <v>0.079</v>
      </c>
      <c r="C15" s="107">
        <v>3</v>
      </c>
      <c r="D15" s="28" t="s">
        <v>104</v>
      </c>
      <c r="E15" s="24" t="s">
        <v>42</v>
      </c>
      <c r="F15" s="45" t="s">
        <v>82</v>
      </c>
      <c r="G15" s="27">
        <v>8.372</v>
      </c>
      <c r="H15" s="26">
        <f t="shared" si="0"/>
        <v>100.464</v>
      </c>
      <c r="I15" s="45">
        <f t="shared" si="1"/>
        <v>111.59876</v>
      </c>
      <c r="J15" s="26">
        <f t="shared" si="2"/>
        <v>117.208</v>
      </c>
      <c r="K15" s="26">
        <f t="shared" si="3"/>
        <v>103.4745712</v>
      </c>
      <c r="L15" s="45">
        <f t="shared" si="4"/>
        <v>80.3712</v>
      </c>
      <c r="M15" s="45">
        <f t="shared" si="5"/>
        <v>120.5568</v>
      </c>
      <c r="N15" s="45">
        <f t="shared" si="6"/>
        <v>89.24552</v>
      </c>
      <c r="O15" s="45">
        <f t="shared" si="7"/>
        <v>133.952</v>
      </c>
      <c r="P15" s="45">
        <f t="shared" si="8"/>
        <v>93.7664</v>
      </c>
      <c r="Q15" s="45">
        <f t="shared" si="9"/>
        <v>140.6496</v>
      </c>
      <c r="R15" s="45">
        <f t="shared" si="10"/>
        <v>74.34336</v>
      </c>
      <c r="S15" s="131"/>
    </row>
    <row r="16" spans="1:19">
      <c r="A16" s="26" t="s">
        <v>103</v>
      </c>
      <c r="B16" s="85">
        <v>0.079</v>
      </c>
      <c r="C16" s="107">
        <v>3</v>
      </c>
      <c r="D16" s="28" t="s">
        <v>44</v>
      </c>
      <c r="E16" s="24" t="s">
        <v>42</v>
      </c>
      <c r="F16" s="45" t="s">
        <v>82</v>
      </c>
      <c r="G16" s="27">
        <v>6.901</v>
      </c>
      <c r="H16" s="26">
        <f t="shared" si="0"/>
        <v>82.812</v>
      </c>
      <c r="I16" s="45">
        <f t="shared" si="1"/>
        <v>91.99033</v>
      </c>
      <c r="J16" s="26">
        <f t="shared" si="2"/>
        <v>96.614</v>
      </c>
      <c r="K16" s="26">
        <f t="shared" si="3"/>
        <v>85.2935996</v>
      </c>
      <c r="L16" s="45">
        <f t="shared" si="4"/>
        <v>66.2496</v>
      </c>
      <c r="M16" s="45">
        <f t="shared" si="5"/>
        <v>99.3744</v>
      </c>
      <c r="N16" s="45">
        <f t="shared" si="6"/>
        <v>73.56466</v>
      </c>
      <c r="O16" s="45">
        <f t="shared" si="7"/>
        <v>110.416</v>
      </c>
      <c r="P16" s="45">
        <f t="shared" si="8"/>
        <v>77.2912</v>
      </c>
      <c r="Q16" s="45">
        <f t="shared" si="9"/>
        <v>115.9368</v>
      </c>
      <c r="R16" s="45">
        <f t="shared" si="10"/>
        <v>61.28088</v>
      </c>
      <c r="S16" s="131"/>
    </row>
    <row r="17" spans="1:19">
      <c r="A17" s="26" t="s">
        <v>103</v>
      </c>
      <c r="B17" s="85">
        <v>0.0889</v>
      </c>
      <c r="C17" s="107">
        <v>3.5</v>
      </c>
      <c r="D17" s="28" t="s">
        <v>41</v>
      </c>
      <c r="E17" s="24" t="s">
        <v>42</v>
      </c>
      <c r="F17" s="45" t="s">
        <v>82</v>
      </c>
      <c r="G17" s="27">
        <v>9.947</v>
      </c>
      <c r="H17" s="26">
        <f t="shared" si="0"/>
        <v>119.364</v>
      </c>
      <c r="I17" s="45">
        <f t="shared" si="1"/>
        <v>132.59351</v>
      </c>
      <c r="J17" s="26">
        <f t="shared" si="2"/>
        <v>139.258</v>
      </c>
      <c r="K17" s="26">
        <f t="shared" si="3"/>
        <v>122.9409412</v>
      </c>
      <c r="L17" s="45">
        <f t="shared" si="4"/>
        <v>95.4912</v>
      </c>
      <c r="M17" s="45">
        <f t="shared" si="5"/>
        <v>143.2368</v>
      </c>
      <c r="N17" s="45">
        <f t="shared" si="6"/>
        <v>106.03502</v>
      </c>
      <c r="O17" s="45">
        <f t="shared" si="7"/>
        <v>159.152</v>
      </c>
      <c r="P17" s="45">
        <f t="shared" si="8"/>
        <v>111.4064</v>
      </c>
      <c r="Q17" s="45">
        <f t="shared" si="9"/>
        <v>167.1096</v>
      </c>
      <c r="R17" s="45">
        <f t="shared" si="10"/>
        <v>88.32936</v>
      </c>
      <c r="S17" s="131"/>
    </row>
    <row r="18" spans="1:19">
      <c r="A18" s="26" t="s">
        <v>103</v>
      </c>
      <c r="B18" s="85">
        <v>0.0889</v>
      </c>
      <c r="C18" s="107">
        <v>3.5</v>
      </c>
      <c r="D18" s="28" t="s">
        <v>41</v>
      </c>
      <c r="E18" s="24" t="s">
        <v>42</v>
      </c>
      <c r="F18" s="45" t="s">
        <v>86</v>
      </c>
      <c r="G18" s="27">
        <v>9.267</v>
      </c>
      <c r="H18" s="26">
        <f t="shared" si="0"/>
        <v>111.204</v>
      </c>
      <c r="I18" s="45">
        <f t="shared" si="1"/>
        <v>123.52911</v>
      </c>
      <c r="J18" s="26">
        <f t="shared" si="2"/>
        <v>129.738</v>
      </c>
      <c r="K18" s="26">
        <f t="shared" si="3"/>
        <v>114.5364132</v>
      </c>
      <c r="L18" s="45">
        <f t="shared" si="4"/>
        <v>88.9632</v>
      </c>
      <c r="M18" s="45">
        <f t="shared" si="5"/>
        <v>133.4448</v>
      </c>
      <c r="N18" s="45">
        <f t="shared" si="6"/>
        <v>98.78622</v>
      </c>
      <c r="O18" s="45">
        <f t="shared" si="7"/>
        <v>148.272</v>
      </c>
      <c r="P18" s="45">
        <f t="shared" si="8"/>
        <v>103.7904</v>
      </c>
      <c r="Q18" s="45">
        <f t="shared" si="9"/>
        <v>155.6856</v>
      </c>
      <c r="R18" s="45">
        <f t="shared" si="10"/>
        <v>82.29096</v>
      </c>
      <c r="S18" s="131"/>
    </row>
    <row r="19" spans="1:19">
      <c r="A19" s="26" t="s">
        <v>103</v>
      </c>
      <c r="B19" s="85">
        <v>0.0889</v>
      </c>
      <c r="C19" s="107">
        <v>3.5</v>
      </c>
      <c r="D19" s="28" t="s">
        <v>44</v>
      </c>
      <c r="E19" s="24" t="s">
        <v>42</v>
      </c>
      <c r="F19" s="45" t="s">
        <v>86</v>
      </c>
      <c r="G19" s="27">
        <v>6.227</v>
      </c>
      <c r="H19" s="26">
        <f t="shared" ref="H19:H30" si="11">G19*12</f>
        <v>74.724</v>
      </c>
      <c r="I19" s="45">
        <f t="shared" ref="I19:I30" si="12">G19*13.33</f>
        <v>83.00591</v>
      </c>
      <c r="J19" s="26">
        <f t="shared" ref="J19:J30" si="13">G19*14</f>
        <v>87.178</v>
      </c>
      <c r="K19" s="26">
        <f t="shared" ref="K19:K30" si="14">G19*11.66*1.06</f>
        <v>76.9632292</v>
      </c>
      <c r="L19" s="45">
        <f t="shared" ref="L19:L30" si="15">G19*9.6</f>
        <v>59.7792</v>
      </c>
      <c r="M19" s="45">
        <f t="shared" ref="M19:M30" si="16">G19*14.4</f>
        <v>89.6688</v>
      </c>
      <c r="N19" s="45">
        <f t="shared" ref="N19:N30" si="17">G19*10.66</f>
        <v>66.37982</v>
      </c>
      <c r="O19" s="45">
        <f t="shared" ref="O19:O30" si="18">G19*16</f>
        <v>99.632</v>
      </c>
      <c r="P19" s="45">
        <f t="shared" ref="P19:P30" si="19">G19*11.2</f>
        <v>69.7424</v>
      </c>
      <c r="Q19" s="45">
        <f t="shared" ref="Q19:Q30" si="20">G19*16.8</f>
        <v>104.6136</v>
      </c>
      <c r="R19" s="45">
        <f t="shared" ref="R19:R30" si="21">G19*8.88</f>
        <v>55.29576</v>
      </c>
      <c r="S19" s="131"/>
    </row>
    <row r="20" spans="1:19">
      <c r="A20" s="26" t="s">
        <v>103</v>
      </c>
      <c r="B20" s="85">
        <v>0.1016</v>
      </c>
      <c r="C20" s="37">
        <v>4</v>
      </c>
      <c r="D20" s="28" t="s">
        <v>41</v>
      </c>
      <c r="E20" s="24" t="s">
        <v>42</v>
      </c>
      <c r="F20" s="45" t="s">
        <v>87</v>
      </c>
      <c r="G20" s="27">
        <v>9.21</v>
      </c>
      <c r="H20" s="26">
        <f t="shared" si="11"/>
        <v>110.52</v>
      </c>
      <c r="I20" s="45">
        <f t="shared" si="12"/>
        <v>122.7693</v>
      </c>
      <c r="J20" s="26">
        <f t="shared" si="13"/>
        <v>128.94</v>
      </c>
      <c r="K20" s="26">
        <f t="shared" si="14"/>
        <v>113.831916</v>
      </c>
      <c r="L20" s="45">
        <f t="shared" si="15"/>
        <v>88.416</v>
      </c>
      <c r="M20" s="45">
        <f t="shared" si="16"/>
        <v>132.624</v>
      </c>
      <c r="N20" s="45">
        <f t="shared" si="17"/>
        <v>98.1786</v>
      </c>
      <c r="O20" s="45">
        <f t="shared" si="18"/>
        <v>147.36</v>
      </c>
      <c r="P20" s="45">
        <f t="shared" si="19"/>
        <v>103.152</v>
      </c>
      <c r="Q20" s="45">
        <f t="shared" si="20"/>
        <v>154.728</v>
      </c>
      <c r="R20" s="45">
        <f t="shared" si="21"/>
        <v>81.7848</v>
      </c>
      <c r="S20" s="131"/>
    </row>
    <row r="21" spans="1:19">
      <c r="A21" s="26" t="s">
        <v>103</v>
      </c>
      <c r="B21" s="85">
        <v>0.1016</v>
      </c>
      <c r="C21" s="37">
        <v>4</v>
      </c>
      <c r="D21" s="28" t="s">
        <v>38</v>
      </c>
      <c r="E21" s="24" t="s">
        <v>42</v>
      </c>
      <c r="F21" s="45" t="s">
        <v>87</v>
      </c>
      <c r="G21" s="27">
        <v>17.336</v>
      </c>
      <c r="H21" s="26">
        <f t="shared" si="11"/>
        <v>208.032</v>
      </c>
      <c r="I21" s="45">
        <f t="shared" si="12"/>
        <v>231.08888</v>
      </c>
      <c r="J21" s="26">
        <f t="shared" si="13"/>
        <v>242.704</v>
      </c>
      <c r="K21" s="26">
        <f t="shared" si="14"/>
        <v>214.2660256</v>
      </c>
      <c r="L21" s="45">
        <f t="shared" si="15"/>
        <v>166.4256</v>
      </c>
      <c r="M21" s="45">
        <f t="shared" si="16"/>
        <v>249.6384</v>
      </c>
      <c r="N21" s="45">
        <f t="shared" si="17"/>
        <v>184.80176</v>
      </c>
      <c r="O21" s="45">
        <f t="shared" si="18"/>
        <v>277.376</v>
      </c>
      <c r="P21" s="45">
        <f t="shared" si="19"/>
        <v>194.1632</v>
      </c>
      <c r="Q21" s="45">
        <f t="shared" si="20"/>
        <v>291.2448</v>
      </c>
      <c r="R21" s="45">
        <f t="shared" si="21"/>
        <v>153.94368</v>
      </c>
      <c r="S21" s="131"/>
    </row>
    <row r="22" spans="1:19">
      <c r="A22" s="26" t="s">
        <v>103</v>
      </c>
      <c r="B22" s="85">
        <v>0.1016</v>
      </c>
      <c r="C22" s="37">
        <v>4</v>
      </c>
      <c r="D22" s="28" t="s">
        <v>105</v>
      </c>
      <c r="E22" s="24" t="s">
        <v>42</v>
      </c>
      <c r="F22" s="45" t="s">
        <v>87</v>
      </c>
      <c r="G22" s="27">
        <v>13.001</v>
      </c>
      <c r="H22" s="26">
        <f t="shared" si="11"/>
        <v>156.012</v>
      </c>
      <c r="I22" s="45">
        <f t="shared" si="12"/>
        <v>173.30333</v>
      </c>
      <c r="J22" s="26">
        <f t="shared" si="13"/>
        <v>182.014</v>
      </c>
      <c r="K22" s="26">
        <f t="shared" si="14"/>
        <v>160.6871596</v>
      </c>
      <c r="L22" s="45">
        <f t="shared" si="15"/>
        <v>124.8096</v>
      </c>
      <c r="M22" s="45">
        <f t="shared" si="16"/>
        <v>187.2144</v>
      </c>
      <c r="N22" s="45">
        <f t="shared" si="17"/>
        <v>138.59066</v>
      </c>
      <c r="O22" s="45">
        <f t="shared" si="18"/>
        <v>208.016</v>
      </c>
      <c r="P22" s="45">
        <f t="shared" si="19"/>
        <v>145.6112</v>
      </c>
      <c r="Q22" s="45">
        <f t="shared" si="20"/>
        <v>218.4168</v>
      </c>
      <c r="R22" s="45">
        <f t="shared" si="21"/>
        <v>115.44888</v>
      </c>
      <c r="S22" s="131"/>
    </row>
    <row r="23" spans="1:19">
      <c r="A23" s="26" t="s">
        <v>103</v>
      </c>
      <c r="B23" s="85">
        <v>0.1016</v>
      </c>
      <c r="C23" s="37">
        <v>4</v>
      </c>
      <c r="D23" s="28" t="s">
        <v>44</v>
      </c>
      <c r="E23" s="24" t="s">
        <v>42</v>
      </c>
      <c r="F23" s="45" t="s">
        <v>87</v>
      </c>
      <c r="G23" s="27">
        <v>7.758</v>
      </c>
      <c r="H23" s="26">
        <f t="shared" si="11"/>
        <v>93.096</v>
      </c>
      <c r="I23" s="45">
        <f t="shared" si="12"/>
        <v>103.41414</v>
      </c>
      <c r="J23" s="26">
        <f t="shared" si="13"/>
        <v>108.612</v>
      </c>
      <c r="K23" s="26">
        <f t="shared" si="14"/>
        <v>95.8857768</v>
      </c>
      <c r="L23" s="45">
        <f t="shared" si="15"/>
        <v>74.4768</v>
      </c>
      <c r="M23" s="45">
        <f t="shared" si="16"/>
        <v>111.7152</v>
      </c>
      <c r="N23" s="45">
        <f t="shared" si="17"/>
        <v>82.70028</v>
      </c>
      <c r="O23" s="45">
        <f t="shared" si="18"/>
        <v>124.128</v>
      </c>
      <c r="P23" s="45">
        <f t="shared" si="19"/>
        <v>86.8896</v>
      </c>
      <c r="Q23" s="45">
        <f t="shared" si="20"/>
        <v>130.3344</v>
      </c>
      <c r="R23" s="45">
        <f t="shared" si="21"/>
        <v>68.89104</v>
      </c>
      <c r="S23" s="131"/>
    </row>
    <row r="24" spans="1:19">
      <c r="A24" s="26" t="s">
        <v>103</v>
      </c>
      <c r="B24" s="85">
        <v>0.1016</v>
      </c>
      <c r="C24" s="37">
        <v>4</v>
      </c>
      <c r="D24" s="28" t="s">
        <v>44</v>
      </c>
      <c r="E24" s="24" t="s">
        <v>39</v>
      </c>
      <c r="F24" s="45" t="s">
        <v>106</v>
      </c>
      <c r="G24" s="27">
        <v>7.778</v>
      </c>
      <c r="H24" s="26">
        <f t="shared" si="11"/>
        <v>93.336</v>
      </c>
      <c r="I24" s="45">
        <f t="shared" si="12"/>
        <v>103.68074</v>
      </c>
      <c r="J24" s="26">
        <f t="shared" si="13"/>
        <v>108.892</v>
      </c>
      <c r="K24" s="26">
        <f t="shared" si="14"/>
        <v>96.1329688</v>
      </c>
      <c r="L24" s="45">
        <f t="shared" si="15"/>
        <v>74.6688</v>
      </c>
      <c r="M24" s="45">
        <f t="shared" si="16"/>
        <v>112.0032</v>
      </c>
      <c r="N24" s="45">
        <f t="shared" si="17"/>
        <v>82.91348</v>
      </c>
      <c r="O24" s="45">
        <f t="shared" si="18"/>
        <v>124.448</v>
      </c>
      <c r="P24" s="45">
        <f t="shared" si="19"/>
        <v>87.1136</v>
      </c>
      <c r="Q24" s="45">
        <f t="shared" si="20"/>
        <v>130.6704</v>
      </c>
      <c r="R24" s="45">
        <f t="shared" si="21"/>
        <v>69.06864</v>
      </c>
      <c r="S24" s="131"/>
    </row>
    <row r="25" spans="1:19">
      <c r="A25" s="26" t="s">
        <v>103</v>
      </c>
      <c r="B25" s="85">
        <v>0.127</v>
      </c>
      <c r="C25" s="37">
        <v>5</v>
      </c>
      <c r="D25" s="28" t="s">
        <v>41</v>
      </c>
      <c r="E25" s="24" t="s">
        <v>42</v>
      </c>
      <c r="F25" s="45" t="s">
        <v>87</v>
      </c>
      <c r="G25" s="27">
        <v>9.502</v>
      </c>
      <c r="H25" s="26">
        <f t="shared" si="11"/>
        <v>114.024</v>
      </c>
      <c r="I25" s="45">
        <f t="shared" si="12"/>
        <v>126.66166</v>
      </c>
      <c r="J25" s="26">
        <f t="shared" si="13"/>
        <v>133.028</v>
      </c>
      <c r="K25" s="26">
        <f t="shared" si="14"/>
        <v>117.4409192</v>
      </c>
      <c r="L25" s="45">
        <f t="shared" si="15"/>
        <v>91.2192</v>
      </c>
      <c r="M25" s="45">
        <f t="shared" si="16"/>
        <v>136.8288</v>
      </c>
      <c r="N25" s="45">
        <f t="shared" si="17"/>
        <v>101.29132</v>
      </c>
      <c r="O25" s="45">
        <f t="shared" si="18"/>
        <v>152.032</v>
      </c>
      <c r="P25" s="45">
        <f t="shared" si="19"/>
        <v>106.4224</v>
      </c>
      <c r="Q25" s="45">
        <f t="shared" si="20"/>
        <v>159.6336</v>
      </c>
      <c r="R25" s="45">
        <f t="shared" si="21"/>
        <v>84.37776</v>
      </c>
      <c r="S25" s="131"/>
    </row>
    <row r="26" spans="1:19">
      <c r="A26" s="26" t="s">
        <v>103</v>
      </c>
      <c r="B26" s="85">
        <v>0.127</v>
      </c>
      <c r="C26" s="37">
        <v>5</v>
      </c>
      <c r="D26" s="28" t="s">
        <v>41</v>
      </c>
      <c r="E26" s="24" t="s">
        <v>39</v>
      </c>
      <c r="F26" s="45" t="s">
        <v>87</v>
      </c>
      <c r="G26" s="27">
        <v>10.663</v>
      </c>
      <c r="H26" s="26">
        <f t="shared" si="11"/>
        <v>127.956</v>
      </c>
      <c r="I26" s="45">
        <f t="shared" si="12"/>
        <v>142.13779</v>
      </c>
      <c r="J26" s="26">
        <f t="shared" si="13"/>
        <v>149.282</v>
      </c>
      <c r="K26" s="26">
        <f t="shared" si="14"/>
        <v>131.7904148</v>
      </c>
      <c r="L26" s="45">
        <f t="shared" si="15"/>
        <v>102.3648</v>
      </c>
      <c r="M26" s="45">
        <f t="shared" si="16"/>
        <v>153.5472</v>
      </c>
      <c r="N26" s="45">
        <f t="shared" si="17"/>
        <v>113.66758</v>
      </c>
      <c r="O26" s="45">
        <f t="shared" si="18"/>
        <v>170.608</v>
      </c>
      <c r="P26" s="45">
        <f t="shared" si="19"/>
        <v>119.4256</v>
      </c>
      <c r="Q26" s="45">
        <f t="shared" si="20"/>
        <v>179.1384</v>
      </c>
      <c r="R26" s="45">
        <f t="shared" si="21"/>
        <v>94.68744</v>
      </c>
      <c r="S26" s="131"/>
    </row>
    <row r="27" spans="1:19">
      <c r="A27" s="26" t="s">
        <v>103</v>
      </c>
      <c r="B27" s="85">
        <v>0.127</v>
      </c>
      <c r="C27" s="37">
        <v>5</v>
      </c>
      <c r="D27" s="28" t="s">
        <v>44</v>
      </c>
      <c r="E27" s="24" t="s">
        <v>42</v>
      </c>
      <c r="F27" s="45" t="s">
        <v>87</v>
      </c>
      <c r="G27" s="27">
        <v>6.143</v>
      </c>
      <c r="H27" s="26">
        <f t="shared" si="11"/>
        <v>73.716</v>
      </c>
      <c r="I27" s="45">
        <f t="shared" si="12"/>
        <v>81.88619</v>
      </c>
      <c r="J27" s="26">
        <f t="shared" si="13"/>
        <v>86.002</v>
      </c>
      <c r="K27" s="26">
        <f t="shared" si="14"/>
        <v>75.9250228</v>
      </c>
      <c r="L27" s="45">
        <f t="shared" si="15"/>
        <v>58.9728</v>
      </c>
      <c r="M27" s="45">
        <f t="shared" si="16"/>
        <v>88.4592</v>
      </c>
      <c r="N27" s="45">
        <f t="shared" si="17"/>
        <v>65.48438</v>
      </c>
      <c r="O27" s="45">
        <f t="shared" si="18"/>
        <v>98.288</v>
      </c>
      <c r="P27" s="45">
        <f t="shared" si="19"/>
        <v>68.8016</v>
      </c>
      <c r="Q27" s="45">
        <f t="shared" si="20"/>
        <v>103.2024</v>
      </c>
      <c r="R27" s="45">
        <f t="shared" si="21"/>
        <v>54.54984</v>
      </c>
      <c r="S27" s="131"/>
    </row>
    <row r="28" spans="1:19">
      <c r="A28" s="26" t="s">
        <v>103</v>
      </c>
      <c r="B28" s="85">
        <v>0.127</v>
      </c>
      <c r="C28" s="37">
        <v>5</v>
      </c>
      <c r="D28" s="28" t="s">
        <v>44</v>
      </c>
      <c r="E28" s="24" t="s">
        <v>39</v>
      </c>
      <c r="F28" s="45" t="s">
        <v>87</v>
      </c>
      <c r="G28" s="27">
        <v>7.315</v>
      </c>
      <c r="H28" s="26">
        <f t="shared" si="11"/>
        <v>87.78</v>
      </c>
      <c r="I28" s="45">
        <f t="shared" si="12"/>
        <v>97.50895</v>
      </c>
      <c r="J28" s="26">
        <f t="shared" si="13"/>
        <v>102.41</v>
      </c>
      <c r="K28" s="26">
        <f t="shared" si="14"/>
        <v>90.410474</v>
      </c>
      <c r="L28" s="45">
        <f t="shared" si="15"/>
        <v>70.224</v>
      </c>
      <c r="M28" s="45">
        <f t="shared" si="16"/>
        <v>105.336</v>
      </c>
      <c r="N28" s="45">
        <f t="shared" si="17"/>
        <v>77.9779</v>
      </c>
      <c r="O28" s="45">
        <f t="shared" si="18"/>
        <v>117.04</v>
      </c>
      <c r="P28" s="45">
        <f t="shared" si="19"/>
        <v>81.928</v>
      </c>
      <c r="Q28" s="45">
        <f t="shared" si="20"/>
        <v>122.892</v>
      </c>
      <c r="R28" s="45">
        <f t="shared" si="21"/>
        <v>64.9572</v>
      </c>
      <c r="S28" s="131"/>
    </row>
    <row r="29" spans="1:19">
      <c r="A29" s="26" t="s">
        <v>103</v>
      </c>
      <c r="B29" s="85">
        <v>0.127</v>
      </c>
      <c r="C29" s="37">
        <v>5</v>
      </c>
      <c r="D29" s="28" t="s">
        <v>104</v>
      </c>
      <c r="E29" s="24" t="s">
        <v>42</v>
      </c>
      <c r="F29" s="45" t="s">
        <v>87</v>
      </c>
      <c r="G29" s="27">
        <v>8.642</v>
      </c>
      <c r="H29" s="26">
        <f t="shared" si="11"/>
        <v>103.704</v>
      </c>
      <c r="I29" s="45">
        <f t="shared" si="12"/>
        <v>115.19786</v>
      </c>
      <c r="J29" s="26">
        <f t="shared" si="13"/>
        <v>120.988</v>
      </c>
      <c r="K29" s="26">
        <f t="shared" si="14"/>
        <v>106.8116632</v>
      </c>
      <c r="L29" s="45">
        <f t="shared" si="15"/>
        <v>82.9632</v>
      </c>
      <c r="M29" s="45">
        <f t="shared" si="16"/>
        <v>124.4448</v>
      </c>
      <c r="N29" s="45">
        <f t="shared" si="17"/>
        <v>92.12372</v>
      </c>
      <c r="O29" s="45">
        <f t="shared" si="18"/>
        <v>138.272</v>
      </c>
      <c r="P29" s="45">
        <f t="shared" si="19"/>
        <v>96.7904</v>
      </c>
      <c r="Q29" s="45">
        <f t="shared" si="20"/>
        <v>145.1856</v>
      </c>
      <c r="R29" s="45">
        <f t="shared" si="21"/>
        <v>76.74096</v>
      </c>
      <c r="S29" s="131"/>
    </row>
    <row r="30" spans="1:19">
      <c r="A30" s="26" t="s">
        <v>103</v>
      </c>
      <c r="B30" s="85">
        <v>0.127</v>
      </c>
      <c r="C30" s="37">
        <v>5</v>
      </c>
      <c r="D30" s="28" t="s">
        <v>104</v>
      </c>
      <c r="E30" s="24" t="s">
        <v>39</v>
      </c>
      <c r="F30" s="45" t="s">
        <v>87</v>
      </c>
      <c r="G30" s="27">
        <v>9.278</v>
      </c>
      <c r="H30" s="26">
        <f t="shared" si="11"/>
        <v>111.336</v>
      </c>
      <c r="I30" s="45">
        <f t="shared" si="12"/>
        <v>123.67574</v>
      </c>
      <c r="J30" s="26">
        <f t="shared" si="13"/>
        <v>129.892</v>
      </c>
      <c r="K30" s="26">
        <f t="shared" si="14"/>
        <v>114.6723688</v>
      </c>
      <c r="L30" s="45">
        <f t="shared" si="15"/>
        <v>89.0688</v>
      </c>
      <c r="M30" s="45">
        <f t="shared" si="16"/>
        <v>133.6032</v>
      </c>
      <c r="N30" s="45">
        <f t="shared" si="17"/>
        <v>98.90348</v>
      </c>
      <c r="O30" s="45">
        <f t="shared" si="18"/>
        <v>148.448</v>
      </c>
      <c r="P30" s="45">
        <f t="shared" si="19"/>
        <v>103.9136</v>
      </c>
      <c r="Q30" s="45">
        <f t="shared" si="20"/>
        <v>155.8704</v>
      </c>
      <c r="R30" s="45">
        <f t="shared" si="21"/>
        <v>82.38864</v>
      </c>
      <c r="S30" s="131"/>
    </row>
    <row r="31" spans="1:19">
      <c r="A31" s="26" t="s">
        <v>103</v>
      </c>
      <c r="B31" s="85">
        <v>0.1524</v>
      </c>
      <c r="C31" s="37">
        <v>6</v>
      </c>
      <c r="D31" s="28" t="s">
        <v>41</v>
      </c>
      <c r="E31" s="24" t="s">
        <v>42</v>
      </c>
      <c r="F31" s="45" t="s">
        <v>89</v>
      </c>
      <c r="G31" s="27">
        <v>9.604</v>
      </c>
      <c r="H31" s="26">
        <f t="shared" ref="H31:H35" si="22">G31*12</f>
        <v>115.248</v>
      </c>
      <c r="I31" s="45">
        <f t="shared" ref="I31:I35" si="23">G31*13.33</f>
        <v>128.02132</v>
      </c>
      <c r="J31" s="26">
        <f t="shared" ref="J31:J35" si="24">G31*14</f>
        <v>134.456</v>
      </c>
      <c r="K31" s="26">
        <f t="shared" ref="K31:K35" si="25">G31*11.66*1.06</f>
        <v>118.7015984</v>
      </c>
      <c r="L31" s="45">
        <f t="shared" ref="L31:L35" si="26">G31*9.6</f>
        <v>92.1984</v>
      </c>
      <c r="M31" s="45">
        <f t="shared" ref="M31:M35" si="27">G31*14.4</f>
        <v>138.2976</v>
      </c>
      <c r="N31" s="45">
        <f t="shared" ref="N31:N35" si="28">G31*10.66</f>
        <v>102.37864</v>
      </c>
      <c r="O31" s="45">
        <f t="shared" ref="O31:O35" si="29">G31*16</f>
        <v>153.664</v>
      </c>
      <c r="P31" s="45">
        <f t="shared" ref="P31:P35" si="30">G31*11.2</f>
        <v>107.5648</v>
      </c>
      <c r="Q31" s="45">
        <f t="shared" ref="Q31:Q35" si="31">G31*16.8</f>
        <v>161.3472</v>
      </c>
      <c r="R31" s="45">
        <f t="shared" ref="R31:R35" si="32">G31*8.88</f>
        <v>85.28352</v>
      </c>
      <c r="S31" s="131"/>
    </row>
    <row r="32" spans="1:19">
      <c r="A32" s="26" t="s">
        <v>103</v>
      </c>
      <c r="B32" s="85">
        <v>0.1524</v>
      </c>
      <c r="C32" s="37">
        <v>6</v>
      </c>
      <c r="D32" s="28" t="s">
        <v>38</v>
      </c>
      <c r="E32" s="24" t="s">
        <v>42</v>
      </c>
      <c r="F32" s="45" t="s">
        <v>89</v>
      </c>
      <c r="G32" s="27">
        <v>18.496</v>
      </c>
      <c r="H32" s="26">
        <f t="shared" si="22"/>
        <v>221.952</v>
      </c>
      <c r="I32" s="45">
        <f t="shared" si="23"/>
        <v>246.55168</v>
      </c>
      <c r="J32" s="26">
        <f t="shared" si="24"/>
        <v>258.944</v>
      </c>
      <c r="K32" s="26">
        <f t="shared" si="25"/>
        <v>228.6031616</v>
      </c>
      <c r="L32" s="45">
        <f t="shared" si="26"/>
        <v>177.5616</v>
      </c>
      <c r="M32" s="45">
        <f t="shared" si="27"/>
        <v>266.3424</v>
      </c>
      <c r="N32" s="45">
        <f t="shared" si="28"/>
        <v>197.16736</v>
      </c>
      <c r="O32" s="45">
        <f t="shared" si="29"/>
        <v>295.936</v>
      </c>
      <c r="P32" s="45">
        <f t="shared" si="30"/>
        <v>207.1552</v>
      </c>
      <c r="Q32" s="45">
        <f t="shared" si="31"/>
        <v>310.7328</v>
      </c>
      <c r="R32" s="45">
        <f t="shared" si="32"/>
        <v>164.24448</v>
      </c>
      <c r="S32" s="131"/>
    </row>
    <row r="33" spans="1:19">
      <c r="A33" s="26" t="s">
        <v>103</v>
      </c>
      <c r="B33" s="85">
        <v>0.2032</v>
      </c>
      <c r="C33" s="37">
        <v>8</v>
      </c>
      <c r="D33" s="28" t="s">
        <v>41</v>
      </c>
      <c r="E33" s="24" t="s">
        <v>42</v>
      </c>
      <c r="F33" s="45" t="s">
        <v>90</v>
      </c>
      <c r="G33" s="27">
        <v>9.502</v>
      </c>
      <c r="H33" s="26">
        <f t="shared" si="22"/>
        <v>114.024</v>
      </c>
      <c r="I33" s="45">
        <f t="shared" si="23"/>
        <v>126.66166</v>
      </c>
      <c r="J33" s="26">
        <f t="shared" si="24"/>
        <v>133.028</v>
      </c>
      <c r="K33" s="26">
        <f t="shared" si="25"/>
        <v>117.4409192</v>
      </c>
      <c r="L33" s="45">
        <f t="shared" si="26"/>
        <v>91.2192</v>
      </c>
      <c r="M33" s="45">
        <f t="shared" si="27"/>
        <v>136.8288</v>
      </c>
      <c r="N33" s="45">
        <f t="shared" si="28"/>
        <v>101.29132</v>
      </c>
      <c r="O33" s="45">
        <f t="shared" si="29"/>
        <v>152.032</v>
      </c>
      <c r="P33" s="45">
        <f t="shared" si="30"/>
        <v>106.4224</v>
      </c>
      <c r="Q33" s="45">
        <f t="shared" si="31"/>
        <v>159.6336</v>
      </c>
      <c r="R33" s="45">
        <f t="shared" si="32"/>
        <v>84.37776</v>
      </c>
      <c r="S33" s="131"/>
    </row>
    <row r="34" spans="1:19">
      <c r="A34" s="26" t="s">
        <v>103</v>
      </c>
      <c r="B34" s="85">
        <v>0.254</v>
      </c>
      <c r="C34" s="37">
        <v>10</v>
      </c>
      <c r="D34" s="28" t="s">
        <v>41</v>
      </c>
      <c r="E34" s="24" t="s">
        <v>42</v>
      </c>
      <c r="F34" s="45" t="s">
        <v>91</v>
      </c>
      <c r="G34" s="27">
        <v>10.492</v>
      </c>
      <c r="H34" s="26">
        <f t="shared" si="22"/>
        <v>125.904</v>
      </c>
      <c r="I34" s="45">
        <f t="shared" si="23"/>
        <v>139.85836</v>
      </c>
      <c r="J34" s="26">
        <f t="shared" si="24"/>
        <v>146.888</v>
      </c>
      <c r="K34" s="26">
        <f t="shared" si="25"/>
        <v>129.6769232</v>
      </c>
      <c r="L34" s="45">
        <f t="shared" si="26"/>
        <v>100.7232</v>
      </c>
      <c r="M34" s="45">
        <f t="shared" si="27"/>
        <v>151.0848</v>
      </c>
      <c r="N34" s="45">
        <f t="shared" si="28"/>
        <v>111.84472</v>
      </c>
      <c r="O34" s="45">
        <f t="shared" si="29"/>
        <v>167.872</v>
      </c>
      <c r="P34" s="45">
        <f t="shared" si="30"/>
        <v>117.5104</v>
      </c>
      <c r="Q34" s="45">
        <f t="shared" si="31"/>
        <v>176.2656</v>
      </c>
      <c r="R34" s="45">
        <f t="shared" si="32"/>
        <v>93.16896</v>
      </c>
      <c r="S34" s="131"/>
    </row>
    <row r="35" spans="1:19">
      <c r="A35" s="26" t="s">
        <v>103</v>
      </c>
      <c r="B35" s="85">
        <v>0.254</v>
      </c>
      <c r="C35" s="37">
        <v>10</v>
      </c>
      <c r="D35" s="28" t="s">
        <v>105</v>
      </c>
      <c r="E35" s="24" t="s">
        <v>42</v>
      </c>
      <c r="F35" s="45" t="s">
        <v>91</v>
      </c>
      <c r="G35" s="27">
        <v>15.564</v>
      </c>
      <c r="H35" s="26">
        <f t="shared" si="22"/>
        <v>186.768</v>
      </c>
      <c r="I35" s="45">
        <f t="shared" si="23"/>
        <v>207.46812</v>
      </c>
      <c r="J35" s="26">
        <f t="shared" si="24"/>
        <v>217.896</v>
      </c>
      <c r="K35" s="26">
        <f t="shared" si="25"/>
        <v>192.3648144</v>
      </c>
      <c r="L35" s="45">
        <f t="shared" si="26"/>
        <v>149.4144</v>
      </c>
      <c r="M35" s="45">
        <f t="shared" si="27"/>
        <v>224.1216</v>
      </c>
      <c r="N35" s="45">
        <f t="shared" si="28"/>
        <v>165.91224</v>
      </c>
      <c r="O35" s="45">
        <f t="shared" si="29"/>
        <v>249.024</v>
      </c>
      <c r="P35" s="45">
        <f t="shared" si="30"/>
        <v>174.3168</v>
      </c>
      <c r="Q35" s="45">
        <f t="shared" si="31"/>
        <v>261.4752</v>
      </c>
      <c r="R35" s="45">
        <f t="shared" si="32"/>
        <v>138.20832</v>
      </c>
      <c r="S35" s="131"/>
    </row>
    <row r="36" spans="1:19">
      <c r="A36" s="26" t="s">
        <v>103</v>
      </c>
      <c r="B36" s="85">
        <v>0.3048</v>
      </c>
      <c r="C36" s="37">
        <v>12</v>
      </c>
      <c r="D36" s="28" t="s">
        <v>44</v>
      </c>
      <c r="E36" s="24" t="s">
        <v>42</v>
      </c>
      <c r="F36" s="45" t="s">
        <v>93</v>
      </c>
      <c r="G36" s="27">
        <v>7.817</v>
      </c>
      <c r="H36" s="26">
        <f t="shared" ref="H36:H41" si="33">G36*12</f>
        <v>93.804</v>
      </c>
      <c r="I36" s="45">
        <f t="shared" ref="I36:I41" si="34">G36*13.33</f>
        <v>104.20061</v>
      </c>
      <c r="J36" s="26">
        <f t="shared" ref="J36:J41" si="35">G36*14</f>
        <v>109.438</v>
      </c>
      <c r="K36" s="26">
        <f t="shared" ref="K36:K41" si="36">G36*11.66*1.06</f>
        <v>96.6149932</v>
      </c>
      <c r="L36" s="45">
        <f t="shared" ref="L36:L41" si="37">G36*9.6</f>
        <v>75.0432</v>
      </c>
      <c r="M36" s="45">
        <f t="shared" ref="M36:M41" si="38">G36*14.4</f>
        <v>112.5648</v>
      </c>
      <c r="N36" s="45">
        <f t="shared" ref="N36:N41" si="39">G36*10.66</f>
        <v>83.32922</v>
      </c>
      <c r="O36" s="45">
        <f t="shared" ref="O36:O41" si="40">G36*16</f>
        <v>125.072</v>
      </c>
      <c r="P36" s="45">
        <f t="shared" ref="P36:P41" si="41">G36*11.2</f>
        <v>87.5504</v>
      </c>
      <c r="Q36" s="45">
        <f t="shared" ref="Q36:Q41" si="42">G36*16.8</f>
        <v>131.3256</v>
      </c>
      <c r="R36" s="45">
        <f t="shared" ref="R36:R41" si="43">G36*8.88</f>
        <v>69.41496</v>
      </c>
      <c r="S36" s="131"/>
    </row>
    <row r="37" spans="1:19">
      <c r="A37" s="26" t="s">
        <v>103</v>
      </c>
      <c r="B37" s="85">
        <v>0.3048</v>
      </c>
      <c r="C37" s="37">
        <v>12</v>
      </c>
      <c r="D37" s="28" t="s">
        <v>38</v>
      </c>
      <c r="E37" s="24" t="s">
        <v>42</v>
      </c>
      <c r="F37" s="45" t="s">
        <v>93</v>
      </c>
      <c r="G37" s="27">
        <v>22.421</v>
      </c>
      <c r="H37" s="26">
        <f t="shared" si="33"/>
        <v>269.052</v>
      </c>
      <c r="I37" s="45">
        <f t="shared" si="34"/>
        <v>298.87193</v>
      </c>
      <c r="J37" s="26">
        <f t="shared" si="35"/>
        <v>313.894</v>
      </c>
      <c r="K37" s="26">
        <f t="shared" si="36"/>
        <v>277.1145916</v>
      </c>
      <c r="L37" s="45">
        <f t="shared" si="37"/>
        <v>215.2416</v>
      </c>
      <c r="M37" s="45">
        <f t="shared" si="38"/>
        <v>322.8624</v>
      </c>
      <c r="N37" s="45">
        <f t="shared" si="39"/>
        <v>239.00786</v>
      </c>
      <c r="O37" s="45">
        <f t="shared" si="40"/>
        <v>358.736</v>
      </c>
      <c r="P37" s="45">
        <f t="shared" si="41"/>
        <v>251.1152</v>
      </c>
      <c r="Q37" s="45">
        <f t="shared" si="42"/>
        <v>376.6728</v>
      </c>
      <c r="R37" s="45">
        <f t="shared" si="43"/>
        <v>199.09848</v>
      </c>
      <c r="S37" s="131"/>
    </row>
    <row r="38" spans="1:19">
      <c r="A38" s="26" t="s">
        <v>103</v>
      </c>
      <c r="B38" s="85">
        <v>0.381</v>
      </c>
      <c r="C38" s="37">
        <v>15</v>
      </c>
      <c r="D38" s="28" t="s">
        <v>38</v>
      </c>
      <c r="E38" s="24" t="s">
        <v>42</v>
      </c>
      <c r="F38" s="45" t="s">
        <v>43</v>
      </c>
      <c r="G38" s="27">
        <v>22.794</v>
      </c>
      <c r="H38" s="26">
        <f t="shared" si="33"/>
        <v>273.528</v>
      </c>
      <c r="I38" s="45">
        <f t="shared" si="34"/>
        <v>303.84402</v>
      </c>
      <c r="J38" s="26">
        <f t="shared" si="35"/>
        <v>319.116</v>
      </c>
      <c r="K38" s="26">
        <f t="shared" si="36"/>
        <v>281.7247224</v>
      </c>
      <c r="L38" s="45">
        <f t="shared" si="37"/>
        <v>218.8224</v>
      </c>
      <c r="M38" s="45">
        <f t="shared" si="38"/>
        <v>328.2336</v>
      </c>
      <c r="N38" s="45">
        <f t="shared" si="39"/>
        <v>242.98404</v>
      </c>
      <c r="O38" s="45">
        <f t="shared" si="40"/>
        <v>364.704</v>
      </c>
      <c r="P38" s="45">
        <f t="shared" si="41"/>
        <v>255.2928</v>
      </c>
      <c r="Q38" s="45">
        <f t="shared" si="42"/>
        <v>382.9392</v>
      </c>
      <c r="R38" s="45">
        <f t="shared" si="43"/>
        <v>202.41072</v>
      </c>
      <c r="S38" s="131"/>
    </row>
    <row r="39" spans="1:19">
      <c r="A39" s="26" t="s">
        <v>103</v>
      </c>
      <c r="B39" s="85">
        <v>0.381</v>
      </c>
      <c r="C39" s="37">
        <v>15</v>
      </c>
      <c r="D39" s="28" t="s">
        <v>41</v>
      </c>
      <c r="E39" s="24" t="s">
        <v>42</v>
      </c>
      <c r="F39" s="45" t="s">
        <v>43</v>
      </c>
      <c r="G39" s="27">
        <v>12.902</v>
      </c>
      <c r="H39" s="26">
        <f t="shared" si="33"/>
        <v>154.824</v>
      </c>
      <c r="I39" s="45">
        <f t="shared" si="34"/>
        <v>171.98366</v>
      </c>
      <c r="J39" s="26">
        <f t="shared" si="35"/>
        <v>180.628</v>
      </c>
      <c r="K39" s="26">
        <f t="shared" si="36"/>
        <v>159.4635592</v>
      </c>
      <c r="L39" s="45">
        <f t="shared" si="37"/>
        <v>123.8592</v>
      </c>
      <c r="M39" s="45">
        <f t="shared" si="38"/>
        <v>185.7888</v>
      </c>
      <c r="N39" s="45">
        <f t="shared" si="39"/>
        <v>137.53532</v>
      </c>
      <c r="O39" s="45">
        <f t="shared" si="40"/>
        <v>206.432</v>
      </c>
      <c r="P39" s="45">
        <f t="shared" si="41"/>
        <v>144.5024</v>
      </c>
      <c r="Q39" s="45">
        <f t="shared" si="42"/>
        <v>216.7536</v>
      </c>
      <c r="R39" s="45">
        <f t="shared" si="43"/>
        <v>114.56976</v>
      </c>
      <c r="S39" s="131"/>
    </row>
    <row r="40" spans="1:19">
      <c r="A40" s="26" t="s">
        <v>103</v>
      </c>
      <c r="B40" s="85">
        <v>0.4064</v>
      </c>
      <c r="C40" s="37">
        <v>16</v>
      </c>
      <c r="D40" s="28" t="s">
        <v>44</v>
      </c>
      <c r="E40" s="24" t="s">
        <v>42</v>
      </c>
      <c r="F40" s="45" t="s">
        <v>93</v>
      </c>
      <c r="G40" s="27">
        <v>8.014</v>
      </c>
      <c r="H40" s="26">
        <f t="shared" si="33"/>
        <v>96.168</v>
      </c>
      <c r="I40" s="45">
        <f t="shared" si="34"/>
        <v>106.82662</v>
      </c>
      <c r="J40" s="26">
        <f t="shared" si="35"/>
        <v>112.196</v>
      </c>
      <c r="K40" s="26">
        <f t="shared" si="36"/>
        <v>99.0498344</v>
      </c>
      <c r="L40" s="45">
        <f t="shared" si="37"/>
        <v>76.9344</v>
      </c>
      <c r="M40" s="45">
        <f t="shared" si="38"/>
        <v>115.4016</v>
      </c>
      <c r="N40" s="45">
        <f t="shared" si="39"/>
        <v>85.42924</v>
      </c>
      <c r="O40" s="45">
        <f t="shared" si="40"/>
        <v>128.224</v>
      </c>
      <c r="P40" s="45">
        <f t="shared" si="41"/>
        <v>89.7568</v>
      </c>
      <c r="Q40" s="45">
        <f t="shared" si="42"/>
        <v>134.6352</v>
      </c>
      <c r="R40" s="45">
        <f t="shared" si="43"/>
        <v>71.16432</v>
      </c>
      <c r="S40" s="131"/>
    </row>
    <row r="41" spans="1:19">
      <c r="A41" s="26" t="s">
        <v>103</v>
      </c>
      <c r="B41" s="85">
        <v>0.457</v>
      </c>
      <c r="C41" s="37">
        <v>18</v>
      </c>
      <c r="D41" s="28" t="s">
        <v>41</v>
      </c>
      <c r="E41" s="24" t="s">
        <v>42</v>
      </c>
      <c r="F41" s="118" t="s">
        <v>46</v>
      </c>
      <c r="G41" s="27">
        <v>12.096</v>
      </c>
      <c r="H41" s="26">
        <f t="shared" si="33"/>
        <v>145.152</v>
      </c>
      <c r="I41" s="45">
        <f t="shared" si="34"/>
        <v>161.23968</v>
      </c>
      <c r="J41" s="26">
        <f t="shared" si="35"/>
        <v>169.344</v>
      </c>
      <c r="K41" s="26">
        <f t="shared" si="36"/>
        <v>149.5017216</v>
      </c>
      <c r="L41" s="45">
        <f t="shared" si="37"/>
        <v>116.1216</v>
      </c>
      <c r="M41" s="45">
        <f t="shared" si="38"/>
        <v>174.1824</v>
      </c>
      <c r="N41" s="45">
        <f t="shared" si="39"/>
        <v>128.94336</v>
      </c>
      <c r="O41" s="45">
        <f t="shared" si="40"/>
        <v>193.536</v>
      </c>
      <c r="P41" s="45">
        <f t="shared" si="41"/>
        <v>135.4752</v>
      </c>
      <c r="Q41" s="45">
        <f t="shared" si="42"/>
        <v>203.2128</v>
      </c>
      <c r="R41" s="45">
        <f t="shared" si="43"/>
        <v>107.41248</v>
      </c>
      <c r="S41" s="131"/>
    </row>
    <row r="42" spans="1:19">
      <c r="A42" s="26" t="s">
        <v>103</v>
      </c>
      <c r="B42" s="85">
        <v>0.5334</v>
      </c>
      <c r="C42" s="37">
        <v>21</v>
      </c>
      <c r="D42" s="28" t="s">
        <v>41</v>
      </c>
      <c r="E42" s="24" t="s">
        <v>42</v>
      </c>
      <c r="F42" s="45" t="s">
        <v>48</v>
      </c>
      <c r="G42" s="27">
        <v>11.998</v>
      </c>
      <c r="H42" s="26">
        <f t="shared" ref="H42:H65" si="44">G42*12</f>
        <v>143.976</v>
      </c>
      <c r="I42" s="45">
        <f t="shared" ref="I42:I65" si="45">G42*13.33</f>
        <v>159.93334</v>
      </c>
      <c r="J42" s="26">
        <f t="shared" ref="J42:J65" si="46">G42*14</f>
        <v>167.972</v>
      </c>
      <c r="K42" s="26">
        <f t="shared" ref="K42:K65" si="47">G42*11.66*1.06</f>
        <v>148.2904808</v>
      </c>
      <c r="L42" s="45">
        <f t="shared" ref="L42:L65" si="48">G42*9.6</f>
        <v>115.1808</v>
      </c>
      <c r="M42" s="45">
        <f t="shared" ref="M42:M65" si="49">G42*14.4</f>
        <v>172.7712</v>
      </c>
      <c r="N42" s="45">
        <f t="shared" ref="N42:N65" si="50">G42*10.66</f>
        <v>127.89868</v>
      </c>
      <c r="O42" s="45">
        <f t="shared" ref="O42:O65" si="51">G42*16</f>
        <v>191.968</v>
      </c>
      <c r="P42" s="45">
        <f t="shared" ref="P42:P65" si="52">G42*11.2</f>
        <v>134.3776</v>
      </c>
      <c r="Q42" s="45">
        <f t="shared" ref="Q42:Q65" si="53">G42*16.8</f>
        <v>201.5664</v>
      </c>
      <c r="R42" s="45">
        <f t="shared" ref="R42:R65" si="54">G42*8.88</f>
        <v>106.54224</v>
      </c>
      <c r="S42" s="131"/>
    </row>
    <row r="43" spans="1:19">
      <c r="A43" s="26" t="s">
        <v>103</v>
      </c>
      <c r="B43" s="85">
        <v>0.6096</v>
      </c>
      <c r="C43" s="37">
        <v>24</v>
      </c>
      <c r="D43" s="28" t="s">
        <v>38</v>
      </c>
      <c r="E43" s="24" t="s">
        <v>42</v>
      </c>
      <c r="F43" s="45" t="s">
        <v>48</v>
      </c>
      <c r="G43" s="27">
        <v>19.743</v>
      </c>
      <c r="H43" s="26">
        <f t="shared" si="44"/>
        <v>236.916</v>
      </c>
      <c r="I43" s="45">
        <f t="shared" si="45"/>
        <v>263.17419</v>
      </c>
      <c r="J43" s="26">
        <f t="shared" si="46"/>
        <v>276.402</v>
      </c>
      <c r="K43" s="26">
        <f t="shared" si="47"/>
        <v>244.0155828</v>
      </c>
      <c r="L43" s="45">
        <f t="shared" si="48"/>
        <v>189.5328</v>
      </c>
      <c r="M43" s="45">
        <f t="shared" si="49"/>
        <v>284.2992</v>
      </c>
      <c r="N43" s="45">
        <f t="shared" si="50"/>
        <v>210.46038</v>
      </c>
      <c r="O43" s="45">
        <f t="shared" si="51"/>
        <v>315.888</v>
      </c>
      <c r="P43" s="45">
        <f t="shared" si="52"/>
        <v>221.1216</v>
      </c>
      <c r="Q43" s="45">
        <f t="shared" si="53"/>
        <v>331.6824</v>
      </c>
      <c r="R43" s="45">
        <f t="shared" si="54"/>
        <v>175.31784</v>
      </c>
      <c r="S43" s="131"/>
    </row>
    <row r="44" spans="1:19">
      <c r="A44" s="26" t="s">
        <v>103</v>
      </c>
      <c r="B44" s="85">
        <v>0.7112</v>
      </c>
      <c r="C44" s="37">
        <v>28</v>
      </c>
      <c r="D44" s="28" t="s">
        <v>38</v>
      </c>
      <c r="E44" s="24" t="s">
        <v>42</v>
      </c>
      <c r="F44" s="45" t="s">
        <v>49</v>
      </c>
      <c r="G44" s="27">
        <v>20.727</v>
      </c>
      <c r="H44" s="26">
        <f t="shared" si="44"/>
        <v>248.724</v>
      </c>
      <c r="I44" s="45">
        <f t="shared" si="45"/>
        <v>276.29091</v>
      </c>
      <c r="J44" s="26">
        <f t="shared" si="46"/>
        <v>290.178</v>
      </c>
      <c r="K44" s="26">
        <f t="shared" si="47"/>
        <v>256.1774292</v>
      </c>
      <c r="L44" s="45">
        <f t="shared" si="48"/>
        <v>198.9792</v>
      </c>
      <c r="M44" s="45">
        <f t="shared" si="49"/>
        <v>298.4688</v>
      </c>
      <c r="N44" s="45">
        <f t="shared" si="50"/>
        <v>220.94982</v>
      </c>
      <c r="O44" s="45">
        <f t="shared" si="51"/>
        <v>331.632</v>
      </c>
      <c r="P44" s="45">
        <f t="shared" si="52"/>
        <v>232.1424</v>
      </c>
      <c r="Q44" s="45">
        <f t="shared" si="53"/>
        <v>348.2136</v>
      </c>
      <c r="R44" s="45">
        <f t="shared" si="54"/>
        <v>184.05576</v>
      </c>
      <c r="S44" s="131"/>
    </row>
    <row r="45" spans="1:19">
      <c r="A45" s="26" t="s">
        <v>103</v>
      </c>
      <c r="B45" s="85">
        <v>0.7112</v>
      </c>
      <c r="C45" s="37">
        <v>28</v>
      </c>
      <c r="D45" s="28" t="s">
        <v>41</v>
      </c>
      <c r="E45" s="24" t="s">
        <v>42</v>
      </c>
      <c r="F45" s="45" t="s">
        <v>49</v>
      </c>
      <c r="G45" s="27">
        <v>14.545</v>
      </c>
      <c r="H45" s="26">
        <f t="shared" si="44"/>
        <v>174.54</v>
      </c>
      <c r="I45" s="45">
        <f t="shared" si="45"/>
        <v>193.88485</v>
      </c>
      <c r="J45" s="26">
        <f t="shared" si="46"/>
        <v>203.63</v>
      </c>
      <c r="K45" s="26">
        <f t="shared" si="47"/>
        <v>179.770382</v>
      </c>
      <c r="L45" s="45">
        <f t="shared" si="48"/>
        <v>139.632</v>
      </c>
      <c r="M45" s="45">
        <f t="shared" si="49"/>
        <v>209.448</v>
      </c>
      <c r="N45" s="45">
        <f t="shared" si="50"/>
        <v>155.0497</v>
      </c>
      <c r="O45" s="45">
        <f t="shared" si="51"/>
        <v>232.72</v>
      </c>
      <c r="P45" s="45">
        <f t="shared" si="52"/>
        <v>162.904</v>
      </c>
      <c r="Q45" s="45">
        <f t="shared" si="53"/>
        <v>244.356</v>
      </c>
      <c r="R45" s="45">
        <f t="shared" si="54"/>
        <v>129.1596</v>
      </c>
      <c r="S45" s="131"/>
    </row>
    <row r="46" spans="1:19">
      <c r="A46" s="26" t="s">
        <v>103</v>
      </c>
      <c r="B46" s="85">
        <v>0.9144</v>
      </c>
      <c r="C46" s="37">
        <v>36</v>
      </c>
      <c r="D46" s="28" t="s">
        <v>38</v>
      </c>
      <c r="E46" s="24" t="s">
        <v>42</v>
      </c>
      <c r="F46" s="45" t="s">
        <v>49</v>
      </c>
      <c r="G46" s="27">
        <v>21.255</v>
      </c>
      <c r="H46" s="26">
        <f t="shared" si="44"/>
        <v>255.06</v>
      </c>
      <c r="I46" s="45">
        <f t="shared" si="45"/>
        <v>283.32915</v>
      </c>
      <c r="J46" s="26">
        <f t="shared" si="46"/>
        <v>297.57</v>
      </c>
      <c r="K46" s="26">
        <f t="shared" si="47"/>
        <v>262.703298</v>
      </c>
      <c r="L46" s="45">
        <f t="shared" si="48"/>
        <v>204.048</v>
      </c>
      <c r="M46" s="45">
        <f t="shared" si="49"/>
        <v>306.072</v>
      </c>
      <c r="N46" s="45">
        <f t="shared" si="50"/>
        <v>226.5783</v>
      </c>
      <c r="O46" s="45">
        <f t="shared" si="51"/>
        <v>340.08</v>
      </c>
      <c r="P46" s="45">
        <f t="shared" si="52"/>
        <v>238.056</v>
      </c>
      <c r="Q46" s="45">
        <f t="shared" si="53"/>
        <v>357.084</v>
      </c>
      <c r="R46" s="45">
        <f t="shared" si="54"/>
        <v>188.7444</v>
      </c>
      <c r="S46" s="131"/>
    </row>
    <row r="47" spans="1:19">
      <c r="A47" s="26" t="s">
        <v>103</v>
      </c>
      <c r="B47" s="85">
        <v>0.9144</v>
      </c>
      <c r="C47" s="37">
        <v>36</v>
      </c>
      <c r="D47" s="28" t="s">
        <v>41</v>
      </c>
      <c r="E47" s="24" t="s">
        <v>42</v>
      </c>
      <c r="F47" s="45" t="s">
        <v>49</v>
      </c>
      <c r="G47" s="27">
        <v>15.325</v>
      </c>
      <c r="H47" s="26">
        <f t="shared" si="44"/>
        <v>183.9</v>
      </c>
      <c r="I47" s="45">
        <f t="shared" si="45"/>
        <v>204.28225</v>
      </c>
      <c r="J47" s="26">
        <f t="shared" si="46"/>
        <v>214.55</v>
      </c>
      <c r="K47" s="26">
        <f t="shared" si="47"/>
        <v>189.41087</v>
      </c>
      <c r="L47" s="45">
        <f t="shared" si="48"/>
        <v>147.12</v>
      </c>
      <c r="M47" s="45">
        <f t="shared" si="49"/>
        <v>220.68</v>
      </c>
      <c r="N47" s="45">
        <f t="shared" si="50"/>
        <v>163.3645</v>
      </c>
      <c r="O47" s="45">
        <f t="shared" si="51"/>
        <v>245.2</v>
      </c>
      <c r="P47" s="45">
        <f t="shared" si="52"/>
        <v>171.64</v>
      </c>
      <c r="Q47" s="45">
        <f t="shared" si="53"/>
        <v>257.46</v>
      </c>
      <c r="R47" s="45">
        <f t="shared" si="54"/>
        <v>136.086</v>
      </c>
      <c r="S47" s="131"/>
    </row>
    <row r="48" spans="1:19">
      <c r="A48" s="26" t="s">
        <v>103</v>
      </c>
      <c r="B48" s="85">
        <v>0.9906</v>
      </c>
      <c r="C48" s="37">
        <v>39</v>
      </c>
      <c r="D48" s="28" t="s">
        <v>41</v>
      </c>
      <c r="E48" s="24" t="s">
        <v>42</v>
      </c>
      <c r="F48" s="45" t="s">
        <v>51</v>
      </c>
      <c r="G48" s="27">
        <v>13.819</v>
      </c>
      <c r="H48" s="26">
        <f t="shared" si="44"/>
        <v>165.828</v>
      </c>
      <c r="I48" s="45">
        <f t="shared" si="45"/>
        <v>184.20727</v>
      </c>
      <c r="J48" s="26">
        <f t="shared" si="46"/>
        <v>193.466</v>
      </c>
      <c r="K48" s="26">
        <f t="shared" si="47"/>
        <v>170.7973124</v>
      </c>
      <c r="L48" s="45">
        <f t="shared" si="48"/>
        <v>132.6624</v>
      </c>
      <c r="M48" s="45">
        <f t="shared" si="49"/>
        <v>198.9936</v>
      </c>
      <c r="N48" s="45">
        <f t="shared" si="50"/>
        <v>147.31054</v>
      </c>
      <c r="O48" s="45">
        <f t="shared" si="51"/>
        <v>221.104</v>
      </c>
      <c r="P48" s="45">
        <f t="shared" si="52"/>
        <v>154.7728</v>
      </c>
      <c r="Q48" s="45">
        <f t="shared" si="53"/>
        <v>232.1592</v>
      </c>
      <c r="R48" s="45">
        <f t="shared" si="54"/>
        <v>122.71272</v>
      </c>
      <c r="S48" s="131"/>
    </row>
    <row r="49" spans="1:19">
      <c r="A49" s="26" t="s">
        <v>103</v>
      </c>
      <c r="B49" s="85">
        <v>0.9906</v>
      </c>
      <c r="C49" s="37">
        <v>39</v>
      </c>
      <c r="D49" s="28" t="s">
        <v>38</v>
      </c>
      <c r="E49" s="24" t="s">
        <v>42</v>
      </c>
      <c r="F49" s="118" t="s">
        <v>50</v>
      </c>
      <c r="G49" s="27">
        <v>22.111</v>
      </c>
      <c r="H49" s="26">
        <f t="shared" si="44"/>
        <v>265.332</v>
      </c>
      <c r="I49" s="45">
        <f t="shared" si="45"/>
        <v>294.73963</v>
      </c>
      <c r="J49" s="26">
        <f t="shared" si="46"/>
        <v>309.554</v>
      </c>
      <c r="K49" s="26">
        <f t="shared" si="47"/>
        <v>273.2831156</v>
      </c>
      <c r="L49" s="45">
        <f t="shared" si="48"/>
        <v>212.2656</v>
      </c>
      <c r="M49" s="45">
        <f t="shared" si="49"/>
        <v>318.3984</v>
      </c>
      <c r="N49" s="45">
        <f t="shared" si="50"/>
        <v>235.70326</v>
      </c>
      <c r="O49" s="45">
        <f t="shared" si="51"/>
        <v>353.776</v>
      </c>
      <c r="P49" s="45">
        <f t="shared" si="52"/>
        <v>247.6432</v>
      </c>
      <c r="Q49" s="45">
        <f t="shared" si="53"/>
        <v>371.4648</v>
      </c>
      <c r="R49" s="45">
        <f t="shared" si="54"/>
        <v>196.34568</v>
      </c>
      <c r="S49" s="131"/>
    </row>
    <row r="50" spans="1:19">
      <c r="A50" s="26" t="s">
        <v>103</v>
      </c>
      <c r="B50" s="85">
        <v>1.0922</v>
      </c>
      <c r="C50" s="37">
        <v>43</v>
      </c>
      <c r="D50" s="28" t="s">
        <v>41</v>
      </c>
      <c r="E50" s="24" t="s">
        <v>42</v>
      </c>
      <c r="F50" s="45" t="s">
        <v>52</v>
      </c>
      <c r="G50" s="27">
        <v>15.101</v>
      </c>
      <c r="H50" s="26">
        <f t="shared" si="44"/>
        <v>181.212</v>
      </c>
      <c r="I50" s="45">
        <f t="shared" si="45"/>
        <v>201.29633</v>
      </c>
      <c r="J50" s="26">
        <f t="shared" si="46"/>
        <v>211.414</v>
      </c>
      <c r="K50" s="26">
        <f t="shared" si="47"/>
        <v>186.6423196</v>
      </c>
      <c r="L50" s="45">
        <f t="shared" si="48"/>
        <v>144.9696</v>
      </c>
      <c r="M50" s="45">
        <f t="shared" si="49"/>
        <v>217.4544</v>
      </c>
      <c r="N50" s="45">
        <f t="shared" si="50"/>
        <v>160.97666</v>
      </c>
      <c r="O50" s="45">
        <f t="shared" si="51"/>
        <v>241.616</v>
      </c>
      <c r="P50" s="45">
        <f t="shared" si="52"/>
        <v>169.1312</v>
      </c>
      <c r="Q50" s="45">
        <f t="shared" si="53"/>
        <v>253.6968</v>
      </c>
      <c r="R50" s="45">
        <f t="shared" si="54"/>
        <v>134.09688</v>
      </c>
      <c r="S50" s="131"/>
    </row>
    <row r="51" spans="1:19">
      <c r="A51" s="26" t="s">
        <v>103</v>
      </c>
      <c r="B51" s="85">
        <v>1.1938</v>
      </c>
      <c r="C51" s="37">
        <v>47</v>
      </c>
      <c r="D51" s="28" t="s">
        <v>38</v>
      </c>
      <c r="E51" s="24" t="s">
        <v>42</v>
      </c>
      <c r="F51" s="45" t="s">
        <v>52</v>
      </c>
      <c r="G51" s="27">
        <v>23.491</v>
      </c>
      <c r="H51" s="26">
        <f t="shared" si="44"/>
        <v>281.892</v>
      </c>
      <c r="I51" s="45">
        <f t="shared" si="45"/>
        <v>313.13503</v>
      </c>
      <c r="J51" s="26">
        <f t="shared" si="46"/>
        <v>328.874</v>
      </c>
      <c r="K51" s="26">
        <f t="shared" si="47"/>
        <v>290.3393636</v>
      </c>
      <c r="L51" s="45">
        <f t="shared" si="48"/>
        <v>225.5136</v>
      </c>
      <c r="M51" s="45">
        <f t="shared" si="49"/>
        <v>338.2704</v>
      </c>
      <c r="N51" s="45">
        <f t="shared" si="50"/>
        <v>250.41406</v>
      </c>
      <c r="O51" s="45">
        <f t="shared" si="51"/>
        <v>375.856</v>
      </c>
      <c r="P51" s="45">
        <f t="shared" si="52"/>
        <v>263.0992</v>
      </c>
      <c r="Q51" s="45">
        <f t="shared" si="53"/>
        <v>394.6488</v>
      </c>
      <c r="R51" s="45">
        <f t="shared" si="54"/>
        <v>208.60008</v>
      </c>
      <c r="S51" s="131"/>
    </row>
    <row r="52" spans="1:19">
      <c r="A52" s="26" t="s">
        <v>103</v>
      </c>
      <c r="B52" s="85">
        <v>1.1938</v>
      </c>
      <c r="C52" s="37">
        <v>47</v>
      </c>
      <c r="D52" s="28" t="s">
        <v>41</v>
      </c>
      <c r="E52" s="24" t="s">
        <v>42</v>
      </c>
      <c r="F52" s="45" t="s">
        <v>52</v>
      </c>
      <c r="G52" s="27">
        <v>15.214</v>
      </c>
      <c r="H52" s="26">
        <f t="shared" si="44"/>
        <v>182.568</v>
      </c>
      <c r="I52" s="45">
        <f t="shared" si="45"/>
        <v>202.80262</v>
      </c>
      <c r="J52" s="26">
        <f t="shared" si="46"/>
        <v>212.996</v>
      </c>
      <c r="K52" s="26">
        <f t="shared" si="47"/>
        <v>188.0389544</v>
      </c>
      <c r="L52" s="45">
        <f t="shared" si="48"/>
        <v>146.0544</v>
      </c>
      <c r="M52" s="45">
        <f t="shared" si="49"/>
        <v>219.0816</v>
      </c>
      <c r="N52" s="45">
        <f t="shared" si="50"/>
        <v>162.18124</v>
      </c>
      <c r="O52" s="45">
        <f t="shared" si="51"/>
        <v>243.424</v>
      </c>
      <c r="P52" s="45">
        <f t="shared" si="52"/>
        <v>170.3968</v>
      </c>
      <c r="Q52" s="45">
        <f t="shared" si="53"/>
        <v>255.5952</v>
      </c>
      <c r="R52" s="45">
        <f t="shared" si="54"/>
        <v>135.10032</v>
      </c>
      <c r="S52" s="131"/>
    </row>
    <row r="53" spans="1:19">
      <c r="A53" s="26" t="s">
        <v>103</v>
      </c>
      <c r="B53" s="85">
        <v>1.1938</v>
      </c>
      <c r="C53" s="37">
        <v>47</v>
      </c>
      <c r="D53" s="28" t="s">
        <v>44</v>
      </c>
      <c r="E53" s="24" t="s">
        <v>42</v>
      </c>
      <c r="F53" s="45" t="s">
        <v>52</v>
      </c>
      <c r="G53" s="27">
        <v>13.028</v>
      </c>
      <c r="H53" s="26">
        <f t="shared" si="44"/>
        <v>156.336</v>
      </c>
      <c r="I53" s="45">
        <f t="shared" si="45"/>
        <v>173.66324</v>
      </c>
      <c r="J53" s="26">
        <f t="shared" si="46"/>
        <v>182.392</v>
      </c>
      <c r="K53" s="26">
        <f t="shared" si="47"/>
        <v>161.0208688</v>
      </c>
      <c r="L53" s="45">
        <f t="shared" si="48"/>
        <v>125.0688</v>
      </c>
      <c r="M53" s="45">
        <f t="shared" si="49"/>
        <v>187.6032</v>
      </c>
      <c r="N53" s="45">
        <f t="shared" si="50"/>
        <v>138.87848</v>
      </c>
      <c r="O53" s="45">
        <f t="shared" si="51"/>
        <v>208.448</v>
      </c>
      <c r="P53" s="45">
        <f t="shared" si="52"/>
        <v>145.9136</v>
      </c>
      <c r="Q53" s="45">
        <f t="shared" si="53"/>
        <v>218.8704</v>
      </c>
      <c r="R53" s="45">
        <f t="shared" si="54"/>
        <v>115.68864</v>
      </c>
      <c r="S53" s="131"/>
    </row>
    <row r="54" spans="1:19">
      <c r="A54" s="26" t="s">
        <v>103</v>
      </c>
      <c r="B54" s="85">
        <v>1.4986</v>
      </c>
      <c r="C54" s="37">
        <v>59</v>
      </c>
      <c r="D54" s="28" t="s">
        <v>41</v>
      </c>
      <c r="E54" s="24" t="s">
        <v>42</v>
      </c>
      <c r="F54" s="45" t="s">
        <v>54</v>
      </c>
      <c r="G54" s="27">
        <v>16.582</v>
      </c>
      <c r="H54" s="26">
        <f t="shared" si="44"/>
        <v>198.984</v>
      </c>
      <c r="I54" s="45">
        <f t="shared" si="45"/>
        <v>221.03806</v>
      </c>
      <c r="J54" s="26">
        <f t="shared" si="46"/>
        <v>232.148</v>
      </c>
      <c r="K54" s="26">
        <f t="shared" si="47"/>
        <v>204.9468872</v>
      </c>
      <c r="L54" s="45">
        <f t="shared" si="48"/>
        <v>159.1872</v>
      </c>
      <c r="M54" s="45">
        <f t="shared" si="49"/>
        <v>238.7808</v>
      </c>
      <c r="N54" s="45">
        <f t="shared" si="50"/>
        <v>176.76412</v>
      </c>
      <c r="O54" s="45">
        <f t="shared" si="51"/>
        <v>265.312</v>
      </c>
      <c r="P54" s="45">
        <f t="shared" si="52"/>
        <v>185.7184</v>
      </c>
      <c r="Q54" s="45">
        <f t="shared" si="53"/>
        <v>278.5776</v>
      </c>
      <c r="R54" s="45">
        <f t="shared" si="54"/>
        <v>147.24816</v>
      </c>
      <c r="S54" s="131"/>
    </row>
    <row r="55" spans="1:19">
      <c r="A55" s="26" t="s">
        <v>103</v>
      </c>
      <c r="B55" s="85">
        <v>1.4986</v>
      </c>
      <c r="C55" s="37">
        <v>59</v>
      </c>
      <c r="D55" s="28" t="s">
        <v>44</v>
      </c>
      <c r="E55" s="24" t="s">
        <v>42</v>
      </c>
      <c r="F55" s="45" t="s">
        <v>54</v>
      </c>
      <c r="G55" s="27">
        <v>13.695</v>
      </c>
      <c r="H55" s="26">
        <f t="shared" si="44"/>
        <v>164.34</v>
      </c>
      <c r="I55" s="45">
        <f t="shared" si="45"/>
        <v>182.55435</v>
      </c>
      <c r="J55" s="26">
        <f t="shared" si="46"/>
        <v>191.73</v>
      </c>
      <c r="K55" s="26">
        <f t="shared" si="47"/>
        <v>169.264722</v>
      </c>
      <c r="L55" s="45">
        <f t="shared" si="48"/>
        <v>131.472</v>
      </c>
      <c r="M55" s="45">
        <f t="shared" si="49"/>
        <v>197.208</v>
      </c>
      <c r="N55" s="45">
        <f t="shared" si="50"/>
        <v>145.9887</v>
      </c>
      <c r="O55" s="45">
        <f t="shared" si="51"/>
        <v>219.12</v>
      </c>
      <c r="P55" s="45">
        <f t="shared" si="52"/>
        <v>153.384</v>
      </c>
      <c r="Q55" s="45">
        <f t="shared" si="53"/>
        <v>230.076</v>
      </c>
      <c r="R55" s="45">
        <f t="shared" si="54"/>
        <v>121.6116</v>
      </c>
      <c r="S55" s="131"/>
    </row>
    <row r="56" spans="1:19">
      <c r="A56" s="26" t="s">
        <v>103</v>
      </c>
      <c r="B56" s="85">
        <v>1.4986</v>
      </c>
      <c r="C56" s="37">
        <v>59</v>
      </c>
      <c r="D56" s="28" t="s">
        <v>38</v>
      </c>
      <c r="E56" s="24" t="s">
        <v>42</v>
      </c>
      <c r="F56" s="45" t="s">
        <v>53</v>
      </c>
      <c r="G56" s="27">
        <v>24.422</v>
      </c>
      <c r="H56" s="26">
        <f t="shared" si="44"/>
        <v>293.064</v>
      </c>
      <c r="I56" s="45">
        <f t="shared" si="45"/>
        <v>325.54526</v>
      </c>
      <c r="J56" s="26">
        <f t="shared" si="46"/>
        <v>341.908</v>
      </c>
      <c r="K56" s="26">
        <f t="shared" si="47"/>
        <v>301.8461512</v>
      </c>
      <c r="L56" s="45">
        <f t="shared" si="48"/>
        <v>234.4512</v>
      </c>
      <c r="M56" s="45">
        <f t="shared" si="49"/>
        <v>351.6768</v>
      </c>
      <c r="N56" s="45">
        <f t="shared" si="50"/>
        <v>260.33852</v>
      </c>
      <c r="O56" s="45">
        <f t="shared" si="51"/>
        <v>390.752</v>
      </c>
      <c r="P56" s="45">
        <f t="shared" si="52"/>
        <v>273.5264</v>
      </c>
      <c r="Q56" s="45">
        <f t="shared" si="53"/>
        <v>410.2896</v>
      </c>
      <c r="R56" s="45">
        <f t="shared" si="54"/>
        <v>216.86736</v>
      </c>
      <c r="S56" s="131"/>
    </row>
    <row r="57" spans="1:19">
      <c r="A57" s="26" t="s">
        <v>103</v>
      </c>
      <c r="B57" s="85">
        <v>1.5748</v>
      </c>
      <c r="C57" s="37">
        <v>62</v>
      </c>
      <c r="D57" s="28" t="s">
        <v>41</v>
      </c>
      <c r="E57" s="24" t="s">
        <v>42</v>
      </c>
      <c r="F57" s="45" t="s">
        <v>54</v>
      </c>
      <c r="G57" s="27">
        <v>17.107</v>
      </c>
      <c r="H57" s="26">
        <f t="shared" si="44"/>
        <v>205.284</v>
      </c>
      <c r="I57" s="45">
        <f t="shared" si="45"/>
        <v>228.03631</v>
      </c>
      <c r="J57" s="26">
        <f t="shared" si="46"/>
        <v>239.498</v>
      </c>
      <c r="K57" s="26">
        <f t="shared" si="47"/>
        <v>211.4356772</v>
      </c>
      <c r="L57" s="45">
        <f t="shared" si="48"/>
        <v>164.2272</v>
      </c>
      <c r="M57" s="45">
        <f t="shared" si="49"/>
        <v>246.3408</v>
      </c>
      <c r="N57" s="45">
        <f t="shared" si="50"/>
        <v>182.36062</v>
      </c>
      <c r="O57" s="45">
        <f t="shared" si="51"/>
        <v>273.712</v>
      </c>
      <c r="P57" s="45">
        <f t="shared" si="52"/>
        <v>191.5984</v>
      </c>
      <c r="Q57" s="45">
        <f t="shared" si="53"/>
        <v>287.3976</v>
      </c>
      <c r="R57" s="45">
        <f t="shared" si="54"/>
        <v>151.91016</v>
      </c>
      <c r="S57" s="131"/>
    </row>
    <row r="58" spans="1:19">
      <c r="A58" s="26" t="s">
        <v>103</v>
      </c>
      <c r="B58" s="85">
        <v>1.5748</v>
      </c>
      <c r="C58" s="37">
        <v>62</v>
      </c>
      <c r="D58" s="28" t="s">
        <v>38</v>
      </c>
      <c r="E58" s="24" t="s">
        <v>42</v>
      </c>
      <c r="F58" s="45" t="s">
        <v>54</v>
      </c>
      <c r="G58" s="27">
        <v>24.875</v>
      </c>
      <c r="H58" s="26">
        <f t="shared" si="44"/>
        <v>298.5</v>
      </c>
      <c r="I58" s="45">
        <f t="shared" si="45"/>
        <v>331.58375</v>
      </c>
      <c r="J58" s="26">
        <f t="shared" si="46"/>
        <v>348.25</v>
      </c>
      <c r="K58" s="26">
        <f t="shared" si="47"/>
        <v>307.44505</v>
      </c>
      <c r="L58" s="45">
        <f t="shared" si="48"/>
        <v>238.8</v>
      </c>
      <c r="M58" s="45">
        <f t="shared" si="49"/>
        <v>358.2</v>
      </c>
      <c r="N58" s="45">
        <f t="shared" si="50"/>
        <v>265.1675</v>
      </c>
      <c r="O58" s="45">
        <f t="shared" si="51"/>
        <v>398</v>
      </c>
      <c r="P58" s="45">
        <f t="shared" si="52"/>
        <v>278.6</v>
      </c>
      <c r="Q58" s="45">
        <f t="shared" si="53"/>
        <v>417.9</v>
      </c>
      <c r="R58" s="45">
        <f t="shared" si="54"/>
        <v>220.89</v>
      </c>
      <c r="S58" s="131"/>
    </row>
    <row r="59" spans="1:19">
      <c r="A59" s="26" t="s">
        <v>103</v>
      </c>
      <c r="B59" s="85">
        <v>1.5748</v>
      </c>
      <c r="C59" s="37">
        <v>62</v>
      </c>
      <c r="D59" s="28" t="s">
        <v>94</v>
      </c>
      <c r="E59" s="24" t="s">
        <v>42</v>
      </c>
      <c r="F59" s="45" t="s">
        <v>53</v>
      </c>
      <c r="G59" s="27">
        <v>45.675</v>
      </c>
      <c r="H59" s="26">
        <f t="shared" si="44"/>
        <v>548.1</v>
      </c>
      <c r="I59" s="45">
        <f t="shared" si="45"/>
        <v>608.84775</v>
      </c>
      <c r="J59" s="26">
        <f t="shared" si="46"/>
        <v>639.45</v>
      </c>
      <c r="K59" s="26">
        <f t="shared" si="47"/>
        <v>564.52473</v>
      </c>
      <c r="L59" s="45">
        <f t="shared" si="48"/>
        <v>438.48</v>
      </c>
      <c r="M59" s="45">
        <f t="shared" si="49"/>
        <v>657.72</v>
      </c>
      <c r="N59" s="45">
        <f t="shared" si="50"/>
        <v>486.8955</v>
      </c>
      <c r="O59" s="45">
        <f t="shared" si="51"/>
        <v>730.8</v>
      </c>
      <c r="P59" s="45">
        <f t="shared" si="52"/>
        <v>511.56</v>
      </c>
      <c r="Q59" s="45">
        <f t="shared" si="53"/>
        <v>767.34</v>
      </c>
      <c r="R59" s="45">
        <f t="shared" si="54"/>
        <v>405.594</v>
      </c>
      <c r="S59" s="131"/>
    </row>
    <row r="60" spans="1:19">
      <c r="A60" s="26" t="s">
        <v>103</v>
      </c>
      <c r="B60" s="85">
        <v>1.6002</v>
      </c>
      <c r="C60" s="37">
        <v>63</v>
      </c>
      <c r="D60" s="28" t="s">
        <v>38</v>
      </c>
      <c r="E60" s="24" t="s">
        <v>42</v>
      </c>
      <c r="F60" s="45" t="s">
        <v>54</v>
      </c>
      <c r="G60" s="27">
        <v>25.336</v>
      </c>
      <c r="H60" s="26">
        <f t="shared" si="44"/>
        <v>304.032</v>
      </c>
      <c r="I60" s="45">
        <f t="shared" si="45"/>
        <v>337.72888</v>
      </c>
      <c r="J60" s="26">
        <f t="shared" si="46"/>
        <v>354.704</v>
      </c>
      <c r="K60" s="26">
        <f t="shared" si="47"/>
        <v>313.1428256</v>
      </c>
      <c r="L60" s="45">
        <f t="shared" si="48"/>
        <v>243.2256</v>
      </c>
      <c r="M60" s="45">
        <f t="shared" si="49"/>
        <v>364.8384</v>
      </c>
      <c r="N60" s="45">
        <f t="shared" si="50"/>
        <v>270.08176</v>
      </c>
      <c r="O60" s="45">
        <f t="shared" si="51"/>
        <v>405.376</v>
      </c>
      <c r="P60" s="45">
        <f t="shared" si="52"/>
        <v>283.7632</v>
      </c>
      <c r="Q60" s="45">
        <f t="shared" si="53"/>
        <v>425.6448</v>
      </c>
      <c r="R60" s="45">
        <f t="shared" si="54"/>
        <v>224.98368</v>
      </c>
      <c r="S60" s="131"/>
    </row>
    <row r="61" spans="1:19">
      <c r="A61" s="26" t="s">
        <v>103</v>
      </c>
      <c r="B61" s="85">
        <v>1.6002</v>
      </c>
      <c r="C61" s="37">
        <v>63</v>
      </c>
      <c r="D61" s="28" t="s">
        <v>41</v>
      </c>
      <c r="E61" s="24" t="s">
        <v>42</v>
      </c>
      <c r="F61" s="45" t="s">
        <v>54</v>
      </c>
      <c r="G61" s="27">
        <v>17.107</v>
      </c>
      <c r="H61" s="26">
        <f t="shared" si="44"/>
        <v>205.284</v>
      </c>
      <c r="I61" s="45">
        <f t="shared" si="45"/>
        <v>228.03631</v>
      </c>
      <c r="J61" s="26">
        <f t="shared" si="46"/>
        <v>239.498</v>
      </c>
      <c r="K61" s="26">
        <f t="shared" si="47"/>
        <v>211.4356772</v>
      </c>
      <c r="L61" s="45">
        <f t="shared" si="48"/>
        <v>164.2272</v>
      </c>
      <c r="M61" s="45">
        <f t="shared" si="49"/>
        <v>246.3408</v>
      </c>
      <c r="N61" s="45">
        <f t="shared" si="50"/>
        <v>182.36062</v>
      </c>
      <c r="O61" s="45">
        <f t="shared" si="51"/>
        <v>273.712</v>
      </c>
      <c r="P61" s="45">
        <f t="shared" si="52"/>
        <v>191.5984</v>
      </c>
      <c r="Q61" s="45">
        <f t="shared" si="53"/>
        <v>287.3976</v>
      </c>
      <c r="R61" s="45">
        <f t="shared" si="54"/>
        <v>151.91016</v>
      </c>
      <c r="S61" s="131"/>
    </row>
    <row r="62" spans="1:19">
      <c r="A62" s="26" t="s">
        <v>103</v>
      </c>
      <c r="B62" s="85">
        <v>1.6002</v>
      </c>
      <c r="C62" s="37">
        <v>63</v>
      </c>
      <c r="D62" s="28" t="s">
        <v>94</v>
      </c>
      <c r="E62" s="24" t="s">
        <v>42</v>
      </c>
      <c r="F62" s="45" t="s">
        <v>53</v>
      </c>
      <c r="G62" s="27">
        <v>45.676</v>
      </c>
      <c r="H62" s="26">
        <f t="shared" si="44"/>
        <v>548.112</v>
      </c>
      <c r="I62" s="45">
        <f t="shared" si="45"/>
        <v>608.86108</v>
      </c>
      <c r="J62" s="26">
        <f t="shared" si="46"/>
        <v>639.464</v>
      </c>
      <c r="K62" s="26">
        <f t="shared" si="47"/>
        <v>564.5370896</v>
      </c>
      <c r="L62" s="45">
        <f t="shared" si="48"/>
        <v>438.4896</v>
      </c>
      <c r="M62" s="45">
        <f t="shared" si="49"/>
        <v>657.7344</v>
      </c>
      <c r="N62" s="45">
        <f t="shared" si="50"/>
        <v>486.90616</v>
      </c>
      <c r="O62" s="45">
        <f t="shared" si="51"/>
        <v>730.816</v>
      </c>
      <c r="P62" s="45">
        <f t="shared" si="52"/>
        <v>511.5712</v>
      </c>
      <c r="Q62" s="45">
        <f t="shared" si="53"/>
        <v>767.3568</v>
      </c>
      <c r="R62" s="45">
        <f t="shared" si="54"/>
        <v>405.60288</v>
      </c>
      <c r="S62" s="131"/>
    </row>
    <row r="63" spans="1:19">
      <c r="A63" s="26" t="s">
        <v>103</v>
      </c>
      <c r="B63" s="85">
        <v>2.159</v>
      </c>
      <c r="C63" s="37">
        <v>85</v>
      </c>
      <c r="D63" s="28" t="s">
        <v>38</v>
      </c>
      <c r="E63" s="24" t="s">
        <v>42</v>
      </c>
      <c r="F63" s="45" t="s">
        <v>57</v>
      </c>
      <c r="G63" s="27">
        <v>30.302</v>
      </c>
      <c r="H63" s="26">
        <f t="shared" si="44"/>
        <v>363.624</v>
      </c>
      <c r="I63" s="45">
        <f t="shared" si="45"/>
        <v>403.92566</v>
      </c>
      <c r="J63" s="26">
        <f t="shared" si="46"/>
        <v>424.228</v>
      </c>
      <c r="K63" s="26">
        <f t="shared" si="47"/>
        <v>374.5205992</v>
      </c>
      <c r="L63" s="45">
        <f t="shared" si="48"/>
        <v>290.8992</v>
      </c>
      <c r="M63" s="45">
        <f t="shared" si="49"/>
        <v>436.3488</v>
      </c>
      <c r="N63" s="45">
        <f t="shared" si="50"/>
        <v>323.01932</v>
      </c>
      <c r="O63" s="45">
        <f t="shared" si="51"/>
        <v>484.832</v>
      </c>
      <c r="P63" s="45">
        <f t="shared" si="52"/>
        <v>339.3824</v>
      </c>
      <c r="Q63" s="45">
        <f t="shared" si="53"/>
        <v>509.0736</v>
      </c>
      <c r="R63" s="45">
        <f t="shared" si="54"/>
        <v>269.08176</v>
      </c>
      <c r="S63" s="131"/>
    </row>
    <row r="64" spans="1:19">
      <c r="A64" s="26" t="s">
        <v>103</v>
      </c>
      <c r="B64" s="85">
        <v>2.2352</v>
      </c>
      <c r="C64" s="37">
        <v>88</v>
      </c>
      <c r="D64" s="28" t="s">
        <v>38</v>
      </c>
      <c r="E64" s="24" t="s">
        <v>42</v>
      </c>
      <c r="F64" s="45" t="s">
        <v>57</v>
      </c>
      <c r="G64" s="27">
        <v>31.657</v>
      </c>
      <c r="H64" s="26">
        <f t="shared" si="44"/>
        <v>379.884</v>
      </c>
      <c r="I64" s="45">
        <f t="shared" si="45"/>
        <v>421.98781</v>
      </c>
      <c r="J64" s="26">
        <f t="shared" si="46"/>
        <v>443.198</v>
      </c>
      <c r="K64" s="26">
        <f t="shared" si="47"/>
        <v>391.2678572</v>
      </c>
      <c r="L64" s="45">
        <f t="shared" si="48"/>
        <v>303.9072</v>
      </c>
      <c r="M64" s="45">
        <f t="shared" si="49"/>
        <v>455.8608</v>
      </c>
      <c r="N64" s="45">
        <f t="shared" si="50"/>
        <v>337.46362</v>
      </c>
      <c r="O64" s="45">
        <f t="shared" si="51"/>
        <v>506.512</v>
      </c>
      <c r="P64" s="45">
        <f t="shared" si="52"/>
        <v>354.5584</v>
      </c>
      <c r="Q64" s="45">
        <f t="shared" si="53"/>
        <v>531.8376</v>
      </c>
      <c r="R64" s="45">
        <f t="shared" si="54"/>
        <v>281.11416</v>
      </c>
      <c r="S64" s="131"/>
    </row>
    <row r="65" spans="1:19">
      <c r="A65" s="26" t="s">
        <v>103</v>
      </c>
      <c r="B65" s="85">
        <v>2.2352</v>
      </c>
      <c r="C65" s="37">
        <v>88</v>
      </c>
      <c r="D65" s="28" t="s">
        <v>92</v>
      </c>
      <c r="E65" s="24" t="s">
        <v>42</v>
      </c>
      <c r="F65" s="45" t="s">
        <v>56</v>
      </c>
      <c r="G65" s="27">
        <v>41.607</v>
      </c>
      <c r="H65" s="26">
        <f t="shared" si="44"/>
        <v>499.284</v>
      </c>
      <c r="I65" s="45">
        <f t="shared" si="45"/>
        <v>554.62131</v>
      </c>
      <c r="J65" s="26">
        <f t="shared" si="46"/>
        <v>582.498</v>
      </c>
      <c r="K65" s="26">
        <f t="shared" si="47"/>
        <v>514.2458772</v>
      </c>
      <c r="L65" s="45">
        <f t="shared" si="48"/>
        <v>399.4272</v>
      </c>
      <c r="M65" s="45">
        <f t="shared" si="49"/>
        <v>599.1408</v>
      </c>
      <c r="N65" s="45">
        <f t="shared" si="50"/>
        <v>443.53062</v>
      </c>
      <c r="O65" s="45">
        <f t="shared" si="51"/>
        <v>665.712</v>
      </c>
      <c r="P65" s="45">
        <f t="shared" si="52"/>
        <v>465.9984</v>
      </c>
      <c r="Q65" s="45">
        <f t="shared" si="53"/>
        <v>698.9976</v>
      </c>
      <c r="R65" s="45">
        <f t="shared" si="54"/>
        <v>369.47016</v>
      </c>
      <c r="S65" s="131"/>
    </row>
    <row r="66" spans="1:18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ht="19.2" spans="1:18">
      <c r="A67" s="31" t="s">
        <v>107</v>
      </c>
      <c r="B67" s="31"/>
      <c r="C67" s="31"/>
      <c r="D67" s="31"/>
      <c r="E67" s="31"/>
      <c r="F67" s="31"/>
      <c r="G67" s="31"/>
      <c r="H67" s="31"/>
      <c r="I67" s="31"/>
      <c r="J67" s="77"/>
      <c r="K67" s="77"/>
      <c r="L67" s="77"/>
      <c r="M67" s="77"/>
      <c r="N67" s="77"/>
      <c r="O67" s="77"/>
      <c r="P67" s="77"/>
      <c r="Q67" s="77"/>
      <c r="R67" s="77"/>
    </row>
    <row r="68" ht="31.2" spans="1:18">
      <c r="A68" s="32" t="s">
        <v>59</v>
      </c>
      <c r="B68" s="32" t="s">
        <v>60</v>
      </c>
      <c r="C68" s="32" t="s">
        <v>61</v>
      </c>
      <c r="D68" s="32" t="s">
        <v>62</v>
      </c>
      <c r="E68" s="33" t="s">
        <v>63</v>
      </c>
      <c r="F68" s="34"/>
      <c r="G68" s="34"/>
      <c r="H68" s="33" t="s">
        <v>64</v>
      </c>
      <c r="I68" s="33"/>
      <c r="J68" s="77"/>
      <c r="K68" s="77"/>
      <c r="L68" s="77"/>
      <c r="M68" s="77"/>
      <c r="N68" s="77"/>
      <c r="O68" s="77"/>
      <c r="P68" s="77"/>
      <c r="Q68" s="77"/>
      <c r="R68" s="77"/>
    </row>
    <row r="69" ht="31.2" spans="1:18">
      <c r="A69" s="35" t="s">
        <v>65</v>
      </c>
      <c r="B69" s="35" t="s">
        <v>66</v>
      </c>
      <c r="C69" s="35" t="s">
        <v>67</v>
      </c>
      <c r="D69" s="35" t="s">
        <v>68</v>
      </c>
      <c r="E69" s="36" t="s">
        <v>69</v>
      </c>
      <c r="F69" s="36" t="s">
        <v>70</v>
      </c>
      <c r="G69" s="36" t="s">
        <v>71</v>
      </c>
      <c r="H69" s="36" t="s">
        <v>70</v>
      </c>
      <c r="I69" s="36" t="s">
        <v>71</v>
      </c>
      <c r="J69" s="77"/>
      <c r="K69" s="77"/>
      <c r="L69" s="77"/>
      <c r="M69" s="77"/>
      <c r="N69" s="77"/>
      <c r="O69" s="77"/>
      <c r="P69" s="77"/>
      <c r="Q69" s="77"/>
      <c r="R69" s="77"/>
    </row>
    <row r="70" spans="1:18">
      <c r="A70" s="26" t="s">
        <v>108</v>
      </c>
      <c r="B70" s="37">
        <v>106</v>
      </c>
      <c r="C70" s="38">
        <v>0.78</v>
      </c>
      <c r="D70" s="37">
        <v>300</v>
      </c>
      <c r="E70" s="27">
        <v>1.821</v>
      </c>
      <c r="F70" s="39">
        <f t="shared" ref="F70:F80" si="55">G70/D70</f>
        <v>23.89152</v>
      </c>
      <c r="G70" s="39">
        <f t="shared" ref="G70:G80" si="56">E70*3936</f>
        <v>7167.456</v>
      </c>
      <c r="H70" s="39">
        <f t="shared" ref="H70:H80" si="57">I70/D70</f>
        <v>22.696944</v>
      </c>
      <c r="I70" s="26">
        <f t="shared" ref="I70:I80" si="58">G70*0.95</f>
        <v>6809.0832</v>
      </c>
      <c r="J70" s="133">
        <v>0.12</v>
      </c>
      <c r="K70" s="77"/>
      <c r="L70" s="77"/>
      <c r="M70" s="77"/>
      <c r="N70" s="77"/>
      <c r="O70" s="77"/>
      <c r="P70" s="77"/>
      <c r="Q70" s="77"/>
      <c r="R70" s="77"/>
    </row>
    <row r="71" spans="1:18">
      <c r="A71" s="26" t="s">
        <v>108</v>
      </c>
      <c r="B71" s="37">
        <v>106</v>
      </c>
      <c r="C71" s="38">
        <v>0.75</v>
      </c>
      <c r="D71" s="37">
        <v>300</v>
      </c>
      <c r="E71" s="27">
        <v>1.732</v>
      </c>
      <c r="F71" s="39">
        <f t="shared" si="55"/>
        <v>22.72384</v>
      </c>
      <c r="G71" s="39">
        <f t="shared" si="56"/>
        <v>6817.152</v>
      </c>
      <c r="H71" s="39">
        <f t="shared" si="57"/>
        <v>21.587648</v>
      </c>
      <c r="I71" s="26">
        <f t="shared" si="58"/>
        <v>6476.2944</v>
      </c>
      <c r="J71" s="133">
        <v>0.12</v>
      </c>
      <c r="K71" s="77"/>
      <c r="L71" s="77"/>
      <c r="M71" s="77"/>
      <c r="N71" s="77"/>
      <c r="O71" s="77"/>
      <c r="P71" s="77"/>
      <c r="Q71" s="77"/>
      <c r="R71" s="77"/>
    </row>
    <row r="72" spans="1:18">
      <c r="A72" s="26" t="s">
        <v>108</v>
      </c>
      <c r="B72" s="37">
        <v>106</v>
      </c>
      <c r="C72" s="38">
        <v>0.72</v>
      </c>
      <c r="D72" s="37">
        <v>300</v>
      </c>
      <c r="E72" s="27">
        <v>1.706</v>
      </c>
      <c r="F72" s="39">
        <f t="shared" si="55"/>
        <v>22.38272</v>
      </c>
      <c r="G72" s="39">
        <f t="shared" si="56"/>
        <v>6714.816</v>
      </c>
      <c r="H72" s="39">
        <f t="shared" si="57"/>
        <v>21.263584</v>
      </c>
      <c r="I72" s="26">
        <f t="shared" si="58"/>
        <v>6379.0752</v>
      </c>
      <c r="J72" s="133">
        <v>0.12</v>
      </c>
      <c r="K72" s="77"/>
      <c r="L72" s="77"/>
      <c r="M72" s="77"/>
      <c r="N72" s="77"/>
      <c r="O72" s="77"/>
      <c r="P72" s="77"/>
      <c r="Q72" s="77"/>
      <c r="R72" s="77"/>
    </row>
    <row r="73" spans="1:18">
      <c r="A73" s="26" t="s">
        <v>108</v>
      </c>
      <c r="B73" s="37">
        <v>1067</v>
      </c>
      <c r="C73" s="38">
        <v>0.78</v>
      </c>
      <c r="D73" s="37">
        <v>300</v>
      </c>
      <c r="E73" s="27">
        <v>1.893</v>
      </c>
      <c r="F73" s="39">
        <f t="shared" si="55"/>
        <v>24.83616</v>
      </c>
      <c r="G73" s="39">
        <f t="shared" si="56"/>
        <v>7450.848</v>
      </c>
      <c r="H73" s="39">
        <f t="shared" si="57"/>
        <v>23.594352</v>
      </c>
      <c r="I73" s="26">
        <f t="shared" si="58"/>
        <v>7078.3056</v>
      </c>
      <c r="J73" s="133">
        <v>0.12</v>
      </c>
      <c r="K73" s="77"/>
      <c r="L73" s="77"/>
      <c r="M73" s="77"/>
      <c r="N73" s="77"/>
      <c r="O73" s="77"/>
      <c r="P73" s="77"/>
      <c r="Q73" s="77"/>
      <c r="R73" s="77"/>
    </row>
    <row r="74" spans="1:18">
      <c r="A74" s="26" t="s">
        <v>108</v>
      </c>
      <c r="B74" s="37">
        <v>1067</v>
      </c>
      <c r="C74" s="38">
        <v>0.76</v>
      </c>
      <c r="D74" s="37">
        <v>300</v>
      </c>
      <c r="E74" s="27">
        <v>1.893</v>
      </c>
      <c r="F74" s="39">
        <f t="shared" si="55"/>
        <v>24.83616</v>
      </c>
      <c r="G74" s="39">
        <f t="shared" si="56"/>
        <v>7450.848</v>
      </c>
      <c r="H74" s="39">
        <f t="shared" si="57"/>
        <v>23.594352</v>
      </c>
      <c r="I74" s="26">
        <f t="shared" si="58"/>
        <v>7078.3056</v>
      </c>
      <c r="J74" s="133">
        <v>0.12</v>
      </c>
      <c r="K74" s="77"/>
      <c r="L74" s="77"/>
      <c r="M74" s="77"/>
      <c r="N74" s="77"/>
      <c r="O74" s="77"/>
      <c r="P74" s="77"/>
      <c r="Q74" s="77"/>
      <c r="R74" s="77"/>
    </row>
    <row r="75" spans="1:18">
      <c r="A75" s="26" t="s">
        <v>108</v>
      </c>
      <c r="B75" s="37">
        <v>1067</v>
      </c>
      <c r="C75" s="38">
        <v>0.74</v>
      </c>
      <c r="D75" s="37">
        <v>300</v>
      </c>
      <c r="E75" s="27">
        <v>1.893</v>
      </c>
      <c r="F75" s="39">
        <f t="shared" si="55"/>
        <v>24.83616</v>
      </c>
      <c r="G75" s="39">
        <f t="shared" si="56"/>
        <v>7450.848</v>
      </c>
      <c r="H75" s="39">
        <f t="shared" si="57"/>
        <v>23.594352</v>
      </c>
      <c r="I75" s="26">
        <f t="shared" si="58"/>
        <v>7078.3056</v>
      </c>
      <c r="J75" s="133">
        <v>0.12</v>
      </c>
      <c r="K75" s="77"/>
      <c r="L75" s="77"/>
      <c r="M75" s="77"/>
      <c r="N75" s="77"/>
      <c r="O75" s="77"/>
      <c r="P75" s="77"/>
      <c r="Q75" s="77"/>
      <c r="R75" s="77"/>
    </row>
    <row r="76" spans="1:18">
      <c r="A76" s="26" t="s">
        <v>108</v>
      </c>
      <c r="B76" s="37">
        <v>1080</v>
      </c>
      <c r="C76" s="38">
        <v>0.63</v>
      </c>
      <c r="D76" s="37">
        <v>300</v>
      </c>
      <c r="E76" s="27">
        <v>1.557</v>
      </c>
      <c r="F76" s="39">
        <f t="shared" si="55"/>
        <v>20.42784</v>
      </c>
      <c r="G76" s="39">
        <f t="shared" si="56"/>
        <v>6128.352</v>
      </c>
      <c r="H76" s="39">
        <f t="shared" si="57"/>
        <v>19.406448</v>
      </c>
      <c r="I76" s="26">
        <f t="shared" si="58"/>
        <v>5821.9344</v>
      </c>
      <c r="J76" s="133">
        <v>0.12</v>
      </c>
      <c r="K76" s="77"/>
      <c r="L76" s="77"/>
      <c r="M76" s="77"/>
      <c r="N76" s="77"/>
      <c r="O76" s="77"/>
      <c r="P76" s="77"/>
      <c r="Q76" s="77"/>
      <c r="R76" s="77"/>
    </row>
    <row r="77" spans="1:18">
      <c r="A77" s="26" t="s">
        <v>108</v>
      </c>
      <c r="B77" s="37">
        <v>1080</v>
      </c>
      <c r="C77" s="38">
        <v>0.68</v>
      </c>
      <c r="D77" s="37">
        <v>300</v>
      </c>
      <c r="E77" s="27">
        <v>1.648</v>
      </c>
      <c r="F77" s="39">
        <f t="shared" si="55"/>
        <v>21.62176</v>
      </c>
      <c r="G77" s="39">
        <f t="shared" si="56"/>
        <v>6486.528</v>
      </c>
      <c r="H77" s="39">
        <f t="shared" si="57"/>
        <v>20.540672</v>
      </c>
      <c r="I77" s="26">
        <f t="shared" si="58"/>
        <v>6162.2016</v>
      </c>
      <c r="J77" s="133">
        <v>0.12</v>
      </c>
      <c r="K77" s="77"/>
      <c r="L77" s="77"/>
      <c r="M77" s="77"/>
      <c r="N77" s="77"/>
      <c r="O77" s="77"/>
      <c r="P77" s="77"/>
      <c r="Q77" s="77"/>
      <c r="R77" s="77"/>
    </row>
    <row r="78" spans="1:18">
      <c r="A78" s="26" t="s">
        <v>108</v>
      </c>
      <c r="B78" s="37">
        <v>1080</v>
      </c>
      <c r="C78" s="38">
        <v>0.66</v>
      </c>
      <c r="D78" s="37">
        <v>300</v>
      </c>
      <c r="E78" s="27">
        <v>1.624</v>
      </c>
      <c r="F78" s="39">
        <f t="shared" si="55"/>
        <v>21.30688</v>
      </c>
      <c r="G78" s="39">
        <f t="shared" si="56"/>
        <v>6392.064</v>
      </c>
      <c r="H78" s="39">
        <f t="shared" si="57"/>
        <v>20.241536</v>
      </c>
      <c r="I78" s="26">
        <f t="shared" si="58"/>
        <v>6072.4608</v>
      </c>
      <c r="J78" s="133">
        <v>0.12</v>
      </c>
      <c r="K78" s="77"/>
      <c r="L78" s="77"/>
      <c r="M78" s="77"/>
      <c r="N78" s="77"/>
      <c r="O78" s="77"/>
      <c r="P78" s="77"/>
      <c r="Q78" s="77"/>
      <c r="R78" s="77"/>
    </row>
    <row r="79" spans="1:18">
      <c r="A79" s="26" t="s">
        <v>108</v>
      </c>
      <c r="B79" s="37">
        <v>1080</v>
      </c>
      <c r="C79" s="38">
        <v>0.71</v>
      </c>
      <c r="D79" s="37">
        <v>300</v>
      </c>
      <c r="E79" s="27">
        <v>1.645</v>
      </c>
      <c r="F79" s="39">
        <f t="shared" si="55"/>
        <v>21.5824</v>
      </c>
      <c r="G79" s="39">
        <f t="shared" si="56"/>
        <v>6474.72</v>
      </c>
      <c r="H79" s="39">
        <f t="shared" si="57"/>
        <v>20.50328</v>
      </c>
      <c r="I79" s="26">
        <f t="shared" si="58"/>
        <v>6150.984</v>
      </c>
      <c r="J79" s="133">
        <v>0.12</v>
      </c>
      <c r="K79" s="77"/>
      <c r="L79" s="77"/>
      <c r="M79" s="77"/>
      <c r="N79" s="77"/>
      <c r="O79" s="77"/>
      <c r="P79" s="77"/>
      <c r="Q79" s="77"/>
      <c r="R79" s="77"/>
    </row>
    <row r="80" spans="1:18">
      <c r="A80" s="26" t="s">
        <v>108</v>
      </c>
      <c r="B80" s="37">
        <v>1086</v>
      </c>
      <c r="C80" s="38">
        <v>0.64</v>
      </c>
      <c r="D80" s="37">
        <v>300</v>
      </c>
      <c r="E80" s="27">
        <v>1.971</v>
      </c>
      <c r="F80" s="39">
        <f t="shared" si="55"/>
        <v>25.85952</v>
      </c>
      <c r="G80" s="39">
        <f t="shared" si="56"/>
        <v>7757.856</v>
      </c>
      <c r="H80" s="39">
        <f t="shared" si="57"/>
        <v>24.566544</v>
      </c>
      <c r="I80" s="26">
        <f t="shared" si="58"/>
        <v>7369.9632</v>
      </c>
      <c r="J80" s="133">
        <v>0.12</v>
      </c>
      <c r="K80" s="77"/>
      <c r="L80" s="77"/>
      <c r="M80" s="77"/>
      <c r="N80" s="77"/>
      <c r="O80" s="77"/>
      <c r="P80" s="77"/>
      <c r="Q80" s="77"/>
      <c r="R80" s="77"/>
    </row>
    <row r="81" spans="1:18">
      <c r="A81" s="26" t="s">
        <v>108</v>
      </c>
      <c r="B81" s="37">
        <v>1086</v>
      </c>
      <c r="C81" s="38">
        <v>0.65</v>
      </c>
      <c r="D81" s="37">
        <v>300</v>
      </c>
      <c r="E81" s="27">
        <v>1.971</v>
      </c>
      <c r="F81" s="39">
        <f t="shared" ref="F81:F83" si="59">G81/D81</f>
        <v>25.85952</v>
      </c>
      <c r="G81" s="39">
        <f t="shared" ref="G81:G83" si="60">E81*3936</f>
        <v>7757.856</v>
      </c>
      <c r="H81" s="39">
        <f t="shared" ref="H81:H83" si="61">I81/D81</f>
        <v>24.566544</v>
      </c>
      <c r="I81" s="26">
        <f t="shared" ref="I81:I83" si="62">G81*0.95</f>
        <v>7369.9632</v>
      </c>
      <c r="J81" s="133">
        <v>0.12</v>
      </c>
      <c r="K81" s="77"/>
      <c r="L81" s="77"/>
      <c r="M81" s="77"/>
      <c r="N81" s="77"/>
      <c r="O81" s="77"/>
      <c r="P81" s="77"/>
      <c r="Q81" s="77"/>
      <c r="R81" s="77"/>
    </row>
    <row r="82" spans="1:18">
      <c r="A82" s="26" t="s">
        <v>108</v>
      </c>
      <c r="B82" s="37">
        <v>1086</v>
      </c>
      <c r="C82" s="38">
        <v>0.66</v>
      </c>
      <c r="D82" s="37">
        <v>300</v>
      </c>
      <c r="E82" s="27">
        <v>2.035</v>
      </c>
      <c r="F82" s="39">
        <f t="shared" si="59"/>
        <v>26.6992</v>
      </c>
      <c r="G82" s="39">
        <f t="shared" si="60"/>
        <v>8009.76</v>
      </c>
      <c r="H82" s="39">
        <f t="shared" si="61"/>
        <v>25.36424</v>
      </c>
      <c r="I82" s="26">
        <f t="shared" si="62"/>
        <v>7609.272</v>
      </c>
      <c r="J82" s="133">
        <v>0.12</v>
      </c>
      <c r="K82" s="77"/>
      <c r="L82" s="77"/>
      <c r="M82" s="77"/>
      <c r="N82" s="77"/>
      <c r="O82" s="77"/>
      <c r="P82" s="77"/>
      <c r="Q82" s="77"/>
      <c r="R82" s="77"/>
    </row>
    <row r="83" spans="1:18">
      <c r="A83" s="26" t="s">
        <v>108</v>
      </c>
      <c r="B83" s="37">
        <v>1086</v>
      </c>
      <c r="C83" s="38">
        <v>0.68</v>
      </c>
      <c r="D83" s="37">
        <v>300</v>
      </c>
      <c r="E83" s="27">
        <v>2.092</v>
      </c>
      <c r="F83" s="39">
        <f t="shared" si="59"/>
        <v>27.44704</v>
      </c>
      <c r="G83" s="39">
        <f t="shared" si="60"/>
        <v>8234.112</v>
      </c>
      <c r="H83" s="39">
        <f t="shared" si="61"/>
        <v>26.074688</v>
      </c>
      <c r="I83" s="26">
        <f t="shared" si="62"/>
        <v>7822.4064</v>
      </c>
      <c r="J83" s="133">
        <v>0.12</v>
      </c>
      <c r="K83" s="77"/>
      <c r="L83" s="77"/>
      <c r="M83" s="77"/>
      <c r="N83" s="77"/>
      <c r="O83" s="77"/>
      <c r="P83" s="77"/>
      <c r="Q83" s="77"/>
      <c r="R83" s="77"/>
    </row>
    <row r="84" spans="1:18">
      <c r="A84" s="26" t="s">
        <v>108</v>
      </c>
      <c r="B84" s="37">
        <v>1506</v>
      </c>
      <c r="C84" s="38">
        <v>0.45</v>
      </c>
      <c r="D84" s="37">
        <v>150</v>
      </c>
      <c r="E84" s="27">
        <v>2.052</v>
      </c>
      <c r="F84" s="39">
        <f t="shared" ref="F84:F97" si="63">G84/D84</f>
        <v>26.92224</v>
      </c>
      <c r="G84" s="39">
        <f>E84*3936/2</f>
        <v>4038.336</v>
      </c>
      <c r="H84" s="39">
        <f t="shared" ref="H84:H97" si="64">I84/D84</f>
        <v>25.576128</v>
      </c>
      <c r="I84" s="26">
        <f t="shared" ref="I84:I97" si="65">G84*0.95</f>
        <v>3836.4192</v>
      </c>
      <c r="J84" s="133">
        <v>0.12</v>
      </c>
      <c r="K84" s="77"/>
      <c r="L84" s="77"/>
      <c r="M84" s="77"/>
      <c r="N84" s="77"/>
      <c r="O84" s="77"/>
      <c r="P84" s="77"/>
      <c r="Q84" s="77"/>
      <c r="R84" s="77"/>
    </row>
    <row r="85" spans="1:18">
      <c r="A85" s="26" t="s">
        <v>108</v>
      </c>
      <c r="B85" s="37">
        <v>1506</v>
      </c>
      <c r="C85" s="38">
        <v>0.48</v>
      </c>
      <c r="D85" s="37">
        <v>150</v>
      </c>
      <c r="E85" s="27">
        <v>2.078</v>
      </c>
      <c r="F85" s="39">
        <f t="shared" si="63"/>
        <v>27.26336</v>
      </c>
      <c r="G85" s="39">
        <f>E85*3936/2</f>
        <v>4089.504</v>
      </c>
      <c r="H85" s="39">
        <f t="shared" si="64"/>
        <v>25.900192</v>
      </c>
      <c r="I85" s="26">
        <f t="shared" si="65"/>
        <v>3885.0288</v>
      </c>
      <c r="J85" s="133">
        <v>0.12</v>
      </c>
      <c r="K85" s="77"/>
      <c r="L85" s="77"/>
      <c r="M85" s="77"/>
      <c r="N85" s="77"/>
      <c r="O85" s="77"/>
      <c r="P85" s="77"/>
      <c r="Q85" s="77"/>
      <c r="R85" s="77"/>
    </row>
    <row r="86" spans="1:18">
      <c r="A86" s="26" t="s">
        <v>108</v>
      </c>
      <c r="B86" s="37">
        <v>2116</v>
      </c>
      <c r="C86" s="38">
        <v>0.61</v>
      </c>
      <c r="D86" s="37">
        <v>200</v>
      </c>
      <c r="E86" s="27">
        <v>1.765</v>
      </c>
      <c r="F86" s="39">
        <f t="shared" si="63"/>
        <v>23.1568</v>
      </c>
      <c r="G86" s="39">
        <f>E86*3936/3*2</f>
        <v>4631.36</v>
      </c>
      <c r="H86" s="39">
        <f t="shared" si="64"/>
        <v>21.99896</v>
      </c>
      <c r="I86" s="26">
        <f t="shared" si="65"/>
        <v>4399.792</v>
      </c>
      <c r="J86" s="133">
        <v>0.12</v>
      </c>
      <c r="K86" s="77"/>
      <c r="L86" s="77"/>
      <c r="M86" s="77"/>
      <c r="N86" s="77"/>
      <c r="O86" s="77"/>
      <c r="P86" s="77"/>
      <c r="Q86" s="77"/>
      <c r="R86" s="77"/>
    </row>
    <row r="87" spans="1:18">
      <c r="A87" s="26" t="s">
        <v>108</v>
      </c>
      <c r="B87" s="37">
        <v>2116</v>
      </c>
      <c r="C87" s="38">
        <v>0.6</v>
      </c>
      <c r="D87" s="37">
        <v>200</v>
      </c>
      <c r="E87" s="27">
        <v>1.765</v>
      </c>
      <c r="F87" s="39">
        <f t="shared" si="63"/>
        <v>23.1568</v>
      </c>
      <c r="G87" s="39">
        <f>E87*3936/3*2</f>
        <v>4631.36</v>
      </c>
      <c r="H87" s="39">
        <f t="shared" si="64"/>
        <v>21.99896</v>
      </c>
      <c r="I87" s="26">
        <f t="shared" si="65"/>
        <v>4399.792</v>
      </c>
      <c r="J87" s="133">
        <v>0.12</v>
      </c>
      <c r="K87" s="77"/>
      <c r="L87" s="77"/>
      <c r="M87" s="77"/>
      <c r="N87" s="77"/>
      <c r="O87" s="77"/>
      <c r="P87" s="77"/>
      <c r="Q87" s="77"/>
      <c r="R87" s="77"/>
    </row>
    <row r="88" spans="1:18">
      <c r="A88" s="26" t="s">
        <v>108</v>
      </c>
      <c r="B88" s="37">
        <v>2116</v>
      </c>
      <c r="C88" s="38">
        <v>0.57</v>
      </c>
      <c r="D88" s="37">
        <v>300</v>
      </c>
      <c r="E88" s="27">
        <v>1.667</v>
      </c>
      <c r="F88" s="39">
        <f t="shared" si="63"/>
        <v>21.87104</v>
      </c>
      <c r="G88" s="39">
        <f>E88*3936</f>
        <v>6561.312</v>
      </c>
      <c r="H88" s="39">
        <f t="shared" si="64"/>
        <v>20.777488</v>
      </c>
      <c r="I88" s="26">
        <f t="shared" si="65"/>
        <v>6233.2464</v>
      </c>
      <c r="J88" s="133">
        <v>0.12</v>
      </c>
      <c r="K88" s="77"/>
      <c r="L88" s="77"/>
      <c r="M88" s="77"/>
      <c r="N88" s="77"/>
      <c r="O88" s="77"/>
      <c r="P88" s="77"/>
      <c r="Q88" s="77"/>
      <c r="R88" s="77"/>
    </row>
    <row r="89" spans="1:18">
      <c r="A89" s="26" t="s">
        <v>108</v>
      </c>
      <c r="B89" s="37">
        <v>2116</v>
      </c>
      <c r="C89" s="38">
        <v>0.53</v>
      </c>
      <c r="D89" s="37">
        <v>300</v>
      </c>
      <c r="E89" s="27">
        <v>1.556</v>
      </c>
      <c r="F89" s="39">
        <f t="shared" si="63"/>
        <v>20.41472</v>
      </c>
      <c r="G89" s="39">
        <f>E89*3936</f>
        <v>6124.416</v>
      </c>
      <c r="H89" s="39">
        <f t="shared" si="64"/>
        <v>19.393984</v>
      </c>
      <c r="I89" s="26">
        <f t="shared" si="65"/>
        <v>5818.1952</v>
      </c>
      <c r="J89" s="133">
        <v>0.12</v>
      </c>
      <c r="K89" s="77"/>
      <c r="L89" s="77"/>
      <c r="M89" s="77"/>
      <c r="N89" s="77"/>
      <c r="O89" s="77"/>
      <c r="P89" s="77"/>
      <c r="Q89" s="77"/>
      <c r="R89" s="77"/>
    </row>
    <row r="90" spans="1:18">
      <c r="A90" s="26" t="s">
        <v>108</v>
      </c>
      <c r="B90" s="37">
        <v>2313</v>
      </c>
      <c r="C90" s="38">
        <v>0.57</v>
      </c>
      <c r="D90" s="37">
        <v>300</v>
      </c>
      <c r="E90" s="27">
        <v>1.842</v>
      </c>
      <c r="F90" s="39">
        <f t="shared" si="63"/>
        <v>24.16704</v>
      </c>
      <c r="G90" s="39">
        <f>E90*3936</f>
        <v>7250.112</v>
      </c>
      <c r="H90" s="39">
        <f t="shared" si="64"/>
        <v>22.958688</v>
      </c>
      <c r="I90" s="26">
        <f t="shared" si="65"/>
        <v>6887.6064</v>
      </c>
      <c r="J90" s="133">
        <v>0.12</v>
      </c>
      <c r="K90" s="77"/>
      <c r="L90" s="77"/>
      <c r="M90" s="77"/>
      <c r="N90" s="77"/>
      <c r="O90" s="77"/>
      <c r="P90" s="77"/>
      <c r="Q90" s="77"/>
      <c r="R90" s="77"/>
    </row>
    <row r="91" spans="1:18">
      <c r="A91" s="26" t="s">
        <v>108</v>
      </c>
      <c r="B91" s="37">
        <v>3313</v>
      </c>
      <c r="C91" s="38">
        <v>0.58</v>
      </c>
      <c r="D91" s="37">
        <v>300</v>
      </c>
      <c r="E91" s="27">
        <v>2.076</v>
      </c>
      <c r="F91" s="39">
        <f t="shared" si="63"/>
        <v>27.23712</v>
      </c>
      <c r="G91" s="39">
        <f>E91*3936</f>
        <v>8171.136</v>
      </c>
      <c r="H91" s="39">
        <f t="shared" si="64"/>
        <v>25.875264</v>
      </c>
      <c r="I91" s="26">
        <f t="shared" si="65"/>
        <v>7762.5792</v>
      </c>
      <c r="J91" s="133">
        <v>0.12</v>
      </c>
      <c r="K91" s="77"/>
      <c r="L91" s="77"/>
      <c r="M91" s="77"/>
      <c r="N91" s="77"/>
      <c r="O91" s="77"/>
      <c r="P91" s="77"/>
      <c r="Q91" s="77"/>
      <c r="R91" s="77"/>
    </row>
    <row r="92" spans="1:18">
      <c r="A92" s="26" t="s">
        <v>108</v>
      </c>
      <c r="B92" s="37">
        <v>3313</v>
      </c>
      <c r="C92" s="38">
        <v>0.6</v>
      </c>
      <c r="D92" s="37">
        <v>300</v>
      </c>
      <c r="E92" s="27">
        <v>2.076</v>
      </c>
      <c r="F92" s="39">
        <f t="shared" si="63"/>
        <v>27.23712</v>
      </c>
      <c r="G92" s="39">
        <f>E92*3936</f>
        <v>8171.136</v>
      </c>
      <c r="H92" s="39">
        <f t="shared" si="64"/>
        <v>25.875264</v>
      </c>
      <c r="I92" s="26">
        <f t="shared" si="65"/>
        <v>7762.5792</v>
      </c>
      <c r="J92" s="133">
        <v>0.12</v>
      </c>
      <c r="K92" s="77"/>
      <c r="L92" s="77"/>
      <c r="M92" s="77"/>
      <c r="N92" s="77"/>
      <c r="O92" s="77"/>
      <c r="P92" s="77"/>
      <c r="Q92" s="77"/>
      <c r="R92" s="77"/>
    </row>
    <row r="93" spans="1:18">
      <c r="A93" s="26" t="s">
        <v>108</v>
      </c>
      <c r="B93" s="37">
        <v>7628</v>
      </c>
      <c r="C93" s="38">
        <v>0.5</v>
      </c>
      <c r="D93" s="37">
        <v>150</v>
      </c>
      <c r="E93" s="27">
        <v>1.829</v>
      </c>
      <c r="F93" s="39">
        <f t="shared" si="63"/>
        <v>23.99648</v>
      </c>
      <c r="G93" s="39">
        <f t="shared" ref="G93:G97" si="66">E93*3936/2</f>
        <v>3599.472</v>
      </c>
      <c r="H93" s="39">
        <f t="shared" si="64"/>
        <v>22.796656</v>
      </c>
      <c r="I93" s="26">
        <f t="shared" si="65"/>
        <v>3419.4984</v>
      </c>
      <c r="J93" s="133">
        <v>0.12</v>
      </c>
      <c r="K93" s="77"/>
      <c r="L93" s="77"/>
      <c r="M93" s="77"/>
      <c r="N93" s="77"/>
      <c r="O93" s="77"/>
      <c r="P93" s="77"/>
      <c r="Q93" s="77"/>
      <c r="R93" s="77"/>
    </row>
    <row r="94" spans="1:18">
      <c r="A94" s="26" t="s">
        <v>108</v>
      </c>
      <c r="B94" s="37">
        <v>7628</v>
      </c>
      <c r="C94" s="38">
        <v>0.49</v>
      </c>
      <c r="D94" s="37">
        <v>150</v>
      </c>
      <c r="E94" s="27">
        <v>1.829</v>
      </c>
      <c r="F94" s="39">
        <f t="shared" si="63"/>
        <v>23.99648</v>
      </c>
      <c r="G94" s="39">
        <f t="shared" si="66"/>
        <v>3599.472</v>
      </c>
      <c r="H94" s="39">
        <f t="shared" si="64"/>
        <v>22.796656</v>
      </c>
      <c r="I94" s="26">
        <f t="shared" si="65"/>
        <v>3419.4984</v>
      </c>
      <c r="J94" s="133">
        <v>0.12</v>
      </c>
      <c r="K94" s="77"/>
      <c r="L94" s="77"/>
      <c r="M94" s="77"/>
      <c r="N94" s="77"/>
      <c r="O94" s="77"/>
      <c r="P94" s="77"/>
      <c r="Q94" s="77"/>
      <c r="R94" s="77"/>
    </row>
    <row r="95" spans="1:18">
      <c r="A95" s="26" t="s">
        <v>108</v>
      </c>
      <c r="B95" s="37">
        <v>7628</v>
      </c>
      <c r="C95" s="38">
        <v>0.52</v>
      </c>
      <c r="D95" s="37">
        <v>150</v>
      </c>
      <c r="E95" s="27">
        <v>1.934</v>
      </c>
      <c r="F95" s="39">
        <f t="shared" si="63"/>
        <v>25.37408</v>
      </c>
      <c r="G95" s="39">
        <f t="shared" si="66"/>
        <v>3806.112</v>
      </c>
      <c r="H95" s="39">
        <f t="shared" si="64"/>
        <v>24.105376</v>
      </c>
      <c r="I95" s="26">
        <f t="shared" si="65"/>
        <v>3615.8064</v>
      </c>
      <c r="J95" s="133">
        <v>0.12</v>
      </c>
      <c r="K95" s="77"/>
      <c r="L95" s="77"/>
      <c r="M95" s="77"/>
      <c r="N95" s="77"/>
      <c r="O95" s="77"/>
      <c r="P95" s="77"/>
      <c r="Q95" s="77"/>
      <c r="R95" s="77"/>
    </row>
    <row r="96" spans="1:18">
      <c r="A96" s="26" t="s">
        <v>108</v>
      </c>
      <c r="B96" s="37">
        <v>7628</v>
      </c>
      <c r="C96" s="38">
        <v>0.46</v>
      </c>
      <c r="D96" s="37">
        <v>150</v>
      </c>
      <c r="E96" s="27">
        <v>1.743</v>
      </c>
      <c r="F96" s="39">
        <f t="shared" si="63"/>
        <v>22.86816</v>
      </c>
      <c r="G96" s="39">
        <f t="shared" si="66"/>
        <v>3430.224</v>
      </c>
      <c r="H96" s="39">
        <f t="shared" si="64"/>
        <v>21.724752</v>
      </c>
      <c r="I96" s="26">
        <f t="shared" si="65"/>
        <v>3258.7128</v>
      </c>
      <c r="J96" s="133">
        <v>0.12</v>
      </c>
      <c r="K96" s="77"/>
      <c r="L96" s="77"/>
      <c r="M96" s="77"/>
      <c r="N96" s="77"/>
      <c r="O96" s="77"/>
      <c r="P96" s="77"/>
      <c r="Q96" s="77"/>
      <c r="R96" s="77"/>
    </row>
    <row r="97" spans="1:18">
      <c r="A97" s="26" t="s">
        <v>108</v>
      </c>
      <c r="B97" s="37">
        <v>7628</v>
      </c>
      <c r="C97" s="38">
        <v>0.45</v>
      </c>
      <c r="D97" s="37">
        <v>150</v>
      </c>
      <c r="E97" s="27">
        <v>1.743</v>
      </c>
      <c r="F97" s="39">
        <f t="shared" si="63"/>
        <v>22.86816</v>
      </c>
      <c r="G97" s="39">
        <f t="shared" si="66"/>
        <v>3430.224</v>
      </c>
      <c r="H97" s="39">
        <f t="shared" si="64"/>
        <v>21.724752</v>
      </c>
      <c r="I97" s="26">
        <f t="shared" si="65"/>
        <v>3258.7128</v>
      </c>
      <c r="J97" s="133">
        <v>0.12</v>
      </c>
      <c r="K97" s="77"/>
      <c r="L97" s="77"/>
      <c r="M97" s="77"/>
      <c r="N97" s="77"/>
      <c r="O97" s="77"/>
      <c r="P97" s="77"/>
      <c r="Q97" s="77"/>
      <c r="R97" s="77"/>
    </row>
    <row r="99" spans="1:13">
      <c r="A99" s="40" t="s">
        <v>109</v>
      </c>
      <c r="B99" s="41"/>
      <c r="C99" s="41"/>
      <c r="D99" s="41"/>
      <c r="J99" s="40" t="s">
        <v>76</v>
      </c>
      <c r="K99" s="41"/>
      <c r="L99" s="41"/>
      <c r="M99" s="41"/>
    </row>
  </sheetData>
  <mergeCells count="9">
    <mergeCell ref="A4:R4"/>
    <mergeCell ref="A5:R5"/>
    <mergeCell ref="A11:R11"/>
    <mergeCell ref="B12:C12"/>
    <mergeCell ref="G12:R12"/>
    <mergeCell ref="A67:I67"/>
    <mergeCell ref="E68:G68"/>
    <mergeCell ref="H68:I68"/>
    <mergeCell ref="A1:R3"/>
  </mergeCells>
  <pageMargins left="0.75" right="0.75" top="1" bottom="1" header="0.5" footer="0.5"/>
  <pageSetup paperSize="9" scale="60" orientation="landscape"/>
  <headerFooter/>
  <rowBreaks count="1" manualBreakCount="1">
    <brk id="50" max="1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3"/>
  <sheetViews>
    <sheetView view="pageBreakPreview" zoomScale="85" zoomScaleNormal="85" topLeftCell="A156" workbookViewId="0">
      <selection activeCell="J153" sqref="J153:J181"/>
    </sheetView>
  </sheetViews>
  <sheetFormatPr defaultColWidth="8.8" defaultRowHeight="15.6"/>
  <cols>
    <col min="1" max="1" width="11.8" style="66" customWidth="1"/>
    <col min="2" max="5" width="8.8" style="66"/>
    <col min="6" max="6" width="13.875" style="66" customWidth="1"/>
    <col min="7" max="9" width="9.4" style="66"/>
    <col min="10" max="10" width="10.1166666666667" style="66" customWidth="1"/>
    <col min="11" max="19" width="9.4" style="66"/>
    <col min="20" max="20" width="10.3" style="66" customWidth="1"/>
    <col min="21" max="21" width="12.8" style="66"/>
    <col min="22" max="16384" width="8.8" style="66"/>
  </cols>
  <sheetData>
    <row r="1" s="65" customForma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="65" customFormat="1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2"/>
    </row>
    <row r="3" s="65" customFormat="1" ht="24" customHeigh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2"/>
    </row>
    <row r="4" s="65" customForma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2"/>
    </row>
    <row r="5" s="65" customFormat="1" spans="1:19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2"/>
    </row>
    <row r="6" s="65" customFormat="1" spans="1:19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2"/>
    </row>
    <row r="7" s="65" customFormat="1" ht="17.4" spans="1:19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  <c r="S7" s="42"/>
    </row>
    <row r="8" s="65" customFormat="1" ht="17.4" spans="1:19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  <c r="S8" s="42"/>
    </row>
    <row r="9" s="65" customFormat="1" ht="17.4" spans="1:19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  <c r="S9" s="42"/>
    </row>
    <row r="10" s="65" customFormat="1" ht="17.4" spans="1:19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100</v>
      </c>
      <c r="P10" s="43"/>
      <c r="Q10" s="43"/>
      <c r="R10" s="43"/>
      <c r="S10" s="42"/>
    </row>
    <row r="11" s="65" customFormat="1" ht="17.4" spans="1:19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  <c r="S11" s="42"/>
    </row>
    <row r="12" ht="19.2" spans="1:19">
      <c r="A12" s="20" t="s">
        <v>110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20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22" t="s">
        <v>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pans="1:20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104" t="s">
        <v>24</v>
      </c>
      <c r="H14" s="105" t="s">
        <v>25</v>
      </c>
      <c r="I14" s="105" t="s">
        <v>26</v>
      </c>
      <c r="J14" s="109" t="s">
        <v>27</v>
      </c>
      <c r="K14" s="109" t="s">
        <v>28</v>
      </c>
      <c r="L14" s="105" t="s">
        <v>29</v>
      </c>
      <c r="M14" s="109" t="s">
        <v>30</v>
      </c>
      <c r="N14" s="104" t="s">
        <v>31</v>
      </c>
      <c r="O14" s="105" t="s">
        <v>32</v>
      </c>
      <c r="P14" s="109" t="s">
        <v>33</v>
      </c>
      <c r="Q14" s="109" t="s">
        <v>34</v>
      </c>
      <c r="R14" s="110" t="s">
        <v>35</v>
      </c>
      <c r="S14" s="109" t="s">
        <v>111</v>
      </c>
      <c r="T14" s="109" t="s">
        <v>112</v>
      </c>
    </row>
    <row r="15" spans="1:21">
      <c r="A15" s="23" t="s">
        <v>113</v>
      </c>
      <c r="B15" s="85">
        <v>0.0508</v>
      </c>
      <c r="C15" s="106">
        <v>2</v>
      </c>
      <c r="D15" s="28" t="s">
        <v>38</v>
      </c>
      <c r="E15" s="24" t="s">
        <v>42</v>
      </c>
      <c r="F15" s="45" t="s">
        <v>40</v>
      </c>
      <c r="G15" s="85">
        <v>17.725</v>
      </c>
      <c r="H15" s="26">
        <f>G15*12</f>
        <v>212.7</v>
      </c>
      <c r="I15" s="45">
        <f>G15*13.33</f>
        <v>236.27425</v>
      </c>
      <c r="J15" s="26">
        <f>G15*14</f>
        <v>248.15</v>
      </c>
      <c r="K15" s="26">
        <f>G15*11.66*1.06</f>
        <v>219.07391</v>
      </c>
      <c r="L15" s="45">
        <f>G15*9.6</f>
        <v>170.16</v>
      </c>
      <c r="M15" s="45">
        <f>G15*14.4</f>
        <v>255.24</v>
      </c>
      <c r="N15" s="45">
        <f>G15*10.66</f>
        <v>188.9485</v>
      </c>
      <c r="O15" s="45">
        <f>G15*16</f>
        <v>283.6</v>
      </c>
      <c r="P15" s="45">
        <f>G15*11.2</f>
        <v>198.52</v>
      </c>
      <c r="Q15" s="45">
        <f>G15*16.8</f>
        <v>297.78</v>
      </c>
      <c r="R15" s="45">
        <f>G15*8.88</f>
        <v>157.398</v>
      </c>
      <c r="S15" s="111">
        <f>K15*2/3</f>
        <v>146.049273333333</v>
      </c>
      <c r="T15" s="45">
        <f>H15*2/3</f>
        <v>141.8</v>
      </c>
      <c r="U15" s="70"/>
    </row>
    <row r="16" spans="1:21">
      <c r="A16" s="23" t="s">
        <v>113</v>
      </c>
      <c r="B16" s="85">
        <v>0.0508</v>
      </c>
      <c r="C16" s="106">
        <v>2</v>
      </c>
      <c r="D16" s="28" t="s">
        <v>44</v>
      </c>
      <c r="E16" s="24" t="s">
        <v>42</v>
      </c>
      <c r="F16" s="45" t="s">
        <v>40</v>
      </c>
      <c r="G16" s="85">
        <v>6.209</v>
      </c>
      <c r="H16" s="26">
        <f>G16*12</f>
        <v>74.508</v>
      </c>
      <c r="I16" s="45">
        <f>G16*13.33</f>
        <v>82.76597</v>
      </c>
      <c r="J16" s="26">
        <f>G16*14</f>
        <v>86.926</v>
      </c>
      <c r="K16" s="26">
        <f>G16*11.66*1.06</f>
        <v>76.7407564</v>
      </c>
      <c r="L16" s="45">
        <f>G16*9.6</f>
        <v>59.6064</v>
      </c>
      <c r="M16" s="45">
        <f>G16*14.4</f>
        <v>89.4096</v>
      </c>
      <c r="N16" s="45">
        <f>G16*10.66</f>
        <v>66.18794</v>
      </c>
      <c r="O16" s="45">
        <f>G16*16</f>
        <v>99.344</v>
      </c>
      <c r="P16" s="45">
        <f>G16*11.2</f>
        <v>69.5408</v>
      </c>
      <c r="Q16" s="45">
        <f>G16*16.8</f>
        <v>104.3112</v>
      </c>
      <c r="R16" s="45">
        <f>G16*8.88</f>
        <v>55.13592</v>
      </c>
      <c r="S16" s="111">
        <f>K16*2/3</f>
        <v>51.1605042666667</v>
      </c>
      <c r="T16" s="45">
        <f>H16*2/3</f>
        <v>49.672</v>
      </c>
      <c r="U16" s="70"/>
    </row>
    <row r="17" spans="1:21">
      <c r="A17" s="23" t="s">
        <v>113</v>
      </c>
      <c r="B17" s="85">
        <v>0.0508</v>
      </c>
      <c r="C17" s="106">
        <v>2</v>
      </c>
      <c r="D17" s="28" t="s">
        <v>83</v>
      </c>
      <c r="E17" s="24" t="s">
        <v>42</v>
      </c>
      <c r="F17" s="45" t="s">
        <v>40</v>
      </c>
      <c r="G17" s="85">
        <v>7.95</v>
      </c>
      <c r="H17" s="26">
        <f t="shared" ref="H17:H22" si="0">G17*12</f>
        <v>95.4</v>
      </c>
      <c r="I17" s="45">
        <f t="shared" ref="I17:I22" si="1">G17*13.33</f>
        <v>105.9735</v>
      </c>
      <c r="J17" s="26">
        <f t="shared" ref="J17:J22" si="2">G17*14</f>
        <v>111.3</v>
      </c>
      <c r="K17" s="26">
        <f t="shared" ref="K17:K22" si="3">G17*11.66*1.06</f>
        <v>98.25882</v>
      </c>
      <c r="L17" s="45">
        <f t="shared" ref="L17:L22" si="4">G17*9.6</f>
        <v>76.32</v>
      </c>
      <c r="M17" s="45">
        <f t="shared" ref="M17:M22" si="5">G17*14.4</f>
        <v>114.48</v>
      </c>
      <c r="N17" s="45">
        <f t="shared" ref="N17:N22" si="6">G17*10.66</f>
        <v>84.747</v>
      </c>
      <c r="O17" s="45">
        <f t="shared" ref="O17:O22" si="7">G17*16</f>
        <v>127.2</v>
      </c>
      <c r="P17" s="45">
        <f t="shared" ref="P17:P22" si="8">G17*11.2</f>
        <v>89.04</v>
      </c>
      <c r="Q17" s="45">
        <f t="shared" ref="Q17:Q22" si="9">G17*16.8</f>
        <v>133.56</v>
      </c>
      <c r="R17" s="45">
        <f t="shared" ref="R17:R22" si="10">G17*8.88</f>
        <v>70.596</v>
      </c>
      <c r="S17" s="111">
        <f t="shared" ref="S17:S22" si="11">K17*2/3</f>
        <v>65.50588</v>
      </c>
      <c r="T17" s="45">
        <f t="shared" ref="T17:T22" si="12">H17*2/3</f>
        <v>63.6</v>
      </c>
      <c r="U17" s="70"/>
    </row>
    <row r="18" spans="1:21">
      <c r="A18" s="23" t="s">
        <v>113</v>
      </c>
      <c r="B18" s="85">
        <v>0.0508</v>
      </c>
      <c r="C18" s="106">
        <v>2</v>
      </c>
      <c r="D18" s="24" t="s">
        <v>41</v>
      </c>
      <c r="E18" s="24" t="s">
        <v>42</v>
      </c>
      <c r="F18" s="45" t="s">
        <v>40</v>
      </c>
      <c r="G18" s="85">
        <v>8.765</v>
      </c>
      <c r="H18" s="26">
        <f t="shared" si="0"/>
        <v>105.18</v>
      </c>
      <c r="I18" s="45">
        <f t="shared" si="1"/>
        <v>116.83745</v>
      </c>
      <c r="J18" s="26">
        <f t="shared" si="2"/>
        <v>122.71</v>
      </c>
      <c r="K18" s="26">
        <f t="shared" si="3"/>
        <v>108.331894</v>
      </c>
      <c r="L18" s="45">
        <f t="shared" si="4"/>
        <v>84.144</v>
      </c>
      <c r="M18" s="45">
        <f t="shared" si="5"/>
        <v>126.216</v>
      </c>
      <c r="N18" s="45">
        <f t="shared" si="6"/>
        <v>93.4349</v>
      </c>
      <c r="O18" s="45">
        <f t="shared" si="7"/>
        <v>140.24</v>
      </c>
      <c r="P18" s="45">
        <f t="shared" si="8"/>
        <v>98.168</v>
      </c>
      <c r="Q18" s="45">
        <f t="shared" si="9"/>
        <v>147.252</v>
      </c>
      <c r="R18" s="45">
        <f t="shared" si="10"/>
        <v>77.8332</v>
      </c>
      <c r="S18" s="111">
        <f t="shared" si="11"/>
        <v>72.2212626666667</v>
      </c>
      <c r="T18" s="45">
        <f t="shared" si="12"/>
        <v>70.12</v>
      </c>
      <c r="U18" s="70"/>
    </row>
    <row r="19" spans="1:21">
      <c r="A19" s="23" t="s">
        <v>113</v>
      </c>
      <c r="B19" s="85">
        <v>0.0635</v>
      </c>
      <c r="C19" s="106">
        <v>2.5</v>
      </c>
      <c r="D19" s="28" t="s">
        <v>41</v>
      </c>
      <c r="E19" s="24" t="s">
        <v>42</v>
      </c>
      <c r="F19" s="45" t="s">
        <v>114</v>
      </c>
      <c r="G19" s="85">
        <v>8.765</v>
      </c>
      <c r="H19" s="26">
        <f t="shared" si="0"/>
        <v>105.18</v>
      </c>
      <c r="I19" s="45">
        <f t="shared" si="1"/>
        <v>116.83745</v>
      </c>
      <c r="J19" s="26">
        <f t="shared" si="2"/>
        <v>122.71</v>
      </c>
      <c r="K19" s="26">
        <f t="shared" si="3"/>
        <v>108.331894</v>
      </c>
      <c r="L19" s="45">
        <f t="shared" si="4"/>
        <v>84.144</v>
      </c>
      <c r="M19" s="45">
        <f t="shared" si="5"/>
        <v>126.216</v>
      </c>
      <c r="N19" s="45">
        <f t="shared" si="6"/>
        <v>93.4349</v>
      </c>
      <c r="O19" s="45">
        <f t="shared" si="7"/>
        <v>140.24</v>
      </c>
      <c r="P19" s="45">
        <f t="shared" si="8"/>
        <v>98.168</v>
      </c>
      <c r="Q19" s="45">
        <f t="shared" si="9"/>
        <v>147.252</v>
      </c>
      <c r="R19" s="45">
        <f t="shared" si="10"/>
        <v>77.8332</v>
      </c>
      <c r="S19" s="111">
        <f t="shared" si="11"/>
        <v>72.2212626666667</v>
      </c>
      <c r="T19" s="45">
        <f t="shared" si="12"/>
        <v>70.12</v>
      </c>
      <c r="U19" s="70"/>
    </row>
    <row r="20" spans="1:21">
      <c r="A20" s="23" t="s">
        <v>113</v>
      </c>
      <c r="B20" s="85">
        <v>0.0635</v>
      </c>
      <c r="C20" s="106">
        <v>2.5</v>
      </c>
      <c r="D20" s="24" t="s">
        <v>44</v>
      </c>
      <c r="E20" s="24" t="s">
        <v>42</v>
      </c>
      <c r="F20" s="45" t="s">
        <v>114</v>
      </c>
      <c r="G20" s="85">
        <v>6.147</v>
      </c>
      <c r="H20" s="26">
        <f t="shared" si="0"/>
        <v>73.764</v>
      </c>
      <c r="I20" s="45">
        <f t="shared" si="1"/>
        <v>81.93951</v>
      </c>
      <c r="J20" s="26">
        <f t="shared" si="2"/>
        <v>86.058</v>
      </c>
      <c r="K20" s="26">
        <f t="shared" si="3"/>
        <v>75.9744612</v>
      </c>
      <c r="L20" s="45">
        <f t="shared" si="4"/>
        <v>59.0112</v>
      </c>
      <c r="M20" s="45">
        <f t="shared" si="5"/>
        <v>88.5168</v>
      </c>
      <c r="N20" s="45">
        <f t="shared" si="6"/>
        <v>65.52702</v>
      </c>
      <c r="O20" s="45">
        <f t="shared" si="7"/>
        <v>98.352</v>
      </c>
      <c r="P20" s="45">
        <f t="shared" si="8"/>
        <v>68.8464</v>
      </c>
      <c r="Q20" s="45">
        <f t="shared" si="9"/>
        <v>103.2696</v>
      </c>
      <c r="R20" s="45">
        <f t="shared" si="10"/>
        <v>54.58536</v>
      </c>
      <c r="S20" s="111">
        <f t="shared" si="11"/>
        <v>50.6496408</v>
      </c>
      <c r="T20" s="45">
        <f t="shared" si="12"/>
        <v>49.176</v>
      </c>
      <c r="U20" s="70"/>
    </row>
    <row r="21" spans="1:21">
      <c r="A21" s="23" t="s">
        <v>113</v>
      </c>
      <c r="B21" s="85">
        <v>0.0635</v>
      </c>
      <c r="C21" s="106">
        <v>2.5</v>
      </c>
      <c r="D21" s="28" t="s">
        <v>83</v>
      </c>
      <c r="E21" s="24" t="s">
        <v>42</v>
      </c>
      <c r="F21" s="45" t="s">
        <v>114</v>
      </c>
      <c r="G21" s="85">
        <v>7.826</v>
      </c>
      <c r="H21" s="26">
        <f t="shared" si="0"/>
        <v>93.912</v>
      </c>
      <c r="I21" s="45">
        <f t="shared" si="1"/>
        <v>104.32058</v>
      </c>
      <c r="J21" s="26">
        <f t="shared" si="2"/>
        <v>109.564</v>
      </c>
      <c r="K21" s="26">
        <f t="shared" si="3"/>
        <v>96.7262296</v>
      </c>
      <c r="L21" s="45">
        <f t="shared" si="4"/>
        <v>75.1296</v>
      </c>
      <c r="M21" s="45">
        <f t="shared" si="5"/>
        <v>112.6944</v>
      </c>
      <c r="N21" s="45">
        <f t="shared" si="6"/>
        <v>83.42516</v>
      </c>
      <c r="O21" s="45">
        <f t="shared" si="7"/>
        <v>125.216</v>
      </c>
      <c r="P21" s="45">
        <f t="shared" si="8"/>
        <v>87.6512</v>
      </c>
      <c r="Q21" s="45">
        <f t="shared" si="9"/>
        <v>131.4768</v>
      </c>
      <c r="R21" s="45">
        <f t="shared" si="10"/>
        <v>69.49488</v>
      </c>
      <c r="S21" s="111">
        <f t="shared" si="11"/>
        <v>64.4841530666667</v>
      </c>
      <c r="T21" s="45">
        <f t="shared" si="12"/>
        <v>62.608</v>
      </c>
      <c r="U21" s="70"/>
    </row>
    <row r="22" spans="1:21">
      <c r="A22" s="23" t="s">
        <v>113</v>
      </c>
      <c r="B22" s="85">
        <v>0.0635</v>
      </c>
      <c r="C22" s="106">
        <v>2.5</v>
      </c>
      <c r="D22" s="28" t="s">
        <v>41</v>
      </c>
      <c r="E22" s="24" t="s">
        <v>42</v>
      </c>
      <c r="F22" s="45" t="s">
        <v>82</v>
      </c>
      <c r="G22" s="85">
        <v>8.765</v>
      </c>
      <c r="H22" s="26">
        <f t="shared" si="0"/>
        <v>105.18</v>
      </c>
      <c r="I22" s="45">
        <f t="shared" si="1"/>
        <v>116.83745</v>
      </c>
      <c r="J22" s="26">
        <f t="shared" si="2"/>
        <v>122.71</v>
      </c>
      <c r="K22" s="26">
        <f t="shared" si="3"/>
        <v>108.331894</v>
      </c>
      <c r="L22" s="45">
        <f t="shared" si="4"/>
        <v>84.144</v>
      </c>
      <c r="M22" s="45">
        <f t="shared" si="5"/>
        <v>126.216</v>
      </c>
      <c r="N22" s="45">
        <f t="shared" si="6"/>
        <v>93.4349</v>
      </c>
      <c r="O22" s="45">
        <f t="shared" si="7"/>
        <v>140.24</v>
      </c>
      <c r="P22" s="45">
        <f t="shared" si="8"/>
        <v>98.168</v>
      </c>
      <c r="Q22" s="45">
        <f t="shared" si="9"/>
        <v>147.252</v>
      </c>
      <c r="R22" s="45">
        <f t="shared" si="10"/>
        <v>77.8332</v>
      </c>
      <c r="S22" s="111">
        <f t="shared" si="11"/>
        <v>72.2212626666667</v>
      </c>
      <c r="T22" s="45">
        <f t="shared" si="12"/>
        <v>70.12</v>
      </c>
      <c r="U22" s="70"/>
    </row>
    <row r="23" spans="1:21">
      <c r="A23" s="23" t="s">
        <v>113</v>
      </c>
      <c r="B23" s="85">
        <v>0.0635</v>
      </c>
      <c r="C23" s="106">
        <v>2.5</v>
      </c>
      <c r="D23" s="28" t="s">
        <v>41</v>
      </c>
      <c r="E23" s="24" t="s">
        <v>39</v>
      </c>
      <c r="F23" s="45" t="s">
        <v>82</v>
      </c>
      <c r="G23" s="85">
        <v>10.396</v>
      </c>
      <c r="H23" s="26">
        <f t="shared" ref="H23:H32" si="13">G23*12</f>
        <v>124.752</v>
      </c>
      <c r="I23" s="45">
        <f t="shared" ref="I23:I32" si="14">G23*13.33</f>
        <v>138.57868</v>
      </c>
      <c r="J23" s="26">
        <f t="shared" ref="J23:J32" si="15">G23*14</f>
        <v>145.544</v>
      </c>
      <c r="K23" s="26">
        <f t="shared" ref="K23:K32" si="16">G23*11.66*1.06</f>
        <v>128.4904016</v>
      </c>
      <c r="L23" s="45">
        <f t="shared" ref="L23:L32" si="17">G23*9.6</f>
        <v>99.8016</v>
      </c>
      <c r="M23" s="45">
        <f t="shared" ref="M23:M32" si="18">G23*14.4</f>
        <v>149.7024</v>
      </c>
      <c r="N23" s="45">
        <f t="shared" ref="N23:N32" si="19">G23*10.66</f>
        <v>110.82136</v>
      </c>
      <c r="O23" s="45">
        <f t="shared" ref="O23:O32" si="20">G23*16</f>
        <v>166.336</v>
      </c>
      <c r="P23" s="45">
        <f t="shared" ref="P23:P32" si="21">G23*11.2</f>
        <v>116.4352</v>
      </c>
      <c r="Q23" s="45">
        <f t="shared" ref="Q23:Q32" si="22">G23*16.8</f>
        <v>174.6528</v>
      </c>
      <c r="R23" s="45">
        <f t="shared" ref="R23:R32" si="23">G23*8.88</f>
        <v>92.31648</v>
      </c>
      <c r="S23" s="111">
        <f t="shared" ref="S23:S32" si="24">K23*2/3</f>
        <v>85.6602677333333</v>
      </c>
      <c r="T23" s="45">
        <f t="shared" ref="T23:T50" si="25">H23*2/3</f>
        <v>83.168</v>
      </c>
      <c r="U23" s="70"/>
    </row>
    <row r="24" spans="1:21">
      <c r="A24" s="26" t="s">
        <v>113</v>
      </c>
      <c r="B24" s="27">
        <v>0.079</v>
      </c>
      <c r="C24" s="37">
        <v>3</v>
      </c>
      <c r="D24" s="28" t="s">
        <v>41</v>
      </c>
      <c r="E24" s="24" t="s">
        <v>42</v>
      </c>
      <c r="F24" s="45" t="s">
        <v>82</v>
      </c>
      <c r="G24" s="85">
        <v>8.546</v>
      </c>
      <c r="H24" s="26">
        <f t="shared" si="13"/>
        <v>102.552</v>
      </c>
      <c r="I24" s="45">
        <f t="shared" si="14"/>
        <v>113.91818</v>
      </c>
      <c r="J24" s="26">
        <f t="shared" si="15"/>
        <v>119.644</v>
      </c>
      <c r="K24" s="26">
        <f t="shared" si="16"/>
        <v>105.6251416</v>
      </c>
      <c r="L24" s="45">
        <f t="shared" si="17"/>
        <v>82.0416</v>
      </c>
      <c r="M24" s="45">
        <f t="shared" si="18"/>
        <v>123.0624</v>
      </c>
      <c r="N24" s="45">
        <f t="shared" si="19"/>
        <v>91.10036</v>
      </c>
      <c r="O24" s="45">
        <f t="shared" si="20"/>
        <v>136.736</v>
      </c>
      <c r="P24" s="45">
        <f t="shared" si="21"/>
        <v>95.7152</v>
      </c>
      <c r="Q24" s="45">
        <f t="shared" si="22"/>
        <v>143.5728</v>
      </c>
      <c r="R24" s="45">
        <f t="shared" si="23"/>
        <v>75.88848</v>
      </c>
      <c r="S24" s="111">
        <f t="shared" si="24"/>
        <v>70.4167610666667</v>
      </c>
      <c r="T24" s="45">
        <f t="shared" si="25"/>
        <v>68.368</v>
      </c>
      <c r="U24" s="70"/>
    </row>
    <row r="25" spans="1:21">
      <c r="A25" s="26" t="s">
        <v>113</v>
      </c>
      <c r="B25" s="27">
        <v>0.079</v>
      </c>
      <c r="C25" s="37">
        <v>3</v>
      </c>
      <c r="D25" s="28" t="s">
        <v>41</v>
      </c>
      <c r="E25" s="24" t="s">
        <v>42</v>
      </c>
      <c r="F25" s="45" t="s">
        <v>84</v>
      </c>
      <c r="G25" s="85">
        <v>8.546</v>
      </c>
      <c r="H25" s="26">
        <f t="shared" si="13"/>
        <v>102.552</v>
      </c>
      <c r="I25" s="45">
        <f t="shared" si="14"/>
        <v>113.91818</v>
      </c>
      <c r="J25" s="26">
        <f t="shared" si="15"/>
        <v>119.644</v>
      </c>
      <c r="K25" s="26">
        <f t="shared" si="16"/>
        <v>105.6251416</v>
      </c>
      <c r="L25" s="45">
        <f t="shared" si="17"/>
        <v>82.0416</v>
      </c>
      <c r="M25" s="45">
        <f t="shared" si="18"/>
        <v>123.0624</v>
      </c>
      <c r="N25" s="45">
        <f t="shared" si="19"/>
        <v>91.10036</v>
      </c>
      <c r="O25" s="45">
        <f t="shared" si="20"/>
        <v>136.736</v>
      </c>
      <c r="P25" s="45">
        <f t="shared" si="21"/>
        <v>95.7152</v>
      </c>
      <c r="Q25" s="45">
        <f t="shared" si="22"/>
        <v>143.5728</v>
      </c>
      <c r="R25" s="45">
        <f t="shared" si="23"/>
        <v>75.88848</v>
      </c>
      <c r="S25" s="111">
        <f t="shared" si="24"/>
        <v>70.4167610666667</v>
      </c>
      <c r="T25" s="45">
        <f t="shared" si="25"/>
        <v>68.368</v>
      </c>
      <c r="U25" s="70"/>
    </row>
    <row r="26" spans="1:21">
      <c r="A26" s="26" t="s">
        <v>113</v>
      </c>
      <c r="B26" s="27">
        <v>0.079</v>
      </c>
      <c r="C26" s="37">
        <v>3</v>
      </c>
      <c r="D26" s="28" t="s">
        <v>85</v>
      </c>
      <c r="E26" s="24" t="s">
        <v>42</v>
      </c>
      <c r="F26" s="45" t="s">
        <v>84</v>
      </c>
      <c r="G26" s="85">
        <v>12.471</v>
      </c>
      <c r="H26" s="26">
        <f t="shared" si="13"/>
        <v>149.652</v>
      </c>
      <c r="I26" s="45">
        <f t="shared" si="14"/>
        <v>166.23843</v>
      </c>
      <c r="J26" s="26">
        <f t="shared" si="15"/>
        <v>174.594</v>
      </c>
      <c r="K26" s="26">
        <f t="shared" si="16"/>
        <v>154.1365716</v>
      </c>
      <c r="L26" s="45">
        <f t="shared" si="17"/>
        <v>119.7216</v>
      </c>
      <c r="M26" s="45">
        <f t="shared" si="18"/>
        <v>179.5824</v>
      </c>
      <c r="N26" s="45">
        <f t="shared" si="19"/>
        <v>132.94086</v>
      </c>
      <c r="O26" s="45">
        <f t="shared" si="20"/>
        <v>199.536</v>
      </c>
      <c r="P26" s="45">
        <f t="shared" si="21"/>
        <v>139.6752</v>
      </c>
      <c r="Q26" s="45">
        <f t="shared" si="22"/>
        <v>209.5128</v>
      </c>
      <c r="R26" s="45">
        <f t="shared" si="23"/>
        <v>110.74248</v>
      </c>
      <c r="S26" s="111">
        <f t="shared" si="24"/>
        <v>102.7577144</v>
      </c>
      <c r="T26" s="45">
        <f t="shared" si="25"/>
        <v>99.768</v>
      </c>
      <c r="U26" s="70"/>
    </row>
    <row r="27" spans="1:21">
      <c r="A27" s="26" t="s">
        <v>113</v>
      </c>
      <c r="B27" s="27">
        <v>0.079</v>
      </c>
      <c r="C27" s="37">
        <v>3</v>
      </c>
      <c r="D27" s="28" t="s">
        <v>44</v>
      </c>
      <c r="E27" s="24" t="s">
        <v>42</v>
      </c>
      <c r="F27" s="45" t="s">
        <v>84</v>
      </c>
      <c r="G27" s="85">
        <v>5.567</v>
      </c>
      <c r="H27" s="26">
        <f t="shared" si="13"/>
        <v>66.804</v>
      </c>
      <c r="I27" s="45">
        <f t="shared" si="14"/>
        <v>74.20811</v>
      </c>
      <c r="J27" s="26">
        <f t="shared" si="15"/>
        <v>77.938</v>
      </c>
      <c r="K27" s="26">
        <f t="shared" si="16"/>
        <v>68.8058932</v>
      </c>
      <c r="L27" s="45">
        <f t="shared" si="17"/>
        <v>53.4432</v>
      </c>
      <c r="M27" s="45">
        <f t="shared" si="18"/>
        <v>80.1648</v>
      </c>
      <c r="N27" s="45">
        <f t="shared" si="19"/>
        <v>59.34422</v>
      </c>
      <c r="O27" s="45">
        <f t="shared" si="20"/>
        <v>89.072</v>
      </c>
      <c r="P27" s="45">
        <f t="shared" si="21"/>
        <v>62.3504</v>
      </c>
      <c r="Q27" s="45">
        <f t="shared" si="22"/>
        <v>93.5256</v>
      </c>
      <c r="R27" s="45">
        <f t="shared" si="23"/>
        <v>49.43496</v>
      </c>
      <c r="S27" s="111">
        <f t="shared" si="24"/>
        <v>45.8705954666667</v>
      </c>
      <c r="T27" s="45">
        <f t="shared" si="25"/>
        <v>44.536</v>
      </c>
      <c r="U27" s="70"/>
    </row>
    <row r="28" spans="1:21">
      <c r="A28" s="26" t="s">
        <v>113</v>
      </c>
      <c r="B28" s="27">
        <v>0.079</v>
      </c>
      <c r="C28" s="37">
        <v>3</v>
      </c>
      <c r="D28" s="28" t="s">
        <v>85</v>
      </c>
      <c r="E28" s="24" t="s">
        <v>42</v>
      </c>
      <c r="F28" s="45" t="s">
        <v>82</v>
      </c>
      <c r="G28" s="85">
        <v>12.932</v>
      </c>
      <c r="H28" s="26">
        <f t="shared" si="13"/>
        <v>155.184</v>
      </c>
      <c r="I28" s="45">
        <f t="shared" si="14"/>
        <v>172.38356</v>
      </c>
      <c r="J28" s="26">
        <f t="shared" si="15"/>
        <v>181.048</v>
      </c>
      <c r="K28" s="26">
        <f t="shared" si="16"/>
        <v>159.8343472</v>
      </c>
      <c r="L28" s="45">
        <f t="shared" si="17"/>
        <v>124.1472</v>
      </c>
      <c r="M28" s="45">
        <f t="shared" si="18"/>
        <v>186.2208</v>
      </c>
      <c r="N28" s="45">
        <f t="shared" si="19"/>
        <v>137.85512</v>
      </c>
      <c r="O28" s="45">
        <f t="shared" si="20"/>
        <v>206.912</v>
      </c>
      <c r="P28" s="45">
        <f t="shared" si="21"/>
        <v>144.8384</v>
      </c>
      <c r="Q28" s="45">
        <f t="shared" si="22"/>
        <v>217.2576</v>
      </c>
      <c r="R28" s="45">
        <f t="shared" si="23"/>
        <v>114.83616</v>
      </c>
      <c r="S28" s="111">
        <f t="shared" si="24"/>
        <v>106.556231466667</v>
      </c>
      <c r="T28" s="45">
        <f t="shared" si="25"/>
        <v>103.456</v>
      </c>
      <c r="U28" s="70"/>
    </row>
    <row r="29" spans="1:21">
      <c r="A29" s="26" t="s">
        <v>113</v>
      </c>
      <c r="B29" s="27">
        <v>0.079</v>
      </c>
      <c r="C29" s="37">
        <v>3</v>
      </c>
      <c r="D29" s="28" t="s">
        <v>38</v>
      </c>
      <c r="E29" s="24" t="s">
        <v>42</v>
      </c>
      <c r="F29" s="45" t="s">
        <v>82</v>
      </c>
      <c r="G29" s="85">
        <v>17.149</v>
      </c>
      <c r="H29" s="26">
        <f t="shared" si="13"/>
        <v>205.788</v>
      </c>
      <c r="I29" s="45">
        <f t="shared" si="14"/>
        <v>228.59617</v>
      </c>
      <c r="J29" s="26">
        <f t="shared" si="15"/>
        <v>240.086</v>
      </c>
      <c r="K29" s="26">
        <f t="shared" si="16"/>
        <v>211.9547804</v>
      </c>
      <c r="L29" s="45">
        <f t="shared" si="17"/>
        <v>164.6304</v>
      </c>
      <c r="M29" s="45">
        <f t="shared" si="18"/>
        <v>246.9456</v>
      </c>
      <c r="N29" s="45">
        <f t="shared" si="19"/>
        <v>182.80834</v>
      </c>
      <c r="O29" s="45">
        <f t="shared" si="20"/>
        <v>274.384</v>
      </c>
      <c r="P29" s="45">
        <f t="shared" si="21"/>
        <v>192.0688</v>
      </c>
      <c r="Q29" s="45">
        <f t="shared" si="22"/>
        <v>288.1032</v>
      </c>
      <c r="R29" s="45">
        <f t="shared" si="23"/>
        <v>152.28312</v>
      </c>
      <c r="S29" s="111">
        <f t="shared" si="24"/>
        <v>141.303186933333</v>
      </c>
      <c r="T29" s="45">
        <f t="shared" si="25"/>
        <v>137.192</v>
      </c>
      <c r="U29" s="70"/>
    </row>
    <row r="30" spans="1:21">
      <c r="A30" s="26" t="s">
        <v>113</v>
      </c>
      <c r="B30" s="27">
        <v>0.079</v>
      </c>
      <c r="C30" s="37">
        <v>3</v>
      </c>
      <c r="D30" s="28" t="s">
        <v>44</v>
      </c>
      <c r="E30" s="24" t="s">
        <v>42</v>
      </c>
      <c r="F30" s="45" t="s">
        <v>82</v>
      </c>
      <c r="G30" s="85">
        <v>5.774</v>
      </c>
      <c r="H30" s="26">
        <f t="shared" si="13"/>
        <v>69.288</v>
      </c>
      <c r="I30" s="45">
        <f t="shared" si="14"/>
        <v>76.96742</v>
      </c>
      <c r="J30" s="26">
        <f t="shared" si="15"/>
        <v>80.836</v>
      </c>
      <c r="K30" s="26">
        <f t="shared" si="16"/>
        <v>71.3643304</v>
      </c>
      <c r="L30" s="45">
        <f t="shared" si="17"/>
        <v>55.4304</v>
      </c>
      <c r="M30" s="45">
        <f t="shared" si="18"/>
        <v>83.1456</v>
      </c>
      <c r="N30" s="45">
        <f t="shared" si="19"/>
        <v>61.55084</v>
      </c>
      <c r="O30" s="45">
        <f t="shared" si="20"/>
        <v>92.384</v>
      </c>
      <c r="P30" s="45">
        <f t="shared" si="21"/>
        <v>64.6688</v>
      </c>
      <c r="Q30" s="45">
        <f t="shared" si="22"/>
        <v>97.0032</v>
      </c>
      <c r="R30" s="45">
        <f t="shared" si="23"/>
        <v>51.27312</v>
      </c>
      <c r="S30" s="111">
        <f t="shared" si="24"/>
        <v>47.5762202666667</v>
      </c>
      <c r="T30" s="45">
        <f t="shared" si="25"/>
        <v>46.192</v>
      </c>
      <c r="U30" s="70"/>
    </row>
    <row r="31" spans="1:21">
      <c r="A31" s="26" t="s">
        <v>113</v>
      </c>
      <c r="B31" s="27">
        <v>0.079</v>
      </c>
      <c r="C31" s="37">
        <v>3</v>
      </c>
      <c r="D31" s="28" t="s">
        <v>83</v>
      </c>
      <c r="E31" s="24" t="s">
        <v>42</v>
      </c>
      <c r="F31" s="45" t="s">
        <v>82</v>
      </c>
      <c r="G31" s="85">
        <v>7.686</v>
      </c>
      <c r="H31" s="26">
        <f t="shared" si="13"/>
        <v>92.232</v>
      </c>
      <c r="I31" s="45">
        <f t="shared" si="14"/>
        <v>102.45438</v>
      </c>
      <c r="J31" s="26">
        <f t="shared" si="15"/>
        <v>107.604</v>
      </c>
      <c r="K31" s="26">
        <f t="shared" si="16"/>
        <v>94.9958856</v>
      </c>
      <c r="L31" s="45">
        <f t="shared" si="17"/>
        <v>73.7856</v>
      </c>
      <c r="M31" s="45">
        <f t="shared" si="18"/>
        <v>110.6784</v>
      </c>
      <c r="N31" s="45">
        <f t="shared" si="19"/>
        <v>81.93276</v>
      </c>
      <c r="O31" s="45">
        <f t="shared" si="20"/>
        <v>122.976</v>
      </c>
      <c r="P31" s="45">
        <f t="shared" si="21"/>
        <v>86.0832</v>
      </c>
      <c r="Q31" s="45">
        <f t="shared" si="22"/>
        <v>129.1248</v>
      </c>
      <c r="R31" s="45">
        <f t="shared" si="23"/>
        <v>68.25168</v>
      </c>
      <c r="S31" s="111">
        <f t="shared" si="24"/>
        <v>63.3305904</v>
      </c>
      <c r="T31" s="45">
        <f t="shared" si="25"/>
        <v>61.488</v>
      </c>
      <c r="U31" s="70"/>
    </row>
    <row r="32" spans="1:21">
      <c r="A32" s="26" t="s">
        <v>113</v>
      </c>
      <c r="B32" s="27">
        <v>0.079</v>
      </c>
      <c r="C32" s="37">
        <v>3</v>
      </c>
      <c r="D32" s="28" t="s">
        <v>83</v>
      </c>
      <c r="E32" s="24" t="s">
        <v>42</v>
      </c>
      <c r="F32" s="45" t="s">
        <v>84</v>
      </c>
      <c r="G32" s="85">
        <v>7.412</v>
      </c>
      <c r="H32" s="26">
        <f t="shared" si="13"/>
        <v>88.944</v>
      </c>
      <c r="I32" s="45">
        <f t="shared" si="14"/>
        <v>98.80196</v>
      </c>
      <c r="J32" s="26">
        <f t="shared" si="15"/>
        <v>103.768</v>
      </c>
      <c r="K32" s="26">
        <f t="shared" si="16"/>
        <v>91.6093552</v>
      </c>
      <c r="L32" s="45">
        <f t="shared" si="17"/>
        <v>71.1552</v>
      </c>
      <c r="M32" s="45">
        <f t="shared" si="18"/>
        <v>106.7328</v>
      </c>
      <c r="N32" s="45">
        <f t="shared" si="19"/>
        <v>79.01192</v>
      </c>
      <c r="O32" s="45">
        <f t="shared" si="20"/>
        <v>118.592</v>
      </c>
      <c r="P32" s="45">
        <f t="shared" si="21"/>
        <v>83.0144</v>
      </c>
      <c r="Q32" s="45">
        <f t="shared" si="22"/>
        <v>124.5216</v>
      </c>
      <c r="R32" s="45">
        <f t="shared" si="23"/>
        <v>65.81856</v>
      </c>
      <c r="S32" s="111">
        <f t="shared" si="24"/>
        <v>61.0729034666667</v>
      </c>
      <c r="T32" s="45">
        <f t="shared" si="25"/>
        <v>59.296</v>
      </c>
      <c r="U32" s="70"/>
    </row>
    <row r="33" spans="1:21">
      <c r="A33" s="26" t="s">
        <v>113</v>
      </c>
      <c r="B33" s="27">
        <v>0.079</v>
      </c>
      <c r="C33" s="37">
        <v>3</v>
      </c>
      <c r="D33" s="28" t="s">
        <v>44</v>
      </c>
      <c r="E33" s="24" t="s">
        <v>39</v>
      </c>
      <c r="F33" s="45" t="s">
        <v>82</v>
      </c>
      <c r="G33" s="85">
        <v>6.022</v>
      </c>
      <c r="H33" s="26">
        <f t="shared" ref="H33:H40" si="26">G33*12</f>
        <v>72.264</v>
      </c>
      <c r="I33" s="45">
        <f t="shared" ref="I33:I40" si="27">G33*13.33</f>
        <v>80.27326</v>
      </c>
      <c r="J33" s="26">
        <f t="shared" ref="J33:J40" si="28">G33*14</f>
        <v>84.308</v>
      </c>
      <c r="K33" s="26">
        <f t="shared" ref="K33:K40" si="29">G33*11.66*1.06</f>
        <v>74.4295112</v>
      </c>
      <c r="L33" s="45">
        <f t="shared" ref="L33:L40" si="30">G33*9.6</f>
        <v>57.8112</v>
      </c>
      <c r="M33" s="45">
        <f t="shared" ref="M33:M40" si="31">G33*14.4</f>
        <v>86.7168</v>
      </c>
      <c r="N33" s="45">
        <f t="shared" ref="N33:N40" si="32">G33*10.66</f>
        <v>64.19452</v>
      </c>
      <c r="O33" s="45">
        <f t="shared" ref="O33:O40" si="33">G33*16</f>
        <v>96.352</v>
      </c>
      <c r="P33" s="45">
        <f t="shared" ref="P33:P40" si="34">G33*11.2</f>
        <v>67.4464</v>
      </c>
      <c r="Q33" s="45">
        <f t="shared" ref="Q33:Q40" si="35">G33*16.8</f>
        <v>101.1696</v>
      </c>
      <c r="R33" s="45">
        <f t="shared" ref="R33:R40" si="36">G33*8.88</f>
        <v>53.47536</v>
      </c>
      <c r="S33" s="111">
        <f t="shared" ref="S33:S40" si="37">K33*2/3</f>
        <v>49.6196741333333</v>
      </c>
      <c r="T33" s="45">
        <f t="shared" si="25"/>
        <v>48.176</v>
      </c>
      <c r="U33" s="70"/>
    </row>
    <row r="34" spans="1:21">
      <c r="A34" s="26" t="s">
        <v>113</v>
      </c>
      <c r="B34" s="27">
        <v>0.079</v>
      </c>
      <c r="C34" s="37">
        <v>3</v>
      </c>
      <c r="D34" s="28" t="s">
        <v>41</v>
      </c>
      <c r="E34" s="24" t="s">
        <v>39</v>
      </c>
      <c r="F34" s="45" t="s">
        <v>82</v>
      </c>
      <c r="G34" s="85">
        <v>11.525</v>
      </c>
      <c r="H34" s="26">
        <f t="shared" si="26"/>
        <v>138.3</v>
      </c>
      <c r="I34" s="45">
        <f t="shared" si="27"/>
        <v>153.62825</v>
      </c>
      <c r="J34" s="26">
        <f t="shared" si="28"/>
        <v>161.35</v>
      </c>
      <c r="K34" s="26">
        <f t="shared" si="29"/>
        <v>142.44439</v>
      </c>
      <c r="L34" s="45">
        <f t="shared" si="30"/>
        <v>110.64</v>
      </c>
      <c r="M34" s="45">
        <f t="shared" si="31"/>
        <v>165.96</v>
      </c>
      <c r="N34" s="45">
        <f t="shared" si="32"/>
        <v>122.8565</v>
      </c>
      <c r="O34" s="45">
        <f t="shared" si="33"/>
        <v>184.4</v>
      </c>
      <c r="P34" s="45">
        <f t="shared" si="34"/>
        <v>129.08</v>
      </c>
      <c r="Q34" s="45">
        <f t="shared" si="35"/>
        <v>193.62</v>
      </c>
      <c r="R34" s="45">
        <f t="shared" si="36"/>
        <v>102.342</v>
      </c>
      <c r="S34" s="111">
        <f t="shared" si="37"/>
        <v>94.9629266666667</v>
      </c>
      <c r="T34" s="45">
        <f t="shared" si="25"/>
        <v>92.2</v>
      </c>
      <c r="U34" s="70"/>
    </row>
    <row r="35" spans="1:21">
      <c r="A35" s="26" t="s">
        <v>113</v>
      </c>
      <c r="B35" s="27">
        <v>0.079</v>
      </c>
      <c r="C35" s="37">
        <v>3</v>
      </c>
      <c r="D35" s="28" t="s">
        <v>95</v>
      </c>
      <c r="E35" s="24" t="s">
        <v>42</v>
      </c>
      <c r="F35" s="45" t="s">
        <v>82</v>
      </c>
      <c r="G35" s="85">
        <v>5.905</v>
      </c>
      <c r="H35" s="26">
        <f t="shared" si="26"/>
        <v>70.86</v>
      </c>
      <c r="I35" s="45">
        <f t="shared" si="27"/>
        <v>78.71365</v>
      </c>
      <c r="J35" s="26">
        <f t="shared" si="28"/>
        <v>82.67</v>
      </c>
      <c r="K35" s="26">
        <f t="shared" si="29"/>
        <v>72.983438</v>
      </c>
      <c r="L35" s="45">
        <f t="shared" si="30"/>
        <v>56.688</v>
      </c>
      <c r="M35" s="45">
        <f t="shared" si="31"/>
        <v>85.032</v>
      </c>
      <c r="N35" s="45">
        <f t="shared" si="32"/>
        <v>62.9473</v>
      </c>
      <c r="O35" s="45">
        <f t="shared" si="33"/>
        <v>94.48</v>
      </c>
      <c r="P35" s="45">
        <f t="shared" si="34"/>
        <v>66.136</v>
      </c>
      <c r="Q35" s="45">
        <f t="shared" si="35"/>
        <v>99.204</v>
      </c>
      <c r="R35" s="45">
        <f t="shared" si="36"/>
        <v>52.4364</v>
      </c>
      <c r="S35" s="111">
        <f t="shared" si="37"/>
        <v>48.6556253333333</v>
      </c>
      <c r="T35" s="45">
        <f t="shared" si="25"/>
        <v>47.24</v>
      </c>
      <c r="U35" s="70"/>
    </row>
    <row r="36" spans="1:21">
      <c r="A36" s="26" t="s">
        <v>113</v>
      </c>
      <c r="B36" s="27">
        <v>0.079</v>
      </c>
      <c r="C36" s="37">
        <v>3</v>
      </c>
      <c r="D36" s="28" t="s">
        <v>38</v>
      </c>
      <c r="E36" s="24" t="s">
        <v>42</v>
      </c>
      <c r="F36" s="45" t="s">
        <v>84</v>
      </c>
      <c r="G36" s="85">
        <v>16.537</v>
      </c>
      <c r="H36" s="26">
        <f t="shared" si="26"/>
        <v>198.444</v>
      </c>
      <c r="I36" s="45">
        <f t="shared" si="27"/>
        <v>220.43821</v>
      </c>
      <c r="J36" s="26">
        <f t="shared" si="28"/>
        <v>231.518</v>
      </c>
      <c r="K36" s="26">
        <f t="shared" si="29"/>
        <v>204.3907052</v>
      </c>
      <c r="L36" s="45">
        <f t="shared" si="30"/>
        <v>158.7552</v>
      </c>
      <c r="M36" s="45">
        <f t="shared" si="31"/>
        <v>238.1328</v>
      </c>
      <c r="N36" s="45">
        <f t="shared" si="32"/>
        <v>176.28442</v>
      </c>
      <c r="O36" s="45">
        <f t="shared" si="33"/>
        <v>264.592</v>
      </c>
      <c r="P36" s="45">
        <f t="shared" si="34"/>
        <v>185.2144</v>
      </c>
      <c r="Q36" s="45">
        <f t="shared" si="35"/>
        <v>277.8216</v>
      </c>
      <c r="R36" s="45">
        <f t="shared" si="36"/>
        <v>146.84856</v>
      </c>
      <c r="S36" s="111">
        <f t="shared" si="37"/>
        <v>136.260470133333</v>
      </c>
      <c r="T36" s="45">
        <f t="shared" si="25"/>
        <v>132.296</v>
      </c>
      <c r="U36" s="70"/>
    </row>
    <row r="37" spans="1:21">
      <c r="A37" s="26" t="s">
        <v>113</v>
      </c>
      <c r="B37" s="27">
        <v>0.079</v>
      </c>
      <c r="C37" s="37">
        <v>3</v>
      </c>
      <c r="D37" s="28" t="s">
        <v>95</v>
      </c>
      <c r="E37" s="24" t="s">
        <v>42</v>
      </c>
      <c r="F37" s="45" t="s">
        <v>84</v>
      </c>
      <c r="G37" s="85">
        <v>5.695</v>
      </c>
      <c r="H37" s="26">
        <f t="shared" si="26"/>
        <v>68.34</v>
      </c>
      <c r="I37" s="45">
        <f t="shared" si="27"/>
        <v>75.91435</v>
      </c>
      <c r="J37" s="26">
        <f t="shared" si="28"/>
        <v>79.73</v>
      </c>
      <c r="K37" s="26">
        <f t="shared" si="29"/>
        <v>70.387922</v>
      </c>
      <c r="L37" s="45">
        <f t="shared" si="30"/>
        <v>54.672</v>
      </c>
      <c r="M37" s="45">
        <f t="shared" si="31"/>
        <v>82.008</v>
      </c>
      <c r="N37" s="45">
        <f t="shared" si="32"/>
        <v>60.7087</v>
      </c>
      <c r="O37" s="45">
        <f t="shared" si="33"/>
        <v>91.12</v>
      </c>
      <c r="P37" s="45">
        <f t="shared" si="34"/>
        <v>63.784</v>
      </c>
      <c r="Q37" s="45">
        <f t="shared" si="35"/>
        <v>95.676</v>
      </c>
      <c r="R37" s="45">
        <f t="shared" si="36"/>
        <v>50.5716</v>
      </c>
      <c r="S37" s="111">
        <f t="shared" si="37"/>
        <v>46.9252813333333</v>
      </c>
      <c r="T37" s="45">
        <f t="shared" si="25"/>
        <v>45.56</v>
      </c>
      <c r="U37" s="70"/>
    </row>
    <row r="38" spans="1:21">
      <c r="A38" s="26" t="s">
        <v>113</v>
      </c>
      <c r="B38" s="85">
        <v>0.0889</v>
      </c>
      <c r="C38" s="107">
        <v>3.5</v>
      </c>
      <c r="D38" s="28" t="s">
        <v>41</v>
      </c>
      <c r="E38" s="24" t="s">
        <v>42</v>
      </c>
      <c r="F38" s="45" t="s">
        <v>86</v>
      </c>
      <c r="G38" s="85">
        <v>8.744</v>
      </c>
      <c r="H38" s="26">
        <f t="shared" si="26"/>
        <v>104.928</v>
      </c>
      <c r="I38" s="45">
        <f t="shared" si="27"/>
        <v>116.55752</v>
      </c>
      <c r="J38" s="26">
        <f t="shared" si="28"/>
        <v>122.416</v>
      </c>
      <c r="K38" s="26">
        <f t="shared" si="29"/>
        <v>108.0723424</v>
      </c>
      <c r="L38" s="45">
        <f t="shared" si="30"/>
        <v>83.9424</v>
      </c>
      <c r="M38" s="45">
        <f t="shared" si="31"/>
        <v>125.9136</v>
      </c>
      <c r="N38" s="45">
        <f t="shared" si="32"/>
        <v>93.21104</v>
      </c>
      <c r="O38" s="45">
        <f t="shared" si="33"/>
        <v>139.904</v>
      </c>
      <c r="P38" s="45">
        <f t="shared" si="34"/>
        <v>97.9328</v>
      </c>
      <c r="Q38" s="45">
        <f t="shared" si="35"/>
        <v>146.8992</v>
      </c>
      <c r="R38" s="45">
        <f t="shared" si="36"/>
        <v>77.64672</v>
      </c>
      <c r="S38" s="111">
        <f t="shared" si="37"/>
        <v>72.0482282666667</v>
      </c>
      <c r="T38" s="45">
        <f t="shared" si="25"/>
        <v>69.952</v>
      </c>
      <c r="U38" s="70"/>
    </row>
    <row r="39" spans="1:21">
      <c r="A39" s="26" t="s">
        <v>113</v>
      </c>
      <c r="B39" s="85">
        <v>0.0889</v>
      </c>
      <c r="C39" s="107">
        <v>3.5</v>
      </c>
      <c r="D39" s="28" t="s">
        <v>41</v>
      </c>
      <c r="E39" s="24" t="s">
        <v>42</v>
      </c>
      <c r="F39" s="45" t="s">
        <v>82</v>
      </c>
      <c r="G39" s="85">
        <v>8.902</v>
      </c>
      <c r="H39" s="26">
        <f t="shared" si="26"/>
        <v>106.824</v>
      </c>
      <c r="I39" s="45">
        <f t="shared" si="27"/>
        <v>118.66366</v>
      </c>
      <c r="J39" s="26">
        <f t="shared" si="28"/>
        <v>124.628</v>
      </c>
      <c r="K39" s="26">
        <f t="shared" si="29"/>
        <v>110.0251592</v>
      </c>
      <c r="L39" s="45">
        <f t="shared" si="30"/>
        <v>85.4592</v>
      </c>
      <c r="M39" s="45">
        <f t="shared" si="31"/>
        <v>128.1888</v>
      </c>
      <c r="N39" s="45">
        <f t="shared" si="32"/>
        <v>94.89532</v>
      </c>
      <c r="O39" s="45">
        <f t="shared" si="33"/>
        <v>142.432</v>
      </c>
      <c r="P39" s="45">
        <f t="shared" si="34"/>
        <v>99.7024</v>
      </c>
      <c r="Q39" s="45">
        <f t="shared" si="35"/>
        <v>149.5536</v>
      </c>
      <c r="R39" s="45">
        <f t="shared" si="36"/>
        <v>79.04976</v>
      </c>
      <c r="S39" s="111">
        <f t="shared" si="37"/>
        <v>73.3501061333333</v>
      </c>
      <c r="T39" s="45">
        <f t="shared" si="25"/>
        <v>71.216</v>
      </c>
      <c r="U39" s="70"/>
    </row>
    <row r="40" spans="1:21">
      <c r="A40" s="23" t="s">
        <v>113</v>
      </c>
      <c r="B40" s="85">
        <v>0.0889</v>
      </c>
      <c r="C40" s="106">
        <v>3.5</v>
      </c>
      <c r="D40" s="28" t="s">
        <v>83</v>
      </c>
      <c r="E40" s="24" t="s">
        <v>42</v>
      </c>
      <c r="F40" s="45" t="s">
        <v>82</v>
      </c>
      <c r="G40" s="85">
        <v>7.779</v>
      </c>
      <c r="H40" s="26">
        <f t="shared" si="26"/>
        <v>93.348</v>
      </c>
      <c r="I40" s="45">
        <f t="shared" si="27"/>
        <v>103.69407</v>
      </c>
      <c r="J40" s="26">
        <f t="shared" si="28"/>
        <v>108.906</v>
      </c>
      <c r="K40" s="26">
        <f t="shared" si="29"/>
        <v>96.1453284</v>
      </c>
      <c r="L40" s="45">
        <f t="shared" si="30"/>
        <v>74.6784</v>
      </c>
      <c r="M40" s="45">
        <f t="shared" si="31"/>
        <v>112.0176</v>
      </c>
      <c r="N40" s="45">
        <f t="shared" si="32"/>
        <v>82.92414</v>
      </c>
      <c r="O40" s="45">
        <f t="shared" si="33"/>
        <v>124.464</v>
      </c>
      <c r="P40" s="45">
        <f t="shared" si="34"/>
        <v>87.1248</v>
      </c>
      <c r="Q40" s="45">
        <f t="shared" si="35"/>
        <v>130.6872</v>
      </c>
      <c r="R40" s="45">
        <f t="shared" si="36"/>
        <v>69.07752</v>
      </c>
      <c r="S40" s="111">
        <f t="shared" si="37"/>
        <v>64.0968856</v>
      </c>
      <c r="T40" s="45">
        <f t="shared" si="25"/>
        <v>62.232</v>
      </c>
      <c r="U40" s="70"/>
    </row>
    <row r="41" spans="1:21">
      <c r="A41" s="26" t="s">
        <v>113</v>
      </c>
      <c r="B41" s="85">
        <v>0.0889</v>
      </c>
      <c r="C41" s="107">
        <v>3.5</v>
      </c>
      <c r="D41" s="28" t="s">
        <v>44</v>
      </c>
      <c r="E41" s="24" t="s">
        <v>42</v>
      </c>
      <c r="F41" s="45" t="s">
        <v>82</v>
      </c>
      <c r="G41" s="85">
        <v>6.187</v>
      </c>
      <c r="H41" s="26">
        <f t="shared" ref="H41:H46" si="38">G41*12</f>
        <v>74.244</v>
      </c>
      <c r="I41" s="45">
        <f t="shared" ref="I41:I46" si="39">G41*13.33</f>
        <v>82.47271</v>
      </c>
      <c r="J41" s="26">
        <f t="shared" ref="J41:J46" si="40">G41*14</f>
        <v>86.618</v>
      </c>
      <c r="K41" s="26">
        <f t="shared" ref="K41:K46" si="41">G41*11.66*1.06</f>
        <v>76.4688452</v>
      </c>
      <c r="L41" s="45">
        <f t="shared" ref="L41:L46" si="42">G41*9.6</f>
        <v>59.3952</v>
      </c>
      <c r="M41" s="45">
        <f t="shared" ref="M41:M46" si="43">G41*14.4</f>
        <v>89.0928</v>
      </c>
      <c r="N41" s="45">
        <f t="shared" ref="N41:N46" si="44">G41*10.66</f>
        <v>65.95342</v>
      </c>
      <c r="O41" s="45">
        <f t="shared" ref="O41:O46" si="45">G41*16</f>
        <v>98.992</v>
      </c>
      <c r="P41" s="45">
        <f t="shared" ref="P41:P46" si="46">G41*11.2</f>
        <v>69.2944</v>
      </c>
      <c r="Q41" s="45">
        <f t="shared" ref="Q41:Q46" si="47">G41*16.8</f>
        <v>103.9416</v>
      </c>
      <c r="R41" s="45">
        <f t="shared" ref="R41:R46" si="48">G41*8.88</f>
        <v>54.94056</v>
      </c>
      <c r="S41" s="111">
        <f t="shared" ref="S41:S46" si="49">K41*2/3</f>
        <v>50.9792301333333</v>
      </c>
      <c r="T41" s="45">
        <f t="shared" si="25"/>
        <v>49.496</v>
      </c>
      <c r="U41" s="70"/>
    </row>
    <row r="42" spans="1:21">
      <c r="A42" s="26" t="s">
        <v>113</v>
      </c>
      <c r="B42" s="85">
        <v>0.0889</v>
      </c>
      <c r="C42" s="107">
        <v>3.5</v>
      </c>
      <c r="D42" s="28" t="s">
        <v>38</v>
      </c>
      <c r="E42" s="24" t="s">
        <v>42</v>
      </c>
      <c r="F42" s="45" t="s">
        <v>82</v>
      </c>
      <c r="G42" s="85">
        <v>17.149</v>
      </c>
      <c r="H42" s="26">
        <f t="shared" si="38"/>
        <v>205.788</v>
      </c>
      <c r="I42" s="45">
        <f t="shared" si="39"/>
        <v>228.59617</v>
      </c>
      <c r="J42" s="26">
        <f t="shared" si="40"/>
        <v>240.086</v>
      </c>
      <c r="K42" s="26">
        <f t="shared" si="41"/>
        <v>211.9547804</v>
      </c>
      <c r="L42" s="45">
        <f t="shared" si="42"/>
        <v>164.6304</v>
      </c>
      <c r="M42" s="45">
        <f t="shared" si="43"/>
        <v>246.9456</v>
      </c>
      <c r="N42" s="45">
        <f t="shared" si="44"/>
        <v>182.80834</v>
      </c>
      <c r="O42" s="45">
        <f t="shared" si="45"/>
        <v>274.384</v>
      </c>
      <c r="P42" s="45">
        <f t="shared" si="46"/>
        <v>192.0688</v>
      </c>
      <c r="Q42" s="45">
        <f t="shared" si="47"/>
        <v>288.1032</v>
      </c>
      <c r="R42" s="45">
        <f t="shared" si="48"/>
        <v>152.28312</v>
      </c>
      <c r="S42" s="111">
        <f t="shared" si="49"/>
        <v>141.303186933333</v>
      </c>
      <c r="T42" s="45">
        <f t="shared" si="25"/>
        <v>137.192</v>
      </c>
      <c r="U42" s="70"/>
    </row>
    <row r="43" spans="1:21">
      <c r="A43" s="26" t="s">
        <v>113</v>
      </c>
      <c r="B43" s="85">
        <v>0.1016</v>
      </c>
      <c r="C43" s="37">
        <v>4</v>
      </c>
      <c r="D43" s="28" t="s">
        <v>38</v>
      </c>
      <c r="E43" s="24" t="s">
        <v>42</v>
      </c>
      <c r="F43" s="45" t="s">
        <v>87</v>
      </c>
      <c r="G43" s="85">
        <v>16.122</v>
      </c>
      <c r="H43" s="26">
        <f t="shared" si="38"/>
        <v>193.464</v>
      </c>
      <c r="I43" s="45">
        <f t="shared" si="39"/>
        <v>214.90626</v>
      </c>
      <c r="J43" s="26">
        <f t="shared" si="40"/>
        <v>225.708</v>
      </c>
      <c r="K43" s="26">
        <f t="shared" si="41"/>
        <v>199.2614712</v>
      </c>
      <c r="L43" s="45">
        <f t="shared" si="42"/>
        <v>154.7712</v>
      </c>
      <c r="M43" s="45">
        <f t="shared" si="43"/>
        <v>232.1568</v>
      </c>
      <c r="N43" s="45">
        <f t="shared" si="44"/>
        <v>171.86052</v>
      </c>
      <c r="O43" s="45">
        <f t="shared" si="45"/>
        <v>257.952</v>
      </c>
      <c r="P43" s="45">
        <f t="shared" si="46"/>
        <v>180.5664</v>
      </c>
      <c r="Q43" s="45">
        <f t="shared" si="47"/>
        <v>270.8496</v>
      </c>
      <c r="R43" s="45">
        <f t="shared" si="48"/>
        <v>143.16336</v>
      </c>
      <c r="S43" s="111">
        <f t="shared" si="49"/>
        <v>132.8409808</v>
      </c>
      <c r="T43" s="45">
        <f t="shared" si="25"/>
        <v>128.976</v>
      </c>
      <c r="U43" s="70"/>
    </row>
    <row r="44" spans="1:21">
      <c r="A44" s="26" t="s">
        <v>113</v>
      </c>
      <c r="B44" s="85">
        <v>0.1016</v>
      </c>
      <c r="C44" s="37">
        <v>4</v>
      </c>
      <c r="D44" s="28" t="s">
        <v>41</v>
      </c>
      <c r="E44" s="24" t="s">
        <v>42</v>
      </c>
      <c r="F44" s="45" t="s">
        <v>87</v>
      </c>
      <c r="G44" s="85">
        <v>8.642</v>
      </c>
      <c r="H44" s="26">
        <f t="shared" si="38"/>
        <v>103.704</v>
      </c>
      <c r="I44" s="45">
        <f t="shared" si="39"/>
        <v>115.19786</v>
      </c>
      <c r="J44" s="26">
        <f t="shared" si="40"/>
        <v>120.988</v>
      </c>
      <c r="K44" s="26">
        <f t="shared" si="41"/>
        <v>106.8116632</v>
      </c>
      <c r="L44" s="45">
        <f t="shared" si="42"/>
        <v>82.9632</v>
      </c>
      <c r="M44" s="45">
        <f t="shared" si="43"/>
        <v>124.4448</v>
      </c>
      <c r="N44" s="45">
        <f t="shared" si="44"/>
        <v>92.12372</v>
      </c>
      <c r="O44" s="45">
        <f t="shared" si="45"/>
        <v>138.272</v>
      </c>
      <c r="P44" s="45">
        <f t="shared" si="46"/>
        <v>96.7904</v>
      </c>
      <c r="Q44" s="45">
        <f t="shared" si="47"/>
        <v>145.1856</v>
      </c>
      <c r="R44" s="45">
        <f t="shared" si="48"/>
        <v>76.74096</v>
      </c>
      <c r="S44" s="111">
        <f t="shared" si="49"/>
        <v>71.2077754666667</v>
      </c>
      <c r="T44" s="45">
        <f t="shared" si="25"/>
        <v>69.136</v>
      </c>
      <c r="U44" s="70"/>
    </row>
    <row r="45" spans="1:21">
      <c r="A45" s="26" t="s">
        <v>113</v>
      </c>
      <c r="B45" s="85">
        <v>0.1016</v>
      </c>
      <c r="C45" s="37">
        <v>4</v>
      </c>
      <c r="D45" s="28" t="s">
        <v>44</v>
      </c>
      <c r="E45" s="24" t="s">
        <v>42</v>
      </c>
      <c r="F45" s="45" t="s">
        <v>87</v>
      </c>
      <c r="G45" s="85">
        <v>5.76</v>
      </c>
      <c r="H45" s="26">
        <f t="shared" si="38"/>
        <v>69.12</v>
      </c>
      <c r="I45" s="45">
        <f t="shared" si="39"/>
        <v>76.7808</v>
      </c>
      <c r="J45" s="26">
        <f t="shared" si="40"/>
        <v>80.64</v>
      </c>
      <c r="K45" s="26">
        <f t="shared" si="41"/>
        <v>71.191296</v>
      </c>
      <c r="L45" s="45">
        <f t="shared" si="42"/>
        <v>55.296</v>
      </c>
      <c r="M45" s="45">
        <f t="shared" si="43"/>
        <v>82.944</v>
      </c>
      <c r="N45" s="45">
        <f t="shared" si="44"/>
        <v>61.4016</v>
      </c>
      <c r="O45" s="45">
        <f t="shared" si="45"/>
        <v>92.16</v>
      </c>
      <c r="P45" s="45">
        <f t="shared" si="46"/>
        <v>64.512</v>
      </c>
      <c r="Q45" s="45">
        <f t="shared" si="47"/>
        <v>96.768</v>
      </c>
      <c r="R45" s="45">
        <f t="shared" si="48"/>
        <v>51.1488</v>
      </c>
      <c r="S45" s="111">
        <f t="shared" si="49"/>
        <v>47.460864</v>
      </c>
      <c r="T45" s="45">
        <f t="shared" si="25"/>
        <v>46.08</v>
      </c>
      <c r="U45" s="70"/>
    </row>
    <row r="46" spans="1:21">
      <c r="A46" s="26" t="s">
        <v>113</v>
      </c>
      <c r="B46" s="85">
        <v>0.1016</v>
      </c>
      <c r="C46" s="37">
        <v>4</v>
      </c>
      <c r="D46" s="28" t="s">
        <v>44</v>
      </c>
      <c r="E46" s="24" t="s">
        <v>39</v>
      </c>
      <c r="F46" s="45" t="s">
        <v>87</v>
      </c>
      <c r="G46" s="85">
        <v>7.275</v>
      </c>
      <c r="H46" s="26">
        <f t="shared" si="38"/>
        <v>87.3</v>
      </c>
      <c r="I46" s="45">
        <f t="shared" si="39"/>
        <v>96.97575</v>
      </c>
      <c r="J46" s="26">
        <f t="shared" si="40"/>
        <v>101.85</v>
      </c>
      <c r="K46" s="26">
        <f t="shared" si="41"/>
        <v>89.91609</v>
      </c>
      <c r="L46" s="45">
        <f t="shared" si="42"/>
        <v>69.84</v>
      </c>
      <c r="M46" s="45">
        <f t="shared" si="43"/>
        <v>104.76</v>
      </c>
      <c r="N46" s="45">
        <f t="shared" si="44"/>
        <v>77.5515</v>
      </c>
      <c r="O46" s="45">
        <f t="shared" si="45"/>
        <v>116.4</v>
      </c>
      <c r="P46" s="45">
        <f t="shared" si="46"/>
        <v>81.48</v>
      </c>
      <c r="Q46" s="45">
        <f t="shared" si="47"/>
        <v>122.22</v>
      </c>
      <c r="R46" s="45">
        <f t="shared" si="48"/>
        <v>64.602</v>
      </c>
      <c r="S46" s="111">
        <f t="shared" si="49"/>
        <v>59.94406</v>
      </c>
      <c r="T46" s="45">
        <f t="shared" si="25"/>
        <v>58.2</v>
      </c>
      <c r="U46" s="70"/>
    </row>
    <row r="47" spans="1:21">
      <c r="A47" s="26" t="s">
        <v>113</v>
      </c>
      <c r="B47" s="85">
        <v>0.1016</v>
      </c>
      <c r="C47" s="37">
        <v>4</v>
      </c>
      <c r="D47" s="28" t="s">
        <v>83</v>
      </c>
      <c r="E47" s="24" t="s">
        <v>42</v>
      </c>
      <c r="F47" s="45" t="s">
        <v>87</v>
      </c>
      <c r="G47" s="85">
        <v>7.502</v>
      </c>
      <c r="H47" s="26">
        <f t="shared" ref="H47:H81" si="50">G47*12</f>
        <v>90.024</v>
      </c>
      <c r="I47" s="45">
        <f t="shared" ref="I47:I81" si="51">G47*13.33</f>
        <v>100.00166</v>
      </c>
      <c r="J47" s="26">
        <f t="shared" ref="J47:J81" si="52">G47*14</f>
        <v>105.028</v>
      </c>
      <c r="K47" s="26">
        <f t="shared" ref="K47:K81" si="53">G47*11.66*1.06</f>
        <v>92.7217192</v>
      </c>
      <c r="L47" s="45">
        <f t="shared" ref="L47:L81" si="54">G47*9.6</f>
        <v>72.0192</v>
      </c>
      <c r="M47" s="45">
        <f t="shared" ref="M47:M81" si="55">G47*14.4</f>
        <v>108.0288</v>
      </c>
      <c r="N47" s="45">
        <f t="shared" ref="N47:N81" si="56">G47*10.66</f>
        <v>79.97132</v>
      </c>
      <c r="O47" s="45">
        <f t="shared" ref="O47:O81" si="57">G47*16</f>
        <v>120.032</v>
      </c>
      <c r="P47" s="45">
        <f t="shared" ref="P47:P81" si="58">G47*11.2</f>
        <v>84.0224</v>
      </c>
      <c r="Q47" s="45">
        <f t="shared" ref="Q47:Q81" si="59">G47*16.8</f>
        <v>126.0336</v>
      </c>
      <c r="R47" s="45">
        <f t="shared" ref="R47:R81" si="60">G47*8.88</f>
        <v>66.61776</v>
      </c>
      <c r="S47" s="111">
        <f t="shared" ref="S47:S81" si="61">K47*2/3</f>
        <v>61.8144794666667</v>
      </c>
      <c r="T47" s="45">
        <f t="shared" si="25"/>
        <v>60.016</v>
      </c>
      <c r="U47" s="70"/>
    </row>
    <row r="48" spans="1:21">
      <c r="A48" s="26" t="s">
        <v>113</v>
      </c>
      <c r="B48" s="85">
        <v>0.1016</v>
      </c>
      <c r="C48" s="37">
        <v>4</v>
      </c>
      <c r="D48" s="28" t="s">
        <v>92</v>
      </c>
      <c r="E48" s="24" t="s">
        <v>42</v>
      </c>
      <c r="F48" s="45" t="s">
        <v>87</v>
      </c>
      <c r="G48" s="85">
        <v>25.572</v>
      </c>
      <c r="H48" s="26">
        <f t="shared" si="50"/>
        <v>306.864</v>
      </c>
      <c r="I48" s="45">
        <f t="shared" si="51"/>
        <v>340.87476</v>
      </c>
      <c r="J48" s="26">
        <f t="shared" si="52"/>
        <v>358.008</v>
      </c>
      <c r="K48" s="26">
        <f t="shared" si="53"/>
        <v>316.0596912</v>
      </c>
      <c r="L48" s="45">
        <f t="shared" si="54"/>
        <v>245.4912</v>
      </c>
      <c r="M48" s="45">
        <f t="shared" si="55"/>
        <v>368.2368</v>
      </c>
      <c r="N48" s="45">
        <f t="shared" si="56"/>
        <v>272.59752</v>
      </c>
      <c r="O48" s="45">
        <f t="shared" si="57"/>
        <v>409.152</v>
      </c>
      <c r="P48" s="45">
        <f t="shared" si="58"/>
        <v>286.4064</v>
      </c>
      <c r="Q48" s="45">
        <f t="shared" si="59"/>
        <v>429.6096</v>
      </c>
      <c r="R48" s="45">
        <f t="shared" si="60"/>
        <v>227.07936</v>
      </c>
      <c r="S48" s="111">
        <f t="shared" si="61"/>
        <v>210.7064608</v>
      </c>
      <c r="T48" s="45">
        <f t="shared" si="25"/>
        <v>204.576</v>
      </c>
      <c r="U48" s="70"/>
    </row>
    <row r="49" spans="1:21">
      <c r="A49" s="23" t="s">
        <v>113</v>
      </c>
      <c r="B49" s="85">
        <v>0.1016</v>
      </c>
      <c r="C49" s="108">
        <v>4</v>
      </c>
      <c r="D49" s="28" t="s">
        <v>85</v>
      </c>
      <c r="E49" s="24" t="s">
        <v>42</v>
      </c>
      <c r="F49" s="45" t="s">
        <v>87</v>
      </c>
      <c r="G49" s="85">
        <v>13.8</v>
      </c>
      <c r="H49" s="26">
        <f t="shared" si="50"/>
        <v>165.6</v>
      </c>
      <c r="I49" s="45">
        <f t="shared" si="51"/>
        <v>183.954</v>
      </c>
      <c r="J49" s="26">
        <f t="shared" si="52"/>
        <v>193.2</v>
      </c>
      <c r="K49" s="26">
        <f t="shared" si="53"/>
        <v>170.56248</v>
      </c>
      <c r="L49" s="45">
        <f t="shared" si="54"/>
        <v>132.48</v>
      </c>
      <c r="M49" s="45">
        <f t="shared" si="55"/>
        <v>198.72</v>
      </c>
      <c r="N49" s="45">
        <f t="shared" si="56"/>
        <v>147.108</v>
      </c>
      <c r="O49" s="45">
        <f t="shared" si="57"/>
        <v>220.8</v>
      </c>
      <c r="P49" s="45">
        <f t="shared" si="58"/>
        <v>154.56</v>
      </c>
      <c r="Q49" s="45">
        <f t="shared" si="59"/>
        <v>231.84</v>
      </c>
      <c r="R49" s="45">
        <f t="shared" si="60"/>
        <v>122.544</v>
      </c>
      <c r="S49" s="111">
        <f t="shared" si="61"/>
        <v>113.70832</v>
      </c>
      <c r="T49" s="45">
        <f t="shared" si="25"/>
        <v>110.4</v>
      </c>
      <c r="U49" s="70"/>
    </row>
    <row r="50" spans="1:21">
      <c r="A50" s="26" t="s">
        <v>113</v>
      </c>
      <c r="B50" s="85">
        <v>0.1016</v>
      </c>
      <c r="C50" s="37">
        <v>4</v>
      </c>
      <c r="D50" s="28" t="s">
        <v>44</v>
      </c>
      <c r="E50" s="24" t="s">
        <v>39</v>
      </c>
      <c r="F50" s="45" t="s">
        <v>87</v>
      </c>
      <c r="G50" s="85">
        <v>7.139</v>
      </c>
      <c r="H50" s="26">
        <f t="shared" si="50"/>
        <v>85.668</v>
      </c>
      <c r="I50" s="45">
        <f t="shared" si="51"/>
        <v>95.16287</v>
      </c>
      <c r="J50" s="26">
        <f t="shared" si="52"/>
        <v>99.946</v>
      </c>
      <c r="K50" s="26">
        <f t="shared" si="53"/>
        <v>88.2351844</v>
      </c>
      <c r="L50" s="45">
        <f t="shared" si="54"/>
        <v>68.5344</v>
      </c>
      <c r="M50" s="45">
        <f t="shared" si="55"/>
        <v>102.8016</v>
      </c>
      <c r="N50" s="45">
        <f t="shared" si="56"/>
        <v>76.10174</v>
      </c>
      <c r="O50" s="45">
        <f t="shared" si="57"/>
        <v>114.224</v>
      </c>
      <c r="P50" s="45">
        <f t="shared" si="58"/>
        <v>79.9568</v>
      </c>
      <c r="Q50" s="45">
        <f t="shared" si="59"/>
        <v>119.9352</v>
      </c>
      <c r="R50" s="45">
        <f t="shared" si="60"/>
        <v>63.39432</v>
      </c>
      <c r="S50" s="111">
        <f t="shared" si="61"/>
        <v>58.8234562666667</v>
      </c>
      <c r="T50" s="45">
        <f t="shared" si="25"/>
        <v>57.112</v>
      </c>
      <c r="U50" s="70"/>
    </row>
    <row r="51" spans="1:21">
      <c r="A51" s="26" t="s">
        <v>113</v>
      </c>
      <c r="B51" s="85">
        <v>0.127</v>
      </c>
      <c r="C51" s="37">
        <v>5</v>
      </c>
      <c r="D51" s="28" t="s">
        <v>41</v>
      </c>
      <c r="E51" s="24" t="s">
        <v>42</v>
      </c>
      <c r="F51" s="45" t="s">
        <v>87</v>
      </c>
      <c r="G51" s="85">
        <v>8.902</v>
      </c>
      <c r="H51" s="26">
        <f t="shared" si="50"/>
        <v>106.824</v>
      </c>
      <c r="I51" s="45">
        <f t="shared" si="51"/>
        <v>118.66366</v>
      </c>
      <c r="J51" s="26">
        <f t="shared" si="52"/>
        <v>124.628</v>
      </c>
      <c r="K51" s="26">
        <f t="shared" si="53"/>
        <v>110.0251592</v>
      </c>
      <c r="L51" s="45">
        <f t="shared" si="54"/>
        <v>85.4592</v>
      </c>
      <c r="M51" s="45">
        <f t="shared" si="55"/>
        <v>128.1888</v>
      </c>
      <c r="N51" s="45">
        <f t="shared" si="56"/>
        <v>94.89532</v>
      </c>
      <c r="O51" s="45">
        <f t="shared" si="57"/>
        <v>142.432</v>
      </c>
      <c r="P51" s="45">
        <f t="shared" si="58"/>
        <v>99.7024</v>
      </c>
      <c r="Q51" s="45">
        <f t="shared" si="59"/>
        <v>149.5536</v>
      </c>
      <c r="R51" s="45">
        <f t="shared" si="60"/>
        <v>79.04976</v>
      </c>
      <c r="S51" s="111">
        <f t="shared" si="61"/>
        <v>73.3501061333333</v>
      </c>
      <c r="T51" s="45">
        <f t="shared" ref="T51:T82" si="62">H51*2/3</f>
        <v>71.216</v>
      </c>
      <c r="U51" s="70"/>
    </row>
    <row r="52" spans="1:21">
      <c r="A52" s="26" t="s">
        <v>113</v>
      </c>
      <c r="B52" s="85">
        <v>0.127</v>
      </c>
      <c r="C52" s="37">
        <v>5</v>
      </c>
      <c r="D52" s="28" t="s">
        <v>38</v>
      </c>
      <c r="E52" s="24" t="s">
        <v>42</v>
      </c>
      <c r="F52" s="45" t="s">
        <v>87</v>
      </c>
      <c r="G52" s="85">
        <v>16.837</v>
      </c>
      <c r="H52" s="26">
        <f t="shared" si="50"/>
        <v>202.044</v>
      </c>
      <c r="I52" s="45">
        <f t="shared" si="51"/>
        <v>224.43721</v>
      </c>
      <c r="J52" s="26">
        <f t="shared" si="52"/>
        <v>235.718</v>
      </c>
      <c r="K52" s="26">
        <f t="shared" si="53"/>
        <v>208.0985852</v>
      </c>
      <c r="L52" s="45">
        <f t="shared" si="54"/>
        <v>161.6352</v>
      </c>
      <c r="M52" s="45">
        <f t="shared" si="55"/>
        <v>242.4528</v>
      </c>
      <c r="N52" s="45">
        <f t="shared" si="56"/>
        <v>179.48242</v>
      </c>
      <c r="O52" s="45">
        <f t="shared" si="57"/>
        <v>269.392</v>
      </c>
      <c r="P52" s="45">
        <f t="shared" si="58"/>
        <v>188.5744</v>
      </c>
      <c r="Q52" s="45">
        <f t="shared" si="59"/>
        <v>282.8616</v>
      </c>
      <c r="R52" s="45">
        <f t="shared" si="60"/>
        <v>149.51256</v>
      </c>
      <c r="S52" s="111">
        <f t="shared" si="61"/>
        <v>138.732390133333</v>
      </c>
      <c r="T52" s="45">
        <f t="shared" si="62"/>
        <v>134.696</v>
      </c>
      <c r="U52" s="70"/>
    </row>
    <row r="53" spans="1:21">
      <c r="A53" s="26" t="s">
        <v>113</v>
      </c>
      <c r="B53" s="85">
        <v>0.127</v>
      </c>
      <c r="C53" s="37">
        <v>5</v>
      </c>
      <c r="D53" s="28" t="s">
        <v>44</v>
      </c>
      <c r="E53" s="24" t="s">
        <v>42</v>
      </c>
      <c r="F53" s="45" t="s">
        <v>87</v>
      </c>
      <c r="G53" s="85">
        <v>6.056</v>
      </c>
      <c r="H53" s="26">
        <f t="shared" si="50"/>
        <v>72.672</v>
      </c>
      <c r="I53" s="45">
        <f t="shared" si="51"/>
        <v>80.72648</v>
      </c>
      <c r="J53" s="26">
        <f t="shared" si="52"/>
        <v>84.784</v>
      </c>
      <c r="K53" s="26">
        <f t="shared" si="53"/>
        <v>74.8497376</v>
      </c>
      <c r="L53" s="45">
        <f t="shared" si="54"/>
        <v>58.1376</v>
      </c>
      <c r="M53" s="45">
        <f t="shared" si="55"/>
        <v>87.2064</v>
      </c>
      <c r="N53" s="45">
        <f t="shared" si="56"/>
        <v>64.55696</v>
      </c>
      <c r="O53" s="45">
        <f t="shared" si="57"/>
        <v>96.896</v>
      </c>
      <c r="P53" s="45">
        <f t="shared" si="58"/>
        <v>67.8272</v>
      </c>
      <c r="Q53" s="45">
        <f t="shared" si="59"/>
        <v>101.7408</v>
      </c>
      <c r="R53" s="45">
        <f t="shared" si="60"/>
        <v>53.77728</v>
      </c>
      <c r="S53" s="111">
        <f t="shared" si="61"/>
        <v>49.8998250666667</v>
      </c>
      <c r="T53" s="45">
        <f t="shared" si="62"/>
        <v>48.448</v>
      </c>
      <c r="U53" s="70"/>
    </row>
    <row r="54" spans="1:21">
      <c r="A54" s="26" t="s">
        <v>113</v>
      </c>
      <c r="B54" s="85">
        <v>0.127</v>
      </c>
      <c r="C54" s="37">
        <v>5</v>
      </c>
      <c r="D54" s="28" t="s">
        <v>85</v>
      </c>
      <c r="E54" s="24" t="s">
        <v>42</v>
      </c>
      <c r="F54" s="45" t="s">
        <v>87</v>
      </c>
      <c r="G54" s="85">
        <v>14.029</v>
      </c>
      <c r="H54" s="26">
        <f t="shared" si="50"/>
        <v>168.348</v>
      </c>
      <c r="I54" s="45">
        <f t="shared" si="51"/>
        <v>187.00657</v>
      </c>
      <c r="J54" s="26">
        <f t="shared" si="52"/>
        <v>196.406</v>
      </c>
      <c r="K54" s="26">
        <f t="shared" si="53"/>
        <v>173.3928284</v>
      </c>
      <c r="L54" s="45">
        <f t="shared" si="54"/>
        <v>134.6784</v>
      </c>
      <c r="M54" s="45">
        <f t="shared" si="55"/>
        <v>202.0176</v>
      </c>
      <c r="N54" s="45">
        <f t="shared" si="56"/>
        <v>149.54914</v>
      </c>
      <c r="O54" s="45">
        <f t="shared" si="57"/>
        <v>224.464</v>
      </c>
      <c r="P54" s="45">
        <f t="shared" si="58"/>
        <v>157.1248</v>
      </c>
      <c r="Q54" s="45">
        <f t="shared" si="59"/>
        <v>235.6872</v>
      </c>
      <c r="R54" s="45">
        <f t="shared" si="60"/>
        <v>124.57752</v>
      </c>
      <c r="S54" s="111">
        <f t="shared" si="61"/>
        <v>115.595218933333</v>
      </c>
      <c r="T54" s="45">
        <f t="shared" si="62"/>
        <v>112.232</v>
      </c>
      <c r="U54" s="70"/>
    </row>
    <row r="55" spans="1:21">
      <c r="A55" s="26" t="s">
        <v>113</v>
      </c>
      <c r="B55" s="85">
        <v>0.127</v>
      </c>
      <c r="C55" s="37">
        <v>5</v>
      </c>
      <c r="D55" s="28" t="s">
        <v>83</v>
      </c>
      <c r="E55" s="24" t="s">
        <v>42</v>
      </c>
      <c r="F55" s="45" t="s">
        <v>87</v>
      </c>
      <c r="G55" s="85">
        <v>7.863</v>
      </c>
      <c r="H55" s="26">
        <f t="shared" si="50"/>
        <v>94.356</v>
      </c>
      <c r="I55" s="45">
        <f t="shared" si="51"/>
        <v>104.81379</v>
      </c>
      <c r="J55" s="26">
        <f t="shared" si="52"/>
        <v>110.082</v>
      </c>
      <c r="K55" s="26">
        <f t="shared" si="53"/>
        <v>97.1835348</v>
      </c>
      <c r="L55" s="45">
        <f t="shared" si="54"/>
        <v>75.4848</v>
      </c>
      <c r="M55" s="45">
        <f t="shared" si="55"/>
        <v>113.2272</v>
      </c>
      <c r="N55" s="45">
        <f t="shared" si="56"/>
        <v>83.81958</v>
      </c>
      <c r="O55" s="45">
        <f t="shared" si="57"/>
        <v>125.808</v>
      </c>
      <c r="P55" s="45">
        <f t="shared" si="58"/>
        <v>88.0656</v>
      </c>
      <c r="Q55" s="45">
        <f t="shared" si="59"/>
        <v>132.0984</v>
      </c>
      <c r="R55" s="45">
        <f t="shared" si="60"/>
        <v>69.82344</v>
      </c>
      <c r="S55" s="111">
        <f t="shared" si="61"/>
        <v>64.7890232</v>
      </c>
      <c r="T55" s="45">
        <f t="shared" si="62"/>
        <v>62.904</v>
      </c>
      <c r="U55" s="70"/>
    </row>
    <row r="56" spans="1:21">
      <c r="A56" s="26" t="s">
        <v>113</v>
      </c>
      <c r="B56" s="85">
        <v>0.1524</v>
      </c>
      <c r="C56" s="37">
        <v>6</v>
      </c>
      <c r="D56" s="28" t="s">
        <v>41</v>
      </c>
      <c r="E56" s="24" t="s">
        <v>42</v>
      </c>
      <c r="F56" s="45" t="s">
        <v>89</v>
      </c>
      <c r="G56" s="85">
        <v>8.924</v>
      </c>
      <c r="H56" s="26">
        <f t="shared" si="50"/>
        <v>107.088</v>
      </c>
      <c r="I56" s="45">
        <f t="shared" si="51"/>
        <v>118.95692</v>
      </c>
      <c r="J56" s="26">
        <f t="shared" si="52"/>
        <v>124.936</v>
      </c>
      <c r="K56" s="26">
        <f t="shared" si="53"/>
        <v>110.2970704</v>
      </c>
      <c r="L56" s="45">
        <f t="shared" si="54"/>
        <v>85.6704</v>
      </c>
      <c r="M56" s="45">
        <f t="shared" si="55"/>
        <v>128.5056</v>
      </c>
      <c r="N56" s="45">
        <f t="shared" si="56"/>
        <v>95.12984</v>
      </c>
      <c r="O56" s="45">
        <f t="shared" si="57"/>
        <v>142.784</v>
      </c>
      <c r="P56" s="45">
        <f t="shared" si="58"/>
        <v>99.9488</v>
      </c>
      <c r="Q56" s="45">
        <f t="shared" si="59"/>
        <v>149.9232</v>
      </c>
      <c r="R56" s="45">
        <f t="shared" si="60"/>
        <v>79.24512</v>
      </c>
      <c r="S56" s="111">
        <f t="shared" si="61"/>
        <v>73.5313802666667</v>
      </c>
      <c r="T56" s="45">
        <f t="shared" si="62"/>
        <v>71.392</v>
      </c>
      <c r="U56" s="70"/>
    </row>
    <row r="57" spans="1:21">
      <c r="A57" s="26" t="s">
        <v>113</v>
      </c>
      <c r="B57" s="85">
        <v>0.1524</v>
      </c>
      <c r="C57" s="37">
        <v>6</v>
      </c>
      <c r="D57" s="28" t="s">
        <v>44</v>
      </c>
      <c r="E57" s="24" t="s">
        <v>42</v>
      </c>
      <c r="F57" s="45" t="s">
        <v>89</v>
      </c>
      <c r="G57" s="85">
        <v>6.238</v>
      </c>
      <c r="H57" s="26">
        <f t="shared" si="50"/>
        <v>74.856</v>
      </c>
      <c r="I57" s="45">
        <f t="shared" si="51"/>
        <v>83.15254</v>
      </c>
      <c r="J57" s="26">
        <f t="shared" si="52"/>
        <v>87.332</v>
      </c>
      <c r="K57" s="26">
        <f t="shared" si="53"/>
        <v>77.0991848</v>
      </c>
      <c r="L57" s="45">
        <f t="shared" si="54"/>
        <v>59.8848</v>
      </c>
      <c r="M57" s="45">
        <f t="shared" si="55"/>
        <v>89.8272</v>
      </c>
      <c r="N57" s="45">
        <f t="shared" si="56"/>
        <v>66.49708</v>
      </c>
      <c r="O57" s="45">
        <f t="shared" si="57"/>
        <v>99.808</v>
      </c>
      <c r="P57" s="45">
        <f t="shared" si="58"/>
        <v>69.8656</v>
      </c>
      <c r="Q57" s="45">
        <f t="shared" si="59"/>
        <v>104.7984</v>
      </c>
      <c r="R57" s="45">
        <f t="shared" si="60"/>
        <v>55.39344</v>
      </c>
      <c r="S57" s="111">
        <f t="shared" si="61"/>
        <v>51.3994565333333</v>
      </c>
      <c r="T57" s="45">
        <f t="shared" si="62"/>
        <v>49.904</v>
      </c>
      <c r="U57" s="70"/>
    </row>
    <row r="58" spans="1:21">
      <c r="A58" s="26" t="s">
        <v>113</v>
      </c>
      <c r="B58" s="85">
        <v>0.1524</v>
      </c>
      <c r="C58" s="37">
        <v>6</v>
      </c>
      <c r="D58" s="28" t="s">
        <v>38</v>
      </c>
      <c r="E58" s="24" t="s">
        <v>42</v>
      </c>
      <c r="F58" s="45" t="s">
        <v>89</v>
      </c>
      <c r="G58" s="85">
        <v>18.058</v>
      </c>
      <c r="H58" s="26">
        <f t="shared" si="50"/>
        <v>216.696</v>
      </c>
      <c r="I58" s="45">
        <f t="shared" si="51"/>
        <v>240.71314</v>
      </c>
      <c r="J58" s="26">
        <f t="shared" si="52"/>
        <v>252.812</v>
      </c>
      <c r="K58" s="26">
        <f t="shared" si="53"/>
        <v>223.1896568</v>
      </c>
      <c r="L58" s="45">
        <f t="shared" si="54"/>
        <v>173.3568</v>
      </c>
      <c r="M58" s="45">
        <f t="shared" si="55"/>
        <v>260.0352</v>
      </c>
      <c r="N58" s="45">
        <f t="shared" si="56"/>
        <v>192.49828</v>
      </c>
      <c r="O58" s="45">
        <f t="shared" si="57"/>
        <v>288.928</v>
      </c>
      <c r="P58" s="45">
        <f t="shared" si="58"/>
        <v>202.2496</v>
      </c>
      <c r="Q58" s="45">
        <f t="shared" si="59"/>
        <v>303.3744</v>
      </c>
      <c r="R58" s="45">
        <f t="shared" si="60"/>
        <v>160.35504</v>
      </c>
      <c r="S58" s="111">
        <f t="shared" si="61"/>
        <v>148.793104533333</v>
      </c>
      <c r="T58" s="45">
        <f t="shared" si="62"/>
        <v>144.464</v>
      </c>
      <c r="U58" s="70"/>
    </row>
    <row r="59" spans="1:21">
      <c r="A59" s="26" t="s">
        <v>113</v>
      </c>
      <c r="B59" s="85">
        <v>0.1524</v>
      </c>
      <c r="C59" s="37">
        <v>6</v>
      </c>
      <c r="D59" s="28" t="s">
        <v>83</v>
      </c>
      <c r="E59" s="24" t="s">
        <v>42</v>
      </c>
      <c r="F59" s="45" t="s">
        <v>89</v>
      </c>
      <c r="G59" s="85">
        <v>8.135</v>
      </c>
      <c r="H59" s="26">
        <f t="shared" si="50"/>
        <v>97.62</v>
      </c>
      <c r="I59" s="45">
        <f t="shared" si="51"/>
        <v>108.43955</v>
      </c>
      <c r="J59" s="26">
        <f t="shared" si="52"/>
        <v>113.89</v>
      </c>
      <c r="K59" s="26">
        <f t="shared" si="53"/>
        <v>100.545346</v>
      </c>
      <c r="L59" s="45">
        <f t="shared" si="54"/>
        <v>78.096</v>
      </c>
      <c r="M59" s="45">
        <f t="shared" si="55"/>
        <v>117.144</v>
      </c>
      <c r="N59" s="45">
        <f t="shared" si="56"/>
        <v>86.7191</v>
      </c>
      <c r="O59" s="45">
        <f t="shared" si="57"/>
        <v>130.16</v>
      </c>
      <c r="P59" s="45">
        <f t="shared" si="58"/>
        <v>91.112</v>
      </c>
      <c r="Q59" s="45">
        <f t="shared" si="59"/>
        <v>136.668</v>
      </c>
      <c r="R59" s="45">
        <f t="shared" si="60"/>
        <v>72.2388</v>
      </c>
      <c r="S59" s="111">
        <f t="shared" si="61"/>
        <v>67.0302306666667</v>
      </c>
      <c r="T59" s="45">
        <f t="shared" si="62"/>
        <v>65.08</v>
      </c>
      <c r="U59" s="70"/>
    </row>
    <row r="60" spans="1:21">
      <c r="A60" s="26" t="s">
        <v>113</v>
      </c>
      <c r="B60" s="85">
        <v>0.1524</v>
      </c>
      <c r="C60" s="37">
        <v>6</v>
      </c>
      <c r="D60" s="28" t="s">
        <v>85</v>
      </c>
      <c r="E60" s="24" t="s">
        <v>42</v>
      </c>
      <c r="F60" s="45" t="s">
        <v>89</v>
      </c>
      <c r="G60" s="85">
        <v>14.505</v>
      </c>
      <c r="H60" s="26">
        <f t="shared" si="50"/>
        <v>174.06</v>
      </c>
      <c r="I60" s="45">
        <f t="shared" si="51"/>
        <v>193.35165</v>
      </c>
      <c r="J60" s="26">
        <f t="shared" si="52"/>
        <v>203.07</v>
      </c>
      <c r="K60" s="26">
        <f t="shared" si="53"/>
        <v>179.275998</v>
      </c>
      <c r="L60" s="45">
        <f t="shared" si="54"/>
        <v>139.248</v>
      </c>
      <c r="M60" s="45">
        <f t="shared" si="55"/>
        <v>208.872</v>
      </c>
      <c r="N60" s="45">
        <f t="shared" si="56"/>
        <v>154.6233</v>
      </c>
      <c r="O60" s="45">
        <f t="shared" si="57"/>
        <v>232.08</v>
      </c>
      <c r="P60" s="45">
        <f t="shared" si="58"/>
        <v>162.456</v>
      </c>
      <c r="Q60" s="45">
        <f t="shared" si="59"/>
        <v>243.684</v>
      </c>
      <c r="R60" s="45">
        <f t="shared" si="60"/>
        <v>128.8044</v>
      </c>
      <c r="S60" s="111">
        <f t="shared" si="61"/>
        <v>119.517332</v>
      </c>
      <c r="T60" s="45">
        <f t="shared" si="62"/>
        <v>116.04</v>
      </c>
      <c r="U60" s="70"/>
    </row>
    <row r="61" spans="1:21">
      <c r="A61" s="26" t="s">
        <v>113</v>
      </c>
      <c r="B61" s="85">
        <v>0.2032</v>
      </c>
      <c r="C61" s="37">
        <v>8</v>
      </c>
      <c r="D61" s="28" t="s">
        <v>41</v>
      </c>
      <c r="E61" s="24" t="s">
        <v>42</v>
      </c>
      <c r="F61" s="45" t="s">
        <v>90</v>
      </c>
      <c r="G61" s="85">
        <v>8.924</v>
      </c>
      <c r="H61" s="26">
        <f t="shared" si="50"/>
        <v>107.088</v>
      </c>
      <c r="I61" s="45">
        <f t="shared" si="51"/>
        <v>118.95692</v>
      </c>
      <c r="J61" s="26">
        <f t="shared" si="52"/>
        <v>124.936</v>
      </c>
      <c r="K61" s="26">
        <f t="shared" si="53"/>
        <v>110.2970704</v>
      </c>
      <c r="L61" s="45">
        <f t="shared" si="54"/>
        <v>85.6704</v>
      </c>
      <c r="M61" s="45">
        <f t="shared" si="55"/>
        <v>128.5056</v>
      </c>
      <c r="N61" s="45">
        <f t="shared" si="56"/>
        <v>95.12984</v>
      </c>
      <c r="O61" s="45">
        <f t="shared" si="57"/>
        <v>142.784</v>
      </c>
      <c r="P61" s="45">
        <f t="shared" si="58"/>
        <v>99.9488</v>
      </c>
      <c r="Q61" s="45">
        <f t="shared" si="59"/>
        <v>149.9232</v>
      </c>
      <c r="R61" s="45">
        <f t="shared" si="60"/>
        <v>79.24512</v>
      </c>
      <c r="S61" s="111">
        <f t="shared" si="61"/>
        <v>73.5313802666667</v>
      </c>
      <c r="T61" s="45">
        <f t="shared" si="62"/>
        <v>71.392</v>
      </c>
      <c r="U61" s="70"/>
    </row>
    <row r="62" spans="1:21">
      <c r="A62" s="26" t="s">
        <v>113</v>
      </c>
      <c r="B62" s="85">
        <v>0.2032</v>
      </c>
      <c r="C62" s="37">
        <v>8</v>
      </c>
      <c r="D62" s="28" t="s">
        <v>44</v>
      </c>
      <c r="E62" s="24" t="s">
        <v>42</v>
      </c>
      <c r="F62" s="45" t="s">
        <v>90</v>
      </c>
      <c r="G62" s="85">
        <v>6.238</v>
      </c>
      <c r="H62" s="26">
        <f t="shared" si="50"/>
        <v>74.856</v>
      </c>
      <c r="I62" s="45">
        <f t="shared" si="51"/>
        <v>83.15254</v>
      </c>
      <c r="J62" s="26">
        <f t="shared" si="52"/>
        <v>87.332</v>
      </c>
      <c r="K62" s="26">
        <f t="shared" si="53"/>
        <v>77.0991848</v>
      </c>
      <c r="L62" s="45">
        <f t="shared" si="54"/>
        <v>59.8848</v>
      </c>
      <c r="M62" s="45">
        <f t="shared" si="55"/>
        <v>89.8272</v>
      </c>
      <c r="N62" s="45">
        <f t="shared" si="56"/>
        <v>66.49708</v>
      </c>
      <c r="O62" s="45">
        <f t="shared" si="57"/>
        <v>99.808</v>
      </c>
      <c r="P62" s="45">
        <f t="shared" si="58"/>
        <v>69.8656</v>
      </c>
      <c r="Q62" s="45">
        <f t="shared" si="59"/>
        <v>104.7984</v>
      </c>
      <c r="R62" s="45">
        <f t="shared" si="60"/>
        <v>55.39344</v>
      </c>
      <c r="S62" s="111">
        <f t="shared" si="61"/>
        <v>51.3994565333333</v>
      </c>
      <c r="T62" s="45">
        <f t="shared" si="62"/>
        <v>49.904</v>
      </c>
      <c r="U62" s="70"/>
    </row>
    <row r="63" spans="1:21">
      <c r="A63" s="26" t="s">
        <v>113</v>
      </c>
      <c r="B63" s="85">
        <v>0.2032</v>
      </c>
      <c r="C63" s="37">
        <v>8</v>
      </c>
      <c r="D63" s="28" t="s">
        <v>38</v>
      </c>
      <c r="E63" s="24" t="s">
        <v>42</v>
      </c>
      <c r="F63" s="45" t="s">
        <v>90</v>
      </c>
      <c r="G63" s="85">
        <v>18.121</v>
      </c>
      <c r="H63" s="26">
        <f t="shared" si="50"/>
        <v>217.452</v>
      </c>
      <c r="I63" s="45">
        <f t="shared" si="51"/>
        <v>241.55293</v>
      </c>
      <c r="J63" s="26">
        <f t="shared" si="52"/>
        <v>253.694</v>
      </c>
      <c r="K63" s="26">
        <f t="shared" si="53"/>
        <v>223.9683116</v>
      </c>
      <c r="L63" s="45">
        <f t="shared" si="54"/>
        <v>173.9616</v>
      </c>
      <c r="M63" s="45">
        <f t="shared" si="55"/>
        <v>260.9424</v>
      </c>
      <c r="N63" s="45">
        <f t="shared" si="56"/>
        <v>193.16986</v>
      </c>
      <c r="O63" s="45">
        <f t="shared" si="57"/>
        <v>289.936</v>
      </c>
      <c r="P63" s="45">
        <f t="shared" si="58"/>
        <v>202.9552</v>
      </c>
      <c r="Q63" s="45">
        <f t="shared" si="59"/>
        <v>304.4328</v>
      </c>
      <c r="R63" s="45">
        <f t="shared" si="60"/>
        <v>160.91448</v>
      </c>
      <c r="S63" s="111">
        <f t="shared" si="61"/>
        <v>149.312207733333</v>
      </c>
      <c r="T63" s="45">
        <f t="shared" si="62"/>
        <v>144.968</v>
      </c>
      <c r="U63" s="70"/>
    </row>
    <row r="64" spans="1:21">
      <c r="A64" s="26" t="s">
        <v>113</v>
      </c>
      <c r="B64" s="85">
        <v>0.2032</v>
      </c>
      <c r="C64" s="37">
        <v>8</v>
      </c>
      <c r="D64" s="28" t="s">
        <v>83</v>
      </c>
      <c r="E64" s="24" t="s">
        <v>42</v>
      </c>
      <c r="F64" s="45" t="s">
        <v>90</v>
      </c>
      <c r="G64" s="85">
        <v>8.168</v>
      </c>
      <c r="H64" s="26">
        <f t="shared" si="50"/>
        <v>98.016</v>
      </c>
      <c r="I64" s="45">
        <f t="shared" si="51"/>
        <v>108.87944</v>
      </c>
      <c r="J64" s="26">
        <f t="shared" si="52"/>
        <v>114.352</v>
      </c>
      <c r="K64" s="26">
        <f t="shared" si="53"/>
        <v>100.9532128</v>
      </c>
      <c r="L64" s="45">
        <f t="shared" si="54"/>
        <v>78.4128</v>
      </c>
      <c r="M64" s="45">
        <f t="shared" si="55"/>
        <v>117.6192</v>
      </c>
      <c r="N64" s="45">
        <f t="shared" si="56"/>
        <v>87.07088</v>
      </c>
      <c r="O64" s="45">
        <f t="shared" si="57"/>
        <v>130.688</v>
      </c>
      <c r="P64" s="45">
        <f t="shared" si="58"/>
        <v>91.4816</v>
      </c>
      <c r="Q64" s="45">
        <f t="shared" si="59"/>
        <v>137.2224</v>
      </c>
      <c r="R64" s="45">
        <f t="shared" si="60"/>
        <v>72.53184</v>
      </c>
      <c r="S64" s="111">
        <f t="shared" si="61"/>
        <v>67.3021418666667</v>
      </c>
      <c r="T64" s="45">
        <f t="shared" si="62"/>
        <v>65.344</v>
      </c>
      <c r="U64" s="70"/>
    </row>
    <row r="65" spans="1:21">
      <c r="A65" s="26" t="s">
        <v>113</v>
      </c>
      <c r="B65" s="85">
        <v>0.2032</v>
      </c>
      <c r="C65" s="37">
        <v>8</v>
      </c>
      <c r="D65" s="28" t="s">
        <v>85</v>
      </c>
      <c r="E65" s="24" t="s">
        <v>42</v>
      </c>
      <c r="F65" s="45" t="s">
        <v>90</v>
      </c>
      <c r="G65" s="85">
        <v>14.552</v>
      </c>
      <c r="H65" s="26">
        <f t="shared" si="50"/>
        <v>174.624</v>
      </c>
      <c r="I65" s="45">
        <f t="shared" si="51"/>
        <v>193.97816</v>
      </c>
      <c r="J65" s="26">
        <f t="shared" si="52"/>
        <v>203.728</v>
      </c>
      <c r="K65" s="26">
        <f t="shared" si="53"/>
        <v>179.8568992</v>
      </c>
      <c r="L65" s="45">
        <f t="shared" si="54"/>
        <v>139.6992</v>
      </c>
      <c r="M65" s="45">
        <f t="shared" si="55"/>
        <v>209.5488</v>
      </c>
      <c r="N65" s="45">
        <f t="shared" si="56"/>
        <v>155.12432</v>
      </c>
      <c r="O65" s="45">
        <f t="shared" si="57"/>
        <v>232.832</v>
      </c>
      <c r="P65" s="45">
        <f t="shared" si="58"/>
        <v>162.9824</v>
      </c>
      <c r="Q65" s="45">
        <f t="shared" si="59"/>
        <v>244.4736</v>
      </c>
      <c r="R65" s="45">
        <f t="shared" si="60"/>
        <v>129.22176</v>
      </c>
      <c r="S65" s="111">
        <f t="shared" si="61"/>
        <v>119.904599466667</v>
      </c>
      <c r="T65" s="45">
        <f t="shared" si="62"/>
        <v>116.416</v>
      </c>
      <c r="U65" s="70"/>
    </row>
    <row r="66" spans="1:21">
      <c r="A66" s="26" t="s">
        <v>113</v>
      </c>
      <c r="B66" s="85">
        <v>0.254</v>
      </c>
      <c r="C66" s="37">
        <v>10</v>
      </c>
      <c r="D66" s="28" t="s">
        <v>41</v>
      </c>
      <c r="E66" s="24" t="s">
        <v>42</v>
      </c>
      <c r="F66" s="45" t="s">
        <v>91</v>
      </c>
      <c r="G66" s="85">
        <v>10.121</v>
      </c>
      <c r="H66" s="26">
        <f t="shared" si="50"/>
        <v>121.452</v>
      </c>
      <c r="I66" s="45">
        <f t="shared" si="51"/>
        <v>134.91293</v>
      </c>
      <c r="J66" s="26">
        <f t="shared" si="52"/>
        <v>141.694</v>
      </c>
      <c r="K66" s="26">
        <f t="shared" si="53"/>
        <v>125.0915116</v>
      </c>
      <c r="L66" s="45">
        <f t="shared" si="54"/>
        <v>97.1616</v>
      </c>
      <c r="M66" s="45">
        <f t="shared" si="55"/>
        <v>145.7424</v>
      </c>
      <c r="N66" s="45">
        <f t="shared" si="56"/>
        <v>107.88986</v>
      </c>
      <c r="O66" s="45">
        <f t="shared" si="57"/>
        <v>161.936</v>
      </c>
      <c r="P66" s="45">
        <f t="shared" si="58"/>
        <v>113.3552</v>
      </c>
      <c r="Q66" s="45">
        <f t="shared" si="59"/>
        <v>170.0328</v>
      </c>
      <c r="R66" s="45">
        <f t="shared" si="60"/>
        <v>89.87448</v>
      </c>
      <c r="S66" s="111">
        <f t="shared" si="61"/>
        <v>83.3943410666667</v>
      </c>
      <c r="T66" s="45">
        <f t="shared" si="62"/>
        <v>80.968</v>
      </c>
      <c r="U66" s="70"/>
    </row>
    <row r="67" spans="1:21">
      <c r="A67" s="26" t="s">
        <v>113</v>
      </c>
      <c r="B67" s="85">
        <v>0.254</v>
      </c>
      <c r="C67" s="37">
        <v>10</v>
      </c>
      <c r="D67" s="28" t="s">
        <v>38</v>
      </c>
      <c r="E67" s="24" t="s">
        <v>42</v>
      </c>
      <c r="F67" s="45" t="s">
        <v>91</v>
      </c>
      <c r="G67" s="85">
        <v>18.126</v>
      </c>
      <c r="H67" s="26">
        <f t="shared" si="50"/>
        <v>217.512</v>
      </c>
      <c r="I67" s="45">
        <f t="shared" si="51"/>
        <v>241.61958</v>
      </c>
      <c r="J67" s="26">
        <f t="shared" si="52"/>
        <v>253.764</v>
      </c>
      <c r="K67" s="26">
        <f t="shared" si="53"/>
        <v>224.0301096</v>
      </c>
      <c r="L67" s="45">
        <f t="shared" si="54"/>
        <v>174.0096</v>
      </c>
      <c r="M67" s="45">
        <f t="shared" si="55"/>
        <v>261.0144</v>
      </c>
      <c r="N67" s="45">
        <f t="shared" si="56"/>
        <v>193.22316</v>
      </c>
      <c r="O67" s="45">
        <f t="shared" si="57"/>
        <v>290.016</v>
      </c>
      <c r="P67" s="45">
        <f t="shared" si="58"/>
        <v>203.0112</v>
      </c>
      <c r="Q67" s="45">
        <f t="shared" si="59"/>
        <v>304.5168</v>
      </c>
      <c r="R67" s="45">
        <f t="shared" si="60"/>
        <v>160.95888</v>
      </c>
      <c r="S67" s="111">
        <f t="shared" si="61"/>
        <v>149.3534064</v>
      </c>
      <c r="T67" s="45">
        <f t="shared" si="62"/>
        <v>145.008</v>
      </c>
      <c r="U67" s="70"/>
    </row>
    <row r="68" spans="1:21">
      <c r="A68" s="26" t="s">
        <v>113</v>
      </c>
      <c r="B68" s="85">
        <v>0.254</v>
      </c>
      <c r="C68" s="37">
        <v>10</v>
      </c>
      <c r="D68" s="28" t="s">
        <v>44</v>
      </c>
      <c r="E68" s="24" t="s">
        <v>42</v>
      </c>
      <c r="F68" s="45" t="s">
        <v>91</v>
      </c>
      <c r="G68" s="85">
        <v>7.325</v>
      </c>
      <c r="H68" s="26">
        <f t="shared" si="50"/>
        <v>87.9</v>
      </c>
      <c r="I68" s="45">
        <f t="shared" si="51"/>
        <v>97.64225</v>
      </c>
      <c r="J68" s="26">
        <f t="shared" si="52"/>
        <v>102.55</v>
      </c>
      <c r="K68" s="26">
        <f t="shared" si="53"/>
        <v>90.53407</v>
      </c>
      <c r="L68" s="45">
        <f t="shared" si="54"/>
        <v>70.32</v>
      </c>
      <c r="M68" s="45">
        <f t="shared" si="55"/>
        <v>105.48</v>
      </c>
      <c r="N68" s="45">
        <f t="shared" si="56"/>
        <v>78.0845</v>
      </c>
      <c r="O68" s="45">
        <f t="shared" si="57"/>
        <v>117.2</v>
      </c>
      <c r="P68" s="45">
        <f t="shared" si="58"/>
        <v>82.04</v>
      </c>
      <c r="Q68" s="45">
        <f t="shared" si="59"/>
        <v>123.06</v>
      </c>
      <c r="R68" s="45">
        <f t="shared" si="60"/>
        <v>65.046</v>
      </c>
      <c r="S68" s="111">
        <f t="shared" si="61"/>
        <v>60.3560466666667</v>
      </c>
      <c r="T68" s="45">
        <f t="shared" si="62"/>
        <v>58.6</v>
      </c>
      <c r="U68" s="70"/>
    </row>
    <row r="69" spans="1:21">
      <c r="A69" s="26" t="s">
        <v>113</v>
      </c>
      <c r="B69" s="85">
        <v>0.254</v>
      </c>
      <c r="C69" s="37">
        <v>10</v>
      </c>
      <c r="D69" s="28" t="s">
        <v>83</v>
      </c>
      <c r="E69" s="24" t="s">
        <v>42</v>
      </c>
      <c r="F69" s="45" t="s">
        <v>91</v>
      </c>
      <c r="G69" s="85">
        <v>9.143</v>
      </c>
      <c r="H69" s="26">
        <f t="shared" si="50"/>
        <v>109.716</v>
      </c>
      <c r="I69" s="45">
        <f t="shared" si="51"/>
        <v>121.87619</v>
      </c>
      <c r="J69" s="26">
        <f t="shared" si="52"/>
        <v>128.002</v>
      </c>
      <c r="K69" s="26">
        <f t="shared" si="53"/>
        <v>113.0038228</v>
      </c>
      <c r="L69" s="45">
        <f t="shared" si="54"/>
        <v>87.7728</v>
      </c>
      <c r="M69" s="45">
        <f t="shared" si="55"/>
        <v>131.6592</v>
      </c>
      <c r="N69" s="45">
        <f t="shared" si="56"/>
        <v>97.46438</v>
      </c>
      <c r="O69" s="45">
        <f t="shared" si="57"/>
        <v>146.288</v>
      </c>
      <c r="P69" s="45">
        <f t="shared" si="58"/>
        <v>102.4016</v>
      </c>
      <c r="Q69" s="45">
        <f t="shared" si="59"/>
        <v>153.6024</v>
      </c>
      <c r="R69" s="45">
        <f t="shared" si="60"/>
        <v>81.18984</v>
      </c>
      <c r="S69" s="111">
        <f t="shared" si="61"/>
        <v>75.3358818666667</v>
      </c>
      <c r="T69" s="45">
        <f t="shared" si="62"/>
        <v>73.144</v>
      </c>
      <c r="U69" s="70"/>
    </row>
    <row r="70" spans="1:21">
      <c r="A70" s="26" t="s">
        <v>113</v>
      </c>
      <c r="B70" s="85">
        <v>0.254</v>
      </c>
      <c r="C70" s="37">
        <v>10</v>
      </c>
      <c r="D70" s="28" t="s">
        <v>85</v>
      </c>
      <c r="E70" s="24" t="s">
        <v>42</v>
      </c>
      <c r="F70" s="45" t="s">
        <v>91</v>
      </c>
      <c r="G70" s="85">
        <v>14.969</v>
      </c>
      <c r="H70" s="26">
        <f t="shared" si="50"/>
        <v>179.628</v>
      </c>
      <c r="I70" s="45">
        <f t="shared" si="51"/>
        <v>199.53677</v>
      </c>
      <c r="J70" s="26">
        <f t="shared" si="52"/>
        <v>209.566</v>
      </c>
      <c r="K70" s="26">
        <f t="shared" si="53"/>
        <v>185.0108524</v>
      </c>
      <c r="L70" s="45">
        <f t="shared" si="54"/>
        <v>143.7024</v>
      </c>
      <c r="M70" s="45">
        <f t="shared" si="55"/>
        <v>215.5536</v>
      </c>
      <c r="N70" s="45">
        <f t="shared" si="56"/>
        <v>159.56954</v>
      </c>
      <c r="O70" s="45">
        <f t="shared" si="57"/>
        <v>239.504</v>
      </c>
      <c r="P70" s="45">
        <f t="shared" si="58"/>
        <v>167.6528</v>
      </c>
      <c r="Q70" s="45">
        <f t="shared" si="59"/>
        <v>251.4792</v>
      </c>
      <c r="R70" s="45">
        <f t="shared" si="60"/>
        <v>132.92472</v>
      </c>
      <c r="S70" s="111">
        <f t="shared" si="61"/>
        <v>123.340568266667</v>
      </c>
      <c r="T70" s="45">
        <f t="shared" si="62"/>
        <v>119.752</v>
      </c>
      <c r="U70" s="70"/>
    </row>
    <row r="71" spans="1:21">
      <c r="A71" s="26" t="s">
        <v>113</v>
      </c>
      <c r="B71" s="85">
        <v>0.254</v>
      </c>
      <c r="C71" s="37">
        <v>10</v>
      </c>
      <c r="D71" s="28" t="s">
        <v>41</v>
      </c>
      <c r="E71" s="24" t="s">
        <v>39</v>
      </c>
      <c r="F71" s="45" t="s">
        <v>91</v>
      </c>
      <c r="G71" s="85">
        <v>12.225</v>
      </c>
      <c r="H71" s="26">
        <f t="shared" si="50"/>
        <v>146.7</v>
      </c>
      <c r="I71" s="45">
        <f t="shared" si="51"/>
        <v>162.95925</v>
      </c>
      <c r="J71" s="26">
        <f t="shared" si="52"/>
        <v>171.15</v>
      </c>
      <c r="K71" s="26">
        <f t="shared" si="53"/>
        <v>151.09611</v>
      </c>
      <c r="L71" s="45">
        <f t="shared" si="54"/>
        <v>117.36</v>
      </c>
      <c r="M71" s="45">
        <f t="shared" si="55"/>
        <v>176.04</v>
      </c>
      <c r="N71" s="45">
        <f t="shared" si="56"/>
        <v>130.3185</v>
      </c>
      <c r="O71" s="45">
        <f t="shared" si="57"/>
        <v>195.6</v>
      </c>
      <c r="P71" s="45">
        <f t="shared" si="58"/>
        <v>136.92</v>
      </c>
      <c r="Q71" s="45">
        <f t="shared" si="59"/>
        <v>205.38</v>
      </c>
      <c r="R71" s="45">
        <f t="shared" si="60"/>
        <v>108.558</v>
      </c>
      <c r="S71" s="111">
        <f t="shared" si="61"/>
        <v>100.73074</v>
      </c>
      <c r="T71" s="45">
        <f t="shared" si="62"/>
        <v>97.8</v>
      </c>
      <c r="U71" s="70"/>
    </row>
    <row r="72" spans="1:21">
      <c r="A72" s="26" t="s">
        <v>113</v>
      </c>
      <c r="B72" s="85">
        <v>0.3048</v>
      </c>
      <c r="C72" s="37">
        <v>12</v>
      </c>
      <c r="D72" s="28" t="s">
        <v>41</v>
      </c>
      <c r="E72" s="24" t="s">
        <v>42</v>
      </c>
      <c r="F72" s="45" t="s">
        <v>93</v>
      </c>
      <c r="G72" s="85">
        <v>10.218</v>
      </c>
      <c r="H72" s="26">
        <f t="shared" si="50"/>
        <v>122.616</v>
      </c>
      <c r="I72" s="45">
        <f t="shared" si="51"/>
        <v>136.20594</v>
      </c>
      <c r="J72" s="26">
        <f t="shared" si="52"/>
        <v>143.052</v>
      </c>
      <c r="K72" s="26">
        <f t="shared" si="53"/>
        <v>126.2903928</v>
      </c>
      <c r="L72" s="45">
        <f t="shared" si="54"/>
        <v>98.0928</v>
      </c>
      <c r="M72" s="45">
        <f t="shared" si="55"/>
        <v>147.1392</v>
      </c>
      <c r="N72" s="45">
        <f t="shared" si="56"/>
        <v>108.92388</v>
      </c>
      <c r="O72" s="45">
        <f t="shared" si="57"/>
        <v>163.488</v>
      </c>
      <c r="P72" s="45">
        <f t="shared" si="58"/>
        <v>114.4416</v>
      </c>
      <c r="Q72" s="45">
        <f t="shared" si="59"/>
        <v>171.6624</v>
      </c>
      <c r="R72" s="45">
        <f t="shared" si="60"/>
        <v>90.73584</v>
      </c>
      <c r="S72" s="111">
        <f t="shared" si="61"/>
        <v>84.1935952</v>
      </c>
      <c r="T72" s="45">
        <f t="shared" si="62"/>
        <v>81.744</v>
      </c>
      <c r="U72" s="70"/>
    </row>
    <row r="73" spans="1:21">
      <c r="A73" s="26" t="s">
        <v>113</v>
      </c>
      <c r="B73" s="85">
        <v>0.3048</v>
      </c>
      <c r="C73" s="37">
        <v>12</v>
      </c>
      <c r="D73" s="28" t="s">
        <v>44</v>
      </c>
      <c r="E73" s="24" t="s">
        <v>42</v>
      </c>
      <c r="F73" s="45" t="s">
        <v>93</v>
      </c>
      <c r="G73" s="85">
        <v>7.414</v>
      </c>
      <c r="H73" s="26">
        <f t="shared" si="50"/>
        <v>88.968</v>
      </c>
      <c r="I73" s="45">
        <f t="shared" si="51"/>
        <v>98.82862</v>
      </c>
      <c r="J73" s="26">
        <f t="shared" si="52"/>
        <v>103.796</v>
      </c>
      <c r="K73" s="26">
        <f t="shared" si="53"/>
        <v>91.6340744</v>
      </c>
      <c r="L73" s="45">
        <f t="shared" si="54"/>
        <v>71.1744</v>
      </c>
      <c r="M73" s="45">
        <f t="shared" si="55"/>
        <v>106.7616</v>
      </c>
      <c r="N73" s="45">
        <f t="shared" si="56"/>
        <v>79.03324</v>
      </c>
      <c r="O73" s="45">
        <f t="shared" si="57"/>
        <v>118.624</v>
      </c>
      <c r="P73" s="45">
        <f t="shared" si="58"/>
        <v>83.0368</v>
      </c>
      <c r="Q73" s="45">
        <f t="shared" si="59"/>
        <v>124.5552</v>
      </c>
      <c r="R73" s="45">
        <f t="shared" si="60"/>
        <v>65.83632</v>
      </c>
      <c r="S73" s="111">
        <f t="shared" si="61"/>
        <v>61.0893829333333</v>
      </c>
      <c r="T73" s="45">
        <f t="shared" si="62"/>
        <v>59.312</v>
      </c>
      <c r="U73" s="70"/>
    </row>
    <row r="74" spans="1:21">
      <c r="A74" s="26" t="s">
        <v>113</v>
      </c>
      <c r="B74" s="85">
        <v>0.3048</v>
      </c>
      <c r="C74" s="37">
        <v>12</v>
      </c>
      <c r="D74" s="28" t="s">
        <v>83</v>
      </c>
      <c r="E74" s="24" t="s">
        <v>42</v>
      </c>
      <c r="F74" s="45" t="s">
        <v>93</v>
      </c>
      <c r="G74" s="85">
        <v>9.405</v>
      </c>
      <c r="H74" s="26">
        <f t="shared" si="50"/>
        <v>112.86</v>
      </c>
      <c r="I74" s="45">
        <f t="shared" si="51"/>
        <v>125.36865</v>
      </c>
      <c r="J74" s="26">
        <f t="shared" si="52"/>
        <v>131.67</v>
      </c>
      <c r="K74" s="26">
        <f t="shared" si="53"/>
        <v>116.242038</v>
      </c>
      <c r="L74" s="45">
        <f t="shared" si="54"/>
        <v>90.288</v>
      </c>
      <c r="M74" s="45">
        <f t="shared" si="55"/>
        <v>135.432</v>
      </c>
      <c r="N74" s="45">
        <f t="shared" si="56"/>
        <v>100.2573</v>
      </c>
      <c r="O74" s="45">
        <f t="shared" si="57"/>
        <v>150.48</v>
      </c>
      <c r="P74" s="45">
        <f t="shared" si="58"/>
        <v>105.336</v>
      </c>
      <c r="Q74" s="45">
        <f t="shared" si="59"/>
        <v>158.004</v>
      </c>
      <c r="R74" s="45">
        <f t="shared" si="60"/>
        <v>83.5164</v>
      </c>
      <c r="S74" s="111">
        <f t="shared" si="61"/>
        <v>77.494692</v>
      </c>
      <c r="T74" s="45">
        <f t="shared" si="62"/>
        <v>75.24</v>
      </c>
      <c r="U74" s="70"/>
    </row>
    <row r="75" spans="1:21">
      <c r="A75" s="26" t="s">
        <v>113</v>
      </c>
      <c r="B75" s="85">
        <v>0.3048</v>
      </c>
      <c r="C75" s="37">
        <v>12</v>
      </c>
      <c r="D75" s="28" t="s">
        <v>38</v>
      </c>
      <c r="E75" s="24" t="s">
        <v>42</v>
      </c>
      <c r="F75" s="45" t="s">
        <v>93</v>
      </c>
      <c r="G75" s="85">
        <v>19.358</v>
      </c>
      <c r="H75" s="26">
        <f t="shared" si="50"/>
        <v>232.296</v>
      </c>
      <c r="I75" s="45">
        <f t="shared" si="51"/>
        <v>258.04214</v>
      </c>
      <c r="J75" s="26">
        <f t="shared" si="52"/>
        <v>271.012</v>
      </c>
      <c r="K75" s="26">
        <f t="shared" si="53"/>
        <v>239.2571368</v>
      </c>
      <c r="L75" s="45">
        <f t="shared" si="54"/>
        <v>185.8368</v>
      </c>
      <c r="M75" s="45">
        <f t="shared" si="55"/>
        <v>278.7552</v>
      </c>
      <c r="N75" s="45">
        <f t="shared" si="56"/>
        <v>206.35628</v>
      </c>
      <c r="O75" s="45">
        <f t="shared" si="57"/>
        <v>309.728</v>
      </c>
      <c r="P75" s="45">
        <f t="shared" si="58"/>
        <v>216.8096</v>
      </c>
      <c r="Q75" s="45">
        <f t="shared" si="59"/>
        <v>325.2144</v>
      </c>
      <c r="R75" s="45">
        <f t="shared" si="60"/>
        <v>171.89904</v>
      </c>
      <c r="S75" s="111">
        <f t="shared" si="61"/>
        <v>159.504757866667</v>
      </c>
      <c r="T75" s="45">
        <f t="shared" si="62"/>
        <v>154.864</v>
      </c>
      <c r="U75" s="70"/>
    </row>
    <row r="76" spans="1:21">
      <c r="A76" s="26" t="s">
        <v>113</v>
      </c>
      <c r="B76" s="85">
        <v>0.3556</v>
      </c>
      <c r="C76" s="37">
        <v>14</v>
      </c>
      <c r="D76" s="28" t="s">
        <v>38</v>
      </c>
      <c r="E76" s="24" t="s">
        <v>42</v>
      </c>
      <c r="F76" s="45" t="s">
        <v>43</v>
      </c>
      <c r="G76" s="85">
        <v>19.216</v>
      </c>
      <c r="H76" s="26">
        <f t="shared" si="50"/>
        <v>230.592</v>
      </c>
      <c r="I76" s="45">
        <f t="shared" si="51"/>
        <v>256.14928</v>
      </c>
      <c r="J76" s="26">
        <f t="shared" si="52"/>
        <v>269.024</v>
      </c>
      <c r="K76" s="26">
        <f t="shared" si="53"/>
        <v>237.5020736</v>
      </c>
      <c r="L76" s="45">
        <f t="shared" si="54"/>
        <v>184.4736</v>
      </c>
      <c r="M76" s="45">
        <f t="shared" si="55"/>
        <v>276.7104</v>
      </c>
      <c r="N76" s="45">
        <f t="shared" si="56"/>
        <v>204.84256</v>
      </c>
      <c r="O76" s="45">
        <f t="shared" si="57"/>
        <v>307.456</v>
      </c>
      <c r="P76" s="45">
        <f t="shared" si="58"/>
        <v>215.2192</v>
      </c>
      <c r="Q76" s="45">
        <f t="shared" si="59"/>
        <v>322.8288</v>
      </c>
      <c r="R76" s="45">
        <f t="shared" si="60"/>
        <v>170.63808</v>
      </c>
      <c r="S76" s="111">
        <f t="shared" si="61"/>
        <v>158.334715733333</v>
      </c>
      <c r="T76" s="45">
        <f t="shared" si="62"/>
        <v>153.728</v>
      </c>
      <c r="U76" s="70"/>
    </row>
    <row r="77" spans="1:21">
      <c r="A77" s="26" t="s">
        <v>113</v>
      </c>
      <c r="B77" s="85">
        <v>0.3556</v>
      </c>
      <c r="C77" s="37">
        <v>14</v>
      </c>
      <c r="D77" s="28" t="s">
        <v>41</v>
      </c>
      <c r="E77" s="24" t="s">
        <v>42</v>
      </c>
      <c r="F77" s="45" t="s">
        <v>43</v>
      </c>
      <c r="G77" s="85">
        <v>10.96</v>
      </c>
      <c r="H77" s="26">
        <f t="shared" si="50"/>
        <v>131.52</v>
      </c>
      <c r="I77" s="45">
        <f t="shared" si="51"/>
        <v>146.0968</v>
      </c>
      <c r="J77" s="26">
        <f t="shared" si="52"/>
        <v>153.44</v>
      </c>
      <c r="K77" s="26">
        <f t="shared" si="53"/>
        <v>135.461216</v>
      </c>
      <c r="L77" s="45">
        <f t="shared" si="54"/>
        <v>105.216</v>
      </c>
      <c r="M77" s="45">
        <f t="shared" si="55"/>
        <v>157.824</v>
      </c>
      <c r="N77" s="45">
        <f t="shared" si="56"/>
        <v>116.8336</v>
      </c>
      <c r="O77" s="45">
        <f t="shared" si="57"/>
        <v>175.36</v>
      </c>
      <c r="P77" s="45">
        <f t="shared" si="58"/>
        <v>122.752</v>
      </c>
      <c r="Q77" s="45">
        <f t="shared" si="59"/>
        <v>184.128</v>
      </c>
      <c r="R77" s="45">
        <f t="shared" si="60"/>
        <v>97.3248</v>
      </c>
      <c r="S77" s="111">
        <f t="shared" si="61"/>
        <v>90.3074773333333</v>
      </c>
      <c r="T77" s="45">
        <f t="shared" si="62"/>
        <v>87.68</v>
      </c>
      <c r="U77" s="70"/>
    </row>
    <row r="78" spans="1:21">
      <c r="A78" s="26" t="s">
        <v>113</v>
      </c>
      <c r="B78" s="85">
        <v>0.3556</v>
      </c>
      <c r="C78" s="37">
        <v>14</v>
      </c>
      <c r="D78" s="28" t="s">
        <v>83</v>
      </c>
      <c r="E78" s="24" t="s">
        <v>42</v>
      </c>
      <c r="F78" s="45" t="s">
        <v>43</v>
      </c>
      <c r="G78" s="85">
        <v>9.264</v>
      </c>
      <c r="H78" s="26">
        <f t="shared" si="50"/>
        <v>111.168</v>
      </c>
      <c r="I78" s="45">
        <f t="shared" si="51"/>
        <v>123.48912</v>
      </c>
      <c r="J78" s="26">
        <f t="shared" si="52"/>
        <v>129.696</v>
      </c>
      <c r="K78" s="26">
        <f t="shared" si="53"/>
        <v>114.4993344</v>
      </c>
      <c r="L78" s="45">
        <f t="shared" si="54"/>
        <v>88.9344</v>
      </c>
      <c r="M78" s="45">
        <f t="shared" si="55"/>
        <v>133.4016</v>
      </c>
      <c r="N78" s="45">
        <f t="shared" si="56"/>
        <v>98.75424</v>
      </c>
      <c r="O78" s="45">
        <f t="shared" si="57"/>
        <v>148.224</v>
      </c>
      <c r="P78" s="45">
        <f t="shared" si="58"/>
        <v>103.7568</v>
      </c>
      <c r="Q78" s="45">
        <f t="shared" si="59"/>
        <v>155.6352</v>
      </c>
      <c r="R78" s="45">
        <f t="shared" si="60"/>
        <v>82.26432</v>
      </c>
      <c r="S78" s="111">
        <f t="shared" si="61"/>
        <v>76.3328896</v>
      </c>
      <c r="T78" s="45">
        <f t="shared" si="62"/>
        <v>74.112</v>
      </c>
      <c r="U78" s="70"/>
    </row>
    <row r="79" spans="1:21">
      <c r="A79" s="26" t="s">
        <v>113</v>
      </c>
      <c r="B79" s="85">
        <v>0.3556</v>
      </c>
      <c r="C79" s="37">
        <v>14</v>
      </c>
      <c r="D79" s="28" t="s">
        <v>44</v>
      </c>
      <c r="E79" s="24" t="s">
        <v>42</v>
      </c>
      <c r="F79" s="45" t="s">
        <v>43</v>
      </c>
      <c r="G79" s="85">
        <v>7.595</v>
      </c>
      <c r="H79" s="26">
        <f t="shared" si="50"/>
        <v>91.14</v>
      </c>
      <c r="I79" s="45">
        <f t="shared" si="51"/>
        <v>101.24135</v>
      </c>
      <c r="J79" s="26">
        <f t="shared" si="52"/>
        <v>106.33</v>
      </c>
      <c r="K79" s="26">
        <f t="shared" si="53"/>
        <v>93.871162</v>
      </c>
      <c r="L79" s="45">
        <f t="shared" si="54"/>
        <v>72.912</v>
      </c>
      <c r="M79" s="45">
        <f t="shared" si="55"/>
        <v>109.368</v>
      </c>
      <c r="N79" s="45">
        <f t="shared" si="56"/>
        <v>80.9627</v>
      </c>
      <c r="O79" s="45">
        <f t="shared" si="57"/>
        <v>121.52</v>
      </c>
      <c r="P79" s="45">
        <f t="shared" si="58"/>
        <v>85.064</v>
      </c>
      <c r="Q79" s="45">
        <f t="shared" si="59"/>
        <v>127.596</v>
      </c>
      <c r="R79" s="45">
        <f t="shared" si="60"/>
        <v>67.4436</v>
      </c>
      <c r="S79" s="111">
        <f t="shared" si="61"/>
        <v>62.5807746666667</v>
      </c>
      <c r="T79" s="45">
        <f t="shared" si="62"/>
        <v>60.76</v>
      </c>
      <c r="U79" s="70"/>
    </row>
    <row r="80" spans="1:21">
      <c r="A80" s="26" t="s">
        <v>113</v>
      </c>
      <c r="B80" s="85">
        <v>0.381</v>
      </c>
      <c r="C80" s="37">
        <v>15</v>
      </c>
      <c r="D80" s="28" t="s">
        <v>41</v>
      </c>
      <c r="E80" s="24" t="s">
        <v>42</v>
      </c>
      <c r="F80" s="45" t="s">
        <v>43</v>
      </c>
      <c r="G80" s="85">
        <v>10.212</v>
      </c>
      <c r="H80" s="26">
        <f t="shared" si="50"/>
        <v>122.544</v>
      </c>
      <c r="I80" s="45">
        <f t="shared" si="51"/>
        <v>136.12596</v>
      </c>
      <c r="J80" s="26">
        <f t="shared" si="52"/>
        <v>142.968</v>
      </c>
      <c r="K80" s="26">
        <f t="shared" si="53"/>
        <v>126.2162352</v>
      </c>
      <c r="L80" s="45">
        <f t="shared" si="54"/>
        <v>98.0352</v>
      </c>
      <c r="M80" s="45">
        <f t="shared" si="55"/>
        <v>147.0528</v>
      </c>
      <c r="N80" s="45">
        <f t="shared" si="56"/>
        <v>108.85992</v>
      </c>
      <c r="O80" s="45">
        <f t="shared" si="57"/>
        <v>163.392</v>
      </c>
      <c r="P80" s="45">
        <f t="shared" si="58"/>
        <v>114.3744</v>
      </c>
      <c r="Q80" s="45">
        <f t="shared" si="59"/>
        <v>171.5616</v>
      </c>
      <c r="R80" s="45">
        <f t="shared" si="60"/>
        <v>90.68256</v>
      </c>
      <c r="S80" s="111">
        <f t="shared" si="61"/>
        <v>84.1441568</v>
      </c>
      <c r="T80" s="45">
        <f t="shared" si="62"/>
        <v>81.696</v>
      </c>
      <c r="U80" s="70"/>
    </row>
    <row r="81" spans="1:21">
      <c r="A81" s="26" t="s">
        <v>113</v>
      </c>
      <c r="B81" s="85">
        <v>0.381</v>
      </c>
      <c r="C81" s="37">
        <v>15</v>
      </c>
      <c r="D81" s="28" t="s">
        <v>38</v>
      </c>
      <c r="E81" s="24" t="s">
        <v>42</v>
      </c>
      <c r="F81" s="45" t="s">
        <v>43</v>
      </c>
      <c r="G81" s="85">
        <v>18.074</v>
      </c>
      <c r="H81" s="26">
        <f t="shared" si="50"/>
        <v>216.888</v>
      </c>
      <c r="I81" s="45">
        <f t="shared" si="51"/>
        <v>240.92642</v>
      </c>
      <c r="J81" s="26">
        <f t="shared" si="52"/>
        <v>253.036</v>
      </c>
      <c r="K81" s="26">
        <f t="shared" si="53"/>
        <v>223.3874104</v>
      </c>
      <c r="L81" s="45">
        <f t="shared" si="54"/>
        <v>173.5104</v>
      </c>
      <c r="M81" s="45">
        <f t="shared" si="55"/>
        <v>260.2656</v>
      </c>
      <c r="N81" s="45">
        <f t="shared" si="56"/>
        <v>192.66884</v>
      </c>
      <c r="O81" s="45">
        <f t="shared" si="57"/>
        <v>289.184</v>
      </c>
      <c r="P81" s="45">
        <f t="shared" si="58"/>
        <v>202.4288</v>
      </c>
      <c r="Q81" s="45">
        <f t="shared" si="59"/>
        <v>303.6432</v>
      </c>
      <c r="R81" s="45">
        <f t="shared" si="60"/>
        <v>160.49712</v>
      </c>
      <c r="S81" s="111">
        <f t="shared" si="61"/>
        <v>148.924940266667</v>
      </c>
      <c r="T81" s="45">
        <f t="shared" si="62"/>
        <v>144.592</v>
      </c>
      <c r="U81" s="70"/>
    </row>
    <row r="82" spans="1:21">
      <c r="A82" s="26" t="s">
        <v>113</v>
      </c>
      <c r="B82" s="85">
        <v>0.381</v>
      </c>
      <c r="C82" s="37">
        <v>15</v>
      </c>
      <c r="D82" s="28" t="s">
        <v>44</v>
      </c>
      <c r="E82" s="24" t="s">
        <v>42</v>
      </c>
      <c r="F82" s="45" t="s">
        <v>43</v>
      </c>
      <c r="G82" s="85">
        <v>7.595</v>
      </c>
      <c r="H82" s="26">
        <f t="shared" ref="H82:H145" si="63">G82*12</f>
        <v>91.14</v>
      </c>
      <c r="I82" s="45">
        <f t="shared" ref="I82:I145" si="64">G82*13.33</f>
        <v>101.24135</v>
      </c>
      <c r="J82" s="26">
        <f t="shared" ref="J82:J145" si="65">G82*14</f>
        <v>106.33</v>
      </c>
      <c r="K82" s="26">
        <f t="shared" ref="K82:K145" si="66">G82*11.66*1.06</f>
        <v>93.871162</v>
      </c>
      <c r="L82" s="45">
        <f t="shared" ref="L82:L145" si="67">G82*9.6</f>
        <v>72.912</v>
      </c>
      <c r="M82" s="45">
        <f t="shared" ref="M82:M145" si="68">G82*14.4</f>
        <v>109.368</v>
      </c>
      <c r="N82" s="45">
        <f t="shared" ref="N82:N145" si="69">G82*10.66</f>
        <v>80.9627</v>
      </c>
      <c r="O82" s="45">
        <f t="shared" ref="O82:O145" si="70">G82*16</f>
        <v>121.52</v>
      </c>
      <c r="P82" s="45">
        <f t="shared" ref="P82:P145" si="71">G82*11.2</f>
        <v>85.064</v>
      </c>
      <c r="Q82" s="45">
        <f t="shared" ref="Q82:Q145" si="72">G82*16.8</f>
        <v>127.596</v>
      </c>
      <c r="R82" s="45">
        <f t="shared" ref="R82:R145" si="73">G82*8.88</f>
        <v>67.4436</v>
      </c>
      <c r="S82" s="111">
        <f t="shared" ref="S82:S145" si="74">K82*2/3</f>
        <v>62.5807746666667</v>
      </c>
      <c r="T82" s="45">
        <f t="shared" si="62"/>
        <v>60.76</v>
      </c>
      <c r="U82" s="70"/>
    </row>
    <row r="83" spans="1:21">
      <c r="A83" s="112" t="s">
        <v>113</v>
      </c>
      <c r="B83" s="113">
        <v>0.381</v>
      </c>
      <c r="C83" s="114">
        <v>15</v>
      </c>
      <c r="D83" s="115" t="s">
        <v>83</v>
      </c>
      <c r="E83" s="116" t="s">
        <v>42</v>
      </c>
      <c r="F83" s="117" t="s">
        <v>43</v>
      </c>
      <c r="G83" s="85">
        <v>9.442</v>
      </c>
      <c r="H83" s="26">
        <f t="shared" si="63"/>
        <v>113.304</v>
      </c>
      <c r="I83" s="45">
        <f t="shared" si="64"/>
        <v>125.86186</v>
      </c>
      <c r="J83" s="26">
        <f t="shared" si="65"/>
        <v>132.188</v>
      </c>
      <c r="K83" s="26">
        <f t="shared" si="66"/>
        <v>116.6993432</v>
      </c>
      <c r="L83" s="45">
        <f t="shared" si="67"/>
        <v>90.6432</v>
      </c>
      <c r="M83" s="45">
        <f t="shared" si="68"/>
        <v>135.9648</v>
      </c>
      <c r="N83" s="45">
        <f t="shared" si="69"/>
        <v>100.65172</v>
      </c>
      <c r="O83" s="45">
        <f t="shared" si="70"/>
        <v>151.072</v>
      </c>
      <c r="P83" s="45">
        <f t="shared" si="71"/>
        <v>105.7504</v>
      </c>
      <c r="Q83" s="45">
        <f t="shared" si="72"/>
        <v>158.6256</v>
      </c>
      <c r="R83" s="45">
        <f t="shared" si="73"/>
        <v>83.84496</v>
      </c>
      <c r="S83" s="111">
        <f t="shared" si="74"/>
        <v>77.7995621333333</v>
      </c>
      <c r="T83" s="45">
        <f t="shared" ref="T83:T114" si="75">H83*2/3</f>
        <v>75.536</v>
      </c>
      <c r="U83" s="70"/>
    </row>
    <row r="84" spans="1:21">
      <c r="A84" s="112" t="s">
        <v>113</v>
      </c>
      <c r="B84" s="113">
        <v>0.4064</v>
      </c>
      <c r="C84" s="114">
        <v>16</v>
      </c>
      <c r="D84" s="115" t="s">
        <v>38</v>
      </c>
      <c r="E84" s="116" t="s">
        <v>42</v>
      </c>
      <c r="F84" s="117" t="s">
        <v>43</v>
      </c>
      <c r="G84" s="85">
        <v>20.034</v>
      </c>
      <c r="H84" s="26">
        <f t="shared" si="63"/>
        <v>240.408</v>
      </c>
      <c r="I84" s="45">
        <f t="shared" si="64"/>
        <v>267.05322</v>
      </c>
      <c r="J84" s="26">
        <f t="shared" si="65"/>
        <v>280.476</v>
      </c>
      <c r="K84" s="26">
        <f t="shared" si="66"/>
        <v>247.6122264</v>
      </c>
      <c r="L84" s="45">
        <f t="shared" si="67"/>
        <v>192.3264</v>
      </c>
      <c r="M84" s="45">
        <f t="shared" si="68"/>
        <v>288.4896</v>
      </c>
      <c r="N84" s="45">
        <f t="shared" si="69"/>
        <v>213.56244</v>
      </c>
      <c r="O84" s="45">
        <f t="shared" si="70"/>
        <v>320.544</v>
      </c>
      <c r="P84" s="45">
        <f t="shared" si="71"/>
        <v>224.3808</v>
      </c>
      <c r="Q84" s="45">
        <f t="shared" si="72"/>
        <v>336.5712</v>
      </c>
      <c r="R84" s="45">
        <f t="shared" si="73"/>
        <v>177.90192</v>
      </c>
      <c r="S84" s="111">
        <f t="shared" si="74"/>
        <v>165.0748176</v>
      </c>
      <c r="T84" s="45">
        <f t="shared" si="75"/>
        <v>160.272</v>
      </c>
      <c r="U84" s="70"/>
    </row>
    <row r="85" spans="1:21">
      <c r="A85" s="112" t="s">
        <v>113</v>
      </c>
      <c r="B85" s="113">
        <v>0.4064</v>
      </c>
      <c r="C85" s="114">
        <v>16</v>
      </c>
      <c r="D85" s="115" t="s">
        <v>41</v>
      </c>
      <c r="E85" s="116" t="s">
        <v>42</v>
      </c>
      <c r="F85" s="117" t="s">
        <v>43</v>
      </c>
      <c r="G85" s="85">
        <v>10.303</v>
      </c>
      <c r="H85" s="26">
        <f t="shared" si="63"/>
        <v>123.636</v>
      </c>
      <c r="I85" s="45">
        <f t="shared" si="64"/>
        <v>137.33899</v>
      </c>
      <c r="J85" s="26">
        <f t="shared" si="65"/>
        <v>144.242</v>
      </c>
      <c r="K85" s="26">
        <f t="shared" si="66"/>
        <v>127.3409588</v>
      </c>
      <c r="L85" s="45">
        <f t="shared" si="67"/>
        <v>98.9088</v>
      </c>
      <c r="M85" s="45">
        <f t="shared" si="68"/>
        <v>148.3632</v>
      </c>
      <c r="N85" s="45">
        <f t="shared" si="69"/>
        <v>109.82998</v>
      </c>
      <c r="O85" s="45">
        <f t="shared" si="70"/>
        <v>164.848</v>
      </c>
      <c r="P85" s="45">
        <f t="shared" si="71"/>
        <v>115.3936</v>
      </c>
      <c r="Q85" s="45">
        <f t="shared" si="72"/>
        <v>173.0904</v>
      </c>
      <c r="R85" s="45">
        <f t="shared" si="73"/>
        <v>91.49064</v>
      </c>
      <c r="S85" s="111">
        <f t="shared" si="74"/>
        <v>84.8939725333334</v>
      </c>
      <c r="T85" s="45">
        <f t="shared" si="75"/>
        <v>82.424</v>
      </c>
      <c r="U85" s="70"/>
    </row>
    <row r="86" spans="1:21">
      <c r="A86" s="26" t="s">
        <v>113</v>
      </c>
      <c r="B86" s="85">
        <v>0.4064</v>
      </c>
      <c r="C86" s="37">
        <v>16</v>
      </c>
      <c r="D86" s="28" t="s">
        <v>44</v>
      </c>
      <c r="E86" s="24" t="s">
        <v>42</v>
      </c>
      <c r="F86" s="45" t="s">
        <v>43</v>
      </c>
      <c r="G86" s="85">
        <v>7.685</v>
      </c>
      <c r="H86" s="26">
        <f t="shared" si="63"/>
        <v>92.22</v>
      </c>
      <c r="I86" s="45">
        <f t="shared" si="64"/>
        <v>102.44105</v>
      </c>
      <c r="J86" s="26">
        <f t="shared" si="65"/>
        <v>107.59</v>
      </c>
      <c r="K86" s="26">
        <f t="shared" si="66"/>
        <v>94.983526</v>
      </c>
      <c r="L86" s="45">
        <f t="shared" si="67"/>
        <v>73.776</v>
      </c>
      <c r="M86" s="45">
        <f t="shared" si="68"/>
        <v>110.664</v>
      </c>
      <c r="N86" s="45">
        <f t="shared" si="69"/>
        <v>81.9221</v>
      </c>
      <c r="O86" s="45">
        <f t="shared" si="70"/>
        <v>122.96</v>
      </c>
      <c r="P86" s="45">
        <f t="shared" si="71"/>
        <v>86.072</v>
      </c>
      <c r="Q86" s="45">
        <f t="shared" si="72"/>
        <v>129.108</v>
      </c>
      <c r="R86" s="45">
        <f t="shared" si="73"/>
        <v>68.2428</v>
      </c>
      <c r="S86" s="111">
        <f t="shared" si="74"/>
        <v>63.3223506666667</v>
      </c>
      <c r="T86" s="45">
        <f t="shared" si="75"/>
        <v>61.48</v>
      </c>
      <c r="U86" s="70"/>
    </row>
    <row r="87" spans="1:21">
      <c r="A87" s="26" t="s">
        <v>113</v>
      </c>
      <c r="B87" s="85">
        <v>0.4572</v>
      </c>
      <c r="C87" s="37">
        <v>18</v>
      </c>
      <c r="D87" s="28" t="s">
        <v>38</v>
      </c>
      <c r="E87" s="24" t="s">
        <v>42</v>
      </c>
      <c r="F87" s="118" t="s">
        <v>46</v>
      </c>
      <c r="G87" s="85">
        <v>19.521</v>
      </c>
      <c r="H87" s="26">
        <f t="shared" si="63"/>
        <v>234.252</v>
      </c>
      <c r="I87" s="45">
        <f t="shared" si="64"/>
        <v>260.21493</v>
      </c>
      <c r="J87" s="26">
        <f t="shared" si="65"/>
        <v>273.294</v>
      </c>
      <c r="K87" s="26">
        <f t="shared" si="66"/>
        <v>241.2717516</v>
      </c>
      <c r="L87" s="45">
        <f t="shared" si="67"/>
        <v>187.4016</v>
      </c>
      <c r="M87" s="45">
        <f t="shared" si="68"/>
        <v>281.1024</v>
      </c>
      <c r="N87" s="45">
        <f t="shared" si="69"/>
        <v>208.09386</v>
      </c>
      <c r="O87" s="45">
        <f t="shared" si="70"/>
        <v>312.336</v>
      </c>
      <c r="P87" s="45">
        <f t="shared" si="71"/>
        <v>218.6352</v>
      </c>
      <c r="Q87" s="45">
        <f t="shared" si="72"/>
        <v>327.9528</v>
      </c>
      <c r="R87" s="45">
        <f t="shared" si="73"/>
        <v>173.34648</v>
      </c>
      <c r="S87" s="111">
        <f t="shared" si="74"/>
        <v>160.8478344</v>
      </c>
      <c r="T87" s="45">
        <f t="shared" si="75"/>
        <v>156.168</v>
      </c>
      <c r="U87" s="70"/>
    </row>
    <row r="88" spans="1:21">
      <c r="A88" s="26" t="s">
        <v>113</v>
      </c>
      <c r="B88" s="85">
        <v>0.4572</v>
      </c>
      <c r="C88" s="37">
        <v>18</v>
      </c>
      <c r="D88" s="28" t="s">
        <v>41</v>
      </c>
      <c r="E88" s="24" t="s">
        <v>42</v>
      </c>
      <c r="F88" s="118" t="s">
        <v>46</v>
      </c>
      <c r="G88" s="85">
        <v>11.66</v>
      </c>
      <c r="H88" s="26">
        <f t="shared" si="63"/>
        <v>139.92</v>
      </c>
      <c r="I88" s="45">
        <f t="shared" si="64"/>
        <v>155.4278</v>
      </c>
      <c r="J88" s="26">
        <f t="shared" si="65"/>
        <v>163.24</v>
      </c>
      <c r="K88" s="26">
        <f t="shared" si="66"/>
        <v>144.112936</v>
      </c>
      <c r="L88" s="45">
        <f t="shared" si="67"/>
        <v>111.936</v>
      </c>
      <c r="M88" s="45">
        <f t="shared" si="68"/>
        <v>167.904</v>
      </c>
      <c r="N88" s="45">
        <f t="shared" si="69"/>
        <v>124.2956</v>
      </c>
      <c r="O88" s="45">
        <f t="shared" si="70"/>
        <v>186.56</v>
      </c>
      <c r="P88" s="45">
        <f t="shared" si="71"/>
        <v>130.592</v>
      </c>
      <c r="Q88" s="45">
        <f t="shared" si="72"/>
        <v>195.888</v>
      </c>
      <c r="R88" s="45">
        <f t="shared" si="73"/>
        <v>103.5408</v>
      </c>
      <c r="S88" s="111">
        <f t="shared" si="74"/>
        <v>96.0752906666667</v>
      </c>
      <c r="T88" s="45">
        <f t="shared" si="75"/>
        <v>93.28</v>
      </c>
      <c r="U88" s="70"/>
    </row>
    <row r="89" spans="1:21">
      <c r="A89" s="26" t="s">
        <v>113</v>
      </c>
      <c r="B89" s="85">
        <v>0.4572</v>
      </c>
      <c r="C89" s="37">
        <v>18</v>
      </c>
      <c r="D89" s="28" t="s">
        <v>44</v>
      </c>
      <c r="E89" s="24" t="s">
        <v>42</v>
      </c>
      <c r="F89" s="118" t="s">
        <v>46</v>
      </c>
      <c r="G89" s="85">
        <v>8.958</v>
      </c>
      <c r="H89" s="26">
        <f t="shared" si="63"/>
        <v>107.496</v>
      </c>
      <c r="I89" s="45">
        <f t="shared" si="64"/>
        <v>119.41014</v>
      </c>
      <c r="J89" s="26">
        <f t="shared" si="65"/>
        <v>125.412</v>
      </c>
      <c r="K89" s="26">
        <f t="shared" si="66"/>
        <v>110.7172968</v>
      </c>
      <c r="L89" s="45">
        <f t="shared" si="67"/>
        <v>85.9968</v>
      </c>
      <c r="M89" s="45">
        <f t="shared" si="68"/>
        <v>128.9952</v>
      </c>
      <c r="N89" s="45">
        <f t="shared" si="69"/>
        <v>95.49228</v>
      </c>
      <c r="O89" s="45">
        <f t="shared" si="70"/>
        <v>143.328</v>
      </c>
      <c r="P89" s="45">
        <f t="shared" si="71"/>
        <v>100.3296</v>
      </c>
      <c r="Q89" s="45">
        <f t="shared" si="72"/>
        <v>150.4944</v>
      </c>
      <c r="R89" s="45">
        <f t="shared" si="73"/>
        <v>79.54704</v>
      </c>
      <c r="S89" s="111">
        <f t="shared" si="74"/>
        <v>73.8115312</v>
      </c>
      <c r="T89" s="45">
        <f t="shared" si="75"/>
        <v>71.664</v>
      </c>
      <c r="U89" s="70"/>
    </row>
    <row r="90" spans="1:21">
      <c r="A90" s="26" t="s">
        <v>113</v>
      </c>
      <c r="B90" s="85">
        <v>0.4572</v>
      </c>
      <c r="C90" s="37">
        <v>18</v>
      </c>
      <c r="D90" s="28" t="s">
        <v>83</v>
      </c>
      <c r="E90" s="24" t="s">
        <v>42</v>
      </c>
      <c r="F90" s="118" t="s">
        <v>46</v>
      </c>
      <c r="G90" s="85">
        <v>11.66</v>
      </c>
      <c r="H90" s="26">
        <f t="shared" si="63"/>
        <v>139.92</v>
      </c>
      <c r="I90" s="45">
        <f t="shared" si="64"/>
        <v>155.4278</v>
      </c>
      <c r="J90" s="26">
        <f t="shared" si="65"/>
        <v>163.24</v>
      </c>
      <c r="K90" s="26">
        <f t="shared" si="66"/>
        <v>144.112936</v>
      </c>
      <c r="L90" s="45">
        <f t="shared" si="67"/>
        <v>111.936</v>
      </c>
      <c r="M90" s="45">
        <f t="shared" si="68"/>
        <v>167.904</v>
      </c>
      <c r="N90" s="45">
        <f t="shared" si="69"/>
        <v>124.2956</v>
      </c>
      <c r="O90" s="45">
        <f t="shared" si="70"/>
        <v>186.56</v>
      </c>
      <c r="P90" s="45">
        <f t="shared" si="71"/>
        <v>130.592</v>
      </c>
      <c r="Q90" s="45">
        <f t="shared" si="72"/>
        <v>195.888</v>
      </c>
      <c r="R90" s="45">
        <f t="shared" si="73"/>
        <v>103.5408</v>
      </c>
      <c r="S90" s="111">
        <f t="shared" si="74"/>
        <v>96.0752906666667</v>
      </c>
      <c r="T90" s="45">
        <f t="shared" si="75"/>
        <v>93.28</v>
      </c>
      <c r="U90" s="70"/>
    </row>
    <row r="91" spans="1:21">
      <c r="A91" s="26" t="s">
        <v>113</v>
      </c>
      <c r="B91" s="85">
        <v>0.508</v>
      </c>
      <c r="C91" s="37">
        <v>20</v>
      </c>
      <c r="D91" s="28" t="s">
        <v>38</v>
      </c>
      <c r="E91" s="24" t="s">
        <v>42</v>
      </c>
      <c r="F91" s="118" t="s">
        <v>47</v>
      </c>
      <c r="G91" s="85">
        <v>19.611</v>
      </c>
      <c r="H91" s="26">
        <f t="shared" si="63"/>
        <v>235.332</v>
      </c>
      <c r="I91" s="45">
        <f t="shared" si="64"/>
        <v>261.41463</v>
      </c>
      <c r="J91" s="26">
        <f t="shared" si="65"/>
        <v>274.554</v>
      </c>
      <c r="K91" s="26">
        <f t="shared" si="66"/>
        <v>242.3841156</v>
      </c>
      <c r="L91" s="45">
        <f t="shared" si="67"/>
        <v>188.2656</v>
      </c>
      <c r="M91" s="45">
        <f t="shared" si="68"/>
        <v>282.3984</v>
      </c>
      <c r="N91" s="45">
        <f t="shared" si="69"/>
        <v>209.05326</v>
      </c>
      <c r="O91" s="45">
        <f t="shared" si="70"/>
        <v>313.776</v>
      </c>
      <c r="P91" s="45">
        <f t="shared" si="71"/>
        <v>219.6432</v>
      </c>
      <c r="Q91" s="45">
        <f t="shared" si="72"/>
        <v>329.4648</v>
      </c>
      <c r="R91" s="45">
        <f t="shared" si="73"/>
        <v>174.14568</v>
      </c>
      <c r="S91" s="111">
        <f t="shared" si="74"/>
        <v>161.5894104</v>
      </c>
      <c r="T91" s="45">
        <f t="shared" si="75"/>
        <v>156.888</v>
      </c>
      <c r="U91" s="70"/>
    </row>
    <row r="92" spans="1:21">
      <c r="A92" s="26" t="s">
        <v>113</v>
      </c>
      <c r="B92" s="85">
        <v>0.508</v>
      </c>
      <c r="C92" s="37">
        <v>20</v>
      </c>
      <c r="D92" s="28" t="s">
        <v>41</v>
      </c>
      <c r="E92" s="24" t="s">
        <v>42</v>
      </c>
      <c r="F92" s="118" t="s">
        <v>47</v>
      </c>
      <c r="G92" s="85">
        <v>11.75</v>
      </c>
      <c r="H92" s="26">
        <f t="shared" si="63"/>
        <v>141</v>
      </c>
      <c r="I92" s="45">
        <f t="shared" si="64"/>
        <v>156.6275</v>
      </c>
      <c r="J92" s="26">
        <f t="shared" si="65"/>
        <v>164.5</v>
      </c>
      <c r="K92" s="26">
        <f t="shared" si="66"/>
        <v>145.2253</v>
      </c>
      <c r="L92" s="45">
        <f t="shared" si="67"/>
        <v>112.8</v>
      </c>
      <c r="M92" s="45">
        <f t="shared" si="68"/>
        <v>169.2</v>
      </c>
      <c r="N92" s="45">
        <f t="shared" si="69"/>
        <v>125.255</v>
      </c>
      <c r="O92" s="45">
        <f t="shared" si="70"/>
        <v>188</v>
      </c>
      <c r="P92" s="45">
        <f t="shared" si="71"/>
        <v>131.6</v>
      </c>
      <c r="Q92" s="45">
        <f t="shared" si="72"/>
        <v>197.4</v>
      </c>
      <c r="R92" s="45">
        <f t="shared" si="73"/>
        <v>104.34</v>
      </c>
      <c r="S92" s="111">
        <f t="shared" si="74"/>
        <v>96.8168666666667</v>
      </c>
      <c r="T92" s="45">
        <f t="shared" si="75"/>
        <v>94</v>
      </c>
      <c r="U92" s="70"/>
    </row>
    <row r="93" spans="1:21">
      <c r="A93" s="26" t="s">
        <v>113</v>
      </c>
      <c r="B93" s="85">
        <v>0.508</v>
      </c>
      <c r="C93" s="37">
        <v>20</v>
      </c>
      <c r="D93" s="28" t="s">
        <v>44</v>
      </c>
      <c r="E93" s="24" t="s">
        <v>42</v>
      </c>
      <c r="F93" s="118" t="s">
        <v>47</v>
      </c>
      <c r="G93" s="85">
        <v>9.047</v>
      </c>
      <c r="H93" s="26">
        <f t="shared" si="63"/>
        <v>108.564</v>
      </c>
      <c r="I93" s="45">
        <f t="shared" si="64"/>
        <v>120.59651</v>
      </c>
      <c r="J93" s="26">
        <f t="shared" si="65"/>
        <v>126.658</v>
      </c>
      <c r="K93" s="26">
        <f t="shared" si="66"/>
        <v>111.8173012</v>
      </c>
      <c r="L93" s="45">
        <f t="shared" si="67"/>
        <v>86.8512</v>
      </c>
      <c r="M93" s="45">
        <f t="shared" si="68"/>
        <v>130.2768</v>
      </c>
      <c r="N93" s="45">
        <f t="shared" si="69"/>
        <v>96.44102</v>
      </c>
      <c r="O93" s="45">
        <f t="shared" si="70"/>
        <v>144.752</v>
      </c>
      <c r="P93" s="45">
        <f t="shared" si="71"/>
        <v>101.3264</v>
      </c>
      <c r="Q93" s="45">
        <f t="shared" si="72"/>
        <v>151.9896</v>
      </c>
      <c r="R93" s="45">
        <f t="shared" si="73"/>
        <v>80.33736</v>
      </c>
      <c r="S93" s="111">
        <f t="shared" si="74"/>
        <v>74.5448674666667</v>
      </c>
      <c r="T93" s="45">
        <f t="shared" si="75"/>
        <v>72.376</v>
      </c>
      <c r="U93" s="70"/>
    </row>
    <row r="94" spans="1:21">
      <c r="A94" s="26" t="s">
        <v>113</v>
      </c>
      <c r="B94" s="85">
        <v>0.5334</v>
      </c>
      <c r="C94" s="37">
        <v>21</v>
      </c>
      <c r="D94" s="28" t="s">
        <v>41</v>
      </c>
      <c r="E94" s="24" t="s">
        <v>42</v>
      </c>
      <c r="F94" s="45" t="s">
        <v>48</v>
      </c>
      <c r="G94" s="85">
        <v>11.842</v>
      </c>
      <c r="H94" s="26">
        <f t="shared" si="63"/>
        <v>142.104</v>
      </c>
      <c r="I94" s="45">
        <f t="shared" si="64"/>
        <v>157.85386</v>
      </c>
      <c r="J94" s="26">
        <f t="shared" si="65"/>
        <v>165.788</v>
      </c>
      <c r="K94" s="26">
        <f t="shared" si="66"/>
        <v>146.3623832</v>
      </c>
      <c r="L94" s="45">
        <f t="shared" si="67"/>
        <v>113.6832</v>
      </c>
      <c r="M94" s="45">
        <f t="shared" si="68"/>
        <v>170.5248</v>
      </c>
      <c r="N94" s="45">
        <f t="shared" si="69"/>
        <v>126.23572</v>
      </c>
      <c r="O94" s="45">
        <f t="shared" si="70"/>
        <v>189.472</v>
      </c>
      <c r="P94" s="45">
        <f t="shared" si="71"/>
        <v>132.6304</v>
      </c>
      <c r="Q94" s="45">
        <f t="shared" si="72"/>
        <v>198.9456</v>
      </c>
      <c r="R94" s="45">
        <f t="shared" si="73"/>
        <v>105.15696</v>
      </c>
      <c r="S94" s="111">
        <f t="shared" si="74"/>
        <v>97.5749221333333</v>
      </c>
      <c r="T94" s="45">
        <f t="shared" si="75"/>
        <v>94.736</v>
      </c>
      <c r="U94" s="70"/>
    </row>
    <row r="95" spans="1:21">
      <c r="A95" s="26" t="s">
        <v>113</v>
      </c>
      <c r="B95" s="85">
        <v>0.5334</v>
      </c>
      <c r="C95" s="37">
        <v>21</v>
      </c>
      <c r="D95" s="28" t="s">
        <v>44</v>
      </c>
      <c r="E95" s="24" t="s">
        <v>42</v>
      </c>
      <c r="F95" s="45" t="s">
        <v>48</v>
      </c>
      <c r="G95" s="85">
        <v>9.222</v>
      </c>
      <c r="H95" s="26">
        <f t="shared" si="63"/>
        <v>110.664</v>
      </c>
      <c r="I95" s="45">
        <f t="shared" si="64"/>
        <v>122.92926</v>
      </c>
      <c r="J95" s="26">
        <f t="shared" si="65"/>
        <v>129.108</v>
      </c>
      <c r="K95" s="26">
        <f t="shared" si="66"/>
        <v>113.9802312</v>
      </c>
      <c r="L95" s="45">
        <f t="shared" si="67"/>
        <v>88.5312</v>
      </c>
      <c r="M95" s="45">
        <f t="shared" si="68"/>
        <v>132.7968</v>
      </c>
      <c r="N95" s="45">
        <f t="shared" si="69"/>
        <v>98.30652</v>
      </c>
      <c r="O95" s="45">
        <f t="shared" si="70"/>
        <v>147.552</v>
      </c>
      <c r="P95" s="45">
        <f t="shared" si="71"/>
        <v>103.2864</v>
      </c>
      <c r="Q95" s="45">
        <f t="shared" si="72"/>
        <v>154.9296</v>
      </c>
      <c r="R95" s="45">
        <f t="shared" si="73"/>
        <v>81.89136</v>
      </c>
      <c r="S95" s="111">
        <f t="shared" si="74"/>
        <v>75.9868208</v>
      </c>
      <c r="T95" s="45">
        <f t="shared" si="75"/>
        <v>73.776</v>
      </c>
      <c r="U95" s="70"/>
    </row>
    <row r="96" spans="1:21">
      <c r="A96" s="26" t="s">
        <v>113</v>
      </c>
      <c r="B96" s="85">
        <v>0.5334</v>
      </c>
      <c r="C96" s="37">
        <v>21</v>
      </c>
      <c r="D96" s="28" t="s">
        <v>38</v>
      </c>
      <c r="E96" s="24" t="s">
        <v>42</v>
      </c>
      <c r="F96" s="45" t="s">
        <v>48</v>
      </c>
      <c r="G96" s="85">
        <v>19.701</v>
      </c>
      <c r="H96" s="26">
        <f t="shared" si="63"/>
        <v>236.412</v>
      </c>
      <c r="I96" s="45">
        <f t="shared" si="64"/>
        <v>262.61433</v>
      </c>
      <c r="J96" s="26">
        <f t="shared" si="65"/>
        <v>275.814</v>
      </c>
      <c r="K96" s="26">
        <f t="shared" si="66"/>
        <v>243.4964796</v>
      </c>
      <c r="L96" s="45">
        <f t="shared" si="67"/>
        <v>189.1296</v>
      </c>
      <c r="M96" s="45">
        <f t="shared" si="68"/>
        <v>283.6944</v>
      </c>
      <c r="N96" s="45">
        <f t="shared" si="69"/>
        <v>210.01266</v>
      </c>
      <c r="O96" s="45">
        <f t="shared" si="70"/>
        <v>315.216</v>
      </c>
      <c r="P96" s="45">
        <f t="shared" si="71"/>
        <v>220.6512</v>
      </c>
      <c r="Q96" s="45">
        <f t="shared" si="72"/>
        <v>330.9768</v>
      </c>
      <c r="R96" s="45">
        <f t="shared" si="73"/>
        <v>174.94488</v>
      </c>
      <c r="S96" s="111">
        <f t="shared" si="74"/>
        <v>162.3309864</v>
      </c>
      <c r="T96" s="45">
        <f t="shared" si="75"/>
        <v>157.608</v>
      </c>
      <c r="U96" s="70"/>
    </row>
    <row r="97" spans="1:21">
      <c r="A97" s="26" t="s">
        <v>113</v>
      </c>
      <c r="B97" s="85">
        <v>0.5588</v>
      </c>
      <c r="C97" s="37">
        <v>22</v>
      </c>
      <c r="D97" s="28" t="s">
        <v>38</v>
      </c>
      <c r="E97" s="24" t="s">
        <v>42</v>
      </c>
      <c r="F97" s="45" t="s">
        <v>48</v>
      </c>
      <c r="G97" s="85">
        <v>20.43</v>
      </c>
      <c r="H97" s="26">
        <f t="shared" si="63"/>
        <v>245.16</v>
      </c>
      <c r="I97" s="45">
        <f t="shared" si="64"/>
        <v>272.3319</v>
      </c>
      <c r="J97" s="26">
        <f t="shared" si="65"/>
        <v>286.02</v>
      </c>
      <c r="K97" s="26">
        <f t="shared" si="66"/>
        <v>252.506628</v>
      </c>
      <c r="L97" s="45">
        <f t="shared" si="67"/>
        <v>196.128</v>
      </c>
      <c r="M97" s="45">
        <f t="shared" si="68"/>
        <v>294.192</v>
      </c>
      <c r="N97" s="45">
        <f t="shared" si="69"/>
        <v>217.7838</v>
      </c>
      <c r="O97" s="45">
        <f t="shared" si="70"/>
        <v>326.88</v>
      </c>
      <c r="P97" s="45">
        <f t="shared" si="71"/>
        <v>228.816</v>
      </c>
      <c r="Q97" s="45">
        <f t="shared" si="72"/>
        <v>343.224</v>
      </c>
      <c r="R97" s="45">
        <f t="shared" si="73"/>
        <v>181.4184</v>
      </c>
      <c r="S97" s="111">
        <f t="shared" si="74"/>
        <v>168.337752</v>
      </c>
      <c r="T97" s="45">
        <f t="shared" si="75"/>
        <v>163.44</v>
      </c>
      <c r="U97" s="70"/>
    </row>
    <row r="98" spans="1:21">
      <c r="A98" s="26" t="s">
        <v>113</v>
      </c>
      <c r="B98" s="85">
        <v>0.5588</v>
      </c>
      <c r="C98" s="37">
        <v>22</v>
      </c>
      <c r="D98" s="28" t="s">
        <v>41</v>
      </c>
      <c r="E98" s="24" t="s">
        <v>42</v>
      </c>
      <c r="F98" s="45" t="s">
        <v>48</v>
      </c>
      <c r="G98" s="85">
        <v>12.261</v>
      </c>
      <c r="H98" s="26">
        <f t="shared" si="63"/>
        <v>147.132</v>
      </c>
      <c r="I98" s="45">
        <f t="shared" si="64"/>
        <v>163.43913</v>
      </c>
      <c r="J98" s="26">
        <f t="shared" si="65"/>
        <v>171.654</v>
      </c>
      <c r="K98" s="26">
        <f t="shared" si="66"/>
        <v>151.5410556</v>
      </c>
      <c r="L98" s="45">
        <f t="shared" si="67"/>
        <v>117.7056</v>
      </c>
      <c r="M98" s="45">
        <f t="shared" si="68"/>
        <v>176.5584</v>
      </c>
      <c r="N98" s="45">
        <f t="shared" si="69"/>
        <v>130.70226</v>
      </c>
      <c r="O98" s="45">
        <f t="shared" si="70"/>
        <v>196.176</v>
      </c>
      <c r="P98" s="45">
        <f t="shared" si="71"/>
        <v>137.3232</v>
      </c>
      <c r="Q98" s="45">
        <f t="shared" si="72"/>
        <v>205.9848</v>
      </c>
      <c r="R98" s="45">
        <f t="shared" si="73"/>
        <v>108.87768</v>
      </c>
      <c r="S98" s="111">
        <f t="shared" si="74"/>
        <v>101.0273704</v>
      </c>
      <c r="T98" s="45">
        <f t="shared" si="75"/>
        <v>98.088</v>
      </c>
      <c r="U98" s="70"/>
    </row>
    <row r="99" spans="1:21">
      <c r="A99" s="26" t="s">
        <v>113</v>
      </c>
      <c r="B99" s="85">
        <v>0.5588</v>
      </c>
      <c r="C99" s="37">
        <v>22</v>
      </c>
      <c r="D99" s="28" t="s">
        <v>44</v>
      </c>
      <c r="E99" s="24" t="s">
        <v>42</v>
      </c>
      <c r="F99" s="45" t="s">
        <v>48</v>
      </c>
      <c r="G99" s="85">
        <v>9.314</v>
      </c>
      <c r="H99" s="26">
        <f t="shared" si="63"/>
        <v>111.768</v>
      </c>
      <c r="I99" s="45">
        <f t="shared" si="64"/>
        <v>124.15562</v>
      </c>
      <c r="J99" s="26">
        <f t="shared" si="65"/>
        <v>130.396</v>
      </c>
      <c r="K99" s="26">
        <f t="shared" si="66"/>
        <v>115.1173144</v>
      </c>
      <c r="L99" s="45">
        <f t="shared" si="67"/>
        <v>89.4144</v>
      </c>
      <c r="M99" s="45">
        <f t="shared" si="68"/>
        <v>134.1216</v>
      </c>
      <c r="N99" s="45">
        <f t="shared" si="69"/>
        <v>99.28724</v>
      </c>
      <c r="O99" s="45">
        <f t="shared" si="70"/>
        <v>149.024</v>
      </c>
      <c r="P99" s="45">
        <f t="shared" si="71"/>
        <v>104.3168</v>
      </c>
      <c r="Q99" s="45">
        <f t="shared" si="72"/>
        <v>156.4752</v>
      </c>
      <c r="R99" s="45">
        <f t="shared" si="73"/>
        <v>82.70832</v>
      </c>
      <c r="S99" s="111">
        <f t="shared" si="74"/>
        <v>76.7448762666667</v>
      </c>
      <c r="T99" s="45">
        <f t="shared" si="75"/>
        <v>74.512</v>
      </c>
      <c r="U99" s="70"/>
    </row>
    <row r="100" spans="1:21">
      <c r="A100" s="26" t="s">
        <v>113</v>
      </c>
      <c r="B100" s="85">
        <v>0.6096</v>
      </c>
      <c r="C100" s="37">
        <v>24</v>
      </c>
      <c r="D100" s="28" t="s">
        <v>38</v>
      </c>
      <c r="E100" s="24" t="s">
        <v>42</v>
      </c>
      <c r="F100" s="45" t="s">
        <v>48</v>
      </c>
      <c r="G100" s="85">
        <v>19.413</v>
      </c>
      <c r="H100" s="26">
        <f t="shared" si="63"/>
        <v>232.956</v>
      </c>
      <c r="I100" s="45">
        <f t="shared" si="64"/>
        <v>258.77529</v>
      </c>
      <c r="J100" s="26">
        <f t="shared" si="65"/>
        <v>271.782</v>
      </c>
      <c r="K100" s="26">
        <f t="shared" si="66"/>
        <v>239.9369148</v>
      </c>
      <c r="L100" s="45">
        <f t="shared" si="67"/>
        <v>186.3648</v>
      </c>
      <c r="M100" s="45">
        <f t="shared" si="68"/>
        <v>279.5472</v>
      </c>
      <c r="N100" s="45">
        <f t="shared" si="69"/>
        <v>206.94258</v>
      </c>
      <c r="O100" s="45">
        <f t="shared" si="70"/>
        <v>310.608</v>
      </c>
      <c r="P100" s="45">
        <f t="shared" si="71"/>
        <v>217.4256</v>
      </c>
      <c r="Q100" s="45">
        <f t="shared" si="72"/>
        <v>326.1384</v>
      </c>
      <c r="R100" s="45">
        <f t="shared" si="73"/>
        <v>172.38744</v>
      </c>
      <c r="S100" s="111">
        <f t="shared" si="74"/>
        <v>159.9579432</v>
      </c>
      <c r="T100" s="45">
        <f t="shared" si="75"/>
        <v>155.304</v>
      </c>
      <c r="U100" s="70"/>
    </row>
    <row r="101" spans="1:21">
      <c r="A101" s="26" t="s">
        <v>113</v>
      </c>
      <c r="B101" s="85">
        <v>0.6096</v>
      </c>
      <c r="C101" s="37">
        <v>24</v>
      </c>
      <c r="D101" s="28" t="s">
        <v>41</v>
      </c>
      <c r="E101" s="24" t="s">
        <v>42</v>
      </c>
      <c r="F101" s="45" t="s">
        <v>48</v>
      </c>
      <c r="G101" s="85">
        <v>12.021</v>
      </c>
      <c r="H101" s="26">
        <f t="shared" si="63"/>
        <v>144.252</v>
      </c>
      <c r="I101" s="45">
        <f t="shared" si="64"/>
        <v>160.23993</v>
      </c>
      <c r="J101" s="26">
        <f t="shared" si="65"/>
        <v>168.294</v>
      </c>
      <c r="K101" s="26">
        <f t="shared" si="66"/>
        <v>148.5747516</v>
      </c>
      <c r="L101" s="45">
        <f t="shared" si="67"/>
        <v>115.4016</v>
      </c>
      <c r="M101" s="45">
        <f t="shared" si="68"/>
        <v>173.1024</v>
      </c>
      <c r="N101" s="45">
        <f t="shared" si="69"/>
        <v>128.14386</v>
      </c>
      <c r="O101" s="45">
        <f t="shared" si="70"/>
        <v>192.336</v>
      </c>
      <c r="P101" s="45">
        <f t="shared" si="71"/>
        <v>134.6352</v>
      </c>
      <c r="Q101" s="45">
        <f t="shared" si="72"/>
        <v>201.9528</v>
      </c>
      <c r="R101" s="45">
        <f t="shared" si="73"/>
        <v>106.74648</v>
      </c>
      <c r="S101" s="111">
        <f t="shared" si="74"/>
        <v>99.0498344</v>
      </c>
      <c r="T101" s="45">
        <f t="shared" si="75"/>
        <v>96.168</v>
      </c>
      <c r="U101" s="70"/>
    </row>
    <row r="102" spans="1:21">
      <c r="A102" s="26" t="s">
        <v>113</v>
      </c>
      <c r="B102" s="85">
        <v>0.6096</v>
      </c>
      <c r="C102" s="37">
        <v>24</v>
      </c>
      <c r="D102" s="28" t="s">
        <v>44</v>
      </c>
      <c r="E102" s="24" t="s">
        <v>42</v>
      </c>
      <c r="F102" s="45" t="s">
        <v>48</v>
      </c>
      <c r="G102" s="85">
        <v>9.316</v>
      </c>
      <c r="H102" s="26">
        <f t="shared" si="63"/>
        <v>111.792</v>
      </c>
      <c r="I102" s="45">
        <f t="shared" si="64"/>
        <v>124.18228</v>
      </c>
      <c r="J102" s="26">
        <f t="shared" si="65"/>
        <v>130.424</v>
      </c>
      <c r="K102" s="26">
        <f t="shared" si="66"/>
        <v>115.1420336</v>
      </c>
      <c r="L102" s="45">
        <f t="shared" si="67"/>
        <v>89.4336</v>
      </c>
      <c r="M102" s="45">
        <f t="shared" si="68"/>
        <v>134.1504</v>
      </c>
      <c r="N102" s="45">
        <f t="shared" si="69"/>
        <v>99.30856</v>
      </c>
      <c r="O102" s="45">
        <f t="shared" si="70"/>
        <v>149.056</v>
      </c>
      <c r="P102" s="45">
        <f t="shared" si="71"/>
        <v>104.3392</v>
      </c>
      <c r="Q102" s="45">
        <f t="shared" si="72"/>
        <v>156.5088</v>
      </c>
      <c r="R102" s="45">
        <f t="shared" si="73"/>
        <v>82.72608</v>
      </c>
      <c r="S102" s="111">
        <f t="shared" si="74"/>
        <v>76.7613557333333</v>
      </c>
      <c r="T102" s="45">
        <f t="shared" si="75"/>
        <v>74.528</v>
      </c>
      <c r="U102" s="70"/>
    </row>
    <row r="103" spans="1:21">
      <c r="A103" s="26" t="s">
        <v>113</v>
      </c>
      <c r="B103" s="85">
        <v>0.6604</v>
      </c>
      <c r="C103" s="37">
        <v>26</v>
      </c>
      <c r="D103" s="28" t="s">
        <v>41</v>
      </c>
      <c r="E103" s="24" t="s">
        <v>42</v>
      </c>
      <c r="F103" s="118" t="s">
        <v>115</v>
      </c>
      <c r="G103" s="85">
        <v>13.243</v>
      </c>
      <c r="H103" s="26">
        <f t="shared" si="63"/>
        <v>158.916</v>
      </c>
      <c r="I103" s="45">
        <f t="shared" si="64"/>
        <v>176.52919</v>
      </c>
      <c r="J103" s="26">
        <f t="shared" si="65"/>
        <v>185.402</v>
      </c>
      <c r="K103" s="26">
        <f t="shared" si="66"/>
        <v>163.6781828</v>
      </c>
      <c r="L103" s="45">
        <f t="shared" si="67"/>
        <v>127.1328</v>
      </c>
      <c r="M103" s="45">
        <f t="shared" si="68"/>
        <v>190.6992</v>
      </c>
      <c r="N103" s="45">
        <f t="shared" si="69"/>
        <v>141.17038</v>
      </c>
      <c r="O103" s="45">
        <f t="shared" si="70"/>
        <v>211.888</v>
      </c>
      <c r="P103" s="45">
        <f t="shared" si="71"/>
        <v>148.3216</v>
      </c>
      <c r="Q103" s="45">
        <f t="shared" si="72"/>
        <v>222.4824</v>
      </c>
      <c r="R103" s="45">
        <f t="shared" si="73"/>
        <v>117.59784</v>
      </c>
      <c r="S103" s="111">
        <f t="shared" si="74"/>
        <v>109.118788533333</v>
      </c>
      <c r="T103" s="45">
        <f t="shared" si="75"/>
        <v>105.944</v>
      </c>
      <c r="U103" s="70"/>
    </row>
    <row r="104" spans="1:21">
      <c r="A104" s="26" t="s">
        <v>113</v>
      </c>
      <c r="B104" s="85">
        <v>0.6604</v>
      </c>
      <c r="C104" s="37">
        <v>26</v>
      </c>
      <c r="D104" s="28" t="s">
        <v>44</v>
      </c>
      <c r="E104" s="24" t="s">
        <v>42</v>
      </c>
      <c r="F104" s="118" t="s">
        <v>115</v>
      </c>
      <c r="G104" s="85">
        <v>10.66</v>
      </c>
      <c r="H104" s="26">
        <f t="shared" si="63"/>
        <v>127.92</v>
      </c>
      <c r="I104" s="45">
        <f t="shared" si="64"/>
        <v>142.0978</v>
      </c>
      <c r="J104" s="26">
        <f t="shared" si="65"/>
        <v>149.24</v>
      </c>
      <c r="K104" s="26">
        <f t="shared" si="66"/>
        <v>131.753336</v>
      </c>
      <c r="L104" s="45">
        <f t="shared" si="67"/>
        <v>102.336</v>
      </c>
      <c r="M104" s="45">
        <f t="shared" si="68"/>
        <v>153.504</v>
      </c>
      <c r="N104" s="45">
        <f t="shared" si="69"/>
        <v>113.6356</v>
      </c>
      <c r="O104" s="45">
        <f t="shared" si="70"/>
        <v>170.56</v>
      </c>
      <c r="P104" s="45">
        <f t="shared" si="71"/>
        <v>119.392</v>
      </c>
      <c r="Q104" s="45">
        <f t="shared" si="72"/>
        <v>179.088</v>
      </c>
      <c r="R104" s="45">
        <f t="shared" si="73"/>
        <v>94.6608</v>
      </c>
      <c r="S104" s="111">
        <f t="shared" si="74"/>
        <v>87.8355573333333</v>
      </c>
      <c r="T104" s="45">
        <f t="shared" si="75"/>
        <v>85.28</v>
      </c>
      <c r="U104" s="70"/>
    </row>
    <row r="105" spans="1:21">
      <c r="A105" s="26" t="s">
        <v>113</v>
      </c>
      <c r="B105" s="85">
        <v>0.7112</v>
      </c>
      <c r="C105" s="37">
        <v>28</v>
      </c>
      <c r="D105" s="28" t="s">
        <v>83</v>
      </c>
      <c r="E105" s="24" t="s">
        <v>42</v>
      </c>
      <c r="F105" s="45" t="s">
        <v>49</v>
      </c>
      <c r="G105" s="85">
        <v>11.323</v>
      </c>
      <c r="H105" s="26">
        <f t="shared" si="63"/>
        <v>135.876</v>
      </c>
      <c r="I105" s="45">
        <f t="shared" si="64"/>
        <v>150.93559</v>
      </c>
      <c r="J105" s="26">
        <f t="shared" si="65"/>
        <v>158.522</v>
      </c>
      <c r="K105" s="26">
        <f t="shared" si="66"/>
        <v>139.9477508</v>
      </c>
      <c r="L105" s="45">
        <f t="shared" si="67"/>
        <v>108.7008</v>
      </c>
      <c r="M105" s="45">
        <f t="shared" si="68"/>
        <v>163.0512</v>
      </c>
      <c r="N105" s="45">
        <f t="shared" si="69"/>
        <v>120.70318</v>
      </c>
      <c r="O105" s="45">
        <f t="shared" si="70"/>
        <v>181.168</v>
      </c>
      <c r="P105" s="45">
        <f t="shared" si="71"/>
        <v>126.8176</v>
      </c>
      <c r="Q105" s="45">
        <f t="shared" si="72"/>
        <v>190.2264</v>
      </c>
      <c r="R105" s="45">
        <f t="shared" si="73"/>
        <v>100.54824</v>
      </c>
      <c r="S105" s="111">
        <f t="shared" si="74"/>
        <v>93.2985005333334</v>
      </c>
      <c r="T105" s="45">
        <f t="shared" si="75"/>
        <v>90.584</v>
      </c>
      <c r="U105" s="70"/>
    </row>
    <row r="106" spans="1:21">
      <c r="A106" s="26" t="s">
        <v>113</v>
      </c>
      <c r="B106" s="85">
        <v>0.7112</v>
      </c>
      <c r="C106" s="37">
        <v>28</v>
      </c>
      <c r="D106" s="28" t="s">
        <v>38</v>
      </c>
      <c r="E106" s="24" t="s">
        <v>42</v>
      </c>
      <c r="F106" s="45" t="s">
        <v>49</v>
      </c>
      <c r="G106" s="85">
        <v>21.498</v>
      </c>
      <c r="H106" s="26">
        <f t="shared" si="63"/>
        <v>257.976</v>
      </c>
      <c r="I106" s="45">
        <f t="shared" si="64"/>
        <v>286.56834</v>
      </c>
      <c r="J106" s="26">
        <f t="shared" si="65"/>
        <v>300.972</v>
      </c>
      <c r="K106" s="26">
        <f t="shared" si="66"/>
        <v>265.7066808</v>
      </c>
      <c r="L106" s="45">
        <f t="shared" si="67"/>
        <v>206.3808</v>
      </c>
      <c r="M106" s="45">
        <f t="shared" si="68"/>
        <v>309.5712</v>
      </c>
      <c r="N106" s="45">
        <f t="shared" si="69"/>
        <v>229.16868</v>
      </c>
      <c r="O106" s="45">
        <f t="shared" si="70"/>
        <v>343.968</v>
      </c>
      <c r="P106" s="45">
        <f t="shared" si="71"/>
        <v>240.7776</v>
      </c>
      <c r="Q106" s="45">
        <f t="shared" si="72"/>
        <v>361.1664</v>
      </c>
      <c r="R106" s="45">
        <f t="shared" si="73"/>
        <v>190.90224</v>
      </c>
      <c r="S106" s="111">
        <f t="shared" si="74"/>
        <v>177.1377872</v>
      </c>
      <c r="T106" s="45">
        <f t="shared" si="75"/>
        <v>171.984</v>
      </c>
      <c r="U106" s="70"/>
    </row>
    <row r="107" spans="1:21">
      <c r="A107" s="26" t="s">
        <v>113</v>
      </c>
      <c r="B107" s="85">
        <v>0.7112</v>
      </c>
      <c r="C107" s="37">
        <v>28</v>
      </c>
      <c r="D107" s="28" t="s">
        <v>41</v>
      </c>
      <c r="E107" s="24" t="s">
        <v>42</v>
      </c>
      <c r="F107" s="45" t="s">
        <v>49</v>
      </c>
      <c r="G107" s="85">
        <v>13.076</v>
      </c>
      <c r="H107" s="26">
        <f t="shared" si="63"/>
        <v>156.912</v>
      </c>
      <c r="I107" s="45">
        <f t="shared" si="64"/>
        <v>174.30308</v>
      </c>
      <c r="J107" s="26">
        <f t="shared" si="65"/>
        <v>183.064</v>
      </c>
      <c r="K107" s="26">
        <f t="shared" si="66"/>
        <v>161.6141296</v>
      </c>
      <c r="L107" s="45">
        <f t="shared" si="67"/>
        <v>125.5296</v>
      </c>
      <c r="M107" s="45">
        <f t="shared" si="68"/>
        <v>188.2944</v>
      </c>
      <c r="N107" s="45">
        <f t="shared" si="69"/>
        <v>139.39016</v>
      </c>
      <c r="O107" s="45">
        <f t="shared" si="70"/>
        <v>209.216</v>
      </c>
      <c r="P107" s="45">
        <f t="shared" si="71"/>
        <v>146.4512</v>
      </c>
      <c r="Q107" s="45">
        <f t="shared" si="72"/>
        <v>219.6768</v>
      </c>
      <c r="R107" s="45">
        <f t="shared" si="73"/>
        <v>116.11488</v>
      </c>
      <c r="S107" s="111">
        <f t="shared" si="74"/>
        <v>107.742753066667</v>
      </c>
      <c r="T107" s="45">
        <f t="shared" si="75"/>
        <v>104.608</v>
      </c>
      <c r="U107" s="70"/>
    </row>
    <row r="108" spans="1:21">
      <c r="A108" s="26" t="s">
        <v>113</v>
      </c>
      <c r="B108" s="85">
        <v>0.7112</v>
      </c>
      <c r="C108" s="37">
        <v>28</v>
      </c>
      <c r="D108" s="28" t="s">
        <v>44</v>
      </c>
      <c r="E108" s="24" t="s">
        <v>42</v>
      </c>
      <c r="F108" s="45" t="s">
        <v>49</v>
      </c>
      <c r="G108" s="85">
        <v>10.482</v>
      </c>
      <c r="H108" s="26">
        <f t="shared" si="63"/>
        <v>125.784</v>
      </c>
      <c r="I108" s="45">
        <f t="shared" si="64"/>
        <v>139.72506</v>
      </c>
      <c r="J108" s="26">
        <f t="shared" si="65"/>
        <v>146.748</v>
      </c>
      <c r="K108" s="26">
        <f t="shared" si="66"/>
        <v>129.5533272</v>
      </c>
      <c r="L108" s="45">
        <f t="shared" si="67"/>
        <v>100.6272</v>
      </c>
      <c r="M108" s="45">
        <f t="shared" si="68"/>
        <v>150.9408</v>
      </c>
      <c r="N108" s="45">
        <f t="shared" si="69"/>
        <v>111.73812</v>
      </c>
      <c r="O108" s="45">
        <f t="shared" si="70"/>
        <v>167.712</v>
      </c>
      <c r="P108" s="45">
        <f t="shared" si="71"/>
        <v>117.3984</v>
      </c>
      <c r="Q108" s="45">
        <f t="shared" si="72"/>
        <v>176.0976</v>
      </c>
      <c r="R108" s="45">
        <f t="shared" si="73"/>
        <v>93.08016</v>
      </c>
      <c r="S108" s="111">
        <f t="shared" si="74"/>
        <v>86.3688848</v>
      </c>
      <c r="T108" s="45">
        <f t="shared" si="75"/>
        <v>83.856</v>
      </c>
      <c r="U108" s="70"/>
    </row>
    <row r="109" spans="1:21">
      <c r="A109" s="26" t="s">
        <v>113</v>
      </c>
      <c r="B109" s="85">
        <v>0.7874</v>
      </c>
      <c r="C109" s="37">
        <v>31</v>
      </c>
      <c r="D109" s="28" t="s">
        <v>41</v>
      </c>
      <c r="E109" s="24" t="s">
        <v>42</v>
      </c>
      <c r="F109" s="45" t="s">
        <v>49</v>
      </c>
      <c r="G109" s="85">
        <v>13.287</v>
      </c>
      <c r="H109" s="26">
        <f t="shared" si="63"/>
        <v>159.444</v>
      </c>
      <c r="I109" s="45">
        <f t="shared" si="64"/>
        <v>177.11571</v>
      </c>
      <c r="J109" s="26">
        <f t="shared" si="65"/>
        <v>186.018</v>
      </c>
      <c r="K109" s="26">
        <f t="shared" si="66"/>
        <v>164.2220052</v>
      </c>
      <c r="L109" s="45">
        <f t="shared" si="67"/>
        <v>127.5552</v>
      </c>
      <c r="M109" s="45">
        <f t="shared" si="68"/>
        <v>191.3328</v>
      </c>
      <c r="N109" s="45">
        <f t="shared" si="69"/>
        <v>141.63942</v>
      </c>
      <c r="O109" s="45">
        <f t="shared" si="70"/>
        <v>212.592</v>
      </c>
      <c r="P109" s="45">
        <f t="shared" si="71"/>
        <v>148.8144</v>
      </c>
      <c r="Q109" s="45">
        <f t="shared" si="72"/>
        <v>223.2216</v>
      </c>
      <c r="R109" s="45">
        <f t="shared" si="73"/>
        <v>117.98856</v>
      </c>
      <c r="S109" s="111">
        <f t="shared" si="74"/>
        <v>109.4813368</v>
      </c>
      <c r="T109" s="45">
        <f t="shared" si="75"/>
        <v>106.296</v>
      </c>
      <c r="U109" s="70"/>
    </row>
    <row r="110" spans="1:21">
      <c r="A110" s="26" t="s">
        <v>113</v>
      </c>
      <c r="B110" s="85">
        <v>0.7874</v>
      </c>
      <c r="C110" s="37">
        <v>31</v>
      </c>
      <c r="D110" s="28" t="s">
        <v>44</v>
      </c>
      <c r="E110" s="24" t="s">
        <v>42</v>
      </c>
      <c r="F110" s="45" t="s">
        <v>49</v>
      </c>
      <c r="G110" s="85">
        <v>10.571</v>
      </c>
      <c r="H110" s="26">
        <f t="shared" si="63"/>
        <v>126.852</v>
      </c>
      <c r="I110" s="45">
        <f t="shared" si="64"/>
        <v>140.91143</v>
      </c>
      <c r="J110" s="26">
        <f t="shared" si="65"/>
        <v>147.994</v>
      </c>
      <c r="K110" s="26">
        <f t="shared" si="66"/>
        <v>130.6533316</v>
      </c>
      <c r="L110" s="45">
        <f t="shared" si="67"/>
        <v>101.4816</v>
      </c>
      <c r="M110" s="45">
        <f t="shared" si="68"/>
        <v>152.2224</v>
      </c>
      <c r="N110" s="45">
        <f t="shared" si="69"/>
        <v>112.68686</v>
      </c>
      <c r="O110" s="45">
        <f t="shared" si="70"/>
        <v>169.136</v>
      </c>
      <c r="P110" s="45">
        <f t="shared" si="71"/>
        <v>118.3952</v>
      </c>
      <c r="Q110" s="45">
        <f t="shared" si="72"/>
        <v>177.5928</v>
      </c>
      <c r="R110" s="45">
        <f t="shared" si="73"/>
        <v>93.87048</v>
      </c>
      <c r="S110" s="111">
        <f t="shared" si="74"/>
        <v>87.1022210666667</v>
      </c>
      <c r="T110" s="45">
        <f t="shared" si="75"/>
        <v>84.568</v>
      </c>
      <c r="U110" s="70"/>
    </row>
    <row r="111" spans="1:21">
      <c r="A111" s="26" t="s">
        <v>113</v>
      </c>
      <c r="B111" s="85">
        <v>0.889</v>
      </c>
      <c r="C111" s="37">
        <v>35</v>
      </c>
      <c r="D111" s="28" t="s">
        <v>41</v>
      </c>
      <c r="E111" s="24" t="s">
        <v>42</v>
      </c>
      <c r="F111" s="118" t="s">
        <v>50</v>
      </c>
      <c r="G111" s="85">
        <v>15.012</v>
      </c>
      <c r="H111" s="26">
        <f t="shared" si="63"/>
        <v>180.144</v>
      </c>
      <c r="I111" s="45">
        <f t="shared" si="64"/>
        <v>200.10996</v>
      </c>
      <c r="J111" s="26">
        <f t="shared" si="65"/>
        <v>210.168</v>
      </c>
      <c r="K111" s="26">
        <f t="shared" si="66"/>
        <v>185.5423152</v>
      </c>
      <c r="L111" s="45">
        <f t="shared" si="67"/>
        <v>144.1152</v>
      </c>
      <c r="M111" s="45">
        <f t="shared" si="68"/>
        <v>216.1728</v>
      </c>
      <c r="N111" s="45">
        <f t="shared" si="69"/>
        <v>160.02792</v>
      </c>
      <c r="O111" s="45">
        <f t="shared" si="70"/>
        <v>240.192</v>
      </c>
      <c r="P111" s="45">
        <f t="shared" si="71"/>
        <v>168.1344</v>
      </c>
      <c r="Q111" s="45">
        <f t="shared" si="72"/>
        <v>252.2016</v>
      </c>
      <c r="R111" s="45">
        <f t="shared" si="73"/>
        <v>133.30656</v>
      </c>
      <c r="S111" s="111">
        <f t="shared" si="74"/>
        <v>123.6948768</v>
      </c>
      <c r="T111" s="45">
        <f t="shared" si="75"/>
        <v>120.096</v>
      </c>
      <c r="U111" s="70"/>
    </row>
    <row r="112" spans="1:21">
      <c r="A112" s="26" t="s">
        <v>113</v>
      </c>
      <c r="B112" s="85">
        <v>0.9144</v>
      </c>
      <c r="C112" s="37">
        <v>36</v>
      </c>
      <c r="D112" s="28" t="s">
        <v>83</v>
      </c>
      <c r="E112" s="24" t="s">
        <v>42</v>
      </c>
      <c r="F112" s="118" t="s">
        <v>50</v>
      </c>
      <c r="G112" s="85">
        <v>12.663</v>
      </c>
      <c r="H112" s="26">
        <f t="shared" si="63"/>
        <v>151.956</v>
      </c>
      <c r="I112" s="45">
        <f t="shared" si="64"/>
        <v>168.79779</v>
      </c>
      <c r="J112" s="26">
        <f t="shared" si="65"/>
        <v>177.282</v>
      </c>
      <c r="K112" s="26">
        <f t="shared" si="66"/>
        <v>156.5096148</v>
      </c>
      <c r="L112" s="45">
        <f t="shared" si="67"/>
        <v>121.5648</v>
      </c>
      <c r="M112" s="45">
        <f t="shared" si="68"/>
        <v>182.3472</v>
      </c>
      <c r="N112" s="45">
        <f t="shared" si="69"/>
        <v>134.98758</v>
      </c>
      <c r="O112" s="45">
        <f t="shared" si="70"/>
        <v>202.608</v>
      </c>
      <c r="P112" s="45">
        <f t="shared" si="71"/>
        <v>141.8256</v>
      </c>
      <c r="Q112" s="45">
        <f t="shared" si="72"/>
        <v>212.7384</v>
      </c>
      <c r="R112" s="45">
        <f t="shared" si="73"/>
        <v>112.44744</v>
      </c>
      <c r="S112" s="111">
        <f t="shared" si="74"/>
        <v>104.3397432</v>
      </c>
      <c r="T112" s="45">
        <f t="shared" si="75"/>
        <v>101.304</v>
      </c>
      <c r="U112" s="70"/>
    </row>
    <row r="113" spans="1:21">
      <c r="A113" s="26" t="s">
        <v>113</v>
      </c>
      <c r="B113" s="85">
        <v>0.9144</v>
      </c>
      <c r="C113" s="37">
        <v>36</v>
      </c>
      <c r="D113" s="28" t="s">
        <v>44</v>
      </c>
      <c r="E113" s="24" t="s">
        <v>42</v>
      </c>
      <c r="F113" s="118" t="s">
        <v>50</v>
      </c>
      <c r="G113" s="85">
        <v>11.467</v>
      </c>
      <c r="H113" s="26">
        <f t="shared" si="63"/>
        <v>137.604</v>
      </c>
      <c r="I113" s="45">
        <f t="shared" si="64"/>
        <v>152.85511</v>
      </c>
      <c r="J113" s="26">
        <f t="shared" si="65"/>
        <v>160.538</v>
      </c>
      <c r="K113" s="26">
        <f t="shared" si="66"/>
        <v>141.7275332</v>
      </c>
      <c r="L113" s="45">
        <f t="shared" si="67"/>
        <v>110.0832</v>
      </c>
      <c r="M113" s="45">
        <f t="shared" si="68"/>
        <v>165.1248</v>
      </c>
      <c r="N113" s="45">
        <f t="shared" si="69"/>
        <v>122.23822</v>
      </c>
      <c r="O113" s="45">
        <f t="shared" si="70"/>
        <v>183.472</v>
      </c>
      <c r="P113" s="45">
        <f t="shared" si="71"/>
        <v>128.4304</v>
      </c>
      <c r="Q113" s="45">
        <f t="shared" si="72"/>
        <v>192.6456</v>
      </c>
      <c r="R113" s="45">
        <f t="shared" si="73"/>
        <v>101.82696</v>
      </c>
      <c r="S113" s="111">
        <f t="shared" si="74"/>
        <v>94.4850221333333</v>
      </c>
      <c r="T113" s="45">
        <f t="shared" si="75"/>
        <v>91.736</v>
      </c>
      <c r="U113" s="70"/>
    </row>
    <row r="114" spans="1:21">
      <c r="A114" s="26" t="s">
        <v>113</v>
      </c>
      <c r="B114" s="85">
        <v>0.9144</v>
      </c>
      <c r="C114" s="37">
        <v>36</v>
      </c>
      <c r="D114" s="28" t="s">
        <v>41</v>
      </c>
      <c r="E114" s="24" t="s">
        <v>42</v>
      </c>
      <c r="F114" s="118" t="s">
        <v>50</v>
      </c>
      <c r="G114" s="85">
        <v>14.192</v>
      </c>
      <c r="H114" s="26">
        <f t="shared" si="63"/>
        <v>170.304</v>
      </c>
      <c r="I114" s="45">
        <f t="shared" si="64"/>
        <v>189.17936</v>
      </c>
      <c r="J114" s="26">
        <f t="shared" si="65"/>
        <v>198.688</v>
      </c>
      <c r="K114" s="26">
        <f t="shared" si="66"/>
        <v>175.4074432</v>
      </c>
      <c r="L114" s="45">
        <f t="shared" si="67"/>
        <v>136.2432</v>
      </c>
      <c r="M114" s="45">
        <f t="shared" si="68"/>
        <v>204.3648</v>
      </c>
      <c r="N114" s="45">
        <f t="shared" si="69"/>
        <v>151.28672</v>
      </c>
      <c r="O114" s="45">
        <f t="shared" si="70"/>
        <v>227.072</v>
      </c>
      <c r="P114" s="45">
        <f t="shared" si="71"/>
        <v>158.9504</v>
      </c>
      <c r="Q114" s="45">
        <f t="shared" si="72"/>
        <v>238.4256</v>
      </c>
      <c r="R114" s="45">
        <f t="shared" si="73"/>
        <v>126.02496</v>
      </c>
      <c r="S114" s="111">
        <f t="shared" si="74"/>
        <v>116.938295466667</v>
      </c>
      <c r="T114" s="45">
        <f t="shared" si="75"/>
        <v>113.536</v>
      </c>
      <c r="U114" s="70"/>
    </row>
    <row r="115" spans="1:21">
      <c r="A115" s="26" t="s">
        <v>113</v>
      </c>
      <c r="B115" s="85">
        <v>0.9144</v>
      </c>
      <c r="C115" s="37">
        <v>36</v>
      </c>
      <c r="D115" s="28" t="s">
        <v>38</v>
      </c>
      <c r="E115" s="24" t="s">
        <v>42</v>
      </c>
      <c r="F115" s="45" t="s">
        <v>49</v>
      </c>
      <c r="G115" s="85">
        <v>21.848</v>
      </c>
      <c r="H115" s="26">
        <f t="shared" si="63"/>
        <v>262.176</v>
      </c>
      <c r="I115" s="45">
        <f t="shared" si="64"/>
        <v>291.23384</v>
      </c>
      <c r="J115" s="26">
        <f t="shared" si="65"/>
        <v>305.872</v>
      </c>
      <c r="K115" s="26">
        <f t="shared" si="66"/>
        <v>270.0325408</v>
      </c>
      <c r="L115" s="45">
        <f t="shared" si="67"/>
        <v>209.7408</v>
      </c>
      <c r="M115" s="45">
        <f t="shared" si="68"/>
        <v>314.6112</v>
      </c>
      <c r="N115" s="45">
        <f t="shared" si="69"/>
        <v>232.89968</v>
      </c>
      <c r="O115" s="45">
        <f t="shared" si="70"/>
        <v>349.568</v>
      </c>
      <c r="P115" s="45">
        <f t="shared" si="71"/>
        <v>244.6976</v>
      </c>
      <c r="Q115" s="45">
        <f t="shared" si="72"/>
        <v>367.0464</v>
      </c>
      <c r="R115" s="45">
        <f t="shared" si="73"/>
        <v>194.01024</v>
      </c>
      <c r="S115" s="111">
        <f t="shared" si="74"/>
        <v>180.021693866667</v>
      </c>
      <c r="T115" s="45">
        <f t="shared" ref="T115:T148" si="76">H115*2/3</f>
        <v>174.784</v>
      </c>
      <c r="U115" s="70"/>
    </row>
    <row r="116" spans="1:21">
      <c r="A116" s="26" t="s">
        <v>113</v>
      </c>
      <c r="B116" s="85">
        <v>0.9906</v>
      </c>
      <c r="C116" s="37">
        <v>39</v>
      </c>
      <c r="D116" s="28" t="s">
        <v>41</v>
      </c>
      <c r="E116" s="24" t="s">
        <v>42</v>
      </c>
      <c r="F116" s="45" t="s">
        <v>51</v>
      </c>
      <c r="G116" s="85">
        <v>14.464</v>
      </c>
      <c r="H116" s="26">
        <f t="shared" si="63"/>
        <v>173.568</v>
      </c>
      <c r="I116" s="45">
        <f t="shared" si="64"/>
        <v>192.80512</v>
      </c>
      <c r="J116" s="26">
        <f t="shared" si="65"/>
        <v>202.496</v>
      </c>
      <c r="K116" s="26">
        <f t="shared" si="66"/>
        <v>178.7692544</v>
      </c>
      <c r="L116" s="45">
        <f t="shared" si="67"/>
        <v>138.8544</v>
      </c>
      <c r="M116" s="45">
        <f t="shared" si="68"/>
        <v>208.2816</v>
      </c>
      <c r="N116" s="45">
        <f t="shared" si="69"/>
        <v>154.18624</v>
      </c>
      <c r="O116" s="45">
        <f t="shared" si="70"/>
        <v>231.424</v>
      </c>
      <c r="P116" s="45">
        <f t="shared" si="71"/>
        <v>161.9968</v>
      </c>
      <c r="Q116" s="45">
        <f t="shared" si="72"/>
        <v>242.9952</v>
      </c>
      <c r="R116" s="45">
        <f t="shared" si="73"/>
        <v>128.44032</v>
      </c>
      <c r="S116" s="111">
        <f t="shared" si="74"/>
        <v>119.179502933333</v>
      </c>
      <c r="T116" s="45">
        <f t="shared" si="76"/>
        <v>115.712</v>
      </c>
      <c r="U116" s="70"/>
    </row>
    <row r="117" spans="1:21">
      <c r="A117" s="26" t="s">
        <v>113</v>
      </c>
      <c r="B117" s="85">
        <v>0.9906</v>
      </c>
      <c r="C117" s="37">
        <v>39</v>
      </c>
      <c r="D117" s="28" t="s">
        <v>83</v>
      </c>
      <c r="E117" s="24" t="s">
        <v>42</v>
      </c>
      <c r="F117" s="45" t="s">
        <v>51</v>
      </c>
      <c r="G117" s="85">
        <v>12.83</v>
      </c>
      <c r="H117" s="26">
        <f t="shared" si="63"/>
        <v>153.96</v>
      </c>
      <c r="I117" s="45">
        <f t="shared" si="64"/>
        <v>171.0239</v>
      </c>
      <c r="J117" s="26">
        <f t="shared" si="65"/>
        <v>179.62</v>
      </c>
      <c r="K117" s="26">
        <f t="shared" si="66"/>
        <v>158.573668</v>
      </c>
      <c r="L117" s="45">
        <f t="shared" si="67"/>
        <v>123.168</v>
      </c>
      <c r="M117" s="45">
        <f t="shared" si="68"/>
        <v>184.752</v>
      </c>
      <c r="N117" s="45">
        <f t="shared" si="69"/>
        <v>136.7678</v>
      </c>
      <c r="O117" s="45">
        <f t="shared" si="70"/>
        <v>205.28</v>
      </c>
      <c r="P117" s="45">
        <f t="shared" si="71"/>
        <v>143.696</v>
      </c>
      <c r="Q117" s="45">
        <f t="shared" si="72"/>
        <v>215.544</v>
      </c>
      <c r="R117" s="45">
        <f t="shared" si="73"/>
        <v>113.9304</v>
      </c>
      <c r="S117" s="111">
        <f t="shared" si="74"/>
        <v>105.715778666667</v>
      </c>
      <c r="T117" s="45">
        <f t="shared" si="76"/>
        <v>102.64</v>
      </c>
      <c r="U117" s="70"/>
    </row>
    <row r="118" spans="1:21">
      <c r="A118" s="26" t="s">
        <v>113</v>
      </c>
      <c r="B118" s="85">
        <v>0.9906</v>
      </c>
      <c r="C118" s="37">
        <v>39</v>
      </c>
      <c r="D118" s="28" t="s">
        <v>44</v>
      </c>
      <c r="E118" s="24" t="s">
        <v>42</v>
      </c>
      <c r="F118" s="45" t="s">
        <v>51</v>
      </c>
      <c r="G118" s="85">
        <v>11.735</v>
      </c>
      <c r="H118" s="26">
        <f t="shared" si="63"/>
        <v>140.82</v>
      </c>
      <c r="I118" s="45">
        <f t="shared" si="64"/>
        <v>156.42755</v>
      </c>
      <c r="J118" s="26">
        <f t="shared" si="65"/>
        <v>164.29</v>
      </c>
      <c r="K118" s="26">
        <f t="shared" si="66"/>
        <v>145.039906</v>
      </c>
      <c r="L118" s="45">
        <f t="shared" si="67"/>
        <v>112.656</v>
      </c>
      <c r="M118" s="45">
        <f t="shared" si="68"/>
        <v>168.984</v>
      </c>
      <c r="N118" s="45">
        <f t="shared" si="69"/>
        <v>125.0951</v>
      </c>
      <c r="O118" s="45">
        <f t="shared" si="70"/>
        <v>187.76</v>
      </c>
      <c r="P118" s="45">
        <f t="shared" si="71"/>
        <v>131.432</v>
      </c>
      <c r="Q118" s="45">
        <f t="shared" si="72"/>
        <v>197.148</v>
      </c>
      <c r="R118" s="45">
        <f t="shared" si="73"/>
        <v>104.2068</v>
      </c>
      <c r="S118" s="111">
        <f t="shared" si="74"/>
        <v>96.6932706666667</v>
      </c>
      <c r="T118" s="45">
        <f t="shared" si="76"/>
        <v>93.88</v>
      </c>
      <c r="U118" s="70"/>
    </row>
    <row r="119" ht="16.2" spans="1:21">
      <c r="A119" s="26" t="s">
        <v>113</v>
      </c>
      <c r="B119" s="85">
        <v>0.9906</v>
      </c>
      <c r="C119" s="119">
        <v>39</v>
      </c>
      <c r="D119" s="120" t="s">
        <v>38</v>
      </c>
      <c r="E119" s="24" t="s">
        <v>42</v>
      </c>
      <c r="F119" s="45" t="s">
        <v>51</v>
      </c>
      <c r="G119" s="85">
        <v>23.33</v>
      </c>
      <c r="H119" s="26">
        <f t="shared" si="63"/>
        <v>279.96</v>
      </c>
      <c r="I119" s="45">
        <f t="shared" si="64"/>
        <v>310.9889</v>
      </c>
      <c r="J119" s="26">
        <f t="shared" si="65"/>
        <v>326.62</v>
      </c>
      <c r="K119" s="26">
        <f t="shared" si="66"/>
        <v>288.349468</v>
      </c>
      <c r="L119" s="45">
        <f t="shared" si="67"/>
        <v>223.968</v>
      </c>
      <c r="M119" s="45">
        <f t="shared" si="68"/>
        <v>335.952</v>
      </c>
      <c r="N119" s="45">
        <f t="shared" si="69"/>
        <v>248.6978</v>
      </c>
      <c r="O119" s="45">
        <f t="shared" si="70"/>
        <v>373.28</v>
      </c>
      <c r="P119" s="45">
        <f t="shared" si="71"/>
        <v>261.296</v>
      </c>
      <c r="Q119" s="45">
        <f t="shared" si="72"/>
        <v>391.944</v>
      </c>
      <c r="R119" s="45">
        <f t="shared" si="73"/>
        <v>207.1704</v>
      </c>
      <c r="S119" s="111">
        <f t="shared" si="74"/>
        <v>192.232978666667</v>
      </c>
      <c r="T119" s="45">
        <f t="shared" si="76"/>
        <v>186.64</v>
      </c>
      <c r="U119" s="70"/>
    </row>
    <row r="120" spans="1:21">
      <c r="A120" s="26" t="s">
        <v>113</v>
      </c>
      <c r="B120" s="85">
        <v>1.0922</v>
      </c>
      <c r="C120" s="37">
        <v>43</v>
      </c>
      <c r="D120" s="28" t="s">
        <v>38</v>
      </c>
      <c r="E120" s="24" t="s">
        <v>42</v>
      </c>
      <c r="F120" s="45" t="s">
        <v>51</v>
      </c>
      <c r="G120" s="85">
        <v>23.68</v>
      </c>
      <c r="H120" s="26">
        <f t="shared" si="63"/>
        <v>284.16</v>
      </c>
      <c r="I120" s="45">
        <f t="shared" si="64"/>
        <v>315.6544</v>
      </c>
      <c r="J120" s="26">
        <f t="shared" si="65"/>
        <v>331.52</v>
      </c>
      <c r="K120" s="26">
        <f t="shared" si="66"/>
        <v>292.675328</v>
      </c>
      <c r="L120" s="45">
        <f t="shared" si="67"/>
        <v>227.328</v>
      </c>
      <c r="M120" s="45">
        <f t="shared" si="68"/>
        <v>340.992</v>
      </c>
      <c r="N120" s="45">
        <f t="shared" si="69"/>
        <v>252.4288</v>
      </c>
      <c r="O120" s="45">
        <f t="shared" si="70"/>
        <v>378.88</v>
      </c>
      <c r="P120" s="45">
        <f t="shared" si="71"/>
        <v>265.216</v>
      </c>
      <c r="Q120" s="45">
        <f t="shared" si="72"/>
        <v>397.824</v>
      </c>
      <c r="R120" s="45">
        <f t="shared" si="73"/>
        <v>210.2784</v>
      </c>
      <c r="S120" s="111">
        <f t="shared" si="74"/>
        <v>195.116885333333</v>
      </c>
      <c r="T120" s="45">
        <f t="shared" si="76"/>
        <v>189.44</v>
      </c>
      <c r="U120" s="70"/>
    </row>
    <row r="121" spans="1:21">
      <c r="A121" s="26" t="s">
        <v>113</v>
      </c>
      <c r="B121" s="85">
        <v>1.0922</v>
      </c>
      <c r="C121" s="37">
        <v>43</v>
      </c>
      <c r="D121" s="28" t="s">
        <v>41</v>
      </c>
      <c r="E121" s="24" t="s">
        <v>42</v>
      </c>
      <c r="F121" s="45" t="s">
        <v>52</v>
      </c>
      <c r="G121" s="85">
        <v>15.821</v>
      </c>
      <c r="H121" s="26">
        <f t="shared" si="63"/>
        <v>189.852</v>
      </c>
      <c r="I121" s="45">
        <f t="shared" si="64"/>
        <v>210.89393</v>
      </c>
      <c r="J121" s="26">
        <f t="shared" si="65"/>
        <v>221.494</v>
      </c>
      <c r="K121" s="26">
        <f t="shared" si="66"/>
        <v>195.5412316</v>
      </c>
      <c r="L121" s="45">
        <f t="shared" si="67"/>
        <v>151.8816</v>
      </c>
      <c r="M121" s="45">
        <f t="shared" si="68"/>
        <v>227.8224</v>
      </c>
      <c r="N121" s="45">
        <f t="shared" si="69"/>
        <v>168.65186</v>
      </c>
      <c r="O121" s="45">
        <f t="shared" si="70"/>
        <v>253.136</v>
      </c>
      <c r="P121" s="45">
        <f t="shared" si="71"/>
        <v>177.1952</v>
      </c>
      <c r="Q121" s="45">
        <f t="shared" si="72"/>
        <v>265.7928</v>
      </c>
      <c r="R121" s="45">
        <f t="shared" si="73"/>
        <v>140.49048</v>
      </c>
      <c r="S121" s="111">
        <f t="shared" si="74"/>
        <v>130.360821066667</v>
      </c>
      <c r="T121" s="45">
        <f t="shared" si="76"/>
        <v>126.568</v>
      </c>
      <c r="U121" s="70"/>
    </row>
    <row r="122" spans="1:21">
      <c r="A122" s="26" t="s">
        <v>113</v>
      </c>
      <c r="B122" s="85">
        <v>1.0922</v>
      </c>
      <c r="C122" s="37">
        <v>43</v>
      </c>
      <c r="D122" s="28" t="s">
        <v>44</v>
      </c>
      <c r="E122" s="24" t="s">
        <v>42</v>
      </c>
      <c r="F122" s="45" t="s">
        <v>52</v>
      </c>
      <c r="G122" s="85">
        <v>13.203</v>
      </c>
      <c r="H122" s="26">
        <f t="shared" si="63"/>
        <v>158.436</v>
      </c>
      <c r="I122" s="45">
        <f t="shared" si="64"/>
        <v>175.99599</v>
      </c>
      <c r="J122" s="26">
        <f t="shared" si="65"/>
        <v>184.842</v>
      </c>
      <c r="K122" s="26">
        <f t="shared" si="66"/>
        <v>163.1837988</v>
      </c>
      <c r="L122" s="45">
        <f t="shared" si="67"/>
        <v>126.7488</v>
      </c>
      <c r="M122" s="45">
        <f t="shared" si="68"/>
        <v>190.1232</v>
      </c>
      <c r="N122" s="45">
        <f t="shared" si="69"/>
        <v>140.74398</v>
      </c>
      <c r="O122" s="45">
        <f t="shared" si="70"/>
        <v>211.248</v>
      </c>
      <c r="P122" s="45">
        <f t="shared" si="71"/>
        <v>147.8736</v>
      </c>
      <c r="Q122" s="45">
        <f t="shared" si="72"/>
        <v>221.8104</v>
      </c>
      <c r="R122" s="45">
        <f t="shared" si="73"/>
        <v>117.24264</v>
      </c>
      <c r="S122" s="111">
        <f t="shared" si="74"/>
        <v>108.7891992</v>
      </c>
      <c r="T122" s="45">
        <f t="shared" si="76"/>
        <v>105.624</v>
      </c>
      <c r="U122" s="70"/>
    </row>
    <row r="123" spans="1:21">
      <c r="A123" s="26" t="s">
        <v>113</v>
      </c>
      <c r="B123" s="85">
        <v>1.1176</v>
      </c>
      <c r="C123" s="37">
        <v>44</v>
      </c>
      <c r="D123" s="28" t="s">
        <v>38</v>
      </c>
      <c r="E123" s="24" t="s">
        <v>42</v>
      </c>
      <c r="F123" s="45" t="s">
        <v>51</v>
      </c>
      <c r="G123" s="85">
        <v>24.77</v>
      </c>
      <c r="H123" s="26">
        <f t="shared" si="63"/>
        <v>297.24</v>
      </c>
      <c r="I123" s="45">
        <f t="shared" si="64"/>
        <v>330.1841</v>
      </c>
      <c r="J123" s="26">
        <f t="shared" si="65"/>
        <v>346.78</v>
      </c>
      <c r="K123" s="26">
        <f t="shared" si="66"/>
        <v>306.147292</v>
      </c>
      <c r="L123" s="45">
        <f t="shared" si="67"/>
        <v>237.792</v>
      </c>
      <c r="M123" s="45">
        <f t="shared" si="68"/>
        <v>356.688</v>
      </c>
      <c r="N123" s="45">
        <f t="shared" si="69"/>
        <v>264.0482</v>
      </c>
      <c r="O123" s="45">
        <f t="shared" si="70"/>
        <v>396.32</v>
      </c>
      <c r="P123" s="45">
        <f t="shared" si="71"/>
        <v>277.424</v>
      </c>
      <c r="Q123" s="45">
        <f t="shared" si="72"/>
        <v>416.136</v>
      </c>
      <c r="R123" s="45">
        <f t="shared" si="73"/>
        <v>219.9576</v>
      </c>
      <c r="S123" s="111">
        <f t="shared" si="74"/>
        <v>204.098194666667</v>
      </c>
      <c r="T123" s="45">
        <f t="shared" si="76"/>
        <v>198.16</v>
      </c>
      <c r="U123" s="70"/>
    </row>
    <row r="124" spans="1:21">
      <c r="A124" s="26" t="s">
        <v>113</v>
      </c>
      <c r="B124" s="85">
        <v>1.1176</v>
      </c>
      <c r="C124" s="37">
        <v>44</v>
      </c>
      <c r="D124" s="28" t="s">
        <v>41</v>
      </c>
      <c r="E124" s="24" t="s">
        <v>42</v>
      </c>
      <c r="F124" s="45" t="s">
        <v>52</v>
      </c>
      <c r="G124" s="85">
        <v>15.984</v>
      </c>
      <c r="H124" s="26">
        <f t="shared" si="63"/>
        <v>191.808</v>
      </c>
      <c r="I124" s="45">
        <f t="shared" si="64"/>
        <v>213.06672</v>
      </c>
      <c r="J124" s="26">
        <f t="shared" si="65"/>
        <v>223.776</v>
      </c>
      <c r="K124" s="26">
        <f t="shared" si="66"/>
        <v>197.5558464</v>
      </c>
      <c r="L124" s="45">
        <f t="shared" si="67"/>
        <v>153.4464</v>
      </c>
      <c r="M124" s="45">
        <f t="shared" si="68"/>
        <v>230.1696</v>
      </c>
      <c r="N124" s="45">
        <f t="shared" si="69"/>
        <v>170.38944</v>
      </c>
      <c r="O124" s="45">
        <f t="shared" si="70"/>
        <v>255.744</v>
      </c>
      <c r="P124" s="45">
        <f t="shared" si="71"/>
        <v>179.0208</v>
      </c>
      <c r="Q124" s="45">
        <f t="shared" si="72"/>
        <v>268.5312</v>
      </c>
      <c r="R124" s="45">
        <f t="shared" si="73"/>
        <v>141.93792</v>
      </c>
      <c r="S124" s="111">
        <f t="shared" si="74"/>
        <v>131.7038976</v>
      </c>
      <c r="T124" s="45">
        <f t="shared" si="76"/>
        <v>127.872</v>
      </c>
      <c r="U124" s="70"/>
    </row>
    <row r="125" spans="1:21">
      <c r="A125" s="26" t="s">
        <v>113</v>
      </c>
      <c r="B125" s="85">
        <v>1.1176</v>
      </c>
      <c r="C125" s="37">
        <v>44</v>
      </c>
      <c r="D125" s="28" t="s">
        <v>44</v>
      </c>
      <c r="E125" s="24" t="s">
        <v>42</v>
      </c>
      <c r="F125" s="45" t="s">
        <v>52</v>
      </c>
      <c r="G125" s="85">
        <v>13.157</v>
      </c>
      <c r="H125" s="26">
        <f t="shared" si="63"/>
        <v>157.884</v>
      </c>
      <c r="I125" s="45">
        <f t="shared" si="64"/>
        <v>175.38281</v>
      </c>
      <c r="J125" s="26">
        <f t="shared" si="65"/>
        <v>184.198</v>
      </c>
      <c r="K125" s="26">
        <f t="shared" si="66"/>
        <v>162.6152572</v>
      </c>
      <c r="L125" s="45">
        <f t="shared" si="67"/>
        <v>126.3072</v>
      </c>
      <c r="M125" s="45">
        <f t="shared" si="68"/>
        <v>189.4608</v>
      </c>
      <c r="N125" s="45">
        <f t="shared" si="69"/>
        <v>140.25362</v>
      </c>
      <c r="O125" s="45">
        <f t="shared" si="70"/>
        <v>210.512</v>
      </c>
      <c r="P125" s="45">
        <f t="shared" si="71"/>
        <v>147.3584</v>
      </c>
      <c r="Q125" s="45">
        <f t="shared" si="72"/>
        <v>221.0376</v>
      </c>
      <c r="R125" s="45">
        <f t="shared" si="73"/>
        <v>116.83416</v>
      </c>
      <c r="S125" s="111">
        <f t="shared" si="74"/>
        <v>108.410171466667</v>
      </c>
      <c r="T125" s="45">
        <f t="shared" si="76"/>
        <v>105.256</v>
      </c>
      <c r="U125" s="70"/>
    </row>
    <row r="126" spans="1:21">
      <c r="A126" s="26" t="s">
        <v>113</v>
      </c>
      <c r="B126" s="85">
        <v>1.1938</v>
      </c>
      <c r="C126" s="37">
        <v>47</v>
      </c>
      <c r="D126" s="28" t="s">
        <v>38</v>
      </c>
      <c r="E126" s="24" t="s">
        <v>42</v>
      </c>
      <c r="F126" s="45" t="s">
        <v>52</v>
      </c>
      <c r="G126" s="85">
        <v>23.952</v>
      </c>
      <c r="H126" s="26">
        <f t="shared" si="63"/>
        <v>287.424</v>
      </c>
      <c r="I126" s="45">
        <f t="shared" si="64"/>
        <v>319.28016</v>
      </c>
      <c r="J126" s="26">
        <f t="shared" si="65"/>
        <v>335.328</v>
      </c>
      <c r="K126" s="26">
        <f t="shared" si="66"/>
        <v>296.0371392</v>
      </c>
      <c r="L126" s="45">
        <f t="shared" si="67"/>
        <v>229.9392</v>
      </c>
      <c r="M126" s="45">
        <f t="shared" si="68"/>
        <v>344.9088</v>
      </c>
      <c r="N126" s="45">
        <f t="shared" si="69"/>
        <v>255.32832</v>
      </c>
      <c r="O126" s="45">
        <f t="shared" si="70"/>
        <v>383.232</v>
      </c>
      <c r="P126" s="45">
        <f t="shared" si="71"/>
        <v>268.2624</v>
      </c>
      <c r="Q126" s="45">
        <f t="shared" si="72"/>
        <v>402.3936</v>
      </c>
      <c r="R126" s="45">
        <f t="shared" si="73"/>
        <v>212.69376</v>
      </c>
      <c r="S126" s="111">
        <f t="shared" si="74"/>
        <v>197.3580928</v>
      </c>
      <c r="T126" s="45">
        <f t="shared" si="76"/>
        <v>191.616</v>
      </c>
      <c r="U126" s="70"/>
    </row>
    <row r="127" spans="1:21">
      <c r="A127" s="26" t="s">
        <v>113</v>
      </c>
      <c r="B127" s="85">
        <v>1.1938</v>
      </c>
      <c r="C127" s="37">
        <v>47</v>
      </c>
      <c r="D127" s="28" t="s">
        <v>41</v>
      </c>
      <c r="E127" s="24" t="s">
        <v>42</v>
      </c>
      <c r="F127" s="45" t="s">
        <v>52</v>
      </c>
      <c r="G127" s="85">
        <v>16.092</v>
      </c>
      <c r="H127" s="26">
        <f t="shared" si="63"/>
        <v>193.104</v>
      </c>
      <c r="I127" s="45">
        <f t="shared" si="64"/>
        <v>214.50636</v>
      </c>
      <c r="J127" s="26">
        <f t="shared" si="65"/>
        <v>225.288</v>
      </c>
      <c r="K127" s="26">
        <f t="shared" si="66"/>
        <v>198.8906832</v>
      </c>
      <c r="L127" s="45">
        <f t="shared" si="67"/>
        <v>154.4832</v>
      </c>
      <c r="M127" s="45">
        <f t="shared" si="68"/>
        <v>231.7248</v>
      </c>
      <c r="N127" s="45">
        <f t="shared" si="69"/>
        <v>171.54072</v>
      </c>
      <c r="O127" s="45">
        <f t="shared" si="70"/>
        <v>257.472</v>
      </c>
      <c r="P127" s="45">
        <f t="shared" si="71"/>
        <v>180.2304</v>
      </c>
      <c r="Q127" s="45">
        <f t="shared" si="72"/>
        <v>270.3456</v>
      </c>
      <c r="R127" s="45">
        <f t="shared" si="73"/>
        <v>142.89696</v>
      </c>
      <c r="S127" s="111">
        <f t="shared" si="74"/>
        <v>132.5937888</v>
      </c>
      <c r="T127" s="45">
        <f t="shared" si="76"/>
        <v>128.736</v>
      </c>
      <c r="U127" s="70"/>
    </row>
    <row r="128" spans="1:21">
      <c r="A128" s="26" t="s">
        <v>113</v>
      </c>
      <c r="B128" s="85">
        <v>1.1938</v>
      </c>
      <c r="C128" s="37">
        <v>47</v>
      </c>
      <c r="D128" s="28" t="s">
        <v>44</v>
      </c>
      <c r="E128" s="24" t="s">
        <v>42</v>
      </c>
      <c r="F128" s="45" t="s">
        <v>52</v>
      </c>
      <c r="G128" s="85">
        <v>13.348</v>
      </c>
      <c r="H128" s="26">
        <f t="shared" si="63"/>
        <v>160.176</v>
      </c>
      <c r="I128" s="45">
        <f t="shared" si="64"/>
        <v>177.92884</v>
      </c>
      <c r="J128" s="26">
        <f t="shared" si="65"/>
        <v>186.872</v>
      </c>
      <c r="K128" s="26">
        <f t="shared" si="66"/>
        <v>164.9759408</v>
      </c>
      <c r="L128" s="45">
        <f t="shared" si="67"/>
        <v>128.1408</v>
      </c>
      <c r="M128" s="45">
        <f t="shared" si="68"/>
        <v>192.2112</v>
      </c>
      <c r="N128" s="45">
        <f t="shared" si="69"/>
        <v>142.28968</v>
      </c>
      <c r="O128" s="45">
        <f t="shared" si="70"/>
        <v>213.568</v>
      </c>
      <c r="P128" s="45">
        <f t="shared" si="71"/>
        <v>149.4976</v>
      </c>
      <c r="Q128" s="45">
        <f t="shared" si="72"/>
        <v>224.2464</v>
      </c>
      <c r="R128" s="45">
        <f t="shared" si="73"/>
        <v>118.53024</v>
      </c>
      <c r="S128" s="111">
        <f t="shared" si="74"/>
        <v>109.983960533333</v>
      </c>
      <c r="T128" s="45">
        <f t="shared" si="76"/>
        <v>106.784</v>
      </c>
      <c r="U128" s="70"/>
    </row>
    <row r="129" spans="1:21">
      <c r="A129" s="26" t="s">
        <v>113</v>
      </c>
      <c r="B129" s="85">
        <v>1.1938</v>
      </c>
      <c r="C129" s="37">
        <v>47</v>
      </c>
      <c r="D129" s="28" t="s">
        <v>83</v>
      </c>
      <c r="E129" s="24" t="s">
        <v>42</v>
      </c>
      <c r="F129" s="45" t="s">
        <v>52</v>
      </c>
      <c r="G129" s="85">
        <v>14.552</v>
      </c>
      <c r="H129" s="26">
        <f t="shared" si="63"/>
        <v>174.624</v>
      </c>
      <c r="I129" s="45">
        <f t="shared" si="64"/>
        <v>193.97816</v>
      </c>
      <c r="J129" s="26">
        <f t="shared" si="65"/>
        <v>203.728</v>
      </c>
      <c r="K129" s="26">
        <f t="shared" si="66"/>
        <v>179.8568992</v>
      </c>
      <c r="L129" s="45">
        <f t="shared" si="67"/>
        <v>139.6992</v>
      </c>
      <c r="M129" s="45">
        <f t="shared" si="68"/>
        <v>209.5488</v>
      </c>
      <c r="N129" s="45">
        <f t="shared" si="69"/>
        <v>155.12432</v>
      </c>
      <c r="O129" s="45">
        <f t="shared" si="70"/>
        <v>232.832</v>
      </c>
      <c r="P129" s="45">
        <f t="shared" si="71"/>
        <v>162.9824</v>
      </c>
      <c r="Q129" s="45">
        <f t="shared" si="72"/>
        <v>244.4736</v>
      </c>
      <c r="R129" s="45">
        <f t="shared" si="73"/>
        <v>129.22176</v>
      </c>
      <c r="S129" s="111">
        <f t="shared" si="74"/>
        <v>119.904599466667</v>
      </c>
      <c r="T129" s="45">
        <f t="shared" si="76"/>
        <v>116.416</v>
      </c>
      <c r="U129" s="70"/>
    </row>
    <row r="130" spans="1:21">
      <c r="A130" s="26" t="s">
        <v>113</v>
      </c>
      <c r="B130" s="85">
        <v>1.2446</v>
      </c>
      <c r="C130" s="37">
        <v>49</v>
      </c>
      <c r="D130" s="28" t="s">
        <v>38</v>
      </c>
      <c r="E130" s="24" t="s">
        <v>42</v>
      </c>
      <c r="F130" s="45" t="s">
        <v>52</v>
      </c>
      <c r="G130" s="85">
        <v>24.721</v>
      </c>
      <c r="H130" s="26">
        <f t="shared" si="63"/>
        <v>296.652</v>
      </c>
      <c r="I130" s="45">
        <f t="shared" si="64"/>
        <v>329.53093</v>
      </c>
      <c r="J130" s="26">
        <f t="shared" si="65"/>
        <v>346.094</v>
      </c>
      <c r="K130" s="26">
        <f t="shared" si="66"/>
        <v>305.5416716</v>
      </c>
      <c r="L130" s="45">
        <f t="shared" si="67"/>
        <v>237.3216</v>
      </c>
      <c r="M130" s="45">
        <f t="shared" si="68"/>
        <v>355.9824</v>
      </c>
      <c r="N130" s="45">
        <f t="shared" si="69"/>
        <v>263.52586</v>
      </c>
      <c r="O130" s="45">
        <f t="shared" si="70"/>
        <v>395.536</v>
      </c>
      <c r="P130" s="45">
        <f t="shared" si="71"/>
        <v>276.8752</v>
      </c>
      <c r="Q130" s="45">
        <f t="shared" si="72"/>
        <v>415.3128</v>
      </c>
      <c r="R130" s="45">
        <f t="shared" si="73"/>
        <v>219.52248</v>
      </c>
      <c r="S130" s="111">
        <f t="shared" si="74"/>
        <v>203.694447733333</v>
      </c>
      <c r="T130" s="45">
        <f t="shared" si="76"/>
        <v>197.768</v>
      </c>
      <c r="U130" s="70"/>
    </row>
    <row r="131" spans="1:21">
      <c r="A131" s="26" t="s">
        <v>113</v>
      </c>
      <c r="B131" s="85">
        <v>1.2446</v>
      </c>
      <c r="C131" s="37">
        <v>49</v>
      </c>
      <c r="D131" s="28" t="s">
        <v>41</v>
      </c>
      <c r="E131" s="24" t="s">
        <v>42</v>
      </c>
      <c r="F131" s="45" t="s">
        <v>52</v>
      </c>
      <c r="G131" s="85">
        <v>16.659</v>
      </c>
      <c r="H131" s="26">
        <f t="shared" si="63"/>
        <v>199.908</v>
      </c>
      <c r="I131" s="45">
        <f t="shared" si="64"/>
        <v>222.06447</v>
      </c>
      <c r="J131" s="26">
        <f t="shared" si="65"/>
        <v>233.226</v>
      </c>
      <c r="K131" s="26">
        <f t="shared" si="66"/>
        <v>205.8985764</v>
      </c>
      <c r="L131" s="45">
        <f t="shared" si="67"/>
        <v>159.9264</v>
      </c>
      <c r="M131" s="45">
        <f t="shared" si="68"/>
        <v>239.8896</v>
      </c>
      <c r="N131" s="45">
        <f t="shared" si="69"/>
        <v>177.58494</v>
      </c>
      <c r="O131" s="45">
        <f t="shared" si="70"/>
        <v>266.544</v>
      </c>
      <c r="P131" s="45">
        <f t="shared" si="71"/>
        <v>186.5808</v>
      </c>
      <c r="Q131" s="45">
        <f t="shared" si="72"/>
        <v>279.8712</v>
      </c>
      <c r="R131" s="45">
        <f t="shared" si="73"/>
        <v>147.93192</v>
      </c>
      <c r="S131" s="111">
        <f t="shared" si="74"/>
        <v>137.2657176</v>
      </c>
      <c r="T131" s="45">
        <f t="shared" si="76"/>
        <v>133.272</v>
      </c>
      <c r="U131" s="70"/>
    </row>
    <row r="132" spans="1:21">
      <c r="A132" s="26" t="s">
        <v>113</v>
      </c>
      <c r="B132" s="85">
        <v>1.2446</v>
      </c>
      <c r="C132" s="37">
        <v>49</v>
      </c>
      <c r="D132" s="28" t="s">
        <v>44</v>
      </c>
      <c r="E132" s="24" t="s">
        <v>42</v>
      </c>
      <c r="F132" s="45" t="s">
        <v>52</v>
      </c>
      <c r="G132" s="85">
        <v>13.991</v>
      </c>
      <c r="H132" s="26">
        <f t="shared" si="63"/>
        <v>167.892</v>
      </c>
      <c r="I132" s="45">
        <f t="shared" si="64"/>
        <v>186.50003</v>
      </c>
      <c r="J132" s="26">
        <f t="shared" si="65"/>
        <v>195.874</v>
      </c>
      <c r="K132" s="26">
        <f t="shared" si="66"/>
        <v>172.9231636</v>
      </c>
      <c r="L132" s="45">
        <f t="shared" si="67"/>
        <v>134.3136</v>
      </c>
      <c r="M132" s="45">
        <f t="shared" si="68"/>
        <v>201.4704</v>
      </c>
      <c r="N132" s="45">
        <f t="shared" si="69"/>
        <v>149.14406</v>
      </c>
      <c r="O132" s="45">
        <f t="shared" si="70"/>
        <v>223.856</v>
      </c>
      <c r="P132" s="45">
        <f t="shared" si="71"/>
        <v>156.6992</v>
      </c>
      <c r="Q132" s="45">
        <f t="shared" si="72"/>
        <v>235.0488</v>
      </c>
      <c r="R132" s="45">
        <f t="shared" si="73"/>
        <v>124.24008</v>
      </c>
      <c r="S132" s="111">
        <f t="shared" si="74"/>
        <v>115.282109066667</v>
      </c>
      <c r="T132" s="45">
        <f t="shared" si="76"/>
        <v>111.928</v>
      </c>
      <c r="U132" s="70"/>
    </row>
    <row r="133" spans="1:21">
      <c r="A133" s="26" t="s">
        <v>113</v>
      </c>
      <c r="B133" s="85">
        <v>1.2954</v>
      </c>
      <c r="C133" s="37">
        <v>51</v>
      </c>
      <c r="D133" s="28" t="s">
        <v>41</v>
      </c>
      <c r="E133" s="24" t="s">
        <v>42</v>
      </c>
      <c r="F133" s="45" t="s">
        <v>53</v>
      </c>
      <c r="G133" s="85">
        <v>16.929</v>
      </c>
      <c r="H133" s="26">
        <f t="shared" si="63"/>
        <v>203.148</v>
      </c>
      <c r="I133" s="45">
        <f t="shared" si="64"/>
        <v>225.66357</v>
      </c>
      <c r="J133" s="26">
        <f t="shared" si="65"/>
        <v>237.006</v>
      </c>
      <c r="K133" s="26">
        <f t="shared" si="66"/>
        <v>209.2356684</v>
      </c>
      <c r="L133" s="45">
        <f t="shared" si="67"/>
        <v>162.5184</v>
      </c>
      <c r="M133" s="45">
        <f t="shared" si="68"/>
        <v>243.7776</v>
      </c>
      <c r="N133" s="45">
        <f t="shared" si="69"/>
        <v>180.46314</v>
      </c>
      <c r="O133" s="45">
        <f t="shared" si="70"/>
        <v>270.864</v>
      </c>
      <c r="P133" s="45">
        <f t="shared" si="71"/>
        <v>189.6048</v>
      </c>
      <c r="Q133" s="45">
        <f t="shared" si="72"/>
        <v>284.4072</v>
      </c>
      <c r="R133" s="45">
        <f t="shared" si="73"/>
        <v>150.32952</v>
      </c>
      <c r="S133" s="111">
        <f t="shared" si="74"/>
        <v>139.4904456</v>
      </c>
      <c r="T133" s="45">
        <f t="shared" si="76"/>
        <v>135.432</v>
      </c>
      <c r="U133" s="70"/>
    </row>
    <row r="134" spans="1:21">
      <c r="A134" s="26" t="s">
        <v>113</v>
      </c>
      <c r="B134" s="85">
        <v>1.2954</v>
      </c>
      <c r="C134" s="37">
        <v>51</v>
      </c>
      <c r="D134" s="28" t="s">
        <v>83</v>
      </c>
      <c r="E134" s="24" t="s">
        <v>42</v>
      </c>
      <c r="F134" s="45" t="s">
        <v>53</v>
      </c>
      <c r="G134" s="85">
        <v>15.395</v>
      </c>
      <c r="H134" s="26">
        <f t="shared" si="63"/>
        <v>184.74</v>
      </c>
      <c r="I134" s="45">
        <f t="shared" si="64"/>
        <v>205.21535</v>
      </c>
      <c r="J134" s="26">
        <f t="shared" si="65"/>
        <v>215.53</v>
      </c>
      <c r="K134" s="26">
        <f t="shared" si="66"/>
        <v>190.276042</v>
      </c>
      <c r="L134" s="45">
        <f t="shared" si="67"/>
        <v>147.792</v>
      </c>
      <c r="M134" s="45">
        <f t="shared" si="68"/>
        <v>221.688</v>
      </c>
      <c r="N134" s="45">
        <f t="shared" si="69"/>
        <v>164.1107</v>
      </c>
      <c r="O134" s="45">
        <f t="shared" si="70"/>
        <v>246.32</v>
      </c>
      <c r="P134" s="45">
        <f t="shared" si="71"/>
        <v>172.424</v>
      </c>
      <c r="Q134" s="45">
        <f t="shared" si="72"/>
        <v>258.636</v>
      </c>
      <c r="R134" s="45">
        <f t="shared" si="73"/>
        <v>136.7076</v>
      </c>
      <c r="S134" s="111">
        <f t="shared" si="74"/>
        <v>126.850694666667</v>
      </c>
      <c r="T134" s="45">
        <f t="shared" si="76"/>
        <v>123.16</v>
      </c>
      <c r="U134" s="70"/>
    </row>
    <row r="135" spans="1:21">
      <c r="A135" s="26" t="s">
        <v>113</v>
      </c>
      <c r="B135" s="85">
        <v>1.2954</v>
      </c>
      <c r="C135" s="37">
        <v>51</v>
      </c>
      <c r="D135" s="28" t="s">
        <v>44</v>
      </c>
      <c r="E135" s="24" t="s">
        <v>42</v>
      </c>
      <c r="F135" s="45" t="s">
        <v>53</v>
      </c>
      <c r="G135" s="85">
        <v>14.335</v>
      </c>
      <c r="H135" s="26">
        <f t="shared" si="63"/>
        <v>172.02</v>
      </c>
      <c r="I135" s="45">
        <f t="shared" si="64"/>
        <v>191.08555</v>
      </c>
      <c r="J135" s="26">
        <f t="shared" si="65"/>
        <v>200.69</v>
      </c>
      <c r="K135" s="26">
        <f t="shared" si="66"/>
        <v>177.174866</v>
      </c>
      <c r="L135" s="45">
        <f t="shared" si="67"/>
        <v>137.616</v>
      </c>
      <c r="M135" s="45">
        <f t="shared" si="68"/>
        <v>206.424</v>
      </c>
      <c r="N135" s="45">
        <f t="shared" si="69"/>
        <v>152.8111</v>
      </c>
      <c r="O135" s="45">
        <f t="shared" si="70"/>
        <v>229.36</v>
      </c>
      <c r="P135" s="45">
        <f t="shared" si="71"/>
        <v>160.552</v>
      </c>
      <c r="Q135" s="45">
        <f t="shared" si="72"/>
        <v>240.828</v>
      </c>
      <c r="R135" s="45">
        <f t="shared" si="73"/>
        <v>127.2948</v>
      </c>
      <c r="S135" s="111">
        <f t="shared" si="74"/>
        <v>118.116577333333</v>
      </c>
      <c r="T135" s="45">
        <f t="shared" si="76"/>
        <v>114.68</v>
      </c>
      <c r="U135" s="70"/>
    </row>
    <row r="136" spans="1:21">
      <c r="A136" s="26" t="s">
        <v>113</v>
      </c>
      <c r="B136" s="85">
        <v>1.2954</v>
      </c>
      <c r="C136" s="37">
        <v>51</v>
      </c>
      <c r="D136" s="28" t="s">
        <v>38</v>
      </c>
      <c r="E136" s="24" t="s">
        <v>42</v>
      </c>
      <c r="F136" s="45" t="s">
        <v>52</v>
      </c>
      <c r="G136" s="85">
        <v>25.089</v>
      </c>
      <c r="H136" s="26">
        <f t="shared" si="63"/>
        <v>301.068</v>
      </c>
      <c r="I136" s="45">
        <f t="shared" si="64"/>
        <v>334.43637</v>
      </c>
      <c r="J136" s="26">
        <f t="shared" si="65"/>
        <v>351.246</v>
      </c>
      <c r="K136" s="26">
        <f t="shared" si="66"/>
        <v>310.0900044</v>
      </c>
      <c r="L136" s="45">
        <f t="shared" si="67"/>
        <v>240.8544</v>
      </c>
      <c r="M136" s="45">
        <f t="shared" si="68"/>
        <v>361.2816</v>
      </c>
      <c r="N136" s="45">
        <f t="shared" si="69"/>
        <v>267.44874</v>
      </c>
      <c r="O136" s="45">
        <f t="shared" si="70"/>
        <v>401.424</v>
      </c>
      <c r="P136" s="45">
        <f t="shared" si="71"/>
        <v>280.9968</v>
      </c>
      <c r="Q136" s="45">
        <f t="shared" si="72"/>
        <v>421.4952</v>
      </c>
      <c r="R136" s="45">
        <f t="shared" si="73"/>
        <v>222.79032</v>
      </c>
      <c r="S136" s="111">
        <f t="shared" si="74"/>
        <v>206.7266696</v>
      </c>
      <c r="T136" s="45">
        <f t="shared" si="76"/>
        <v>200.712</v>
      </c>
      <c r="U136" s="70"/>
    </row>
    <row r="137" spans="1:21">
      <c r="A137" s="26" t="s">
        <v>113</v>
      </c>
      <c r="B137" s="85">
        <v>1.397</v>
      </c>
      <c r="C137" s="37">
        <v>55</v>
      </c>
      <c r="D137" s="28" t="s">
        <v>41</v>
      </c>
      <c r="E137" s="24" t="s">
        <v>42</v>
      </c>
      <c r="F137" s="45" t="s">
        <v>53</v>
      </c>
      <c r="G137" s="85">
        <v>17.283</v>
      </c>
      <c r="H137" s="26">
        <f t="shared" si="63"/>
        <v>207.396</v>
      </c>
      <c r="I137" s="45">
        <f t="shared" si="64"/>
        <v>230.38239</v>
      </c>
      <c r="J137" s="26">
        <f t="shared" si="65"/>
        <v>241.962</v>
      </c>
      <c r="K137" s="26">
        <f t="shared" si="66"/>
        <v>213.6109668</v>
      </c>
      <c r="L137" s="45">
        <f t="shared" si="67"/>
        <v>165.9168</v>
      </c>
      <c r="M137" s="45">
        <f t="shared" si="68"/>
        <v>248.8752</v>
      </c>
      <c r="N137" s="45">
        <f t="shared" si="69"/>
        <v>184.23678</v>
      </c>
      <c r="O137" s="45">
        <f t="shared" si="70"/>
        <v>276.528</v>
      </c>
      <c r="P137" s="45">
        <f t="shared" si="71"/>
        <v>193.5696</v>
      </c>
      <c r="Q137" s="45">
        <f t="shared" si="72"/>
        <v>290.3544</v>
      </c>
      <c r="R137" s="45">
        <f t="shared" si="73"/>
        <v>153.47304</v>
      </c>
      <c r="S137" s="111">
        <f t="shared" si="74"/>
        <v>142.4073112</v>
      </c>
      <c r="T137" s="45">
        <f t="shared" si="76"/>
        <v>138.264</v>
      </c>
      <c r="U137" s="70"/>
    </row>
    <row r="138" spans="1:21">
      <c r="A138" s="26" t="s">
        <v>113</v>
      </c>
      <c r="B138" s="85">
        <v>1.397</v>
      </c>
      <c r="C138" s="37">
        <v>55</v>
      </c>
      <c r="D138" s="28" t="s">
        <v>38</v>
      </c>
      <c r="E138" s="24" t="s">
        <v>42</v>
      </c>
      <c r="F138" s="45" t="s">
        <v>53</v>
      </c>
      <c r="G138" s="85">
        <v>26.437</v>
      </c>
      <c r="H138" s="26">
        <f t="shared" si="63"/>
        <v>317.244</v>
      </c>
      <c r="I138" s="45">
        <f t="shared" si="64"/>
        <v>352.40521</v>
      </c>
      <c r="J138" s="26">
        <f t="shared" si="65"/>
        <v>370.118</v>
      </c>
      <c r="K138" s="26">
        <f t="shared" si="66"/>
        <v>326.7507452</v>
      </c>
      <c r="L138" s="45">
        <f t="shared" si="67"/>
        <v>253.7952</v>
      </c>
      <c r="M138" s="45">
        <f t="shared" si="68"/>
        <v>380.6928</v>
      </c>
      <c r="N138" s="45">
        <f t="shared" si="69"/>
        <v>281.81842</v>
      </c>
      <c r="O138" s="45">
        <f t="shared" si="70"/>
        <v>422.992</v>
      </c>
      <c r="P138" s="45">
        <f t="shared" si="71"/>
        <v>296.0944</v>
      </c>
      <c r="Q138" s="45">
        <f t="shared" si="72"/>
        <v>444.1416</v>
      </c>
      <c r="R138" s="45">
        <f t="shared" si="73"/>
        <v>234.76056</v>
      </c>
      <c r="S138" s="111">
        <f t="shared" si="74"/>
        <v>217.833830133333</v>
      </c>
      <c r="T138" s="45">
        <f t="shared" si="76"/>
        <v>211.496</v>
      </c>
      <c r="U138" s="70"/>
    </row>
    <row r="139" spans="1:21">
      <c r="A139" s="26" t="s">
        <v>113</v>
      </c>
      <c r="B139" s="85">
        <v>1.397</v>
      </c>
      <c r="C139" s="37">
        <v>55</v>
      </c>
      <c r="D139" s="28" t="s">
        <v>83</v>
      </c>
      <c r="E139" s="24" t="s">
        <v>42</v>
      </c>
      <c r="F139" s="45" t="s">
        <v>53</v>
      </c>
      <c r="G139" s="85">
        <v>16.759</v>
      </c>
      <c r="H139" s="26">
        <f t="shared" si="63"/>
        <v>201.108</v>
      </c>
      <c r="I139" s="45">
        <f t="shared" si="64"/>
        <v>223.39747</v>
      </c>
      <c r="J139" s="26">
        <f t="shared" si="65"/>
        <v>234.626</v>
      </c>
      <c r="K139" s="26">
        <f t="shared" si="66"/>
        <v>207.1345364</v>
      </c>
      <c r="L139" s="45">
        <f t="shared" si="67"/>
        <v>160.8864</v>
      </c>
      <c r="M139" s="45">
        <f t="shared" si="68"/>
        <v>241.3296</v>
      </c>
      <c r="N139" s="45">
        <f t="shared" si="69"/>
        <v>178.65094</v>
      </c>
      <c r="O139" s="45">
        <f t="shared" si="70"/>
        <v>268.144</v>
      </c>
      <c r="P139" s="45">
        <f t="shared" si="71"/>
        <v>187.7008</v>
      </c>
      <c r="Q139" s="45">
        <f t="shared" si="72"/>
        <v>281.5512</v>
      </c>
      <c r="R139" s="45">
        <f t="shared" si="73"/>
        <v>148.81992</v>
      </c>
      <c r="S139" s="111">
        <f t="shared" si="74"/>
        <v>138.089690933333</v>
      </c>
      <c r="T139" s="45">
        <f t="shared" si="76"/>
        <v>134.072</v>
      </c>
      <c r="U139" s="70"/>
    </row>
    <row r="140" spans="1:21">
      <c r="A140" s="26" t="s">
        <v>113</v>
      </c>
      <c r="B140" s="85">
        <v>1.397</v>
      </c>
      <c r="C140" s="37">
        <v>55</v>
      </c>
      <c r="D140" s="28" t="s">
        <v>44</v>
      </c>
      <c r="E140" s="24" t="s">
        <v>42</v>
      </c>
      <c r="F140" s="45" t="s">
        <v>53</v>
      </c>
      <c r="G140" s="85">
        <v>14.961</v>
      </c>
      <c r="H140" s="26">
        <f t="shared" si="63"/>
        <v>179.532</v>
      </c>
      <c r="I140" s="45">
        <f t="shared" si="64"/>
        <v>199.43013</v>
      </c>
      <c r="J140" s="26">
        <f t="shared" si="65"/>
        <v>209.454</v>
      </c>
      <c r="K140" s="26">
        <f t="shared" si="66"/>
        <v>184.9119756</v>
      </c>
      <c r="L140" s="45">
        <f t="shared" si="67"/>
        <v>143.6256</v>
      </c>
      <c r="M140" s="45">
        <f t="shared" si="68"/>
        <v>215.4384</v>
      </c>
      <c r="N140" s="45">
        <f t="shared" si="69"/>
        <v>159.48426</v>
      </c>
      <c r="O140" s="45">
        <f t="shared" si="70"/>
        <v>239.376</v>
      </c>
      <c r="P140" s="45">
        <f t="shared" si="71"/>
        <v>167.5632</v>
      </c>
      <c r="Q140" s="45">
        <f t="shared" si="72"/>
        <v>251.3448</v>
      </c>
      <c r="R140" s="45">
        <f t="shared" si="73"/>
        <v>132.85368</v>
      </c>
      <c r="S140" s="111">
        <f t="shared" si="74"/>
        <v>123.2746504</v>
      </c>
      <c r="T140" s="45">
        <f t="shared" si="76"/>
        <v>119.688</v>
      </c>
      <c r="U140" s="70"/>
    </row>
    <row r="141" spans="1:21">
      <c r="A141" s="26" t="s">
        <v>113</v>
      </c>
      <c r="B141" s="85">
        <v>1.4986</v>
      </c>
      <c r="C141" s="37">
        <v>59</v>
      </c>
      <c r="D141" s="28" t="s">
        <v>41</v>
      </c>
      <c r="E141" s="24" t="s">
        <v>42</v>
      </c>
      <c r="F141" s="45" t="s">
        <v>54</v>
      </c>
      <c r="G141" s="85">
        <v>18.005</v>
      </c>
      <c r="H141" s="26">
        <f t="shared" si="63"/>
        <v>216.06</v>
      </c>
      <c r="I141" s="45">
        <f t="shared" si="64"/>
        <v>240.00665</v>
      </c>
      <c r="J141" s="26">
        <f t="shared" si="65"/>
        <v>252.07</v>
      </c>
      <c r="K141" s="26">
        <f t="shared" si="66"/>
        <v>222.534598</v>
      </c>
      <c r="L141" s="45">
        <f t="shared" si="67"/>
        <v>172.848</v>
      </c>
      <c r="M141" s="45">
        <f t="shared" si="68"/>
        <v>259.272</v>
      </c>
      <c r="N141" s="45">
        <f t="shared" si="69"/>
        <v>191.9333</v>
      </c>
      <c r="O141" s="45">
        <f t="shared" si="70"/>
        <v>288.08</v>
      </c>
      <c r="P141" s="45">
        <f t="shared" si="71"/>
        <v>201.656</v>
      </c>
      <c r="Q141" s="45">
        <f t="shared" si="72"/>
        <v>302.484</v>
      </c>
      <c r="R141" s="45">
        <f t="shared" si="73"/>
        <v>159.8844</v>
      </c>
      <c r="S141" s="111">
        <f t="shared" si="74"/>
        <v>148.356398666667</v>
      </c>
      <c r="T141" s="45">
        <f t="shared" si="76"/>
        <v>144.04</v>
      </c>
      <c r="U141" s="70"/>
    </row>
    <row r="142" spans="1:21">
      <c r="A142" s="26" t="s">
        <v>113</v>
      </c>
      <c r="B142" s="85">
        <v>1.4986</v>
      </c>
      <c r="C142" s="37">
        <v>59</v>
      </c>
      <c r="D142" s="28" t="s">
        <v>38</v>
      </c>
      <c r="E142" s="24" t="s">
        <v>42</v>
      </c>
      <c r="F142" s="45" t="s">
        <v>53</v>
      </c>
      <c r="G142" s="85">
        <v>27.501</v>
      </c>
      <c r="H142" s="26">
        <f t="shared" si="63"/>
        <v>330.012</v>
      </c>
      <c r="I142" s="45">
        <f t="shared" si="64"/>
        <v>366.58833</v>
      </c>
      <c r="J142" s="26">
        <f t="shared" si="65"/>
        <v>385.014</v>
      </c>
      <c r="K142" s="26">
        <f t="shared" si="66"/>
        <v>339.9013596</v>
      </c>
      <c r="L142" s="45">
        <f t="shared" si="67"/>
        <v>264.0096</v>
      </c>
      <c r="M142" s="45">
        <f t="shared" si="68"/>
        <v>396.0144</v>
      </c>
      <c r="N142" s="45">
        <f t="shared" si="69"/>
        <v>293.16066</v>
      </c>
      <c r="O142" s="45">
        <f t="shared" si="70"/>
        <v>440.016</v>
      </c>
      <c r="P142" s="45">
        <f t="shared" si="71"/>
        <v>308.0112</v>
      </c>
      <c r="Q142" s="45">
        <f t="shared" si="72"/>
        <v>462.0168</v>
      </c>
      <c r="R142" s="45">
        <f t="shared" si="73"/>
        <v>244.20888</v>
      </c>
      <c r="S142" s="111">
        <f t="shared" si="74"/>
        <v>226.6009064</v>
      </c>
      <c r="T142" s="45">
        <f t="shared" si="76"/>
        <v>220.008</v>
      </c>
      <c r="U142" s="70"/>
    </row>
    <row r="143" spans="1:21">
      <c r="A143" s="26" t="s">
        <v>113</v>
      </c>
      <c r="B143" s="85">
        <v>1.4986</v>
      </c>
      <c r="C143" s="37">
        <v>59</v>
      </c>
      <c r="D143" s="28" t="s">
        <v>44</v>
      </c>
      <c r="E143" s="24" t="s">
        <v>42</v>
      </c>
      <c r="F143" s="45" t="s">
        <v>54</v>
      </c>
      <c r="G143" s="85">
        <v>15.409</v>
      </c>
      <c r="H143" s="26">
        <f t="shared" si="63"/>
        <v>184.908</v>
      </c>
      <c r="I143" s="45">
        <f t="shared" si="64"/>
        <v>205.40197</v>
      </c>
      <c r="J143" s="26">
        <f t="shared" si="65"/>
        <v>215.726</v>
      </c>
      <c r="K143" s="26">
        <f t="shared" si="66"/>
        <v>190.4490764</v>
      </c>
      <c r="L143" s="45">
        <f t="shared" si="67"/>
        <v>147.9264</v>
      </c>
      <c r="M143" s="45">
        <f t="shared" si="68"/>
        <v>221.8896</v>
      </c>
      <c r="N143" s="45">
        <f t="shared" si="69"/>
        <v>164.25994</v>
      </c>
      <c r="O143" s="45">
        <f t="shared" si="70"/>
        <v>246.544</v>
      </c>
      <c r="P143" s="45">
        <f t="shared" si="71"/>
        <v>172.5808</v>
      </c>
      <c r="Q143" s="45">
        <f t="shared" si="72"/>
        <v>258.8712</v>
      </c>
      <c r="R143" s="45">
        <f t="shared" si="73"/>
        <v>136.83192</v>
      </c>
      <c r="S143" s="111">
        <f t="shared" si="74"/>
        <v>126.966050933333</v>
      </c>
      <c r="T143" s="45">
        <f t="shared" si="76"/>
        <v>123.272</v>
      </c>
      <c r="U143" s="70"/>
    </row>
    <row r="144" spans="1:21">
      <c r="A144" s="26" t="s">
        <v>113</v>
      </c>
      <c r="B144" s="85">
        <v>1.4986</v>
      </c>
      <c r="C144" s="37">
        <v>59</v>
      </c>
      <c r="D144" s="28" t="s">
        <v>92</v>
      </c>
      <c r="E144" s="24" t="s">
        <v>42</v>
      </c>
      <c r="F144" s="45" t="s">
        <v>53</v>
      </c>
      <c r="G144" s="85">
        <v>38.7</v>
      </c>
      <c r="H144" s="26">
        <f t="shared" si="63"/>
        <v>464.4</v>
      </c>
      <c r="I144" s="45">
        <f t="shared" si="64"/>
        <v>515.871</v>
      </c>
      <c r="J144" s="26">
        <f t="shared" si="65"/>
        <v>541.8</v>
      </c>
      <c r="K144" s="26">
        <f t="shared" si="66"/>
        <v>478.31652</v>
      </c>
      <c r="L144" s="45">
        <f t="shared" si="67"/>
        <v>371.52</v>
      </c>
      <c r="M144" s="45">
        <f t="shared" si="68"/>
        <v>557.28</v>
      </c>
      <c r="N144" s="45">
        <f t="shared" si="69"/>
        <v>412.542</v>
      </c>
      <c r="O144" s="45">
        <f t="shared" si="70"/>
        <v>619.2</v>
      </c>
      <c r="P144" s="45">
        <f t="shared" si="71"/>
        <v>433.44</v>
      </c>
      <c r="Q144" s="45">
        <f t="shared" si="72"/>
        <v>650.16</v>
      </c>
      <c r="R144" s="45">
        <f t="shared" si="73"/>
        <v>343.656</v>
      </c>
      <c r="S144" s="111">
        <f t="shared" si="74"/>
        <v>318.87768</v>
      </c>
      <c r="T144" s="45">
        <f t="shared" si="76"/>
        <v>309.6</v>
      </c>
      <c r="U144" s="70"/>
    </row>
    <row r="145" spans="1:21">
      <c r="A145" s="26" t="s">
        <v>113</v>
      </c>
      <c r="B145" s="85">
        <v>1.5748</v>
      </c>
      <c r="C145" s="37">
        <v>62</v>
      </c>
      <c r="D145" s="28" t="s">
        <v>38</v>
      </c>
      <c r="E145" s="24" t="s">
        <v>42</v>
      </c>
      <c r="F145" s="45" t="s">
        <v>54</v>
      </c>
      <c r="G145" s="85">
        <v>26.51</v>
      </c>
      <c r="H145" s="26">
        <f t="shared" si="63"/>
        <v>318.12</v>
      </c>
      <c r="I145" s="45">
        <f t="shared" si="64"/>
        <v>353.3783</v>
      </c>
      <c r="J145" s="26">
        <f t="shared" si="65"/>
        <v>371.14</v>
      </c>
      <c r="K145" s="26">
        <f t="shared" si="66"/>
        <v>327.652996</v>
      </c>
      <c r="L145" s="45">
        <f t="shared" si="67"/>
        <v>254.496</v>
      </c>
      <c r="M145" s="45">
        <f t="shared" si="68"/>
        <v>381.744</v>
      </c>
      <c r="N145" s="45">
        <f t="shared" si="69"/>
        <v>282.5966</v>
      </c>
      <c r="O145" s="45">
        <f t="shared" si="70"/>
        <v>424.16</v>
      </c>
      <c r="P145" s="45">
        <f t="shared" si="71"/>
        <v>296.912</v>
      </c>
      <c r="Q145" s="45">
        <f t="shared" si="72"/>
        <v>445.368</v>
      </c>
      <c r="R145" s="45">
        <f t="shared" si="73"/>
        <v>235.4088</v>
      </c>
      <c r="S145" s="111">
        <f t="shared" si="74"/>
        <v>218.435330666667</v>
      </c>
      <c r="T145" s="45">
        <f t="shared" si="76"/>
        <v>212.08</v>
      </c>
      <c r="U145" s="70"/>
    </row>
    <row r="146" spans="1:21">
      <c r="A146" s="26" t="s">
        <v>113</v>
      </c>
      <c r="B146" s="85">
        <v>1.5748</v>
      </c>
      <c r="C146" s="37">
        <v>62</v>
      </c>
      <c r="D146" s="28" t="s">
        <v>41</v>
      </c>
      <c r="E146" s="24" t="s">
        <v>42</v>
      </c>
      <c r="F146" s="45" t="s">
        <v>54</v>
      </c>
      <c r="G146" s="85">
        <v>18.721</v>
      </c>
      <c r="H146" s="26">
        <f t="shared" ref="H146:H148" si="77">G146*12</f>
        <v>224.652</v>
      </c>
      <c r="I146" s="45">
        <f t="shared" ref="I146:I148" si="78">G146*13.33</f>
        <v>249.55093</v>
      </c>
      <c r="J146" s="26">
        <f t="shared" ref="J146:J148" si="79">G146*14</f>
        <v>262.094</v>
      </c>
      <c r="K146" s="26">
        <f t="shared" ref="K146:K148" si="80">G146*11.66*1.06</f>
        <v>231.3840716</v>
      </c>
      <c r="L146" s="45">
        <f t="shared" ref="L146:L148" si="81">G146*9.6</f>
        <v>179.7216</v>
      </c>
      <c r="M146" s="45">
        <f t="shared" ref="M146:M148" si="82">G146*14.4</f>
        <v>269.5824</v>
      </c>
      <c r="N146" s="45">
        <f t="shared" ref="N146:N148" si="83">G146*10.66</f>
        <v>199.56586</v>
      </c>
      <c r="O146" s="45">
        <f t="shared" ref="O146:O148" si="84">G146*16</f>
        <v>299.536</v>
      </c>
      <c r="P146" s="45">
        <f t="shared" ref="P146:P148" si="85">G146*11.2</f>
        <v>209.6752</v>
      </c>
      <c r="Q146" s="45">
        <f t="shared" ref="Q146:Q148" si="86">G146*16.8</f>
        <v>314.5128</v>
      </c>
      <c r="R146" s="45">
        <f t="shared" ref="R146:R148" si="87">G146*8.88</f>
        <v>166.24248</v>
      </c>
      <c r="S146" s="111">
        <f t="shared" ref="S146:S148" si="88">K146*2/3</f>
        <v>154.256047733333</v>
      </c>
      <c r="T146" s="45">
        <f t="shared" si="76"/>
        <v>149.768</v>
      </c>
      <c r="U146" s="70"/>
    </row>
    <row r="147" spans="1:21">
      <c r="A147" s="26" t="s">
        <v>113</v>
      </c>
      <c r="B147" s="85">
        <v>1.5748</v>
      </c>
      <c r="C147" s="37">
        <v>62</v>
      </c>
      <c r="D147" s="28" t="s">
        <v>44</v>
      </c>
      <c r="E147" s="24" t="s">
        <v>42</v>
      </c>
      <c r="F147" s="45" t="s">
        <v>54</v>
      </c>
      <c r="G147" s="85">
        <v>16.127</v>
      </c>
      <c r="H147" s="26">
        <f t="shared" si="77"/>
        <v>193.524</v>
      </c>
      <c r="I147" s="45">
        <f t="shared" si="78"/>
        <v>214.97291</v>
      </c>
      <c r="J147" s="26">
        <f t="shared" si="79"/>
        <v>225.778</v>
      </c>
      <c r="K147" s="26">
        <f t="shared" si="80"/>
        <v>199.3232692</v>
      </c>
      <c r="L147" s="45">
        <f t="shared" si="81"/>
        <v>154.8192</v>
      </c>
      <c r="M147" s="45">
        <f t="shared" si="82"/>
        <v>232.2288</v>
      </c>
      <c r="N147" s="45">
        <f t="shared" si="83"/>
        <v>171.91382</v>
      </c>
      <c r="O147" s="45">
        <f t="shared" si="84"/>
        <v>258.032</v>
      </c>
      <c r="P147" s="45">
        <f t="shared" si="85"/>
        <v>180.6224</v>
      </c>
      <c r="Q147" s="45">
        <f t="shared" si="86"/>
        <v>270.9336</v>
      </c>
      <c r="R147" s="45">
        <f t="shared" si="87"/>
        <v>143.20776</v>
      </c>
      <c r="S147" s="111">
        <f t="shared" si="88"/>
        <v>132.882179466667</v>
      </c>
      <c r="T147" s="45">
        <f t="shared" si="76"/>
        <v>129.016</v>
      </c>
      <c r="U147" s="70"/>
    </row>
    <row r="148" spans="1:21">
      <c r="A148" s="26" t="s">
        <v>113</v>
      </c>
      <c r="B148" s="85">
        <v>1.8288</v>
      </c>
      <c r="C148" s="28" t="s">
        <v>116</v>
      </c>
      <c r="D148" s="28" t="s">
        <v>41</v>
      </c>
      <c r="E148" s="24" t="s">
        <v>42</v>
      </c>
      <c r="F148" s="45" t="s">
        <v>55</v>
      </c>
      <c r="G148" s="85">
        <v>20.674</v>
      </c>
      <c r="H148" s="26">
        <f t="shared" si="77"/>
        <v>248.088</v>
      </c>
      <c r="I148" s="45">
        <f t="shared" si="78"/>
        <v>275.58442</v>
      </c>
      <c r="J148" s="26">
        <f t="shared" si="79"/>
        <v>289.436</v>
      </c>
      <c r="K148" s="26">
        <f t="shared" si="80"/>
        <v>255.5223704</v>
      </c>
      <c r="L148" s="45">
        <f t="shared" si="81"/>
        <v>198.4704</v>
      </c>
      <c r="M148" s="45">
        <f t="shared" si="82"/>
        <v>297.7056</v>
      </c>
      <c r="N148" s="45">
        <f t="shared" si="83"/>
        <v>220.38484</v>
      </c>
      <c r="O148" s="45">
        <f t="shared" si="84"/>
        <v>330.784</v>
      </c>
      <c r="P148" s="45">
        <f t="shared" si="85"/>
        <v>231.5488</v>
      </c>
      <c r="Q148" s="45">
        <f t="shared" si="86"/>
        <v>347.3232</v>
      </c>
      <c r="R148" s="45">
        <f t="shared" si="87"/>
        <v>183.58512</v>
      </c>
      <c r="S148" s="111">
        <f t="shared" si="88"/>
        <v>170.348246933333</v>
      </c>
      <c r="T148" s="45">
        <f t="shared" si="76"/>
        <v>165.392</v>
      </c>
      <c r="U148" s="70"/>
    </row>
    <row r="150" ht="19.2" spans="1:9">
      <c r="A150" s="31" t="s">
        <v>117</v>
      </c>
      <c r="B150" s="31"/>
      <c r="C150" s="31"/>
      <c r="D150" s="31"/>
      <c r="E150" s="31"/>
      <c r="F150" s="31"/>
      <c r="G150" s="31"/>
      <c r="H150" s="31"/>
      <c r="I150" s="31"/>
    </row>
    <row r="151" ht="28.2" spans="1:9">
      <c r="A151" s="121" t="s">
        <v>59</v>
      </c>
      <c r="B151" s="121" t="s">
        <v>60</v>
      </c>
      <c r="C151" s="121" t="s">
        <v>118</v>
      </c>
      <c r="D151" s="121" t="s">
        <v>62</v>
      </c>
      <c r="E151" s="122" t="s">
        <v>119</v>
      </c>
      <c r="F151" s="123"/>
      <c r="G151" s="123"/>
      <c r="H151" s="122" t="s">
        <v>120</v>
      </c>
      <c r="I151" s="122"/>
    </row>
    <row r="152" ht="27.6" spans="1:9">
      <c r="A152" s="124" t="s">
        <v>65</v>
      </c>
      <c r="B152" s="124" t="s">
        <v>66</v>
      </c>
      <c r="C152" s="124" t="s">
        <v>67</v>
      </c>
      <c r="D152" s="124" t="s">
        <v>68</v>
      </c>
      <c r="E152" s="125" t="s">
        <v>69</v>
      </c>
      <c r="F152" s="125" t="s">
        <v>70</v>
      </c>
      <c r="G152" s="125" t="s">
        <v>71</v>
      </c>
      <c r="H152" s="125" t="s">
        <v>70</v>
      </c>
      <c r="I152" s="125" t="s">
        <v>71</v>
      </c>
    </row>
    <row r="153" spans="1:10">
      <c r="A153" s="26" t="s">
        <v>121</v>
      </c>
      <c r="B153" s="37">
        <v>106</v>
      </c>
      <c r="C153" s="38">
        <v>0.77</v>
      </c>
      <c r="D153" s="37">
        <v>300</v>
      </c>
      <c r="E153" s="126">
        <v>1.847</v>
      </c>
      <c r="F153" s="127">
        <f t="shared" ref="F153:F181" si="89">G153/D153</f>
        <v>24.23264</v>
      </c>
      <c r="G153" s="127">
        <f>E153*3936</f>
        <v>7269.792</v>
      </c>
      <c r="H153" s="127">
        <f t="shared" ref="H153:H181" si="90">I153/D153</f>
        <v>23.021008</v>
      </c>
      <c r="I153" s="130">
        <f t="shared" ref="I153:I181" si="91">G153*0.95</f>
        <v>6906.3024</v>
      </c>
      <c r="J153" s="131"/>
    </row>
    <row r="154" spans="1:10">
      <c r="A154" s="26" t="s">
        <v>121</v>
      </c>
      <c r="B154" s="37">
        <v>106</v>
      </c>
      <c r="C154" s="38">
        <v>0.78</v>
      </c>
      <c r="D154" s="37">
        <v>300</v>
      </c>
      <c r="E154" s="126">
        <v>1.847</v>
      </c>
      <c r="F154" s="127">
        <f t="shared" si="89"/>
        <v>24.23264</v>
      </c>
      <c r="G154" s="127">
        <f t="shared" ref="G154:G170" si="92">E154*3936</f>
        <v>7269.792</v>
      </c>
      <c r="H154" s="127">
        <f t="shared" si="90"/>
        <v>23.021008</v>
      </c>
      <c r="I154" s="130">
        <f t="shared" si="91"/>
        <v>6906.3024</v>
      </c>
      <c r="J154" s="131"/>
    </row>
    <row r="155" spans="1:10">
      <c r="A155" s="26" t="s">
        <v>121</v>
      </c>
      <c r="B155" s="37">
        <v>106</v>
      </c>
      <c r="C155" s="38" t="s">
        <v>122</v>
      </c>
      <c r="D155" s="37">
        <v>300</v>
      </c>
      <c r="E155" s="126">
        <v>1.803</v>
      </c>
      <c r="F155" s="127">
        <f t="shared" si="89"/>
        <v>23.65536</v>
      </c>
      <c r="G155" s="127">
        <f t="shared" si="92"/>
        <v>7096.608</v>
      </c>
      <c r="H155" s="127">
        <f t="shared" si="90"/>
        <v>22.472592</v>
      </c>
      <c r="I155" s="130">
        <f t="shared" si="91"/>
        <v>6741.7776</v>
      </c>
      <c r="J155" s="131"/>
    </row>
    <row r="156" spans="1:10">
      <c r="A156" s="26" t="s">
        <v>121</v>
      </c>
      <c r="B156" s="37">
        <v>106</v>
      </c>
      <c r="C156" s="38">
        <v>0.71</v>
      </c>
      <c r="D156" s="37">
        <v>300</v>
      </c>
      <c r="E156" s="126">
        <v>1.846</v>
      </c>
      <c r="F156" s="127">
        <f t="shared" si="89"/>
        <v>24.21952</v>
      </c>
      <c r="G156" s="127">
        <f t="shared" si="92"/>
        <v>7265.856</v>
      </c>
      <c r="H156" s="127">
        <f t="shared" si="90"/>
        <v>23.008544</v>
      </c>
      <c r="I156" s="130">
        <f t="shared" si="91"/>
        <v>6902.5632</v>
      </c>
      <c r="J156" s="131"/>
    </row>
    <row r="157" spans="1:10">
      <c r="A157" s="26" t="s">
        <v>121</v>
      </c>
      <c r="B157" s="37">
        <v>1067</v>
      </c>
      <c r="C157" s="38">
        <v>0.74</v>
      </c>
      <c r="D157" s="37">
        <v>300</v>
      </c>
      <c r="E157" s="126">
        <v>2.015</v>
      </c>
      <c r="F157" s="127">
        <f t="shared" si="89"/>
        <v>26.4368</v>
      </c>
      <c r="G157" s="127">
        <f t="shared" si="92"/>
        <v>7931.04</v>
      </c>
      <c r="H157" s="127">
        <f t="shared" si="90"/>
        <v>25.11496</v>
      </c>
      <c r="I157" s="130">
        <f t="shared" si="91"/>
        <v>7534.488</v>
      </c>
      <c r="J157" s="131"/>
    </row>
    <row r="158" spans="1:10">
      <c r="A158" s="26" t="s">
        <v>121</v>
      </c>
      <c r="B158" s="37">
        <v>1067</v>
      </c>
      <c r="C158" s="38">
        <v>0.76</v>
      </c>
      <c r="D158" s="37">
        <v>300</v>
      </c>
      <c r="E158" s="126">
        <v>2.068</v>
      </c>
      <c r="F158" s="127">
        <f t="shared" si="89"/>
        <v>27.13216</v>
      </c>
      <c r="G158" s="127">
        <f t="shared" si="92"/>
        <v>8139.648</v>
      </c>
      <c r="H158" s="127">
        <f t="shared" si="90"/>
        <v>25.775552</v>
      </c>
      <c r="I158" s="130">
        <f t="shared" si="91"/>
        <v>7732.6656</v>
      </c>
      <c r="J158" s="131"/>
    </row>
    <row r="159" spans="1:10">
      <c r="A159" s="26" t="s">
        <v>121</v>
      </c>
      <c r="B159" s="37">
        <v>1067</v>
      </c>
      <c r="C159" s="38">
        <v>0.7</v>
      </c>
      <c r="D159" s="37">
        <v>300</v>
      </c>
      <c r="E159" s="126">
        <v>1.944</v>
      </c>
      <c r="F159" s="127">
        <f t="shared" si="89"/>
        <v>25.50528</v>
      </c>
      <c r="G159" s="127">
        <f t="shared" si="92"/>
        <v>7651.584</v>
      </c>
      <c r="H159" s="127">
        <f t="shared" si="90"/>
        <v>24.230016</v>
      </c>
      <c r="I159" s="130">
        <f t="shared" si="91"/>
        <v>7269.0048</v>
      </c>
      <c r="J159" s="131"/>
    </row>
    <row r="160" spans="1:10">
      <c r="A160" s="26" t="s">
        <v>121</v>
      </c>
      <c r="B160" s="37">
        <v>1078</v>
      </c>
      <c r="C160" s="38">
        <v>0.62</v>
      </c>
      <c r="D160" s="37">
        <v>300</v>
      </c>
      <c r="E160" s="126">
        <v>2.32</v>
      </c>
      <c r="F160" s="127">
        <f t="shared" si="89"/>
        <v>30.4384</v>
      </c>
      <c r="G160" s="127">
        <f t="shared" si="92"/>
        <v>9131.52</v>
      </c>
      <c r="H160" s="127">
        <f t="shared" si="90"/>
        <v>28.91648</v>
      </c>
      <c r="I160" s="130">
        <f t="shared" si="91"/>
        <v>8674.944</v>
      </c>
      <c r="J160" s="131"/>
    </row>
    <row r="161" spans="1:10">
      <c r="A161" s="26" t="s">
        <v>121</v>
      </c>
      <c r="B161" s="37">
        <v>1080</v>
      </c>
      <c r="C161" s="38">
        <v>0.61</v>
      </c>
      <c r="D161" s="37">
        <v>300</v>
      </c>
      <c r="E161" s="126">
        <v>1.551</v>
      </c>
      <c r="F161" s="127">
        <f t="shared" si="89"/>
        <v>20.34912</v>
      </c>
      <c r="G161" s="127">
        <f t="shared" si="92"/>
        <v>6104.736</v>
      </c>
      <c r="H161" s="127">
        <f t="shared" si="90"/>
        <v>19.331664</v>
      </c>
      <c r="I161" s="130">
        <f t="shared" si="91"/>
        <v>5799.4992</v>
      </c>
      <c r="J161" s="131"/>
    </row>
    <row r="162" spans="1:10">
      <c r="A162" s="26" t="s">
        <v>121</v>
      </c>
      <c r="B162" s="37">
        <v>1080</v>
      </c>
      <c r="C162" s="38">
        <v>0.63</v>
      </c>
      <c r="D162" s="37">
        <v>300</v>
      </c>
      <c r="E162" s="126">
        <v>1.551</v>
      </c>
      <c r="F162" s="127">
        <f t="shared" si="89"/>
        <v>20.34912</v>
      </c>
      <c r="G162" s="127">
        <f t="shared" si="92"/>
        <v>6104.736</v>
      </c>
      <c r="H162" s="127">
        <f t="shared" si="90"/>
        <v>19.331664</v>
      </c>
      <c r="I162" s="130">
        <f t="shared" si="91"/>
        <v>5799.4992</v>
      </c>
      <c r="J162" s="131"/>
    </row>
    <row r="163" spans="1:10">
      <c r="A163" s="26" t="s">
        <v>121</v>
      </c>
      <c r="B163" s="37">
        <v>1080</v>
      </c>
      <c r="C163" s="128">
        <v>0.65</v>
      </c>
      <c r="D163" s="108">
        <v>300</v>
      </c>
      <c r="E163" s="126">
        <v>1.566</v>
      </c>
      <c r="F163" s="127">
        <f t="shared" si="89"/>
        <v>20.54592</v>
      </c>
      <c r="G163" s="127">
        <f t="shared" si="92"/>
        <v>6163.776</v>
      </c>
      <c r="H163" s="127">
        <f t="shared" si="90"/>
        <v>19.518624</v>
      </c>
      <c r="I163" s="130">
        <f t="shared" si="91"/>
        <v>5855.5872</v>
      </c>
      <c r="J163" s="131"/>
    </row>
    <row r="164" spans="1:10">
      <c r="A164" s="26" t="s">
        <v>121</v>
      </c>
      <c r="B164" s="37">
        <v>1080</v>
      </c>
      <c r="C164" s="38">
        <v>0.67</v>
      </c>
      <c r="D164" s="37">
        <v>300</v>
      </c>
      <c r="E164" s="126">
        <v>1.64</v>
      </c>
      <c r="F164" s="127">
        <f t="shared" si="89"/>
        <v>21.5168</v>
      </c>
      <c r="G164" s="127">
        <f t="shared" si="92"/>
        <v>6455.04</v>
      </c>
      <c r="H164" s="127">
        <f t="shared" si="90"/>
        <v>20.44096</v>
      </c>
      <c r="I164" s="130">
        <f t="shared" si="91"/>
        <v>6132.288</v>
      </c>
      <c r="J164" s="131"/>
    </row>
    <row r="165" spans="1:10">
      <c r="A165" s="26" t="s">
        <v>121</v>
      </c>
      <c r="B165" s="37">
        <v>1080</v>
      </c>
      <c r="C165" s="38">
        <v>0.7</v>
      </c>
      <c r="D165" s="37">
        <v>300</v>
      </c>
      <c r="E165" s="126">
        <v>1.726</v>
      </c>
      <c r="F165" s="127">
        <f t="shared" si="89"/>
        <v>22.64512</v>
      </c>
      <c r="G165" s="127">
        <f t="shared" si="92"/>
        <v>6793.536</v>
      </c>
      <c r="H165" s="127">
        <f t="shared" si="90"/>
        <v>21.512864</v>
      </c>
      <c r="I165" s="130">
        <f t="shared" si="91"/>
        <v>6453.8592</v>
      </c>
      <c r="J165" s="131"/>
    </row>
    <row r="166" spans="1:10">
      <c r="A166" s="26" t="s">
        <v>121</v>
      </c>
      <c r="B166" s="37">
        <v>1080</v>
      </c>
      <c r="C166" s="38" t="s">
        <v>123</v>
      </c>
      <c r="D166" s="37">
        <v>300</v>
      </c>
      <c r="E166" s="129">
        <v>1.742</v>
      </c>
      <c r="F166" s="127">
        <f t="shared" si="89"/>
        <v>22.85504</v>
      </c>
      <c r="G166" s="127">
        <f t="shared" si="92"/>
        <v>6856.512</v>
      </c>
      <c r="H166" s="127">
        <f t="shared" si="90"/>
        <v>21.712288</v>
      </c>
      <c r="I166" s="132">
        <f t="shared" si="91"/>
        <v>6513.6864</v>
      </c>
      <c r="J166" s="131"/>
    </row>
    <row r="167" spans="1:10">
      <c r="A167" s="26" t="s">
        <v>121</v>
      </c>
      <c r="B167" s="37">
        <v>1086</v>
      </c>
      <c r="C167" s="38">
        <v>0.65</v>
      </c>
      <c r="D167" s="37">
        <v>300</v>
      </c>
      <c r="E167" s="126">
        <v>1.72</v>
      </c>
      <c r="F167" s="127">
        <f t="shared" si="89"/>
        <v>22.5664</v>
      </c>
      <c r="G167" s="127">
        <f t="shared" si="92"/>
        <v>6769.92</v>
      </c>
      <c r="H167" s="127">
        <f t="shared" si="90"/>
        <v>21.43808</v>
      </c>
      <c r="I167" s="130">
        <f t="shared" si="91"/>
        <v>6431.424</v>
      </c>
      <c r="J167" s="131"/>
    </row>
    <row r="168" spans="1:10">
      <c r="A168" s="26" t="s">
        <v>121</v>
      </c>
      <c r="B168" s="37">
        <v>1086</v>
      </c>
      <c r="C168" s="38">
        <v>0.71</v>
      </c>
      <c r="D168" s="37">
        <v>300</v>
      </c>
      <c r="E168" s="126">
        <v>1.848</v>
      </c>
      <c r="F168" s="127">
        <f t="shared" si="89"/>
        <v>24.24576</v>
      </c>
      <c r="G168" s="127">
        <f t="shared" si="92"/>
        <v>7273.728</v>
      </c>
      <c r="H168" s="127">
        <f t="shared" si="90"/>
        <v>23.033472</v>
      </c>
      <c r="I168" s="130">
        <f t="shared" si="91"/>
        <v>6910.0416</v>
      </c>
      <c r="J168" s="131"/>
    </row>
    <row r="169" spans="1:10">
      <c r="A169" s="26" t="s">
        <v>121</v>
      </c>
      <c r="B169" s="37">
        <v>1086</v>
      </c>
      <c r="C169" s="38">
        <v>0.68</v>
      </c>
      <c r="D169" s="37">
        <v>300</v>
      </c>
      <c r="E169" s="126">
        <v>1.793</v>
      </c>
      <c r="F169" s="127">
        <f t="shared" si="89"/>
        <v>23.52416</v>
      </c>
      <c r="G169" s="127">
        <f t="shared" si="92"/>
        <v>7057.248</v>
      </c>
      <c r="H169" s="127">
        <f t="shared" si="90"/>
        <v>22.347952</v>
      </c>
      <c r="I169" s="130">
        <f t="shared" si="91"/>
        <v>6704.3856</v>
      </c>
      <c r="J169" s="131"/>
    </row>
    <row r="170" spans="1:10">
      <c r="A170" s="26" t="s">
        <v>121</v>
      </c>
      <c r="B170" s="37">
        <v>1086</v>
      </c>
      <c r="C170" s="38">
        <v>0.61</v>
      </c>
      <c r="D170" s="37">
        <v>300</v>
      </c>
      <c r="E170" s="126">
        <v>1.661</v>
      </c>
      <c r="F170" s="127">
        <f t="shared" si="89"/>
        <v>21.79232</v>
      </c>
      <c r="G170" s="127">
        <f t="shared" si="92"/>
        <v>6537.696</v>
      </c>
      <c r="H170" s="127">
        <f t="shared" si="90"/>
        <v>20.702704</v>
      </c>
      <c r="I170" s="130">
        <f t="shared" si="91"/>
        <v>6210.8112</v>
      </c>
      <c r="J170" s="131"/>
    </row>
    <row r="171" spans="1:10">
      <c r="A171" s="26" t="s">
        <v>121</v>
      </c>
      <c r="B171" s="37">
        <v>1506</v>
      </c>
      <c r="C171" s="38">
        <v>0.48</v>
      </c>
      <c r="D171" s="37">
        <v>150</v>
      </c>
      <c r="E171" s="126">
        <v>2.015</v>
      </c>
      <c r="F171" s="127">
        <f t="shared" si="89"/>
        <v>26.4368</v>
      </c>
      <c r="G171" s="127">
        <f>E171*3936/2</f>
        <v>3965.52</v>
      </c>
      <c r="H171" s="127">
        <f t="shared" si="90"/>
        <v>25.11496</v>
      </c>
      <c r="I171" s="130">
        <f t="shared" si="91"/>
        <v>3767.244</v>
      </c>
      <c r="J171" s="131"/>
    </row>
    <row r="172" spans="1:10">
      <c r="A172" s="26" t="s">
        <v>121</v>
      </c>
      <c r="B172" s="37">
        <v>1506</v>
      </c>
      <c r="C172" s="38">
        <v>0.5</v>
      </c>
      <c r="D172" s="37">
        <v>150</v>
      </c>
      <c r="E172" s="126">
        <v>2.06</v>
      </c>
      <c r="F172" s="127">
        <f t="shared" si="89"/>
        <v>27.0272</v>
      </c>
      <c r="G172" s="127">
        <f>E172*3936/2</f>
        <v>4054.08</v>
      </c>
      <c r="H172" s="127">
        <f t="shared" si="90"/>
        <v>25.67584</v>
      </c>
      <c r="I172" s="130">
        <f t="shared" si="91"/>
        <v>3851.376</v>
      </c>
      <c r="J172" s="131"/>
    </row>
    <row r="173" spans="1:10">
      <c r="A173" s="26" t="s">
        <v>121</v>
      </c>
      <c r="B173" s="37">
        <v>2112</v>
      </c>
      <c r="C173" s="38">
        <v>0.6</v>
      </c>
      <c r="D173" s="37">
        <v>300</v>
      </c>
      <c r="E173" s="126">
        <v>1.795</v>
      </c>
      <c r="F173" s="127">
        <f t="shared" si="89"/>
        <v>23.5504</v>
      </c>
      <c r="G173" s="127">
        <f>E173*3936</f>
        <v>7065.12</v>
      </c>
      <c r="H173" s="127">
        <f t="shared" si="90"/>
        <v>22.37288</v>
      </c>
      <c r="I173" s="130">
        <f t="shared" si="91"/>
        <v>6711.864</v>
      </c>
      <c r="J173" s="131"/>
    </row>
    <row r="174" spans="1:10">
      <c r="A174" s="26" t="s">
        <v>121</v>
      </c>
      <c r="B174" s="37">
        <v>2113</v>
      </c>
      <c r="C174" s="38">
        <v>0.58</v>
      </c>
      <c r="D174" s="37">
        <v>300</v>
      </c>
      <c r="E174" s="126">
        <v>1.788</v>
      </c>
      <c r="F174" s="127">
        <f t="shared" si="89"/>
        <v>23.45856</v>
      </c>
      <c r="G174" s="127">
        <f>E174*3936</f>
        <v>7037.568</v>
      </c>
      <c r="H174" s="127">
        <f t="shared" si="90"/>
        <v>22.285632</v>
      </c>
      <c r="I174" s="130">
        <f t="shared" si="91"/>
        <v>6685.6896</v>
      </c>
      <c r="J174" s="131"/>
    </row>
    <row r="175" spans="1:10">
      <c r="A175" s="26" t="s">
        <v>121</v>
      </c>
      <c r="B175" s="37">
        <v>2116</v>
      </c>
      <c r="C175" s="38" t="s">
        <v>124</v>
      </c>
      <c r="D175" s="37">
        <v>300</v>
      </c>
      <c r="E175" s="126">
        <v>1.69</v>
      </c>
      <c r="F175" s="127">
        <f t="shared" si="89"/>
        <v>22.1728</v>
      </c>
      <c r="G175" s="127">
        <f>E175*3936</f>
        <v>6651.84</v>
      </c>
      <c r="H175" s="127">
        <f t="shared" si="90"/>
        <v>21.06416</v>
      </c>
      <c r="I175" s="130">
        <f t="shared" si="91"/>
        <v>6319.248</v>
      </c>
      <c r="J175" s="131"/>
    </row>
    <row r="176" spans="1:10">
      <c r="A176" s="26" t="s">
        <v>121</v>
      </c>
      <c r="B176" s="37">
        <v>2116</v>
      </c>
      <c r="C176" s="38" t="s">
        <v>125</v>
      </c>
      <c r="D176" s="37">
        <v>300</v>
      </c>
      <c r="E176" s="126">
        <v>1.791</v>
      </c>
      <c r="F176" s="127">
        <f t="shared" si="89"/>
        <v>23.49792</v>
      </c>
      <c r="G176" s="127">
        <f>E176*3936</f>
        <v>7049.376</v>
      </c>
      <c r="H176" s="127">
        <f t="shared" si="90"/>
        <v>22.323024</v>
      </c>
      <c r="I176" s="130">
        <f t="shared" si="91"/>
        <v>6696.9072</v>
      </c>
      <c r="J176" s="131"/>
    </row>
    <row r="177" spans="1:10">
      <c r="A177" s="26" t="s">
        <v>121</v>
      </c>
      <c r="B177" s="37">
        <v>2116</v>
      </c>
      <c r="C177" s="38">
        <v>0.58</v>
      </c>
      <c r="D177" s="37">
        <v>300</v>
      </c>
      <c r="E177" s="126">
        <v>1.874</v>
      </c>
      <c r="F177" s="127">
        <f t="shared" si="89"/>
        <v>24.58688</v>
      </c>
      <c r="G177" s="127">
        <f>E177*3936</f>
        <v>7376.064</v>
      </c>
      <c r="H177" s="127">
        <f t="shared" si="90"/>
        <v>23.357536</v>
      </c>
      <c r="I177" s="130">
        <f t="shared" si="91"/>
        <v>7007.2608</v>
      </c>
      <c r="J177" s="131"/>
    </row>
    <row r="178" spans="1:10">
      <c r="A178" s="26" t="s">
        <v>121</v>
      </c>
      <c r="B178" s="37">
        <v>2116</v>
      </c>
      <c r="C178" s="38">
        <v>0.62</v>
      </c>
      <c r="D178" s="37">
        <v>200</v>
      </c>
      <c r="E178" s="126">
        <v>1.95</v>
      </c>
      <c r="F178" s="127">
        <f t="shared" si="89"/>
        <v>25.584</v>
      </c>
      <c r="G178" s="127">
        <f>E178*3936/3*2</f>
        <v>5116.8</v>
      </c>
      <c r="H178" s="127">
        <f t="shared" si="90"/>
        <v>24.3048</v>
      </c>
      <c r="I178" s="130">
        <f t="shared" si="91"/>
        <v>4860.96</v>
      </c>
      <c r="J178" s="131"/>
    </row>
    <row r="179" spans="1:10">
      <c r="A179" s="26" t="s">
        <v>121</v>
      </c>
      <c r="B179" s="37">
        <v>7628</v>
      </c>
      <c r="C179" s="38" t="s">
        <v>74</v>
      </c>
      <c r="D179" s="37">
        <v>150</v>
      </c>
      <c r="E179" s="126">
        <v>1.95</v>
      </c>
      <c r="F179" s="127">
        <f t="shared" si="89"/>
        <v>25.584</v>
      </c>
      <c r="G179" s="127">
        <f>E179*3936/2</f>
        <v>3837.6</v>
      </c>
      <c r="H179" s="127">
        <f t="shared" si="90"/>
        <v>24.3048</v>
      </c>
      <c r="I179" s="130">
        <f t="shared" si="91"/>
        <v>3645.72</v>
      </c>
      <c r="J179" s="131"/>
    </row>
    <row r="180" spans="1:10">
      <c r="A180" s="26" t="s">
        <v>121</v>
      </c>
      <c r="B180" s="37">
        <v>7628</v>
      </c>
      <c r="C180" s="38" t="s">
        <v>126</v>
      </c>
      <c r="D180" s="37">
        <v>150</v>
      </c>
      <c r="E180" s="126">
        <v>1.904</v>
      </c>
      <c r="F180" s="127">
        <f t="shared" si="89"/>
        <v>24.98048</v>
      </c>
      <c r="G180" s="127">
        <f>E180*3936/2</f>
        <v>3747.072</v>
      </c>
      <c r="H180" s="127">
        <f t="shared" si="90"/>
        <v>23.731456</v>
      </c>
      <c r="I180" s="130">
        <f t="shared" si="91"/>
        <v>3559.7184</v>
      </c>
      <c r="J180" s="131"/>
    </row>
    <row r="181" spans="1:10">
      <c r="A181" s="26" t="s">
        <v>121</v>
      </c>
      <c r="B181" s="37">
        <v>7628</v>
      </c>
      <c r="C181" s="38">
        <v>0.46</v>
      </c>
      <c r="D181" s="37">
        <v>150</v>
      </c>
      <c r="E181" s="126">
        <v>1.858</v>
      </c>
      <c r="F181" s="127">
        <f t="shared" si="89"/>
        <v>24.37696</v>
      </c>
      <c r="G181" s="127">
        <f>E181*3936/2</f>
        <v>3656.544</v>
      </c>
      <c r="H181" s="127">
        <f t="shared" si="90"/>
        <v>23.158112</v>
      </c>
      <c r="I181" s="130">
        <f t="shared" si="91"/>
        <v>3473.7168</v>
      </c>
      <c r="J181" s="131"/>
    </row>
    <row r="183" spans="1:13">
      <c r="A183" s="40" t="s">
        <v>109</v>
      </c>
      <c r="B183" s="41"/>
      <c r="C183" s="41"/>
      <c r="D183" s="41"/>
      <c r="J183" s="40" t="s">
        <v>76</v>
      </c>
      <c r="K183" s="41"/>
      <c r="L183" s="41"/>
      <c r="M183" s="41"/>
    </row>
  </sheetData>
  <mergeCells count="10">
    <mergeCell ref="A1:N1"/>
    <mergeCell ref="A5:R5"/>
    <mergeCell ref="A6:R6"/>
    <mergeCell ref="A12:S12"/>
    <mergeCell ref="B13:C13"/>
    <mergeCell ref="G13:T13"/>
    <mergeCell ref="A150:I150"/>
    <mergeCell ref="E151:G151"/>
    <mergeCell ref="H151:I151"/>
    <mergeCell ref="A2:R4"/>
  </mergeCells>
  <pageMargins left="0.75" right="0.75" top="1" bottom="1" header="0.5" footer="0.5"/>
  <pageSetup paperSize="9" scale="62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view="pageBreakPreview" zoomScale="85" zoomScaleNormal="85" topLeftCell="A13" workbookViewId="0">
      <selection activeCell="N26" sqref="N26"/>
    </sheetView>
  </sheetViews>
  <sheetFormatPr defaultColWidth="8.8" defaultRowHeight="15.6"/>
  <cols>
    <col min="1" max="1" width="11.8" customWidth="1"/>
    <col min="7" max="7" width="9"/>
    <col min="9" max="9" width="9"/>
    <col min="10" max="10" width="10.6916666666667" customWidth="1"/>
    <col min="19" max="19" width="12.8"/>
  </cols>
  <sheetData>
    <row r="1" s="72" customForma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="72" customFormat="1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2"/>
    </row>
    <row r="3" s="72" customForma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2"/>
    </row>
    <row r="4" s="72" customForma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2"/>
    </row>
    <row r="5" s="72" customFormat="1" spans="1:19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2"/>
    </row>
    <row r="6" s="72" customFormat="1" spans="1:19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2"/>
    </row>
    <row r="7" s="72" customFormat="1" ht="17.4" spans="1:19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9" t="s">
        <v>4</v>
      </c>
      <c r="O7" s="43"/>
      <c r="P7" s="43"/>
      <c r="Q7" s="43"/>
      <c r="S7" s="43"/>
    </row>
    <row r="8" s="72" customFormat="1" ht="17.4" spans="1:19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9" t="s">
        <v>6</v>
      </c>
      <c r="O8" s="43"/>
      <c r="P8" s="43"/>
      <c r="Q8" s="43"/>
      <c r="S8" s="43"/>
    </row>
    <row r="9" s="72" customFormat="1" ht="17.4" spans="1:19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14" t="s">
        <v>8</v>
      </c>
      <c r="O9" s="43"/>
      <c r="P9" s="43"/>
      <c r="Q9" s="43"/>
      <c r="S9" s="43"/>
    </row>
    <row r="10" s="72" customFormat="1" ht="17.4" spans="1:19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14" t="s">
        <v>100</v>
      </c>
      <c r="O10" s="43"/>
      <c r="P10" s="43"/>
      <c r="Q10" s="43"/>
      <c r="S10" s="43"/>
    </row>
    <row r="11" s="72" customFormat="1" ht="17.4" spans="1:19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ht="19.2" spans="1:18">
      <c r="A12" s="20" t="s">
        <v>127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22" t="s">
        <v>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24" t="s">
        <v>24</v>
      </c>
      <c r="H14" s="25" t="s">
        <v>25</v>
      </c>
      <c r="I14" s="25" t="s">
        <v>26</v>
      </c>
      <c r="J14" s="23" t="s">
        <v>27</v>
      </c>
      <c r="K14" s="44" t="s">
        <v>35</v>
      </c>
      <c r="L14" s="25" t="s">
        <v>29</v>
      </c>
      <c r="M14" s="23" t="s">
        <v>30</v>
      </c>
      <c r="N14" s="24" t="s">
        <v>31</v>
      </c>
      <c r="O14" s="25" t="s">
        <v>32</v>
      </c>
      <c r="P14" s="23" t="s">
        <v>33</v>
      </c>
      <c r="Q14" s="23" t="s">
        <v>34</v>
      </c>
      <c r="R14" s="23" t="s">
        <v>28</v>
      </c>
    </row>
    <row r="15" spans="1:19">
      <c r="A15" s="26" t="s">
        <v>128</v>
      </c>
      <c r="B15" s="27">
        <v>0.203200406400813</v>
      </c>
      <c r="C15" s="26">
        <v>8</v>
      </c>
      <c r="D15" s="28" t="s">
        <v>41</v>
      </c>
      <c r="E15" s="26" t="s">
        <v>42</v>
      </c>
      <c r="F15" s="26" t="s">
        <v>90</v>
      </c>
      <c r="G15" s="27">
        <v>11.028</v>
      </c>
      <c r="H15" s="26">
        <f t="shared" ref="H15:H23" si="0">G15*12</f>
        <v>132.336</v>
      </c>
      <c r="I15" s="45">
        <f t="shared" ref="I15:I23" si="1">G15*13.33</f>
        <v>147.00324</v>
      </c>
      <c r="J15" s="26">
        <f t="shared" ref="J15:J23" si="2">G15*14</f>
        <v>154.392</v>
      </c>
      <c r="K15" s="26">
        <f t="shared" ref="K15:K23" si="3">G15*8.88</f>
        <v>97.92864</v>
      </c>
      <c r="L15" s="45">
        <f t="shared" ref="L15:L23" si="4">G15*9.6</f>
        <v>105.8688</v>
      </c>
      <c r="M15" s="45">
        <f t="shared" ref="M15:M23" si="5">G15*14.4</f>
        <v>158.8032</v>
      </c>
      <c r="N15" s="45">
        <f t="shared" ref="N15:N23" si="6">G15*10.66</f>
        <v>117.55848</v>
      </c>
      <c r="O15" s="45">
        <f t="shared" ref="O15:O23" si="7">G15*16</f>
        <v>176.448</v>
      </c>
      <c r="P15" s="45">
        <f t="shared" ref="P15:P23" si="8">G15*11.2</f>
        <v>123.5136</v>
      </c>
      <c r="Q15" s="45">
        <f t="shared" ref="Q15:Q23" si="9">G15*16.8</f>
        <v>185.2704</v>
      </c>
      <c r="R15" s="45">
        <f t="shared" ref="R15:R23" si="10">G15*11.66*1.06</f>
        <v>136.3016688</v>
      </c>
      <c r="S15" s="103"/>
    </row>
    <row r="16" spans="1:19">
      <c r="A16" s="26" t="s">
        <v>128</v>
      </c>
      <c r="B16" s="27">
        <v>0.304800609601219</v>
      </c>
      <c r="C16" s="26">
        <v>12</v>
      </c>
      <c r="D16" s="28" t="s">
        <v>41</v>
      </c>
      <c r="E16" s="26" t="s">
        <v>42</v>
      </c>
      <c r="F16" s="26" t="s">
        <v>93</v>
      </c>
      <c r="G16" s="27">
        <v>12.34</v>
      </c>
      <c r="H16" s="26">
        <f t="shared" si="0"/>
        <v>148.08</v>
      </c>
      <c r="I16" s="45">
        <f t="shared" si="1"/>
        <v>164.4922</v>
      </c>
      <c r="J16" s="26">
        <f t="shared" si="2"/>
        <v>172.76</v>
      </c>
      <c r="K16" s="26">
        <f t="shared" si="3"/>
        <v>109.5792</v>
      </c>
      <c r="L16" s="45">
        <f t="shared" si="4"/>
        <v>118.464</v>
      </c>
      <c r="M16" s="45">
        <f t="shared" si="5"/>
        <v>177.696</v>
      </c>
      <c r="N16" s="45">
        <f t="shared" si="6"/>
        <v>131.5444</v>
      </c>
      <c r="O16" s="45">
        <f t="shared" si="7"/>
        <v>197.44</v>
      </c>
      <c r="P16" s="45">
        <f t="shared" si="8"/>
        <v>138.208</v>
      </c>
      <c r="Q16" s="45">
        <f t="shared" si="9"/>
        <v>207.312</v>
      </c>
      <c r="R16" s="45">
        <f t="shared" si="10"/>
        <v>152.517464</v>
      </c>
      <c r="S16" s="103"/>
    </row>
    <row r="17" spans="1:19">
      <c r="A17" s="26" t="s">
        <v>128</v>
      </c>
      <c r="B17" s="27">
        <v>0.609601219202438</v>
      </c>
      <c r="C17" s="26">
        <v>24</v>
      </c>
      <c r="D17" s="28" t="s">
        <v>41</v>
      </c>
      <c r="E17" s="26" t="s">
        <v>42</v>
      </c>
      <c r="F17" s="26" t="s">
        <v>48</v>
      </c>
      <c r="G17" s="27">
        <v>13.607</v>
      </c>
      <c r="H17" s="26">
        <f t="shared" si="0"/>
        <v>163.284</v>
      </c>
      <c r="I17" s="45">
        <f t="shared" si="1"/>
        <v>181.38131</v>
      </c>
      <c r="J17" s="26">
        <f t="shared" si="2"/>
        <v>190.498</v>
      </c>
      <c r="K17" s="26">
        <f t="shared" si="3"/>
        <v>120.83016</v>
      </c>
      <c r="L17" s="45">
        <f t="shared" si="4"/>
        <v>130.6272</v>
      </c>
      <c r="M17" s="45">
        <f t="shared" si="5"/>
        <v>195.9408</v>
      </c>
      <c r="N17" s="45">
        <f t="shared" si="6"/>
        <v>145.05062</v>
      </c>
      <c r="O17" s="45">
        <f t="shared" si="7"/>
        <v>217.712</v>
      </c>
      <c r="P17" s="45">
        <f t="shared" si="8"/>
        <v>152.3984</v>
      </c>
      <c r="Q17" s="45">
        <f t="shared" si="9"/>
        <v>228.5976</v>
      </c>
      <c r="R17" s="45">
        <f t="shared" si="10"/>
        <v>168.1770772</v>
      </c>
      <c r="S17" s="103"/>
    </row>
    <row r="18" spans="1:19">
      <c r="A18" s="26" t="s">
        <v>128</v>
      </c>
      <c r="B18" s="27">
        <v>0.736601473202946</v>
      </c>
      <c r="C18" s="26">
        <v>29</v>
      </c>
      <c r="D18" s="28" t="s">
        <v>41</v>
      </c>
      <c r="E18" s="26" t="s">
        <v>42</v>
      </c>
      <c r="F18" s="26" t="s">
        <v>49</v>
      </c>
      <c r="G18" s="27">
        <v>14.349</v>
      </c>
      <c r="H18" s="26">
        <f t="shared" si="0"/>
        <v>172.188</v>
      </c>
      <c r="I18" s="45">
        <f t="shared" si="1"/>
        <v>191.27217</v>
      </c>
      <c r="J18" s="26">
        <f t="shared" si="2"/>
        <v>200.886</v>
      </c>
      <c r="K18" s="26">
        <f t="shared" si="3"/>
        <v>127.41912</v>
      </c>
      <c r="L18" s="45">
        <f t="shared" si="4"/>
        <v>137.7504</v>
      </c>
      <c r="M18" s="45">
        <f t="shared" si="5"/>
        <v>206.6256</v>
      </c>
      <c r="N18" s="45">
        <f t="shared" si="6"/>
        <v>152.96034</v>
      </c>
      <c r="O18" s="45">
        <f t="shared" si="7"/>
        <v>229.584</v>
      </c>
      <c r="P18" s="45">
        <f t="shared" si="8"/>
        <v>160.7088</v>
      </c>
      <c r="Q18" s="45">
        <f t="shared" si="9"/>
        <v>241.0632</v>
      </c>
      <c r="R18" s="45">
        <f t="shared" si="10"/>
        <v>177.3479004</v>
      </c>
      <c r="S18" s="103"/>
    </row>
    <row r="19" spans="1:19">
      <c r="A19" s="26" t="s">
        <v>128</v>
      </c>
      <c r="B19" s="27">
        <v>0.736601473202946</v>
      </c>
      <c r="C19" s="26">
        <v>29</v>
      </c>
      <c r="D19" s="26" t="s">
        <v>44</v>
      </c>
      <c r="E19" s="26" t="s">
        <v>42</v>
      </c>
      <c r="F19" s="26" t="s">
        <v>49</v>
      </c>
      <c r="G19" s="27">
        <v>10.897</v>
      </c>
      <c r="H19" s="26">
        <f t="shared" si="0"/>
        <v>130.764</v>
      </c>
      <c r="I19" s="45">
        <f t="shared" si="1"/>
        <v>145.25701</v>
      </c>
      <c r="J19" s="26">
        <f t="shared" si="2"/>
        <v>152.558</v>
      </c>
      <c r="K19" s="26">
        <f t="shared" si="3"/>
        <v>96.76536</v>
      </c>
      <c r="L19" s="45">
        <f t="shared" si="4"/>
        <v>104.6112</v>
      </c>
      <c r="M19" s="45">
        <f t="shared" si="5"/>
        <v>156.9168</v>
      </c>
      <c r="N19" s="45">
        <f t="shared" si="6"/>
        <v>116.16202</v>
      </c>
      <c r="O19" s="45">
        <f t="shared" si="7"/>
        <v>174.352</v>
      </c>
      <c r="P19" s="45">
        <f t="shared" si="8"/>
        <v>122.0464</v>
      </c>
      <c r="Q19" s="45">
        <f t="shared" si="9"/>
        <v>183.0696</v>
      </c>
      <c r="R19" s="45">
        <f t="shared" si="10"/>
        <v>134.6825612</v>
      </c>
      <c r="S19" s="103"/>
    </row>
    <row r="20" spans="1:19">
      <c r="A20" s="26" t="s">
        <v>128</v>
      </c>
      <c r="B20" s="27">
        <v>0.990601981203962</v>
      </c>
      <c r="C20" s="26">
        <v>39</v>
      </c>
      <c r="D20" s="28" t="s">
        <v>41</v>
      </c>
      <c r="E20" s="26" t="s">
        <v>42</v>
      </c>
      <c r="F20" s="26" t="s">
        <v>51</v>
      </c>
      <c r="G20" s="27">
        <v>15.729</v>
      </c>
      <c r="H20" s="26">
        <f t="shared" si="0"/>
        <v>188.748</v>
      </c>
      <c r="I20" s="45">
        <f t="shared" si="1"/>
        <v>209.66757</v>
      </c>
      <c r="J20" s="26">
        <f t="shared" si="2"/>
        <v>220.206</v>
      </c>
      <c r="K20" s="26">
        <f t="shared" si="3"/>
        <v>139.67352</v>
      </c>
      <c r="L20" s="45">
        <f t="shared" si="4"/>
        <v>150.9984</v>
      </c>
      <c r="M20" s="45">
        <f t="shared" si="5"/>
        <v>226.4976</v>
      </c>
      <c r="N20" s="45">
        <f t="shared" si="6"/>
        <v>167.67114</v>
      </c>
      <c r="O20" s="45">
        <f t="shared" si="7"/>
        <v>251.664</v>
      </c>
      <c r="P20" s="45">
        <f t="shared" si="8"/>
        <v>176.1648</v>
      </c>
      <c r="Q20" s="45">
        <f t="shared" si="9"/>
        <v>264.2472</v>
      </c>
      <c r="R20" s="45">
        <f t="shared" si="10"/>
        <v>194.4041484</v>
      </c>
      <c r="S20" s="103"/>
    </row>
    <row r="21" spans="1:19">
      <c r="A21" s="26" t="s">
        <v>128</v>
      </c>
      <c r="B21" s="27">
        <v>0.990601981203962</v>
      </c>
      <c r="C21" s="26">
        <v>39</v>
      </c>
      <c r="D21" s="26" t="s">
        <v>44</v>
      </c>
      <c r="E21" s="26" t="s">
        <v>42</v>
      </c>
      <c r="F21" s="26" t="s">
        <v>51</v>
      </c>
      <c r="G21" s="27">
        <v>12.491</v>
      </c>
      <c r="H21" s="26">
        <f t="shared" si="0"/>
        <v>149.892</v>
      </c>
      <c r="I21" s="45">
        <f t="shared" si="1"/>
        <v>166.50503</v>
      </c>
      <c r="J21" s="26">
        <f t="shared" si="2"/>
        <v>174.874</v>
      </c>
      <c r="K21" s="26">
        <f t="shared" si="3"/>
        <v>110.92008</v>
      </c>
      <c r="L21" s="45">
        <f t="shared" si="4"/>
        <v>119.9136</v>
      </c>
      <c r="M21" s="45">
        <f t="shared" si="5"/>
        <v>179.8704</v>
      </c>
      <c r="N21" s="45">
        <f t="shared" si="6"/>
        <v>133.15406</v>
      </c>
      <c r="O21" s="45">
        <f t="shared" si="7"/>
        <v>199.856</v>
      </c>
      <c r="P21" s="45">
        <f t="shared" si="8"/>
        <v>139.8992</v>
      </c>
      <c r="Q21" s="45">
        <f t="shared" si="9"/>
        <v>209.8488</v>
      </c>
      <c r="R21" s="45">
        <f t="shared" si="10"/>
        <v>154.3837636</v>
      </c>
      <c r="S21" s="103"/>
    </row>
    <row r="22" spans="1:19">
      <c r="A22" s="26" t="s">
        <v>128</v>
      </c>
      <c r="B22" s="27">
        <v>1.19380238760478</v>
      </c>
      <c r="C22" s="26">
        <v>47</v>
      </c>
      <c r="D22" s="28" t="s">
        <v>41</v>
      </c>
      <c r="E22" s="26" t="s">
        <v>42</v>
      </c>
      <c r="F22" s="26" t="s">
        <v>52</v>
      </c>
      <c r="G22" s="27">
        <v>17.282</v>
      </c>
      <c r="H22" s="26">
        <f t="shared" si="0"/>
        <v>207.384</v>
      </c>
      <c r="I22" s="45">
        <f t="shared" si="1"/>
        <v>230.36906</v>
      </c>
      <c r="J22" s="26">
        <f t="shared" si="2"/>
        <v>241.948</v>
      </c>
      <c r="K22" s="26">
        <f t="shared" si="3"/>
        <v>153.46416</v>
      </c>
      <c r="L22" s="45">
        <f t="shared" si="4"/>
        <v>165.9072</v>
      </c>
      <c r="M22" s="45">
        <f t="shared" si="5"/>
        <v>248.8608</v>
      </c>
      <c r="N22" s="45">
        <f t="shared" si="6"/>
        <v>184.22612</v>
      </c>
      <c r="O22" s="45">
        <f t="shared" si="7"/>
        <v>276.512</v>
      </c>
      <c r="P22" s="45">
        <f t="shared" si="8"/>
        <v>193.5584</v>
      </c>
      <c r="Q22" s="45">
        <f t="shared" si="9"/>
        <v>290.3376</v>
      </c>
      <c r="R22" s="45">
        <f t="shared" si="10"/>
        <v>213.5986072</v>
      </c>
      <c r="S22" s="103"/>
    </row>
    <row r="23" spans="1:19">
      <c r="A23" s="26" t="s">
        <v>128</v>
      </c>
      <c r="B23" s="27">
        <v>1.19380238760478</v>
      </c>
      <c r="C23" s="26">
        <v>47</v>
      </c>
      <c r="D23" s="26" t="s">
        <v>44</v>
      </c>
      <c r="E23" s="26" t="s">
        <v>42</v>
      </c>
      <c r="F23" s="26" t="s">
        <v>52</v>
      </c>
      <c r="G23" s="27">
        <v>13.866</v>
      </c>
      <c r="H23" s="26">
        <f t="shared" si="0"/>
        <v>166.392</v>
      </c>
      <c r="I23" s="45">
        <f t="shared" si="1"/>
        <v>184.83378</v>
      </c>
      <c r="J23" s="26">
        <f t="shared" si="2"/>
        <v>194.124</v>
      </c>
      <c r="K23" s="26">
        <f t="shared" si="3"/>
        <v>123.13008</v>
      </c>
      <c r="L23" s="45">
        <f t="shared" si="4"/>
        <v>133.1136</v>
      </c>
      <c r="M23" s="45">
        <f t="shared" si="5"/>
        <v>199.6704</v>
      </c>
      <c r="N23" s="45">
        <f t="shared" si="6"/>
        <v>147.81156</v>
      </c>
      <c r="O23" s="45">
        <f t="shared" si="7"/>
        <v>221.856</v>
      </c>
      <c r="P23" s="45">
        <f t="shared" si="8"/>
        <v>155.2992</v>
      </c>
      <c r="Q23" s="45">
        <f t="shared" si="9"/>
        <v>232.9488</v>
      </c>
      <c r="R23" s="45">
        <f t="shared" si="10"/>
        <v>171.3782136</v>
      </c>
      <c r="S23" s="103"/>
    </row>
    <row r="24" ht="9" customHeight="1"/>
    <row r="25" ht="15" customHeight="1" spans="1:9">
      <c r="A25" s="31" t="s">
        <v>129</v>
      </c>
      <c r="B25" s="31"/>
      <c r="C25" s="31"/>
      <c r="D25" s="31"/>
      <c r="E25" s="31"/>
      <c r="F25" s="31"/>
      <c r="G25" s="31"/>
      <c r="H25" s="31"/>
      <c r="I25" s="31"/>
    </row>
    <row r="26" ht="31.2" spans="1:9">
      <c r="A26" s="32" t="s">
        <v>59</v>
      </c>
      <c r="B26" s="32" t="s">
        <v>60</v>
      </c>
      <c r="C26" s="32" t="s">
        <v>61</v>
      </c>
      <c r="D26" s="32" t="s">
        <v>62</v>
      </c>
      <c r="E26" s="33" t="s">
        <v>63</v>
      </c>
      <c r="F26" s="34"/>
      <c r="G26" s="34"/>
      <c r="H26" s="33" t="s">
        <v>64</v>
      </c>
      <c r="I26" s="33"/>
    </row>
    <row r="27" ht="31.2" spans="1:9">
      <c r="A27" s="35" t="s">
        <v>65</v>
      </c>
      <c r="B27" s="35" t="s">
        <v>66</v>
      </c>
      <c r="C27" s="35" t="s">
        <v>67</v>
      </c>
      <c r="D27" s="35" t="s">
        <v>68</v>
      </c>
      <c r="E27" s="36" t="s">
        <v>69</v>
      </c>
      <c r="F27" s="36" t="s">
        <v>70</v>
      </c>
      <c r="G27" s="36" t="s">
        <v>71</v>
      </c>
      <c r="H27" s="36" t="s">
        <v>70</v>
      </c>
      <c r="I27" s="36" t="s">
        <v>71</v>
      </c>
    </row>
    <row r="28" spans="1:10">
      <c r="A28" s="26" t="s">
        <v>130</v>
      </c>
      <c r="B28" s="37">
        <v>1080</v>
      </c>
      <c r="C28" s="38">
        <v>0.65</v>
      </c>
      <c r="D28" s="37">
        <v>300</v>
      </c>
      <c r="E28" s="27">
        <v>1.679</v>
      </c>
      <c r="F28" s="39">
        <f t="shared" ref="F28:F36" si="11">G28/D28</f>
        <v>22.02848</v>
      </c>
      <c r="G28" s="39">
        <f t="shared" ref="G28:G34" si="12">E28*3936</f>
        <v>6608.544</v>
      </c>
      <c r="H28" s="39">
        <f t="shared" ref="H28:H36" si="13">I28/D28</f>
        <v>20.927056</v>
      </c>
      <c r="I28" s="26">
        <f t="shared" ref="I28:I36" si="14">G28*0.95</f>
        <v>6278.1168</v>
      </c>
      <c r="J28" s="103"/>
    </row>
    <row r="29" spans="1:10">
      <c r="A29" s="26" t="s">
        <v>130</v>
      </c>
      <c r="B29" s="37">
        <v>1080</v>
      </c>
      <c r="C29" s="38">
        <v>0.68</v>
      </c>
      <c r="D29" s="37">
        <v>300</v>
      </c>
      <c r="E29" s="27">
        <v>1.765</v>
      </c>
      <c r="F29" s="39">
        <f t="shared" si="11"/>
        <v>23.1568</v>
      </c>
      <c r="G29" s="39">
        <f t="shared" si="12"/>
        <v>6947.04</v>
      </c>
      <c r="H29" s="39">
        <f t="shared" si="13"/>
        <v>21.99896</v>
      </c>
      <c r="I29" s="26">
        <f t="shared" si="14"/>
        <v>6599.688</v>
      </c>
      <c r="J29" s="103"/>
    </row>
    <row r="30" spans="1:10">
      <c r="A30" s="26" t="s">
        <v>130</v>
      </c>
      <c r="B30" s="37">
        <v>1080</v>
      </c>
      <c r="C30" s="38">
        <v>0.71</v>
      </c>
      <c r="D30" s="37">
        <v>300</v>
      </c>
      <c r="E30" s="27">
        <v>1.894</v>
      </c>
      <c r="F30" s="39">
        <f t="shared" si="11"/>
        <v>24.84928</v>
      </c>
      <c r="G30" s="39">
        <f t="shared" si="12"/>
        <v>7454.784</v>
      </c>
      <c r="H30" s="39">
        <f t="shared" si="13"/>
        <v>23.606816</v>
      </c>
      <c r="I30" s="26">
        <f t="shared" si="14"/>
        <v>7082.0448</v>
      </c>
      <c r="J30" s="103"/>
    </row>
    <row r="31" spans="1:10">
      <c r="A31" s="26" t="s">
        <v>130</v>
      </c>
      <c r="B31" s="37">
        <v>2116</v>
      </c>
      <c r="C31" s="38">
        <v>0.54</v>
      </c>
      <c r="D31" s="37">
        <v>300</v>
      </c>
      <c r="E31" s="27">
        <v>1.905</v>
      </c>
      <c r="F31" s="39">
        <f t="shared" si="11"/>
        <v>24.9936</v>
      </c>
      <c r="G31" s="39">
        <f t="shared" si="12"/>
        <v>7498.08</v>
      </c>
      <c r="H31" s="39">
        <f t="shared" si="13"/>
        <v>23.74392</v>
      </c>
      <c r="I31" s="26">
        <f t="shared" si="14"/>
        <v>7123.176</v>
      </c>
      <c r="J31" s="103"/>
    </row>
    <row r="32" spans="1:10">
      <c r="A32" s="26" t="s">
        <v>130</v>
      </c>
      <c r="B32" s="37">
        <v>2116</v>
      </c>
      <c r="C32" s="38">
        <v>0.56</v>
      </c>
      <c r="D32" s="37">
        <v>300</v>
      </c>
      <c r="E32" s="27">
        <v>1.977</v>
      </c>
      <c r="F32" s="39">
        <f t="shared" si="11"/>
        <v>25.93824</v>
      </c>
      <c r="G32" s="39">
        <f t="shared" si="12"/>
        <v>7781.472</v>
      </c>
      <c r="H32" s="39">
        <f t="shared" si="13"/>
        <v>24.641328</v>
      </c>
      <c r="I32" s="26">
        <f t="shared" si="14"/>
        <v>7392.3984</v>
      </c>
      <c r="J32" s="103"/>
    </row>
    <row r="33" spans="1:10">
      <c r="A33" s="26" t="s">
        <v>130</v>
      </c>
      <c r="B33" s="37">
        <v>2116</v>
      </c>
      <c r="C33" s="38">
        <v>0.61</v>
      </c>
      <c r="D33" s="37">
        <v>300</v>
      </c>
      <c r="E33" s="27">
        <v>2.39</v>
      </c>
      <c r="F33" s="39">
        <f t="shared" si="11"/>
        <v>31.3568</v>
      </c>
      <c r="G33" s="39">
        <f t="shared" si="12"/>
        <v>9407.04</v>
      </c>
      <c r="H33" s="39">
        <f t="shared" si="13"/>
        <v>29.78896</v>
      </c>
      <c r="I33" s="26">
        <f t="shared" si="14"/>
        <v>8936.688</v>
      </c>
      <c r="J33" s="103"/>
    </row>
    <row r="34" spans="1:10">
      <c r="A34" s="26" t="s">
        <v>130</v>
      </c>
      <c r="B34" s="37">
        <v>7628</v>
      </c>
      <c r="C34" s="38">
        <v>0.45</v>
      </c>
      <c r="D34" s="37">
        <v>150</v>
      </c>
      <c r="E34" s="27">
        <v>2.195</v>
      </c>
      <c r="F34" s="39">
        <f t="shared" si="11"/>
        <v>28.7984</v>
      </c>
      <c r="G34" s="39">
        <f>E34*3936/2</f>
        <v>4319.76</v>
      </c>
      <c r="H34" s="39">
        <f t="shared" si="13"/>
        <v>27.35848</v>
      </c>
      <c r="I34" s="26">
        <f t="shared" si="14"/>
        <v>4103.772</v>
      </c>
      <c r="J34" s="103"/>
    </row>
    <row r="35" spans="1:10">
      <c r="A35" s="26" t="s">
        <v>130</v>
      </c>
      <c r="B35" s="37">
        <v>7628</v>
      </c>
      <c r="C35" s="38">
        <v>0.5</v>
      </c>
      <c r="D35" s="37">
        <v>150</v>
      </c>
      <c r="E35" s="27">
        <v>2.434</v>
      </c>
      <c r="F35" s="39">
        <f t="shared" si="11"/>
        <v>31.93408</v>
      </c>
      <c r="G35" s="39">
        <f>E35*3936/2</f>
        <v>4790.112</v>
      </c>
      <c r="H35" s="39">
        <f t="shared" si="13"/>
        <v>30.337376</v>
      </c>
      <c r="I35" s="26">
        <f t="shared" si="14"/>
        <v>4550.6064</v>
      </c>
      <c r="J35" s="103"/>
    </row>
    <row r="36" spans="1:10">
      <c r="A36" s="26" t="s">
        <v>130</v>
      </c>
      <c r="B36" s="37">
        <v>7628</v>
      </c>
      <c r="C36" s="38">
        <v>0.48</v>
      </c>
      <c r="D36" s="37">
        <v>150</v>
      </c>
      <c r="E36" s="27">
        <v>2.331</v>
      </c>
      <c r="F36" s="39">
        <f t="shared" si="11"/>
        <v>30.58272</v>
      </c>
      <c r="G36" s="39">
        <f>E36*3936/2</f>
        <v>4587.408</v>
      </c>
      <c r="H36" s="39">
        <f t="shared" si="13"/>
        <v>29.053584</v>
      </c>
      <c r="I36" s="26">
        <f t="shared" si="14"/>
        <v>4358.0376</v>
      </c>
      <c r="J36" s="103"/>
    </row>
    <row r="38" spans="1:13">
      <c r="A38" s="40" t="s">
        <v>109</v>
      </c>
      <c r="B38" s="41"/>
      <c r="C38" s="41"/>
      <c r="D38" s="41"/>
      <c r="J38" s="40" t="s">
        <v>76</v>
      </c>
      <c r="K38" s="41"/>
      <c r="L38" s="41"/>
      <c r="M38" s="41"/>
    </row>
  </sheetData>
  <mergeCells count="10">
    <mergeCell ref="A1:N1"/>
    <mergeCell ref="A5:R5"/>
    <mergeCell ref="A6:R6"/>
    <mergeCell ref="A12:R12"/>
    <mergeCell ref="B13:C13"/>
    <mergeCell ref="G13:R13"/>
    <mergeCell ref="A25:I25"/>
    <mergeCell ref="E26:G26"/>
    <mergeCell ref="H26:I26"/>
    <mergeCell ref="A2:R4"/>
  </mergeCells>
  <pageMargins left="0.75" right="0.75" top="1" bottom="1" header="0.5" footer="0.5"/>
  <pageSetup paperSize="9" scale="74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0"/>
  <sheetViews>
    <sheetView view="pageBreakPreview" zoomScale="85" zoomScaleNormal="85" topLeftCell="A76" workbookViewId="0">
      <selection activeCell="D91" sqref="D91:F91"/>
    </sheetView>
  </sheetViews>
  <sheetFormatPr defaultColWidth="8.8" defaultRowHeight="15.6"/>
  <cols>
    <col min="1" max="1" width="13.0583333333333" customWidth="1"/>
    <col min="2" max="5" width="9.16666666666667" customWidth="1"/>
    <col min="6" max="6" width="10.1166666666667" customWidth="1"/>
    <col min="7" max="19" width="9.16666666666667" customWidth="1"/>
  </cols>
  <sheetData>
    <row r="1" s="72" customForma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="72" customFormat="1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2"/>
    </row>
    <row r="3" s="72" customFormat="1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2"/>
    </row>
    <row r="4" s="72" customFormat="1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2"/>
    </row>
    <row r="5" s="72" customFormat="1" spans="1:19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2"/>
    </row>
    <row r="6" s="72" customFormat="1" spans="1:19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2"/>
    </row>
    <row r="7" s="72" customFormat="1" ht="17.4" spans="1:19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  <c r="S7" s="42"/>
    </row>
    <row r="8" s="72" customFormat="1" ht="17.4" spans="1:19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  <c r="S8" s="42"/>
    </row>
    <row r="9" s="72" customFormat="1" ht="17.4" spans="1:19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  <c r="S9" s="42"/>
    </row>
    <row r="10" s="72" customFormat="1" ht="17.4" spans="1:19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10</v>
      </c>
      <c r="P10" s="43"/>
      <c r="Q10" s="43"/>
      <c r="R10" s="43"/>
      <c r="S10" s="42"/>
    </row>
    <row r="11" s="72" customFormat="1" ht="17.4" spans="1:19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  <c r="S11" s="42"/>
    </row>
    <row r="12" ht="19.2" spans="1:18">
      <c r="A12" s="20" t="s">
        <v>131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ht="19" customHeight="1" spans="1:18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22" t="s">
        <v>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ht="20" customHeight="1" spans="1:18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24" t="s">
        <v>24</v>
      </c>
      <c r="H14" s="25" t="s">
        <v>25</v>
      </c>
      <c r="I14" s="25" t="s">
        <v>26</v>
      </c>
      <c r="J14" s="23" t="s">
        <v>27</v>
      </c>
      <c r="K14" s="44" t="s">
        <v>35</v>
      </c>
      <c r="L14" s="25" t="s">
        <v>29</v>
      </c>
      <c r="M14" s="23" t="s">
        <v>30</v>
      </c>
      <c r="N14" s="24" t="s">
        <v>31</v>
      </c>
      <c r="O14" s="25" t="s">
        <v>32</v>
      </c>
      <c r="P14" s="23" t="s">
        <v>33</v>
      </c>
      <c r="Q14" s="23" t="s">
        <v>34</v>
      </c>
      <c r="R14" s="23" t="s">
        <v>28</v>
      </c>
    </row>
    <row r="15" spans="1:19">
      <c r="A15" s="26" t="s">
        <v>132</v>
      </c>
      <c r="B15" s="85">
        <v>0.0508</v>
      </c>
      <c r="C15" s="26">
        <v>2</v>
      </c>
      <c r="D15" s="26" t="s">
        <v>41</v>
      </c>
      <c r="E15" s="26" t="s">
        <v>39</v>
      </c>
      <c r="F15" s="26" t="s">
        <v>40</v>
      </c>
      <c r="G15" s="27">
        <v>10.698</v>
      </c>
      <c r="H15" s="26">
        <f>G15*12</f>
        <v>128.376</v>
      </c>
      <c r="I15" s="45">
        <f>G15*13.33</f>
        <v>142.60434</v>
      </c>
      <c r="J15" s="26">
        <f>G15*14</f>
        <v>149.772</v>
      </c>
      <c r="K15" s="26">
        <f>G15*8.88</f>
        <v>94.99824</v>
      </c>
      <c r="L15" s="45">
        <f>G15*9.6</f>
        <v>102.7008</v>
      </c>
      <c r="M15" s="45">
        <f>G15*14.4</f>
        <v>154.0512</v>
      </c>
      <c r="N15" s="45">
        <f>G15*10.66</f>
        <v>114.04068</v>
      </c>
      <c r="O15" s="45">
        <f>G15*16</f>
        <v>171.168</v>
      </c>
      <c r="P15" s="45">
        <f>G15*11.2</f>
        <v>119.8176</v>
      </c>
      <c r="Q15" s="45">
        <f>G15*16.8</f>
        <v>179.7264</v>
      </c>
      <c r="R15" s="90">
        <f>G15*11.66*1.06</f>
        <v>132.2230008</v>
      </c>
      <c r="S15" s="82"/>
    </row>
    <row r="16" spans="1:19">
      <c r="A16" s="26" t="s">
        <v>132</v>
      </c>
      <c r="B16" s="85">
        <v>0.0508</v>
      </c>
      <c r="C16" s="26">
        <v>2</v>
      </c>
      <c r="D16" s="26" t="s">
        <v>83</v>
      </c>
      <c r="E16" s="26" t="s">
        <v>39</v>
      </c>
      <c r="F16" s="26" t="s">
        <v>40</v>
      </c>
      <c r="G16" s="27">
        <v>8.842</v>
      </c>
      <c r="H16" s="26">
        <f>G16*12</f>
        <v>106.104</v>
      </c>
      <c r="I16" s="45">
        <f>G16*13.33</f>
        <v>117.86386</v>
      </c>
      <c r="J16" s="26">
        <f>G16*14</f>
        <v>123.788</v>
      </c>
      <c r="K16" s="26">
        <f>G16*8.88</f>
        <v>78.51696</v>
      </c>
      <c r="L16" s="45">
        <f>G16*9.6</f>
        <v>84.8832</v>
      </c>
      <c r="M16" s="45">
        <f>G16*14.4</f>
        <v>127.3248</v>
      </c>
      <c r="N16" s="45">
        <f>G16*10.66</f>
        <v>94.25572</v>
      </c>
      <c r="O16" s="45">
        <f>G16*16</f>
        <v>141.472</v>
      </c>
      <c r="P16" s="45">
        <f>G16*11.2</f>
        <v>99.0304</v>
      </c>
      <c r="Q16" s="45">
        <f>G16*16.8</f>
        <v>148.5456</v>
      </c>
      <c r="R16" s="90">
        <f>G16*11.66*1.06</f>
        <v>109.2835832</v>
      </c>
      <c r="S16" s="82"/>
    </row>
    <row r="17" spans="1:19">
      <c r="A17" s="26" t="s">
        <v>132</v>
      </c>
      <c r="B17" s="85">
        <v>0.0508</v>
      </c>
      <c r="C17" s="26">
        <v>2</v>
      </c>
      <c r="D17" s="26" t="s">
        <v>44</v>
      </c>
      <c r="E17" s="26" t="s">
        <v>39</v>
      </c>
      <c r="F17" s="26" t="s">
        <v>40</v>
      </c>
      <c r="G17" s="27">
        <v>7.21</v>
      </c>
      <c r="H17" s="26">
        <f>G17*12</f>
        <v>86.52</v>
      </c>
      <c r="I17" s="45">
        <f>G17*13.33</f>
        <v>96.1093</v>
      </c>
      <c r="J17" s="26">
        <f>G17*14</f>
        <v>100.94</v>
      </c>
      <c r="K17" s="26">
        <f>G17*8.88</f>
        <v>64.0248</v>
      </c>
      <c r="L17" s="45">
        <f>G17*9.6</f>
        <v>69.216</v>
      </c>
      <c r="M17" s="45">
        <f>G17*14.4</f>
        <v>103.824</v>
      </c>
      <c r="N17" s="45">
        <f>G17*10.66</f>
        <v>76.8586</v>
      </c>
      <c r="O17" s="45">
        <f>G17*16</f>
        <v>115.36</v>
      </c>
      <c r="P17" s="45">
        <f>G17*11.2</f>
        <v>80.752</v>
      </c>
      <c r="Q17" s="45">
        <f>G17*16.8</f>
        <v>121.128</v>
      </c>
      <c r="R17" s="90">
        <f>G17*11.66*1.06</f>
        <v>89.112716</v>
      </c>
      <c r="S17" s="82"/>
    </row>
    <row r="18" spans="1:19">
      <c r="A18" s="26" t="s">
        <v>132</v>
      </c>
      <c r="B18" s="85">
        <v>0.05842</v>
      </c>
      <c r="C18" s="26">
        <v>2.3</v>
      </c>
      <c r="D18" s="26" t="s">
        <v>41</v>
      </c>
      <c r="E18" s="26" t="s">
        <v>39</v>
      </c>
      <c r="F18" s="26" t="s">
        <v>133</v>
      </c>
      <c r="G18" s="27">
        <v>10.893</v>
      </c>
      <c r="H18" s="26">
        <f t="shared" ref="H18:H30" si="0">G18*12</f>
        <v>130.716</v>
      </c>
      <c r="I18" s="45">
        <f t="shared" ref="I18:I30" si="1">G18*13.33</f>
        <v>145.20369</v>
      </c>
      <c r="J18" s="26">
        <f t="shared" ref="J18:J30" si="2">G18*14</f>
        <v>152.502</v>
      </c>
      <c r="K18" s="26">
        <f t="shared" ref="K18:K30" si="3">G18*8.88</f>
        <v>96.72984</v>
      </c>
      <c r="L18" s="45">
        <f t="shared" ref="L18:L30" si="4">G18*9.6</f>
        <v>104.5728</v>
      </c>
      <c r="M18" s="45">
        <f t="shared" ref="M18:M30" si="5">G18*14.4</f>
        <v>156.8592</v>
      </c>
      <c r="N18" s="45">
        <f t="shared" ref="N18:N30" si="6">G18*10.66</f>
        <v>116.11938</v>
      </c>
      <c r="O18" s="45">
        <f t="shared" ref="O18:O30" si="7">G18*16</f>
        <v>174.288</v>
      </c>
      <c r="P18" s="45">
        <f t="shared" ref="P18:P30" si="8">G18*11.2</f>
        <v>122.0016</v>
      </c>
      <c r="Q18" s="45">
        <f t="shared" ref="Q18:Q30" si="9">G18*16.8</f>
        <v>183.0024</v>
      </c>
      <c r="R18" s="90">
        <f t="shared" ref="R18:R30" si="10">G18*11.66*1.06</f>
        <v>134.6331228</v>
      </c>
      <c r="S18" s="82"/>
    </row>
    <row r="19" spans="1:19">
      <c r="A19" s="26" t="s">
        <v>132</v>
      </c>
      <c r="B19" s="85">
        <v>0.0635</v>
      </c>
      <c r="C19" s="26">
        <v>2.5</v>
      </c>
      <c r="D19" s="26" t="s">
        <v>41</v>
      </c>
      <c r="E19" s="26" t="s">
        <v>39</v>
      </c>
      <c r="F19" s="26" t="s">
        <v>114</v>
      </c>
      <c r="G19" s="27">
        <v>10.502</v>
      </c>
      <c r="H19" s="26">
        <f t="shared" si="0"/>
        <v>126.024</v>
      </c>
      <c r="I19" s="45">
        <f t="shared" si="1"/>
        <v>139.99166</v>
      </c>
      <c r="J19" s="26">
        <f t="shared" si="2"/>
        <v>147.028</v>
      </c>
      <c r="K19" s="26">
        <f t="shared" si="3"/>
        <v>93.25776</v>
      </c>
      <c r="L19" s="45">
        <f t="shared" si="4"/>
        <v>100.8192</v>
      </c>
      <c r="M19" s="45">
        <f t="shared" si="5"/>
        <v>151.2288</v>
      </c>
      <c r="N19" s="45">
        <f t="shared" si="6"/>
        <v>111.95132</v>
      </c>
      <c r="O19" s="45">
        <f t="shared" si="7"/>
        <v>168.032</v>
      </c>
      <c r="P19" s="45">
        <f t="shared" si="8"/>
        <v>117.6224</v>
      </c>
      <c r="Q19" s="45">
        <f t="shared" si="9"/>
        <v>176.4336</v>
      </c>
      <c r="R19" s="90">
        <f t="shared" si="10"/>
        <v>129.8005192</v>
      </c>
      <c r="S19" s="82"/>
    </row>
    <row r="20" spans="1:19">
      <c r="A20" s="26" t="s">
        <v>132</v>
      </c>
      <c r="B20" s="85">
        <v>0.0635</v>
      </c>
      <c r="C20" s="26">
        <v>2.5</v>
      </c>
      <c r="D20" s="26" t="s">
        <v>83</v>
      </c>
      <c r="E20" s="26" t="s">
        <v>39</v>
      </c>
      <c r="F20" s="26" t="s">
        <v>114</v>
      </c>
      <c r="G20" s="27">
        <v>9.07</v>
      </c>
      <c r="H20" s="26">
        <f t="shared" si="0"/>
        <v>108.84</v>
      </c>
      <c r="I20" s="45">
        <f t="shared" si="1"/>
        <v>120.9031</v>
      </c>
      <c r="J20" s="26">
        <f t="shared" si="2"/>
        <v>126.98</v>
      </c>
      <c r="K20" s="26">
        <f t="shared" si="3"/>
        <v>80.5416</v>
      </c>
      <c r="L20" s="45">
        <f t="shared" si="4"/>
        <v>87.072</v>
      </c>
      <c r="M20" s="45">
        <f t="shared" si="5"/>
        <v>130.608</v>
      </c>
      <c r="N20" s="45">
        <f t="shared" si="6"/>
        <v>96.6862</v>
      </c>
      <c r="O20" s="45">
        <f t="shared" si="7"/>
        <v>145.12</v>
      </c>
      <c r="P20" s="45">
        <f t="shared" si="8"/>
        <v>101.584</v>
      </c>
      <c r="Q20" s="45">
        <f t="shared" si="9"/>
        <v>152.376</v>
      </c>
      <c r="R20" s="90">
        <f t="shared" si="10"/>
        <v>112.101572</v>
      </c>
      <c r="S20" s="82"/>
    </row>
    <row r="21" spans="1:19">
      <c r="A21" s="26" t="s">
        <v>132</v>
      </c>
      <c r="B21" s="85">
        <v>0.0635</v>
      </c>
      <c r="C21" s="26">
        <v>2.5</v>
      </c>
      <c r="D21" s="26" t="s">
        <v>44</v>
      </c>
      <c r="E21" s="26" t="s">
        <v>39</v>
      </c>
      <c r="F21" s="26" t="s">
        <v>114</v>
      </c>
      <c r="G21" s="27">
        <v>7.391</v>
      </c>
      <c r="H21" s="26">
        <f t="shared" si="0"/>
        <v>88.692</v>
      </c>
      <c r="I21" s="45">
        <f t="shared" si="1"/>
        <v>98.52203</v>
      </c>
      <c r="J21" s="26">
        <f t="shared" si="2"/>
        <v>103.474</v>
      </c>
      <c r="K21" s="26">
        <f t="shared" si="3"/>
        <v>65.63208</v>
      </c>
      <c r="L21" s="45">
        <f t="shared" si="4"/>
        <v>70.9536</v>
      </c>
      <c r="M21" s="45">
        <f t="shared" si="5"/>
        <v>106.4304</v>
      </c>
      <c r="N21" s="45">
        <f t="shared" si="6"/>
        <v>78.78806</v>
      </c>
      <c r="O21" s="45">
        <f t="shared" si="7"/>
        <v>118.256</v>
      </c>
      <c r="P21" s="45">
        <f t="shared" si="8"/>
        <v>82.7792</v>
      </c>
      <c r="Q21" s="45">
        <f t="shared" si="9"/>
        <v>124.1688</v>
      </c>
      <c r="R21" s="90">
        <f t="shared" si="10"/>
        <v>91.3498036</v>
      </c>
      <c r="S21" s="82"/>
    </row>
    <row r="22" spans="1:19">
      <c r="A22" s="26" t="s">
        <v>132</v>
      </c>
      <c r="B22" s="27">
        <v>0.079</v>
      </c>
      <c r="C22" s="26">
        <v>3</v>
      </c>
      <c r="D22" s="26" t="s">
        <v>41</v>
      </c>
      <c r="E22" s="26" t="s">
        <v>39</v>
      </c>
      <c r="F22" s="26" t="s">
        <v>114</v>
      </c>
      <c r="G22" s="27">
        <v>10.703</v>
      </c>
      <c r="H22" s="26">
        <f t="shared" si="0"/>
        <v>128.436</v>
      </c>
      <c r="I22" s="45">
        <f t="shared" si="1"/>
        <v>142.67099</v>
      </c>
      <c r="J22" s="26">
        <f t="shared" si="2"/>
        <v>149.842</v>
      </c>
      <c r="K22" s="26">
        <f t="shared" si="3"/>
        <v>95.04264</v>
      </c>
      <c r="L22" s="45">
        <f t="shared" si="4"/>
        <v>102.7488</v>
      </c>
      <c r="M22" s="45">
        <f t="shared" si="5"/>
        <v>154.1232</v>
      </c>
      <c r="N22" s="45">
        <f t="shared" si="6"/>
        <v>114.09398</v>
      </c>
      <c r="O22" s="45">
        <f t="shared" si="7"/>
        <v>171.248</v>
      </c>
      <c r="P22" s="45">
        <f t="shared" si="8"/>
        <v>119.8736</v>
      </c>
      <c r="Q22" s="45">
        <f t="shared" si="9"/>
        <v>179.8104</v>
      </c>
      <c r="R22" s="90">
        <f t="shared" si="10"/>
        <v>132.2847988</v>
      </c>
      <c r="S22" s="82"/>
    </row>
    <row r="23" spans="1:19">
      <c r="A23" s="26" t="s">
        <v>132</v>
      </c>
      <c r="B23" s="27">
        <v>0.079</v>
      </c>
      <c r="C23" s="26">
        <v>3</v>
      </c>
      <c r="D23" s="26" t="s">
        <v>44</v>
      </c>
      <c r="E23" s="26" t="s">
        <v>42</v>
      </c>
      <c r="F23" s="26" t="s">
        <v>84</v>
      </c>
      <c r="G23" s="27">
        <v>6.87</v>
      </c>
      <c r="H23" s="26">
        <f t="shared" si="0"/>
        <v>82.44</v>
      </c>
      <c r="I23" s="45">
        <f t="shared" si="1"/>
        <v>91.5771</v>
      </c>
      <c r="J23" s="26">
        <f t="shared" si="2"/>
        <v>96.18</v>
      </c>
      <c r="K23" s="26">
        <f t="shared" si="3"/>
        <v>61.0056</v>
      </c>
      <c r="L23" s="45">
        <f t="shared" si="4"/>
        <v>65.952</v>
      </c>
      <c r="M23" s="45">
        <f t="shared" si="5"/>
        <v>98.928</v>
      </c>
      <c r="N23" s="45">
        <f t="shared" si="6"/>
        <v>73.2342</v>
      </c>
      <c r="O23" s="45">
        <f t="shared" si="7"/>
        <v>109.92</v>
      </c>
      <c r="P23" s="45">
        <f t="shared" si="8"/>
        <v>76.944</v>
      </c>
      <c r="Q23" s="45">
        <f t="shared" si="9"/>
        <v>115.416</v>
      </c>
      <c r="R23" s="90">
        <f t="shared" si="10"/>
        <v>84.910452</v>
      </c>
      <c r="S23" s="82"/>
    </row>
    <row r="24" spans="1:19">
      <c r="A24" s="26" t="s">
        <v>132</v>
      </c>
      <c r="B24" s="27">
        <v>0.079</v>
      </c>
      <c r="C24" s="26">
        <v>3</v>
      </c>
      <c r="D24" s="26" t="s">
        <v>44</v>
      </c>
      <c r="E24" s="26" t="s">
        <v>39</v>
      </c>
      <c r="F24" s="26" t="s">
        <v>84</v>
      </c>
      <c r="G24" s="27">
        <v>7.376</v>
      </c>
      <c r="H24" s="26">
        <f t="shared" si="0"/>
        <v>88.512</v>
      </c>
      <c r="I24" s="45">
        <f t="shared" si="1"/>
        <v>98.32208</v>
      </c>
      <c r="J24" s="26">
        <f t="shared" si="2"/>
        <v>103.264</v>
      </c>
      <c r="K24" s="26">
        <f t="shared" si="3"/>
        <v>65.49888</v>
      </c>
      <c r="L24" s="45">
        <f t="shared" si="4"/>
        <v>70.8096</v>
      </c>
      <c r="M24" s="45">
        <f t="shared" si="5"/>
        <v>106.2144</v>
      </c>
      <c r="N24" s="45">
        <f t="shared" si="6"/>
        <v>78.62816</v>
      </c>
      <c r="O24" s="45">
        <f t="shared" si="7"/>
        <v>118.016</v>
      </c>
      <c r="P24" s="45">
        <f t="shared" si="8"/>
        <v>82.6112</v>
      </c>
      <c r="Q24" s="45">
        <f t="shared" si="9"/>
        <v>123.9168</v>
      </c>
      <c r="R24" s="90">
        <f t="shared" si="10"/>
        <v>91.1644096</v>
      </c>
      <c r="S24" s="82"/>
    </row>
    <row r="25" spans="1:19">
      <c r="A25" s="26" t="s">
        <v>132</v>
      </c>
      <c r="B25" s="27">
        <v>0.079</v>
      </c>
      <c r="C25" s="26">
        <v>3</v>
      </c>
      <c r="D25" s="26" t="s">
        <v>85</v>
      </c>
      <c r="E25" s="26" t="s">
        <v>39</v>
      </c>
      <c r="F25" s="26" t="s">
        <v>114</v>
      </c>
      <c r="G25" s="27">
        <v>15.11</v>
      </c>
      <c r="H25" s="26">
        <f t="shared" si="0"/>
        <v>181.32</v>
      </c>
      <c r="I25" s="45">
        <f t="shared" si="1"/>
        <v>201.4163</v>
      </c>
      <c r="J25" s="26">
        <f t="shared" si="2"/>
        <v>211.54</v>
      </c>
      <c r="K25" s="26">
        <f t="shared" si="3"/>
        <v>134.1768</v>
      </c>
      <c r="L25" s="45">
        <f t="shared" si="4"/>
        <v>145.056</v>
      </c>
      <c r="M25" s="45">
        <f t="shared" si="5"/>
        <v>217.584</v>
      </c>
      <c r="N25" s="45">
        <f t="shared" si="6"/>
        <v>161.0726</v>
      </c>
      <c r="O25" s="45">
        <f t="shared" si="7"/>
        <v>241.76</v>
      </c>
      <c r="P25" s="45">
        <f t="shared" si="8"/>
        <v>169.232</v>
      </c>
      <c r="Q25" s="45">
        <f t="shared" si="9"/>
        <v>253.848</v>
      </c>
      <c r="R25" s="90">
        <f t="shared" si="10"/>
        <v>186.753556</v>
      </c>
      <c r="S25" s="82"/>
    </row>
    <row r="26" spans="1:19">
      <c r="A26" s="26" t="s">
        <v>132</v>
      </c>
      <c r="B26" s="27">
        <v>0.079</v>
      </c>
      <c r="C26" s="26">
        <v>3</v>
      </c>
      <c r="D26" s="26" t="s">
        <v>38</v>
      </c>
      <c r="E26" s="26" t="s">
        <v>39</v>
      </c>
      <c r="F26" s="26" t="s">
        <v>114</v>
      </c>
      <c r="G26" s="27">
        <v>19.45</v>
      </c>
      <c r="H26" s="26">
        <f t="shared" si="0"/>
        <v>233.4</v>
      </c>
      <c r="I26" s="45">
        <f t="shared" si="1"/>
        <v>259.2685</v>
      </c>
      <c r="J26" s="26">
        <f t="shared" si="2"/>
        <v>272.3</v>
      </c>
      <c r="K26" s="26">
        <f t="shared" si="3"/>
        <v>172.716</v>
      </c>
      <c r="L26" s="45">
        <f t="shared" si="4"/>
        <v>186.72</v>
      </c>
      <c r="M26" s="45">
        <f t="shared" si="5"/>
        <v>280.08</v>
      </c>
      <c r="N26" s="45">
        <f t="shared" si="6"/>
        <v>207.337</v>
      </c>
      <c r="O26" s="45">
        <f t="shared" si="7"/>
        <v>311.2</v>
      </c>
      <c r="P26" s="45">
        <f t="shared" si="8"/>
        <v>217.84</v>
      </c>
      <c r="Q26" s="45">
        <f t="shared" si="9"/>
        <v>326.76</v>
      </c>
      <c r="R26" s="90">
        <f t="shared" si="10"/>
        <v>240.39422</v>
      </c>
      <c r="S26" s="82"/>
    </row>
    <row r="27" spans="1:19">
      <c r="A27" s="26" t="s">
        <v>132</v>
      </c>
      <c r="B27" s="27">
        <v>0.079</v>
      </c>
      <c r="C27" s="26">
        <v>3</v>
      </c>
      <c r="D27" s="26" t="s">
        <v>41</v>
      </c>
      <c r="E27" s="26" t="s">
        <v>134</v>
      </c>
      <c r="F27" s="26" t="s">
        <v>82</v>
      </c>
      <c r="G27" s="27">
        <v>11.229</v>
      </c>
      <c r="H27" s="26">
        <f t="shared" si="0"/>
        <v>134.748</v>
      </c>
      <c r="I27" s="45">
        <f t="shared" si="1"/>
        <v>149.68257</v>
      </c>
      <c r="J27" s="26">
        <f t="shared" si="2"/>
        <v>157.206</v>
      </c>
      <c r="K27" s="26">
        <f t="shared" si="3"/>
        <v>99.71352</v>
      </c>
      <c r="L27" s="45">
        <f t="shared" si="4"/>
        <v>107.7984</v>
      </c>
      <c r="M27" s="45">
        <f t="shared" si="5"/>
        <v>161.6976</v>
      </c>
      <c r="N27" s="45">
        <f t="shared" si="6"/>
        <v>119.70114</v>
      </c>
      <c r="O27" s="45">
        <f t="shared" si="7"/>
        <v>179.664</v>
      </c>
      <c r="P27" s="45">
        <f t="shared" si="8"/>
        <v>125.7648</v>
      </c>
      <c r="Q27" s="45">
        <f t="shared" si="9"/>
        <v>188.6472</v>
      </c>
      <c r="R27" s="90">
        <f t="shared" si="10"/>
        <v>138.7859484</v>
      </c>
      <c r="S27" s="82"/>
    </row>
    <row r="28" spans="1:19">
      <c r="A28" s="26" t="s">
        <v>132</v>
      </c>
      <c r="B28" s="27">
        <v>0.079</v>
      </c>
      <c r="C28" s="26">
        <v>3</v>
      </c>
      <c r="D28" s="26" t="s">
        <v>44</v>
      </c>
      <c r="E28" s="26" t="s">
        <v>39</v>
      </c>
      <c r="F28" s="26" t="s">
        <v>114</v>
      </c>
      <c r="G28" s="27">
        <v>7.38</v>
      </c>
      <c r="H28" s="26">
        <f t="shared" si="0"/>
        <v>88.56</v>
      </c>
      <c r="I28" s="45">
        <f t="shared" si="1"/>
        <v>98.3754</v>
      </c>
      <c r="J28" s="26">
        <f t="shared" si="2"/>
        <v>103.32</v>
      </c>
      <c r="K28" s="26">
        <f t="shared" si="3"/>
        <v>65.5344</v>
      </c>
      <c r="L28" s="45">
        <f t="shared" si="4"/>
        <v>70.848</v>
      </c>
      <c r="M28" s="45">
        <f t="shared" si="5"/>
        <v>106.272</v>
      </c>
      <c r="N28" s="45">
        <f t="shared" si="6"/>
        <v>78.6708</v>
      </c>
      <c r="O28" s="45">
        <f t="shared" si="7"/>
        <v>118.08</v>
      </c>
      <c r="P28" s="45">
        <f t="shared" si="8"/>
        <v>82.656</v>
      </c>
      <c r="Q28" s="45">
        <f t="shared" si="9"/>
        <v>123.984</v>
      </c>
      <c r="R28" s="90">
        <f t="shared" si="10"/>
        <v>91.213848</v>
      </c>
      <c r="S28" s="82"/>
    </row>
    <row r="29" spans="1:19">
      <c r="A29" s="26" t="s">
        <v>132</v>
      </c>
      <c r="B29" s="27">
        <v>0.079</v>
      </c>
      <c r="C29" s="26">
        <v>3</v>
      </c>
      <c r="D29" s="26" t="s">
        <v>83</v>
      </c>
      <c r="E29" s="26" t="s">
        <v>39</v>
      </c>
      <c r="F29" s="26" t="s">
        <v>114</v>
      </c>
      <c r="G29" s="27">
        <v>9.463</v>
      </c>
      <c r="H29" s="26">
        <f t="shared" si="0"/>
        <v>113.556</v>
      </c>
      <c r="I29" s="45">
        <f t="shared" si="1"/>
        <v>126.14179</v>
      </c>
      <c r="J29" s="26">
        <f t="shared" si="2"/>
        <v>132.482</v>
      </c>
      <c r="K29" s="26">
        <f t="shared" si="3"/>
        <v>84.03144</v>
      </c>
      <c r="L29" s="45">
        <f t="shared" si="4"/>
        <v>90.8448</v>
      </c>
      <c r="M29" s="45">
        <f t="shared" si="5"/>
        <v>136.2672</v>
      </c>
      <c r="N29" s="45">
        <f t="shared" si="6"/>
        <v>100.87558</v>
      </c>
      <c r="O29" s="45">
        <f t="shared" si="7"/>
        <v>151.408</v>
      </c>
      <c r="P29" s="45">
        <f t="shared" si="8"/>
        <v>105.9856</v>
      </c>
      <c r="Q29" s="45">
        <f t="shared" si="9"/>
        <v>158.9784</v>
      </c>
      <c r="R29" s="90">
        <f t="shared" si="10"/>
        <v>116.9588948</v>
      </c>
      <c r="S29" s="82"/>
    </row>
    <row r="30" spans="1:19">
      <c r="A30" s="26" t="s">
        <v>132</v>
      </c>
      <c r="B30" s="85">
        <v>0.0889</v>
      </c>
      <c r="C30" s="26">
        <v>3.5</v>
      </c>
      <c r="D30" s="26" t="s">
        <v>41</v>
      </c>
      <c r="E30" s="26" t="s">
        <v>39</v>
      </c>
      <c r="F30" s="26" t="s">
        <v>86</v>
      </c>
      <c r="G30" s="27">
        <v>10.884</v>
      </c>
      <c r="H30" s="26">
        <f t="shared" si="0"/>
        <v>130.608</v>
      </c>
      <c r="I30" s="45">
        <f t="shared" si="1"/>
        <v>145.08372</v>
      </c>
      <c r="J30" s="26">
        <f t="shared" si="2"/>
        <v>152.376</v>
      </c>
      <c r="K30" s="26">
        <f t="shared" si="3"/>
        <v>96.64992</v>
      </c>
      <c r="L30" s="45">
        <f t="shared" si="4"/>
        <v>104.4864</v>
      </c>
      <c r="M30" s="45">
        <f t="shared" si="5"/>
        <v>156.7296</v>
      </c>
      <c r="N30" s="45">
        <f t="shared" si="6"/>
        <v>116.02344</v>
      </c>
      <c r="O30" s="45">
        <f t="shared" si="7"/>
        <v>174.144</v>
      </c>
      <c r="P30" s="45">
        <f t="shared" si="8"/>
        <v>121.9008</v>
      </c>
      <c r="Q30" s="45">
        <f t="shared" si="9"/>
        <v>182.8512</v>
      </c>
      <c r="R30" s="90">
        <f t="shared" si="10"/>
        <v>134.5218864</v>
      </c>
      <c r="S30" s="82"/>
    </row>
    <row r="31" spans="1:19">
      <c r="A31" s="26" t="s">
        <v>132</v>
      </c>
      <c r="B31" s="85">
        <v>0.0889</v>
      </c>
      <c r="C31" s="26">
        <v>3.5</v>
      </c>
      <c r="D31" s="26" t="s">
        <v>85</v>
      </c>
      <c r="E31" s="26" t="s">
        <v>39</v>
      </c>
      <c r="F31" s="26" t="s">
        <v>86</v>
      </c>
      <c r="G31" s="27">
        <v>15.281</v>
      </c>
      <c r="H31" s="26">
        <f t="shared" ref="H31:H44" si="11">G31*12</f>
        <v>183.372</v>
      </c>
      <c r="I31" s="45">
        <f t="shared" ref="I31:I44" si="12">G31*13.33</f>
        <v>203.69573</v>
      </c>
      <c r="J31" s="26">
        <f t="shared" ref="J31:J44" si="13">G31*14</f>
        <v>213.934</v>
      </c>
      <c r="K31" s="26">
        <f t="shared" ref="K31:K44" si="14">G31*8.88</f>
        <v>135.69528</v>
      </c>
      <c r="L31" s="45">
        <f t="shared" ref="L31:L44" si="15">G31*9.6</f>
        <v>146.6976</v>
      </c>
      <c r="M31" s="45">
        <f t="shared" ref="M31:M44" si="16">G31*14.4</f>
        <v>220.0464</v>
      </c>
      <c r="N31" s="45">
        <f t="shared" ref="N31:N44" si="17">G31*10.66</f>
        <v>162.89546</v>
      </c>
      <c r="O31" s="45">
        <f t="shared" ref="O31:O44" si="18">G31*16</f>
        <v>244.496</v>
      </c>
      <c r="P31" s="45">
        <f t="shared" ref="P31:P44" si="19">G31*11.2</f>
        <v>171.1472</v>
      </c>
      <c r="Q31" s="45">
        <f t="shared" ref="Q31:Q44" si="20">G31*16.8</f>
        <v>256.7208</v>
      </c>
      <c r="R31" s="90">
        <f t="shared" ref="R31:R44" si="21">G31*11.66*1.06</f>
        <v>188.8670476</v>
      </c>
      <c r="S31" s="82"/>
    </row>
    <row r="32" spans="1:19">
      <c r="A32" s="26" t="s">
        <v>132</v>
      </c>
      <c r="B32" s="85">
        <v>0.0889</v>
      </c>
      <c r="C32" s="26">
        <v>3.5</v>
      </c>
      <c r="D32" s="26" t="s">
        <v>83</v>
      </c>
      <c r="E32" s="26" t="s">
        <v>39</v>
      </c>
      <c r="F32" s="26" t="s">
        <v>86</v>
      </c>
      <c r="G32" s="27">
        <v>9.127</v>
      </c>
      <c r="H32" s="26">
        <f t="shared" si="11"/>
        <v>109.524</v>
      </c>
      <c r="I32" s="45">
        <f t="shared" si="12"/>
        <v>121.66291</v>
      </c>
      <c r="J32" s="26">
        <f t="shared" si="13"/>
        <v>127.778</v>
      </c>
      <c r="K32" s="26">
        <f t="shared" si="14"/>
        <v>81.04776</v>
      </c>
      <c r="L32" s="45">
        <f t="shared" si="15"/>
        <v>87.6192</v>
      </c>
      <c r="M32" s="45">
        <f t="shared" si="16"/>
        <v>131.4288</v>
      </c>
      <c r="N32" s="45">
        <f t="shared" si="17"/>
        <v>97.29382</v>
      </c>
      <c r="O32" s="45">
        <f t="shared" si="18"/>
        <v>146.032</v>
      </c>
      <c r="P32" s="45">
        <f t="shared" si="19"/>
        <v>102.2224</v>
      </c>
      <c r="Q32" s="45">
        <f t="shared" si="20"/>
        <v>153.3336</v>
      </c>
      <c r="R32" s="90">
        <f t="shared" si="21"/>
        <v>112.8060692</v>
      </c>
      <c r="S32" s="82"/>
    </row>
    <row r="33" spans="1:19">
      <c r="A33" s="26" t="s">
        <v>132</v>
      </c>
      <c r="B33" s="85">
        <v>0.0889</v>
      </c>
      <c r="C33" s="26">
        <v>3.5</v>
      </c>
      <c r="D33" s="26" t="s">
        <v>44</v>
      </c>
      <c r="E33" s="26" t="s">
        <v>39</v>
      </c>
      <c r="F33" s="26" t="s">
        <v>86</v>
      </c>
      <c r="G33" s="27">
        <v>7.396</v>
      </c>
      <c r="H33" s="26">
        <f t="shared" si="11"/>
        <v>88.752</v>
      </c>
      <c r="I33" s="45">
        <f t="shared" si="12"/>
        <v>98.58868</v>
      </c>
      <c r="J33" s="26">
        <f t="shared" si="13"/>
        <v>103.544</v>
      </c>
      <c r="K33" s="26">
        <f t="shared" si="14"/>
        <v>65.67648</v>
      </c>
      <c r="L33" s="45">
        <f t="shared" si="15"/>
        <v>71.0016</v>
      </c>
      <c r="M33" s="45">
        <f t="shared" si="16"/>
        <v>106.5024</v>
      </c>
      <c r="N33" s="45">
        <f t="shared" si="17"/>
        <v>78.84136</v>
      </c>
      <c r="O33" s="45">
        <f t="shared" si="18"/>
        <v>118.336</v>
      </c>
      <c r="P33" s="45">
        <f t="shared" si="19"/>
        <v>82.8352</v>
      </c>
      <c r="Q33" s="45">
        <f t="shared" si="20"/>
        <v>124.2528</v>
      </c>
      <c r="R33" s="90">
        <f t="shared" si="21"/>
        <v>91.4116016</v>
      </c>
      <c r="S33" s="82"/>
    </row>
    <row r="34" spans="1:19">
      <c r="A34" s="26" t="s">
        <v>132</v>
      </c>
      <c r="B34" s="85">
        <v>0.1016</v>
      </c>
      <c r="C34" s="26">
        <v>4</v>
      </c>
      <c r="D34" s="26" t="s">
        <v>41</v>
      </c>
      <c r="E34" s="26" t="s">
        <v>39</v>
      </c>
      <c r="F34" s="26" t="s">
        <v>106</v>
      </c>
      <c r="G34" s="27">
        <v>10.793</v>
      </c>
      <c r="H34" s="26">
        <f t="shared" si="11"/>
        <v>129.516</v>
      </c>
      <c r="I34" s="45">
        <f t="shared" si="12"/>
        <v>143.87069</v>
      </c>
      <c r="J34" s="26">
        <f t="shared" si="13"/>
        <v>151.102</v>
      </c>
      <c r="K34" s="26">
        <f t="shared" si="14"/>
        <v>95.84184</v>
      </c>
      <c r="L34" s="45">
        <f t="shared" si="15"/>
        <v>103.6128</v>
      </c>
      <c r="M34" s="45">
        <f t="shared" si="16"/>
        <v>155.4192</v>
      </c>
      <c r="N34" s="45">
        <f t="shared" si="17"/>
        <v>115.05338</v>
      </c>
      <c r="O34" s="45">
        <f t="shared" si="18"/>
        <v>172.688</v>
      </c>
      <c r="P34" s="45">
        <f t="shared" si="19"/>
        <v>120.8816</v>
      </c>
      <c r="Q34" s="45">
        <f t="shared" si="20"/>
        <v>181.3224</v>
      </c>
      <c r="R34" s="90">
        <f t="shared" si="21"/>
        <v>133.3971628</v>
      </c>
      <c r="S34" s="82"/>
    </row>
    <row r="35" spans="1:19">
      <c r="A35" s="26" t="s">
        <v>132</v>
      </c>
      <c r="B35" s="85">
        <v>0.1016</v>
      </c>
      <c r="C35" s="26">
        <v>4</v>
      </c>
      <c r="D35" s="26" t="s">
        <v>41</v>
      </c>
      <c r="E35" s="26" t="s">
        <v>39</v>
      </c>
      <c r="F35" s="26" t="s">
        <v>135</v>
      </c>
      <c r="G35" s="27">
        <v>10.606</v>
      </c>
      <c r="H35" s="26">
        <f t="shared" si="11"/>
        <v>127.272</v>
      </c>
      <c r="I35" s="45">
        <f t="shared" si="12"/>
        <v>141.37798</v>
      </c>
      <c r="J35" s="26">
        <f t="shared" si="13"/>
        <v>148.484</v>
      </c>
      <c r="K35" s="26">
        <f t="shared" si="14"/>
        <v>94.18128</v>
      </c>
      <c r="L35" s="45">
        <f t="shared" si="15"/>
        <v>101.8176</v>
      </c>
      <c r="M35" s="45">
        <f t="shared" si="16"/>
        <v>152.7264</v>
      </c>
      <c r="N35" s="45">
        <f t="shared" si="17"/>
        <v>113.05996</v>
      </c>
      <c r="O35" s="45">
        <f t="shared" si="18"/>
        <v>169.696</v>
      </c>
      <c r="P35" s="45">
        <f t="shared" si="19"/>
        <v>118.7872</v>
      </c>
      <c r="Q35" s="45">
        <f t="shared" si="20"/>
        <v>178.1808</v>
      </c>
      <c r="R35" s="90">
        <f t="shared" si="21"/>
        <v>131.0859176</v>
      </c>
      <c r="S35" s="82"/>
    </row>
    <row r="36" spans="1:19">
      <c r="A36" s="26" t="s">
        <v>132</v>
      </c>
      <c r="B36" s="85">
        <v>0.1016</v>
      </c>
      <c r="C36" s="26">
        <v>4</v>
      </c>
      <c r="D36" s="26" t="s">
        <v>41</v>
      </c>
      <c r="E36" s="26" t="s">
        <v>134</v>
      </c>
      <c r="F36" s="26" t="s">
        <v>87</v>
      </c>
      <c r="G36" s="27">
        <v>10.439</v>
      </c>
      <c r="H36" s="26">
        <f t="shared" si="11"/>
        <v>125.268</v>
      </c>
      <c r="I36" s="45">
        <f t="shared" si="12"/>
        <v>139.15187</v>
      </c>
      <c r="J36" s="26">
        <f t="shared" si="13"/>
        <v>146.146</v>
      </c>
      <c r="K36" s="26">
        <f t="shared" si="14"/>
        <v>92.69832</v>
      </c>
      <c r="L36" s="45">
        <f t="shared" si="15"/>
        <v>100.2144</v>
      </c>
      <c r="M36" s="45">
        <f t="shared" si="16"/>
        <v>150.3216</v>
      </c>
      <c r="N36" s="45">
        <f t="shared" si="17"/>
        <v>111.27974</v>
      </c>
      <c r="O36" s="45">
        <f t="shared" si="18"/>
        <v>167.024</v>
      </c>
      <c r="P36" s="45">
        <f t="shared" si="19"/>
        <v>116.9168</v>
      </c>
      <c r="Q36" s="45">
        <f t="shared" si="20"/>
        <v>175.3752</v>
      </c>
      <c r="R36" s="90">
        <f t="shared" si="21"/>
        <v>129.0218644</v>
      </c>
      <c r="S36" s="82"/>
    </row>
    <row r="37" spans="1:19">
      <c r="A37" s="26" t="s">
        <v>132</v>
      </c>
      <c r="B37" s="85">
        <v>0.1016</v>
      </c>
      <c r="C37" s="26">
        <v>4</v>
      </c>
      <c r="D37" s="26" t="s">
        <v>41</v>
      </c>
      <c r="E37" s="26" t="s">
        <v>134</v>
      </c>
      <c r="F37" s="26" t="s">
        <v>106</v>
      </c>
      <c r="G37" s="27">
        <v>10.826</v>
      </c>
      <c r="H37" s="26">
        <f t="shared" si="11"/>
        <v>129.912</v>
      </c>
      <c r="I37" s="45">
        <f t="shared" si="12"/>
        <v>144.31058</v>
      </c>
      <c r="J37" s="26">
        <f t="shared" si="13"/>
        <v>151.564</v>
      </c>
      <c r="K37" s="26">
        <f t="shared" si="14"/>
        <v>96.13488</v>
      </c>
      <c r="L37" s="45">
        <f t="shared" si="15"/>
        <v>103.9296</v>
      </c>
      <c r="M37" s="45">
        <f t="shared" si="16"/>
        <v>155.8944</v>
      </c>
      <c r="N37" s="45">
        <f t="shared" si="17"/>
        <v>115.40516</v>
      </c>
      <c r="O37" s="45">
        <f t="shared" si="18"/>
        <v>173.216</v>
      </c>
      <c r="P37" s="45">
        <f t="shared" si="19"/>
        <v>121.2512</v>
      </c>
      <c r="Q37" s="45">
        <f t="shared" si="20"/>
        <v>181.8768</v>
      </c>
      <c r="R37" s="90">
        <f t="shared" si="21"/>
        <v>133.8050296</v>
      </c>
      <c r="S37" s="82"/>
    </row>
    <row r="38" spans="1:19">
      <c r="A38" s="26" t="s">
        <v>132</v>
      </c>
      <c r="B38" s="85">
        <v>0.1016</v>
      </c>
      <c r="C38" s="26">
        <v>4</v>
      </c>
      <c r="D38" s="26" t="s">
        <v>85</v>
      </c>
      <c r="E38" s="26" t="s">
        <v>39</v>
      </c>
      <c r="F38" s="26" t="s">
        <v>106</v>
      </c>
      <c r="G38" s="27">
        <v>15.266</v>
      </c>
      <c r="H38" s="26">
        <f t="shared" si="11"/>
        <v>183.192</v>
      </c>
      <c r="I38" s="45">
        <f t="shared" si="12"/>
        <v>203.49578</v>
      </c>
      <c r="J38" s="26">
        <f t="shared" si="13"/>
        <v>213.724</v>
      </c>
      <c r="K38" s="26">
        <f t="shared" si="14"/>
        <v>135.56208</v>
      </c>
      <c r="L38" s="45">
        <f t="shared" si="15"/>
        <v>146.5536</v>
      </c>
      <c r="M38" s="45">
        <f t="shared" si="16"/>
        <v>219.8304</v>
      </c>
      <c r="N38" s="45">
        <f t="shared" si="17"/>
        <v>162.73556</v>
      </c>
      <c r="O38" s="45">
        <f t="shared" si="18"/>
        <v>244.256</v>
      </c>
      <c r="P38" s="45">
        <f t="shared" si="19"/>
        <v>170.9792</v>
      </c>
      <c r="Q38" s="45">
        <f t="shared" si="20"/>
        <v>256.4688</v>
      </c>
      <c r="R38" s="90">
        <f t="shared" si="21"/>
        <v>188.6816536</v>
      </c>
      <c r="S38" s="82"/>
    </row>
    <row r="39" spans="1:19">
      <c r="A39" s="26" t="s">
        <v>132</v>
      </c>
      <c r="B39" s="85">
        <v>0.1016</v>
      </c>
      <c r="C39" s="26">
        <v>4</v>
      </c>
      <c r="D39" s="26" t="s">
        <v>38</v>
      </c>
      <c r="E39" s="26" t="s">
        <v>39</v>
      </c>
      <c r="F39" s="26" t="s">
        <v>106</v>
      </c>
      <c r="G39" s="27">
        <v>19.91</v>
      </c>
      <c r="H39" s="26">
        <f t="shared" si="11"/>
        <v>238.92</v>
      </c>
      <c r="I39" s="45">
        <f t="shared" si="12"/>
        <v>265.4003</v>
      </c>
      <c r="J39" s="26">
        <f t="shared" si="13"/>
        <v>278.74</v>
      </c>
      <c r="K39" s="26">
        <f t="shared" si="14"/>
        <v>176.8008</v>
      </c>
      <c r="L39" s="45">
        <f t="shared" si="15"/>
        <v>191.136</v>
      </c>
      <c r="M39" s="45">
        <f t="shared" si="16"/>
        <v>286.704</v>
      </c>
      <c r="N39" s="45">
        <f t="shared" si="17"/>
        <v>212.2406</v>
      </c>
      <c r="O39" s="45">
        <f t="shared" si="18"/>
        <v>318.56</v>
      </c>
      <c r="P39" s="45">
        <f t="shared" si="19"/>
        <v>222.992</v>
      </c>
      <c r="Q39" s="45">
        <f t="shared" si="20"/>
        <v>334.488</v>
      </c>
      <c r="R39" s="90">
        <f t="shared" si="21"/>
        <v>246.079636</v>
      </c>
      <c r="S39" s="82"/>
    </row>
    <row r="40" spans="1:19">
      <c r="A40" s="26" t="s">
        <v>132</v>
      </c>
      <c r="B40" s="85">
        <v>0.1016</v>
      </c>
      <c r="C40" s="26">
        <v>4</v>
      </c>
      <c r="D40" s="26" t="s">
        <v>83</v>
      </c>
      <c r="E40" s="26" t="s">
        <v>39</v>
      </c>
      <c r="F40" s="26" t="s">
        <v>106</v>
      </c>
      <c r="G40" s="27">
        <v>9.319</v>
      </c>
      <c r="H40" s="26">
        <f t="shared" si="11"/>
        <v>111.828</v>
      </c>
      <c r="I40" s="45">
        <f t="shared" si="12"/>
        <v>124.22227</v>
      </c>
      <c r="J40" s="26">
        <f t="shared" si="13"/>
        <v>130.466</v>
      </c>
      <c r="K40" s="26">
        <f t="shared" si="14"/>
        <v>82.75272</v>
      </c>
      <c r="L40" s="45">
        <f t="shared" si="15"/>
        <v>89.4624</v>
      </c>
      <c r="M40" s="45">
        <f t="shared" si="16"/>
        <v>134.1936</v>
      </c>
      <c r="N40" s="45">
        <f t="shared" si="17"/>
        <v>99.34054</v>
      </c>
      <c r="O40" s="45">
        <f t="shared" si="18"/>
        <v>149.104</v>
      </c>
      <c r="P40" s="45">
        <f t="shared" si="19"/>
        <v>104.3728</v>
      </c>
      <c r="Q40" s="45">
        <f t="shared" si="20"/>
        <v>156.5592</v>
      </c>
      <c r="R40" s="90">
        <f t="shared" si="21"/>
        <v>115.1791124</v>
      </c>
      <c r="S40" s="82"/>
    </row>
    <row r="41" spans="1:19">
      <c r="A41" s="26" t="s">
        <v>132</v>
      </c>
      <c r="B41" s="85">
        <v>0.1016</v>
      </c>
      <c r="C41" s="26">
        <v>4</v>
      </c>
      <c r="D41" s="28" t="s">
        <v>38</v>
      </c>
      <c r="E41" s="26" t="s">
        <v>39</v>
      </c>
      <c r="F41" s="26" t="s">
        <v>136</v>
      </c>
      <c r="G41" s="27">
        <v>20.435</v>
      </c>
      <c r="H41" s="26">
        <f t="shared" si="11"/>
        <v>245.22</v>
      </c>
      <c r="I41" s="45">
        <f t="shared" si="12"/>
        <v>272.39855</v>
      </c>
      <c r="J41" s="26">
        <f t="shared" si="13"/>
        <v>286.09</v>
      </c>
      <c r="K41" s="26">
        <f t="shared" si="14"/>
        <v>181.4628</v>
      </c>
      <c r="L41" s="45">
        <f t="shared" si="15"/>
        <v>196.176</v>
      </c>
      <c r="M41" s="45">
        <f t="shared" si="16"/>
        <v>294.264</v>
      </c>
      <c r="N41" s="45">
        <f t="shared" si="17"/>
        <v>217.8371</v>
      </c>
      <c r="O41" s="45">
        <f t="shared" si="18"/>
        <v>326.96</v>
      </c>
      <c r="P41" s="45">
        <f t="shared" si="19"/>
        <v>228.872</v>
      </c>
      <c r="Q41" s="45">
        <f t="shared" si="20"/>
        <v>343.308</v>
      </c>
      <c r="R41" s="90">
        <f t="shared" si="21"/>
        <v>252.568426</v>
      </c>
      <c r="S41" s="82"/>
    </row>
    <row r="42" spans="1:19">
      <c r="A42" s="26" t="s">
        <v>132</v>
      </c>
      <c r="B42" s="85">
        <v>0.1016</v>
      </c>
      <c r="C42" s="26">
        <v>4</v>
      </c>
      <c r="D42" s="26" t="s">
        <v>44</v>
      </c>
      <c r="E42" s="26" t="s">
        <v>39</v>
      </c>
      <c r="F42" s="26" t="s">
        <v>87</v>
      </c>
      <c r="G42" s="27">
        <v>7.316</v>
      </c>
      <c r="H42" s="26">
        <f t="shared" si="11"/>
        <v>87.792</v>
      </c>
      <c r="I42" s="45">
        <f t="shared" si="12"/>
        <v>97.52228</v>
      </c>
      <c r="J42" s="26">
        <f t="shared" si="13"/>
        <v>102.424</v>
      </c>
      <c r="K42" s="26">
        <f t="shared" si="14"/>
        <v>64.96608</v>
      </c>
      <c r="L42" s="45">
        <f t="shared" si="15"/>
        <v>70.2336</v>
      </c>
      <c r="M42" s="45">
        <f t="shared" si="16"/>
        <v>105.3504</v>
      </c>
      <c r="N42" s="45">
        <f t="shared" si="17"/>
        <v>77.98856</v>
      </c>
      <c r="O42" s="45">
        <f t="shared" si="18"/>
        <v>117.056</v>
      </c>
      <c r="P42" s="45">
        <f t="shared" si="19"/>
        <v>81.9392</v>
      </c>
      <c r="Q42" s="45">
        <f t="shared" si="20"/>
        <v>122.9088</v>
      </c>
      <c r="R42" s="90">
        <f t="shared" si="21"/>
        <v>90.4228336</v>
      </c>
      <c r="S42" s="82"/>
    </row>
    <row r="43" spans="1:19">
      <c r="A43" s="26" t="s">
        <v>132</v>
      </c>
      <c r="B43" s="85">
        <v>0.1016</v>
      </c>
      <c r="C43" s="26">
        <v>4</v>
      </c>
      <c r="D43" s="26" t="s">
        <v>137</v>
      </c>
      <c r="E43" s="26" t="s">
        <v>39</v>
      </c>
      <c r="F43" s="26" t="s">
        <v>106</v>
      </c>
      <c r="G43" s="27">
        <v>14.017</v>
      </c>
      <c r="H43" s="26">
        <f t="shared" si="11"/>
        <v>168.204</v>
      </c>
      <c r="I43" s="45">
        <f t="shared" si="12"/>
        <v>186.84661</v>
      </c>
      <c r="J43" s="26">
        <f t="shared" si="13"/>
        <v>196.238</v>
      </c>
      <c r="K43" s="26">
        <f t="shared" si="14"/>
        <v>124.47096</v>
      </c>
      <c r="L43" s="45">
        <f t="shared" si="15"/>
        <v>134.5632</v>
      </c>
      <c r="M43" s="45">
        <f t="shared" si="16"/>
        <v>201.8448</v>
      </c>
      <c r="N43" s="45">
        <f t="shared" si="17"/>
        <v>149.42122</v>
      </c>
      <c r="O43" s="45">
        <f t="shared" si="18"/>
        <v>224.272</v>
      </c>
      <c r="P43" s="45">
        <f t="shared" si="19"/>
        <v>156.9904</v>
      </c>
      <c r="Q43" s="45">
        <f t="shared" si="20"/>
        <v>235.4856</v>
      </c>
      <c r="R43" s="90">
        <f t="shared" si="21"/>
        <v>173.2445132</v>
      </c>
      <c r="S43" s="82"/>
    </row>
    <row r="44" spans="1:19">
      <c r="A44" s="26" t="s">
        <v>132</v>
      </c>
      <c r="B44" s="85">
        <v>0.127</v>
      </c>
      <c r="C44" s="26">
        <v>5</v>
      </c>
      <c r="D44" s="26" t="s">
        <v>41</v>
      </c>
      <c r="E44" s="26" t="s">
        <v>39</v>
      </c>
      <c r="F44" s="26" t="s">
        <v>87</v>
      </c>
      <c r="G44" s="27">
        <v>10.92</v>
      </c>
      <c r="H44" s="26">
        <f t="shared" si="11"/>
        <v>131.04</v>
      </c>
      <c r="I44" s="45">
        <f t="shared" si="12"/>
        <v>145.5636</v>
      </c>
      <c r="J44" s="26">
        <f t="shared" si="13"/>
        <v>152.88</v>
      </c>
      <c r="K44" s="26">
        <f t="shared" si="14"/>
        <v>96.9696</v>
      </c>
      <c r="L44" s="45">
        <f t="shared" si="15"/>
        <v>104.832</v>
      </c>
      <c r="M44" s="45">
        <f t="shared" si="16"/>
        <v>157.248</v>
      </c>
      <c r="N44" s="45">
        <f t="shared" si="17"/>
        <v>116.4072</v>
      </c>
      <c r="O44" s="45">
        <f t="shared" si="18"/>
        <v>174.72</v>
      </c>
      <c r="P44" s="45">
        <f t="shared" si="19"/>
        <v>122.304</v>
      </c>
      <c r="Q44" s="45">
        <f t="shared" si="20"/>
        <v>183.456</v>
      </c>
      <c r="R44" s="90">
        <f t="shared" si="21"/>
        <v>134.966832</v>
      </c>
      <c r="S44" s="82"/>
    </row>
    <row r="45" spans="1:19">
      <c r="A45" s="26" t="s">
        <v>132</v>
      </c>
      <c r="B45" s="85">
        <v>0.127</v>
      </c>
      <c r="C45" s="26">
        <v>5</v>
      </c>
      <c r="D45" s="26" t="s">
        <v>85</v>
      </c>
      <c r="E45" s="26" t="s">
        <v>39</v>
      </c>
      <c r="F45" s="26" t="s">
        <v>87</v>
      </c>
      <c r="G45" s="27">
        <v>15.557</v>
      </c>
      <c r="H45" s="26">
        <f t="shared" ref="H45:H50" si="22">G45*12</f>
        <v>186.684</v>
      </c>
      <c r="I45" s="45">
        <f t="shared" ref="I45:I50" si="23">G45*13.33</f>
        <v>207.37481</v>
      </c>
      <c r="J45" s="26">
        <f t="shared" ref="J45:J50" si="24">G45*14</f>
        <v>217.798</v>
      </c>
      <c r="K45" s="26">
        <f t="shared" ref="K45:K50" si="25">G45*8.88</f>
        <v>138.14616</v>
      </c>
      <c r="L45" s="45">
        <f t="shared" ref="L45:L50" si="26">G45*9.6</f>
        <v>149.3472</v>
      </c>
      <c r="M45" s="45">
        <f t="shared" ref="M45:M50" si="27">G45*14.4</f>
        <v>224.0208</v>
      </c>
      <c r="N45" s="45">
        <f t="shared" ref="N45:N50" si="28">G45*10.66</f>
        <v>165.83762</v>
      </c>
      <c r="O45" s="45">
        <f t="shared" ref="O45:O50" si="29">G45*16</f>
        <v>248.912</v>
      </c>
      <c r="P45" s="45">
        <f t="shared" ref="P45:P50" si="30">G45*11.2</f>
        <v>174.2384</v>
      </c>
      <c r="Q45" s="45">
        <f t="shared" ref="Q45:Q50" si="31">G45*16.8</f>
        <v>261.3576</v>
      </c>
      <c r="R45" s="90">
        <f t="shared" ref="R45:R50" si="32">G45*11.66*1.06</f>
        <v>192.2782972</v>
      </c>
      <c r="S45" s="82"/>
    </row>
    <row r="46" spans="1:19">
      <c r="A46" s="26" t="s">
        <v>132</v>
      </c>
      <c r="B46" s="85">
        <v>0.127</v>
      </c>
      <c r="C46" s="26">
        <v>5</v>
      </c>
      <c r="D46" s="26" t="s">
        <v>38</v>
      </c>
      <c r="E46" s="26" t="s">
        <v>39</v>
      </c>
      <c r="F46" s="26" t="s">
        <v>87</v>
      </c>
      <c r="G46" s="27">
        <v>19.925</v>
      </c>
      <c r="H46" s="26">
        <f t="shared" si="22"/>
        <v>239.1</v>
      </c>
      <c r="I46" s="45">
        <f t="shared" si="23"/>
        <v>265.60025</v>
      </c>
      <c r="J46" s="26">
        <f t="shared" si="24"/>
        <v>278.95</v>
      </c>
      <c r="K46" s="26">
        <f t="shared" si="25"/>
        <v>176.934</v>
      </c>
      <c r="L46" s="45">
        <f t="shared" si="26"/>
        <v>191.28</v>
      </c>
      <c r="M46" s="45">
        <f t="shared" si="27"/>
        <v>286.92</v>
      </c>
      <c r="N46" s="45">
        <f t="shared" si="28"/>
        <v>212.4005</v>
      </c>
      <c r="O46" s="45">
        <f t="shared" si="29"/>
        <v>318.8</v>
      </c>
      <c r="P46" s="45">
        <f t="shared" si="30"/>
        <v>223.16</v>
      </c>
      <c r="Q46" s="45">
        <f t="shared" si="31"/>
        <v>334.74</v>
      </c>
      <c r="R46" s="90">
        <f t="shared" si="32"/>
        <v>246.26503</v>
      </c>
      <c r="S46" s="82"/>
    </row>
    <row r="47" spans="1:19">
      <c r="A47" s="26" t="s">
        <v>132</v>
      </c>
      <c r="B47" s="85">
        <v>0.127</v>
      </c>
      <c r="C47" s="26">
        <v>5</v>
      </c>
      <c r="D47" s="26" t="s">
        <v>44</v>
      </c>
      <c r="E47" s="26" t="s">
        <v>39</v>
      </c>
      <c r="F47" s="26" t="s">
        <v>87</v>
      </c>
      <c r="G47" s="27">
        <v>7.723</v>
      </c>
      <c r="H47" s="26">
        <f t="shared" si="22"/>
        <v>92.676</v>
      </c>
      <c r="I47" s="45">
        <f t="shared" si="23"/>
        <v>102.94759</v>
      </c>
      <c r="J47" s="26">
        <f t="shared" si="24"/>
        <v>108.122</v>
      </c>
      <c r="K47" s="26">
        <f t="shared" si="25"/>
        <v>68.58024</v>
      </c>
      <c r="L47" s="45">
        <f t="shared" si="26"/>
        <v>74.1408</v>
      </c>
      <c r="M47" s="45">
        <f t="shared" si="27"/>
        <v>111.2112</v>
      </c>
      <c r="N47" s="45">
        <f t="shared" si="28"/>
        <v>82.32718</v>
      </c>
      <c r="O47" s="45">
        <f t="shared" si="29"/>
        <v>123.568</v>
      </c>
      <c r="P47" s="45">
        <f t="shared" si="30"/>
        <v>86.4976</v>
      </c>
      <c r="Q47" s="45">
        <f t="shared" si="31"/>
        <v>129.7464</v>
      </c>
      <c r="R47" s="90">
        <f t="shared" si="32"/>
        <v>95.4531908</v>
      </c>
      <c r="S47" s="82"/>
    </row>
    <row r="48" spans="1:19">
      <c r="A48" s="26" t="s">
        <v>132</v>
      </c>
      <c r="B48" s="85">
        <v>0.127</v>
      </c>
      <c r="C48" s="26">
        <v>5</v>
      </c>
      <c r="D48" s="26" t="s">
        <v>83</v>
      </c>
      <c r="E48" s="26" t="s">
        <v>39</v>
      </c>
      <c r="F48" s="26" t="s">
        <v>87</v>
      </c>
      <c r="G48" s="27">
        <v>9.318</v>
      </c>
      <c r="H48" s="26">
        <f t="shared" si="22"/>
        <v>111.816</v>
      </c>
      <c r="I48" s="45">
        <f t="shared" si="23"/>
        <v>124.20894</v>
      </c>
      <c r="J48" s="26">
        <f t="shared" si="24"/>
        <v>130.452</v>
      </c>
      <c r="K48" s="26">
        <f t="shared" si="25"/>
        <v>82.74384</v>
      </c>
      <c r="L48" s="45">
        <f t="shared" si="26"/>
        <v>89.4528</v>
      </c>
      <c r="M48" s="45">
        <f t="shared" si="27"/>
        <v>134.1792</v>
      </c>
      <c r="N48" s="45">
        <f t="shared" si="28"/>
        <v>99.32988</v>
      </c>
      <c r="O48" s="45">
        <f t="shared" si="29"/>
        <v>149.088</v>
      </c>
      <c r="P48" s="45">
        <f t="shared" si="30"/>
        <v>104.3616</v>
      </c>
      <c r="Q48" s="45">
        <f t="shared" si="31"/>
        <v>156.5424</v>
      </c>
      <c r="R48" s="90">
        <f t="shared" si="32"/>
        <v>115.1667528</v>
      </c>
      <c r="S48" s="82"/>
    </row>
    <row r="49" spans="1:19">
      <c r="A49" s="86" t="s">
        <v>132</v>
      </c>
      <c r="B49" s="87">
        <v>0.1524</v>
      </c>
      <c r="C49" s="86">
        <v>6</v>
      </c>
      <c r="D49" s="86" t="s">
        <v>41</v>
      </c>
      <c r="E49" s="86" t="s">
        <v>39</v>
      </c>
      <c r="F49" s="86" t="s">
        <v>89</v>
      </c>
      <c r="G49" s="88">
        <v>11.069</v>
      </c>
      <c r="H49" s="86">
        <f t="shared" si="22"/>
        <v>132.828</v>
      </c>
      <c r="I49" s="89">
        <f t="shared" si="23"/>
        <v>147.54977</v>
      </c>
      <c r="J49" s="86">
        <f t="shared" si="24"/>
        <v>154.966</v>
      </c>
      <c r="K49" s="86">
        <f t="shared" si="25"/>
        <v>98.29272</v>
      </c>
      <c r="L49" s="89">
        <f t="shared" si="26"/>
        <v>106.2624</v>
      </c>
      <c r="M49" s="89">
        <f t="shared" si="27"/>
        <v>159.3936</v>
      </c>
      <c r="N49" s="89">
        <f t="shared" si="28"/>
        <v>117.99554</v>
      </c>
      <c r="O49" s="89">
        <f t="shared" si="29"/>
        <v>177.104</v>
      </c>
      <c r="P49" s="89">
        <f t="shared" si="30"/>
        <v>123.9728</v>
      </c>
      <c r="Q49" s="89">
        <f t="shared" si="31"/>
        <v>185.9592</v>
      </c>
      <c r="R49" s="91">
        <f t="shared" si="32"/>
        <v>136.8084124</v>
      </c>
      <c r="S49" s="82"/>
    </row>
    <row r="50" spans="1:19">
      <c r="A50" s="26" t="s">
        <v>132</v>
      </c>
      <c r="B50" s="85">
        <v>0.1524</v>
      </c>
      <c r="C50" s="26">
        <v>6</v>
      </c>
      <c r="D50" s="26" t="s">
        <v>41</v>
      </c>
      <c r="E50" s="26" t="s">
        <v>39</v>
      </c>
      <c r="F50" s="26" t="s">
        <v>138</v>
      </c>
      <c r="G50" s="27">
        <v>12.005</v>
      </c>
      <c r="H50" s="26">
        <f t="shared" si="22"/>
        <v>144.06</v>
      </c>
      <c r="I50" s="45">
        <f t="shared" si="23"/>
        <v>160.02665</v>
      </c>
      <c r="J50" s="26">
        <f t="shared" si="24"/>
        <v>168.07</v>
      </c>
      <c r="K50" s="26">
        <f t="shared" si="25"/>
        <v>106.6044</v>
      </c>
      <c r="L50" s="45">
        <f t="shared" si="26"/>
        <v>115.248</v>
      </c>
      <c r="M50" s="45">
        <f t="shared" si="27"/>
        <v>172.872</v>
      </c>
      <c r="N50" s="45">
        <f t="shared" si="28"/>
        <v>127.9733</v>
      </c>
      <c r="O50" s="45">
        <f t="shared" si="29"/>
        <v>192.08</v>
      </c>
      <c r="P50" s="45">
        <f t="shared" si="30"/>
        <v>134.456</v>
      </c>
      <c r="Q50" s="45">
        <f t="shared" si="31"/>
        <v>201.684</v>
      </c>
      <c r="R50" s="90">
        <f t="shared" si="32"/>
        <v>148.376998</v>
      </c>
      <c r="S50" s="82"/>
    </row>
    <row r="51" spans="1:19">
      <c r="A51" s="26" t="s">
        <v>132</v>
      </c>
      <c r="B51" s="85">
        <v>0.1524</v>
      </c>
      <c r="C51" s="26">
        <v>6</v>
      </c>
      <c r="D51" s="26" t="s">
        <v>44</v>
      </c>
      <c r="E51" s="26" t="s">
        <v>39</v>
      </c>
      <c r="F51" s="26" t="s">
        <v>89</v>
      </c>
      <c r="G51" s="27">
        <v>7.674</v>
      </c>
      <c r="H51" s="26">
        <f t="shared" ref="H51:H80" si="33">G51*12</f>
        <v>92.088</v>
      </c>
      <c r="I51" s="45">
        <f t="shared" ref="I51:I80" si="34">G51*13.33</f>
        <v>102.29442</v>
      </c>
      <c r="J51" s="26">
        <f t="shared" ref="J51:J80" si="35">G51*14</f>
        <v>107.436</v>
      </c>
      <c r="K51" s="26">
        <f t="shared" ref="K51:K80" si="36">G51*8.88</f>
        <v>68.14512</v>
      </c>
      <c r="L51" s="45">
        <f t="shared" ref="L51:L80" si="37">G51*9.6</f>
        <v>73.6704</v>
      </c>
      <c r="M51" s="45">
        <f t="shared" ref="M51:M80" si="38">G51*14.4</f>
        <v>110.5056</v>
      </c>
      <c r="N51" s="45">
        <f t="shared" ref="N51:N80" si="39">G51*10.66</f>
        <v>81.80484</v>
      </c>
      <c r="O51" s="45">
        <f t="shared" ref="O51:O80" si="40">G51*16</f>
        <v>122.784</v>
      </c>
      <c r="P51" s="45">
        <f t="shared" ref="P51:P80" si="41">G51*11.2</f>
        <v>85.9488</v>
      </c>
      <c r="Q51" s="45">
        <f t="shared" ref="Q51:Q80" si="42">G51*16.8</f>
        <v>128.9232</v>
      </c>
      <c r="R51" s="90">
        <f t="shared" ref="R51:R80" si="43">G51*11.66*1.06</f>
        <v>94.8475704</v>
      </c>
      <c r="S51" s="82"/>
    </row>
    <row r="52" spans="1:19">
      <c r="A52" s="26" t="s">
        <v>132</v>
      </c>
      <c r="B52" s="85">
        <v>0.1524</v>
      </c>
      <c r="C52" s="26">
        <v>6</v>
      </c>
      <c r="D52" s="26" t="s">
        <v>83</v>
      </c>
      <c r="E52" s="26" t="s">
        <v>39</v>
      </c>
      <c r="F52" s="26" t="s">
        <v>89</v>
      </c>
      <c r="G52" s="27">
        <v>9.493</v>
      </c>
      <c r="H52" s="26">
        <f t="shared" si="33"/>
        <v>113.916</v>
      </c>
      <c r="I52" s="45">
        <f t="shared" si="34"/>
        <v>126.54169</v>
      </c>
      <c r="J52" s="26">
        <f t="shared" si="35"/>
        <v>132.902</v>
      </c>
      <c r="K52" s="26">
        <f t="shared" si="36"/>
        <v>84.29784</v>
      </c>
      <c r="L52" s="45">
        <f t="shared" si="37"/>
        <v>91.1328</v>
      </c>
      <c r="M52" s="45">
        <f t="shared" si="38"/>
        <v>136.6992</v>
      </c>
      <c r="N52" s="45">
        <f t="shared" si="39"/>
        <v>101.19538</v>
      </c>
      <c r="O52" s="45">
        <f t="shared" si="40"/>
        <v>151.888</v>
      </c>
      <c r="P52" s="45">
        <f t="shared" si="41"/>
        <v>106.3216</v>
      </c>
      <c r="Q52" s="45">
        <f t="shared" si="42"/>
        <v>159.4824</v>
      </c>
      <c r="R52" s="90">
        <f t="shared" si="43"/>
        <v>117.3296828</v>
      </c>
      <c r="S52" s="82"/>
    </row>
    <row r="53" spans="1:19">
      <c r="A53" s="26" t="s">
        <v>132</v>
      </c>
      <c r="B53" s="85">
        <v>0.1524</v>
      </c>
      <c r="C53" s="26">
        <v>6</v>
      </c>
      <c r="D53" s="28" t="s">
        <v>38</v>
      </c>
      <c r="E53" s="26" t="s">
        <v>39</v>
      </c>
      <c r="F53" s="26" t="s">
        <v>88</v>
      </c>
      <c r="G53" s="27">
        <v>21.799</v>
      </c>
      <c r="H53" s="26">
        <f t="shared" si="33"/>
        <v>261.588</v>
      </c>
      <c r="I53" s="45">
        <f t="shared" si="34"/>
        <v>290.58067</v>
      </c>
      <c r="J53" s="26">
        <f t="shared" si="35"/>
        <v>305.186</v>
      </c>
      <c r="K53" s="26">
        <f t="shared" si="36"/>
        <v>193.57512</v>
      </c>
      <c r="L53" s="45">
        <f t="shared" si="37"/>
        <v>209.2704</v>
      </c>
      <c r="M53" s="45">
        <f t="shared" si="38"/>
        <v>313.9056</v>
      </c>
      <c r="N53" s="45">
        <f t="shared" si="39"/>
        <v>232.37734</v>
      </c>
      <c r="O53" s="45">
        <f t="shared" si="40"/>
        <v>348.784</v>
      </c>
      <c r="P53" s="45">
        <f t="shared" si="41"/>
        <v>244.1488</v>
      </c>
      <c r="Q53" s="45">
        <f t="shared" si="42"/>
        <v>366.2232</v>
      </c>
      <c r="R53" s="90">
        <f t="shared" si="43"/>
        <v>269.4269204</v>
      </c>
      <c r="S53" s="82"/>
    </row>
    <row r="54" spans="1:19">
      <c r="A54" s="26" t="s">
        <v>132</v>
      </c>
      <c r="B54" s="85">
        <v>0.1524</v>
      </c>
      <c r="C54" s="26">
        <v>6</v>
      </c>
      <c r="D54" s="26" t="s">
        <v>41</v>
      </c>
      <c r="E54" s="26" t="s">
        <v>134</v>
      </c>
      <c r="F54" s="26" t="s">
        <v>138</v>
      </c>
      <c r="G54" s="27">
        <v>12.499</v>
      </c>
      <c r="H54" s="26">
        <f t="shared" si="33"/>
        <v>149.988</v>
      </c>
      <c r="I54" s="45">
        <f t="shared" si="34"/>
        <v>166.61167</v>
      </c>
      <c r="J54" s="26">
        <f t="shared" si="35"/>
        <v>174.986</v>
      </c>
      <c r="K54" s="26">
        <f t="shared" si="36"/>
        <v>110.99112</v>
      </c>
      <c r="L54" s="45">
        <f t="shared" si="37"/>
        <v>119.9904</v>
      </c>
      <c r="M54" s="45">
        <f t="shared" si="38"/>
        <v>179.9856</v>
      </c>
      <c r="N54" s="45">
        <f t="shared" si="39"/>
        <v>133.23934</v>
      </c>
      <c r="O54" s="45">
        <f t="shared" si="40"/>
        <v>199.984</v>
      </c>
      <c r="P54" s="45">
        <f t="shared" si="41"/>
        <v>139.9888</v>
      </c>
      <c r="Q54" s="45">
        <f t="shared" si="42"/>
        <v>209.9832</v>
      </c>
      <c r="R54" s="90">
        <f t="shared" si="43"/>
        <v>154.4826404</v>
      </c>
      <c r="S54" s="82"/>
    </row>
    <row r="55" spans="1:19">
      <c r="A55" s="26" t="s">
        <v>132</v>
      </c>
      <c r="B55" s="85">
        <v>0.1524</v>
      </c>
      <c r="C55" s="26">
        <v>6</v>
      </c>
      <c r="D55" s="28" t="s">
        <v>38</v>
      </c>
      <c r="E55" s="26" t="s">
        <v>39</v>
      </c>
      <c r="F55" s="26" t="s">
        <v>89</v>
      </c>
      <c r="G55" s="27">
        <v>19.747</v>
      </c>
      <c r="H55" s="26">
        <f t="shared" si="33"/>
        <v>236.964</v>
      </c>
      <c r="I55" s="45">
        <f t="shared" si="34"/>
        <v>263.22751</v>
      </c>
      <c r="J55" s="26">
        <f t="shared" si="35"/>
        <v>276.458</v>
      </c>
      <c r="K55" s="26">
        <f t="shared" si="36"/>
        <v>175.35336</v>
      </c>
      <c r="L55" s="45">
        <f t="shared" si="37"/>
        <v>189.5712</v>
      </c>
      <c r="M55" s="45">
        <f t="shared" si="38"/>
        <v>284.3568</v>
      </c>
      <c r="N55" s="45">
        <f t="shared" si="39"/>
        <v>210.50302</v>
      </c>
      <c r="O55" s="45">
        <f t="shared" si="40"/>
        <v>315.952</v>
      </c>
      <c r="P55" s="45">
        <f t="shared" si="41"/>
        <v>221.1664</v>
      </c>
      <c r="Q55" s="45">
        <f t="shared" si="42"/>
        <v>331.7496</v>
      </c>
      <c r="R55" s="90">
        <f t="shared" si="43"/>
        <v>244.0650212</v>
      </c>
      <c r="S55" s="82"/>
    </row>
    <row r="56" spans="1:19">
      <c r="A56" s="26" t="s">
        <v>132</v>
      </c>
      <c r="B56" s="85">
        <v>0.2032</v>
      </c>
      <c r="C56" s="26">
        <v>8</v>
      </c>
      <c r="D56" s="28" t="s">
        <v>41</v>
      </c>
      <c r="E56" s="26" t="s">
        <v>39</v>
      </c>
      <c r="F56" s="26" t="s">
        <v>91</v>
      </c>
      <c r="G56" s="27">
        <v>12.058</v>
      </c>
      <c r="H56" s="26">
        <f t="shared" si="33"/>
        <v>144.696</v>
      </c>
      <c r="I56" s="45">
        <f t="shared" si="34"/>
        <v>160.73314</v>
      </c>
      <c r="J56" s="26">
        <f t="shared" si="35"/>
        <v>168.812</v>
      </c>
      <c r="K56" s="26">
        <f t="shared" si="36"/>
        <v>107.07504</v>
      </c>
      <c r="L56" s="45">
        <f t="shared" si="37"/>
        <v>115.7568</v>
      </c>
      <c r="M56" s="45">
        <f t="shared" si="38"/>
        <v>173.6352</v>
      </c>
      <c r="N56" s="45">
        <f t="shared" si="39"/>
        <v>128.53828</v>
      </c>
      <c r="O56" s="45">
        <f t="shared" si="40"/>
        <v>192.928</v>
      </c>
      <c r="P56" s="45">
        <f t="shared" si="41"/>
        <v>135.0496</v>
      </c>
      <c r="Q56" s="45">
        <f t="shared" si="42"/>
        <v>202.5744</v>
      </c>
      <c r="R56" s="90">
        <f t="shared" si="43"/>
        <v>149.0320568</v>
      </c>
      <c r="S56" s="82"/>
    </row>
    <row r="57" spans="1:19">
      <c r="A57" s="26" t="s">
        <v>132</v>
      </c>
      <c r="B57" s="85">
        <v>0.2032</v>
      </c>
      <c r="C57" s="26">
        <v>8</v>
      </c>
      <c r="D57" s="28" t="s">
        <v>41</v>
      </c>
      <c r="E57" s="26" t="s">
        <v>39</v>
      </c>
      <c r="F57" s="26" t="s">
        <v>90</v>
      </c>
      <c r="G57" s="27">
        <v>11.065</v>
      </c>
      <c r="H57" s="26">
        <f t="shared" si="33"/>
        <v>132.78</v>
      </c>
      <c r="I57" s="45">
        <f t="shared" si="34"/>
        <v>147.49645</v>
      </c>
      <c r="J57" s="26">
        <f t="shared" si="35"/>
        <v>154.91</v>
      </c>
      <c r="K57" s="26">
        <f t="shared" si="36"/>
        <v>98.2572</v>
      </c>
      <c r="L57" s="45">
        <f t="shared" si="37"/>
        <v>106.224</v>
      </c>
      <c r="M57" s="45">
        <f t="shared" si="38"/>
        <v>159.336</v>
      </c>
      <c r="N57" s="45">
        <f t="shared" si="39"/>
        <v>117.9529</v>
      </c>
      <c r="O57" s="45">
        <f t="shared" si="40"/>
        <v>177.04</v>
      </c>
      <c r="P57" s="45">
        <f t="shared" si="41"/>
        <v>123.928</v>
      </c>
      <c r="Q57" s="45">
        <f t="shared" si="42"/>
        <v>185.892</v>
      </c>
      <c r="R57" s="90">
        <f t="shared" si="43"/>
        <v>136.758974</v>
      </c>
      <c r="S57" s="82"/>
    </row>
    <row r="58" spans="1:19">
      <c r="A58" s="26" t="s">
        <v>132</v>
      </c>
      <c r="B58" s="85">
        <v>0.2032</v>
      </c>
      <c r="C58" s="26">
        <v>8</v>
      </c>
      <c r="D58" s="28" t="s">
        <v>38</v>
      </c>
      <c r="E58" s="26" t="s">
        <v>39</v>
      </c>
      <c r="F58" s="26" t="s">
        <v>90</v>
      </c>
      <c r="G58" s="27">
        <v>19.698</v>
      </c>
      <c r="H58" s="26">
        <f t="shared" si="33"/>
        <v>236.376</v>
      </c>
      <c r="I58" s="45">
        <f t="shared" si="34"/>
        <v>262.57434</v>
      </c>
      <c r="J58" s="26">
        <f t="shared" si="35"/>
        <v>275.772</v>
      </c>
      <c r="K58" s="26">
        <f t="shared" si="36"/>
        <v>174.91824</v>
      </c>
      <c r="L58" s="45">
        <f t="shared" si="37"/>
        <v>189.1008</v>
      </c>
      <c r="M58" s="45">
        <f t="shared" si="38"/>
        <v>283.6512</v>
      </c>
      <c r="N58" s="45">
        <f t="shared" si="39"/>
        <v>209.98068</v>
      </c>
      <c r="O58" s="45">
        <f t="shared" si="40"/>
        <v>315.168</v>
      </c>
      <c r="P58" s="45">
        <f t="shared" si="41"/>
        <v>220.6176</v>
      </c>
      <c r="Q58" s="45">
        <f t="shared" si="42"/>
        <v>330.9264</v>
      </c>
      <c r="R58" s="90">
        <f t="shared" si="43"/>
        <v>243.4594008</v>
      </c>
      <c r="S58" s="82"/>
    </row>
    <row r="59" spans="1:19">
      <c r="A59" s="26" t="s">
        <v>132</v>
      </c>
      <c r="B59" s="85">
        <v>0.2032</v>
      </c>
      <c r="C59" s="26">
        <v>8</v>
      </c>
      <c r="D59" s="26" t="s">
        <v>83</v>
      </c>
      <c r="E59" s="26" t="s">
        <v>39</v>
      </c>
      <c r="F59" s="26" t="s">
        <v>90</v>
      </c>
      <c r="G59" s="27">
        <v>9.793</v>
      </c>
      <c r="H59" s="26">
        <f t="shared" si="33"/>
        <v>117.516</v>
      </c>
      <c r="I59" s="45">
        <f t="shared" si="34"/>
        <v>130.54069</v>
      </c>
      <c r="J59" s="26">
        <f t="shared" si="35"/>
        <v>137.102</v>
      </c>
      <c r="K59" s="26">
        <f t="shared" si="36"/>
        <v>86.96184</v>
      </c>
      <c r="L59" s="45">
        <f t="shared" si="37"/>
        <v>94.0128</v>
      </c>
      <c r="M59" s="45">
        <f t="shared" si="38"/>
        <v>141.0192</v>
      </c>
      <c r="N59" s="45">
        <f t="shared" si="39"/>
        <v>104.39338</v>
      </c>
      <c r="O59" s="45">
        <f t="shared" si="40"/>
        <v>156.688</v>
      </c>
      <c r="P59" s="45">
        <f t="shared" si="41"/>
        <v>109.6816</v>
      </c>
      <c r="Q59" s="45">
        <f t="shared" si="42"/>
        <v>164.5224</v>
      </c>
      <c r="R59" s="90">
        <f t="shared" si="43"/>
        <v>121.0375628</v>
      </c>
      <c r="S59" s="82"/>
    </row>
    <row r="60" spans="1:19">
      <c r="A60" s="26" t="s">
        <v>132</v>
      </c>
      <c r="B60" s="85">
        <v>0.2032</v>
      </c>
      <c r="C60" s="26">
        <v>8</v>
      </c>
      <c r="D60" s="26" t="s">
        <v>44</v>
      </c>
      <c r="E60" s="26" t="s">
        <v>39</v>
      </c>
      <c r="F60" s="26" t="s">
        <v>90</v>
      </c>
      <c r="G60" s="27">
        <v>8.022</v>
      </c>
      <c r="H60" s="26">
        <f t="shared" si="33"/>
        <v>96.264</v>
      </c>
      <c r="I60" s="45">
        <f t="shared" si="34"/>
        <v>106.93326</v>
      </c>
      <c r="J60" s="26">
        <f t="shared" si="35"/>
        <v>112.308</v>
      </c>
      <c r="K60" s="26">
        <f t="shared" si="36"/>
        <v>71.23536</v>
      </c>
      <c r="L60" s="45">
        <f t="shared" si="37"/>
        <v>77.0112</v>
      </c>
      <c r="M60" s="45">
        <f t="shared" si="38"/>
        <v>115.5168</v>
      </c>
      <c r="N60" s="45">
        <f t="shared" si="39"/>
        <v>85.51452</v>
      </c>
      <c r="O60" s="45">
        <f t="shared" si="40"/>
        <v>128.352</v>
      </c>
      <c r="P60" s="45">
        <f t="shared" si="41"/>
        <v>89.8464</v>
      </c>
      <c r="Q60" s="45">
        <f t="shared" si="42"/>
        <v>134.7696</v>
      </c>
      <c r="R60" s="90">
        <f t="shared" si="43"/>
        <v>99.1487112</v>
      </c>
      <c r="S60" s="82"/>
    </row>
    <row r="61" spans="1:19">
      <c r="A61" s="26" t="s">
        <v>132</v>
      </c>
      <c r="B61" s="85">
        <v>0.254</v>
      </c>
      <c r="C61" s="26">
        <v>10</v>
      </c>
      <c r="D61" s="26" t="s">
        <v>41</v>
      </c>
      <c r="E61" s="26" t="s">
        <v>39</v>
      </c>
      <c r="F61" s="26" t="s">
        <v>91</v>
      </c>
      <c r="G61" s="27">
        <v>12.727</v>
      </c>
      <c r="H61" s="26">
        <f t="shared" si="33"/>
        <v>152.724</v>
      </c>
      <c r="I61" s="45">
        <f t="shared" si="34"/>
        <v>169.65091</v>
      </c>
      <c r="J61" s="26">
        <f t="shared" si="35"/>
        <v>178.178</v>
      </c>
      <c r="K61" s="26">
        <f t="shared" si="36"/>
        <v>113.01576</v>
      </c>
      <c r="L61" s="45">
        <f t="shared" si="37"/>
        <v>122.1792</v>
      </c>
      <c r="M61" s="45">
        <f t="shared" si="38"/>
        <v>183.2688</v>
      </c>
      <c r="N61" s="45">
        <f t="shared" si="39"/>
        <v>135.66982</v>
      </c>
      <c r="O61" s="45">
        <f t="shared" si="40"/>
        <v>203.632</v>
      </c>
      <c r="P61" s="45">
        <f t="shared" si="41"/>
        <v>142.5424</v>
      </c>
      <c r="Q61" s="45">
        <f t="shared" si="42"/>
        <v>213.8136</v>
      </c>
      <c r="R61" s="90">
        <f t="shared" si="43"/>
        <v>157.3006292</v>
      </c>
      <c r="S61" s="82"/>
    </row>
    <row r="62" spans="1:19">
      <c r="A62" s="26" t="s">
        <v>132</v>
      </c>
      <c r="B62" s="85">
        <v>0.254</v>
      </c>
      <c r="C62" s="26">
        <v>10</v>
      </c>
      <c r="D62" s="26" t="s">
        <v>83</v>
      </c>
      <c r="E62" s="26" t="s">
        <v>39</v>
      </c>
      <c r="F62" s="26" t="s">
        <v>91</v>
      </c>
      <c r="G62" s="27">
        <v>11.064</v>
      </c>
      <c r="H62" s="26">
        <f t="shared" si="33"/>
        <v>132.768</v>
      </c>
      <c r="I62" s="45">
        <f t="shared" si="34"/>
        <v>147.48312</v>
      </c>
      <c r="J62" s="26">
        <f t="shared" si="35"/>
        <v>154.896</v>
      </c>
      <c r="K62" s="26">
        <f t="shared" si="36"/>
        <v>98.24832</v>
      </c>
      <c r="L62" s="45">
        <f t="shared" si="37"/>
        <v>106.2144</v>
      </c>
      <c r="M62" s="45">
        <f t="shared" si="38"/>
        <v>159.3216</v>
      </c>
      <c r="N62" s="45">
        <f t="shared" si="39"/>
        <v>117.94224</v>
      </c>
      <c r="O62" s="45">
        <f t="shared" si="40"/>
        <v>177.024</v>
      </c>
      <c r="P62" s="45">
        <f t="shared" si="41"/>
        <v>123.9168</v>
      </c>
      <c r="Q62" s="45">
        <f t="shared" si="42"/>
        <v>185.8752</v>
      </c>
      <c r="R62" s="90">
        <f t="shared" si="43"/>
        <v>136.7466144</v>
      </c>
      <c r="S62" s="82"/>
    </row>
    <row r="63" spans="1:19">
      <c r="A63" s="26" t="s">
        <v>132</v>
      </c>
      <c r="B63" s="85">
        <v>0.254</v>
      </c>
      <c r="C63" s="26">
        <v>10</v>
      </c>
      <c r="D63" s="26" t="s">
        <v>44</v>
      </c>
      <c r="E63" s="26" t="s">
        <v>39</v>
      </c>
      <c r="F63" s="26" t="s">
        <v>91</v>
      </c>
      <c r="G63" s="27">
        <v>9.366</v>
      </c>
      <c r="H63" s="26">
        <f t="shared" si="33"/>
        <v>112.392</v>
      </c>
      <c r="I63" s="45">
        <f t="shared" si="34"/>
        <v>124.84878</v>
      </c>
      <c r="J63" s="26">
        <f t="shared" si="35"/>
        <v>131.124</v>
      </c>
      <c r="K63" s="26">
        <f t="shared" si="36"/>
        <v>83.17008</v>
      </c>
      <c r="L63" s="45">
        <f t="shared" si="37"/>
        <v>89.9136</v>
      </c>
      <c r="M63" s="45">
        <f t="shared" si="38"/>
        <v>134.8704</v>
      </c>
      <c r="N63" s="45">
        <f t="shared" si="39"/>
        <v>99.84156</v>
      </c>
      <c r="O63" s="45">
        <f t="shared" si="40"/>
        <v>149.856</v>
      </c>
      <c r="P63" s="45">
        <f t="shared" si="41"/>
        <v>104.8992</v>
      </c>
      <c r="Q63" s="45">
        <f t="shared" si="42"/>
        <v>157.3488</v>
      </c>
      <c r="R63" s="90">
        <f t="shared" si="43"/>
        <v>115.7600136</v>
      </c>
      <c r="S63" s="82"/>
    </row>
    <row r="64" spans="1:19">
      <c r="A64" s="26" t="s">
        <v>132</v>
      </c>
      <c r="B64" s="85">
        <v>0.254</v>
      </c>
      <c r="C64" s="26">
        <v>10</v>
      </c>
      <c r="D64" s="26" t="s">
        <v>38</v>
      </c>
      <c r="E64" s="26" t="s">
        <v>39</v>
      </c>
      <c r="F64" s="26" t="s">
        <v>91</v>
      </c>
      <c r="G64" s="27">
        <v>20.922</v>
      </c>
      <c r="H64" s="26">
        <f t="shared" si="33"/>
        <v>251.064</v>
      </c>
      <c r="I64" s="45">
        <f t="shared" si="34"/>
        <v>278.89026</v>
      </c>
      <c r="J64" s="26">
        <f t="shared" si="35"/>
        <v>292.908</v>
      </c>
      <c r="K64" s="26">
        <f t="shared" si="36"/>
        <v>185.78736</v>
      </c>
      <c r="L64" s="45">
        <f t="shared" si="37"/>
        <v>200.8512</v>
      </c>
      <c r="M64" s="45">
        <f t="shared" si="38"/>
        <v>301.2768</v>
      </c>
      <c r="N64" s="45">
        <f t="shared" si="39"/>
        <v>223.02852</v>
      </c>
      <c r="O64" s="45">
        <f t="shared" si="40"/>
        <v>334.752</v>
      </c>
      <c r="P64" s="45">
        <f t="shared" si="41"/>
        <v>234.3264</v>
      </c>
      <c r="Q64" s="45">
        <f t="shared" si="42"/>
        <v>351.4896</v>
      </c>
      <c r="R64" s="90">
        <f t="shared" si="43"/>
        <v>258.5875512</v>
      </c>
      <c r="S64" s="82"/>
    </row>
    <row r="65" spans="1:19">
      <c r="A65" s="26" t="s">
        <v>132</v>
      </c>
      <c r="B65" s="85">
        <v>0.3048</v>
      </c>
      <c r="C65" s="26">
        <v>12</v>
      </c>
      <c r="D65" s="26" t="s">
        <v>41</v>
      </c>
      <c r="E65" s="26" t="s">
        <v>39</v>
      </c>
      <c r="F65" s="26" t="s">
        <v>93</v>
      </c>
      <c r="G65" s="27">
        <v>12.964</v>
      </c>
      <c r="H65" s="26">
        <f t="shared" si="33"/>
        <v>155.568</v>
      </c>
      <c r="I65" s="45">
        <f t="shared" si="34"/>
        <v>172.81012</v>
      </c>
      <c r="J65" s="26">
        <f t="shared" si="35"/>
        <v>181.496</v>
      </c>
      <c r="K65" s="26">
        <f t="shared" si="36"/>
        <v>115.12032</v>
      </c>
      <c r="L65" s="45">
        <f t="shared" si="37"/>
        <v>124.4544</v>
      </c>
      <c r="M65" s="45">
        <f t="shared" si="38"/>
        <v>186.6816</v>
      </c>
      <c r="N65" s="45">
        <f t="shared" si="39"/>
        <v>138.19624</v>
      </c>
      <c r="O65" s="45">
        <f t="shared" si="40"/>
        <v>207.424</v>
      </c>
      <c r="P65" s="45">
        <f t="shared" si="41"/>
        <v>145.1968</v>
      </c>
      <c r="Q65" s="45">
        <f t="shared" si="42"/>
        <v>217.7952</v>
      </c>
      <c r="R65" s="90">
        <f t="shared" si="43"/>
        <v>160.2298544</v>
      </c>
      <c r="S65" s="82"/>
    </row>
    <row r="66" spans="1:19">
      <c r="A66" s="26" t="s">
        <v>132</v>
      </c>
      <c r="B66" s="85">
        <v>0.3048</v>
      </c>
      <c r="C66" s="26">
        <v>12</v>
      </c>
      <c r="D66" s="26" t="s">
        <v>44</v>
      </c>
      <c r="E66" s="26" t="s">
        <v>39</v>
      </c>
      <c r="F66" s="26" t="s">
        <v>93</v>
      </c>
      <c r="G66" s="27">
        <v>10.08</v>
      </c>
      <c r="H66" s="26">
        <f t="shared" si="33"/>
        <v>120.96</v>
      </c>
      <c r="I66" s="45">
        <f t="shared" si="34"/>
        <v>134.3664</v>
      </c>
      <c r="J66" s="26">
        <f t="shared" si="35"/>
        <v>141.12</v>
      </c>
      <c r="K66" s="26">
        <f t="shared" si="36"/>
        <v>89.5104</v>
      </c>
      <c r="L66" s="45">
        <f t="shared" si="37"/>
        <v>96.768</v>
      </c>
      <c r="M66" s="45">
        <f t="shared" si="38"/>
        <v>145.152</v>
      </c>
      <c r="N66" s="45">
        <f t="shared" si="39"/>
        <v>107.4528</v>
      </c>
      <c r="O66" s="45">
        <f t="shared" si="40"/>
        <v>161.28</v>
      </c>
      <c r="P66" s="45">
        <f t="shared" si="41"/>
        <v>112.896</v>
      </c>
      <c r="Q66" s="45">
        <f t="shared" si="42"/>
        <v>169.344</v>
      </c>
      <c r="R66" s="90">
        <f t="shared" si="43"/>
        <v>124.584768</v>
      </c>
      <c r="S66" s="82"/>
    </row>
    <row r="67" spans="1:19">
      <c r="A67" s="26" t="s">
        <v>132</v>
      </c>
      <c r="B67" s="85">
        <v>0.381</v>
      </c>
      <c r="C67" s="26">
        <v>15</v>
      </c>
      <c r="D67" s="26" t="s">
        <v>44</v>
      </c>
      <c r="E67" s="26" t="s">
        <v>42</v>
      </c>
      <c r="F67" s="26" t="s">
        <v>43</v>
      </c>
      <c r="G67" s="27">
        <v>9.358</v>
      </c>
      <c r="H67" s="26">
        <f t="shared" si="33"/>
        <v>112.296</v>
      </c>
      <c r="I67" s="45">
        <f t="shared" si="34"/>
        <v>124.74214</v>
      </c>
      <c r="J67" s="26">
        <f t="shared" si="35"/>
        <v>131.012</v>
      </c>
      <c r="K67" s="26">
        <f t="shared" si="36"/>
        <v>83.09904</v>
      </c>
      <c r="L67" s="45">
        <f t="shared" si="37"/>
        <v>89.8368</v>
      </c>
      <c r="M67" s="45">
        <f t="shared" si="38"/>
        <v>134.7552</v>
      </c>
      <c r="N67" s="45">
        <f t="shared" si="39"/>
        <v>99.75628</v>
      </c>
      <c r="O67" s="45">
        <f t="shared" si="40"/>
        <v>149.728</v>
      </c>
      <c r="P67" s="45">
        <f t="shared" si="41"/>
        <v>104.8096</v>
      </c>
      <c r="Q67" s="45">
        <f t="shared" si="42"/>
        <v>157.2144</v>
      </c>
      <c r="R67" s="90">
        <f t="shared" si="43"/>
        <v>115.6611368</v>
      </c>
      <c r="S67" s="82"/>
    </row>
    <row r="68" spans="1:19">
      <c r="A68" s="26" t="s">
        <v>132</v>
      </c>
      <c r="B68" s="85">
        <v>0.381</v>
      </c>
      <c r="C68" s="26">
        <v>15</v>
      </c>
      <c r="D68" s="26" t="s">
        <v>41</v>
      </c>
      <c r="E68" s="26" t="s">
        <v>39</v>
      </c>
      <c r="F68" s="26" t="s">
        <v>43</v>
      </c>
      <c r="G68" s="27">
        <v>13.876</v>
      </c>
      <c r="H68" s="26">
        <f t="shared" si="33"/>
        <v>166.512</v>
      </c>
      <c r="I68" s="45">
        <f t="shared" si="34"/>
        <v>184.96708</v>
      </c>
      <c r="J68" s="26">
        <f t="shared" si="35"/>
        <v>194.264</v>
      </c>
      <c r="K68" s="26">
        <f t="shared" si="36"/>
        <v>123.21888</v>
      </c>
      <c r="L68" s="45">
        <f t="shared" si="37"/>
        <v>133.2096</v>
      </c>
      <c r="M68" s="45">
        <f t="shared" si="38"/>
        <v>199.8144</v>
      </c>
      <c r="N68" s="45">
        <f t="shared" si="39"/>
        <v>147.91816</v>
      </c>
      <c r="O68" s="45">
        <f t="shared" si="40"/>
        <v>222.016</v>
      </c>
      <c r="P68" s="45">
        <f t="shared" si="41"/>
        <v>155.4112</v>
      </c>
      <c r="Q68" s="45">
        <f t="shared" si="42"/>
        <v>233.1168</v>
      </c>
      <c r="R68" s="90">
        <f t="shared" si="43"/>
        <v>171.5018096</v>
      </c>
      <c r="S68" s="82"/>
    </row>
    <row r="69" spans="1:19">
      <c r="A69" s="26" t="s">
        <v>132</v>
      </c>
      <c r="B69" s="85">
        <v>0.381</v>
      </c>
      <c r="C69" s="26">
        <v>15</v>
      </c>
      <c r="D69" s="26" t="s">
        <v>41</v>
      </c>
      <c r="E69" s="26" t="s">
        <v>134</v>
      </c>
      <c r="F69" s="26" t="s">
        <v>43</v>
      </c>
      <c r="G69" s="27">
        <v>15.5</v>
      </c>
      <c r="H69" s="26">
        <f t="shared" si="33"/>
        <v>186</v>
      </c>
      <c r="I69" s="45">
        <f t="shared" si="34"/>
        <v>206.615</v>
      </c>
      <c r="J69" s="26">
        <f t="shared" si="35"/>
        <v>217</v>
      </c>
      <c r="K69" s="26">
        <f t="shared" si="36"/>
        <v>137.64</v>
      </c>
      <c r="L69" s="45">
        <f t="shared" si="37"/>
        <v>148.8</v>
      </c>
      <c r="M69" s="45">
        <f t="shared" si="38"/>
        <v>223.2</v>
      </c>
      <c r="N69" s="45">
        <f t="shared" si="39"/>
        <v>165.23</v>
      </c>
      <c r="O69" s="45">
        <f t="shared" si="40"/>
        <v>248</v>
      </c>
      <c r="P69" s="45">
        <f t="shared" si="41"/>
        <v>173.6</v>
      </c>
      <c r="Q69" s="45">
        <f t="shared" si="42"/>
        <v>260.4</v>
      </c>
      <c r="R69" s="90">
        <f t="shared" si="43"/>
        <v>191.5738</v>
      </c>
      <c r="S69" s="82"/>
    </row>
    <row r="70" spans="1:19">
      <c r="A70" s="26" t="s">
        <v>132</v>
      </c>
      <c r="B70" s="85">
        <v>0.381</v>
      </c>
      <c r="C70" s="26">
        <v>15</v>
      </c>
      <c r="D70" s="26" t="s">
        <v>41</v>
      </c>
      <c r="E70" s="26" t="s">
        <v>39</v>
      </c>
      <c r="F70" s="26" t="s">
        <v>139</v>
      </c>
      <c r="G70" s="27">
        <v>14.191</v>
      </c>
      <c r="H70" s="26">
        <f t="shared" si="33"/>
        <v>170.292</v>
      </c>
      <c r="I70" s="45">
        <f t="shared" si="34"/>
        <v>189.16603</v>
      </c>
      <c r="J70" s="26">
        <f t="shared" si="35"/>
        <v>198.674</v>
      </c>
      <c r="K70" s="26">
        <f t="shared" si="36"/>
        <v>126.01608</v>
      </c>
      <c r="L70" s="45">
        <f t="shared" si="37"/>
        <v>136.2336</v>
      </c>
      <c r="M70" s="45">
        <f t="shared" si="38"/>
        <v>204.3504</v>
      </c>
      <c r="N70" s="45">
        <f t="shared" si="39"/>
        <v>151.27606</v>
      </c>
      <c r="O70" s="45">
        <f t="shared" si="40"/>
        <v>227.056</v>
      </c>
      <c r="P70" s="45">
        <f t="shared" si="41"/>
        <v>158.9392</v>
      </c>
      <c r="Q70" s="45">
        <f t="shared" si="42"/>
        <v>238.4088</v>
      </c>
      <c r="R70" s="90">
        <f t="shared" si="43"/>
        <v>175.3950836</v>
      </c>
      <c r="S70" s="82"/>
    </row>
    <row r="71" ht="26.4" spans="1:19">
      <c r="A71" s="26" t="s">
        <v>132</v>
      </c>
      <c r="B71" s="85">
        <v>0.508</v>
      </c>
      <c r="C71" s="26">
        <v>20</v>
      </c>
      <c r="D71" s="26" t="s">
        <v>44</v>
      </c>
      <c r="E71" s="26" t="s">
        <v>134</v>
      </c>
      <c r="F71" s="29" t="s">
        <v>47</v>
      </c>
      <c r="G71" s="27">
        <v>11.195</v>
      </c>
      <c r="H71" s="26">
        <f t="shared" si="33"/>
        <v>134.34</v>
      </c>
      <c r="I71" s="45">
        <f t="shared" si="34"/>
        <v>149.22935</v>
      </c>
      <c r="J71" s="26">
        <f t="shared" si="35"/>
        <v>156.73</v>
      </c>
      <c r="K71" s="26">
        <f t="shared" si="36"/>
        <v>99.4116</v>
      </c>
      <c r="L71" s="45">
        <f t="shared" si="37"/>
        <v>107.472</v>
      </c>
      <c r="M71" s="45">
        <f t="shared" si="38"/>
        <v>161.208</v>
      </c>
      <c r="N71" s="45">
        <f t="shared" si="39"/>
        <v>119.3387</v>
      </c>
      <c r="O71" s="45">
        <f t="shared" si="40"/>
        <v>179.12</v>
      </c>
      <c r="P71" s="45">
        <f t="shared" si="41"/>
        <v>125.384</v>
      </c>
      <c r="Q71" s="45">
        <f t="shared" si="42"/>
        <v>188.076</v>
      </c>
      <c r="R71" s="90">
        <f t="shared" si="43"/>
        <v>138.365722</v>
      </c>
      <c r="S71" s="82"/>
    </row>
    <row r="72" ht="26.4" spans="1:19">
      <c r="A72" s="26" t="s">
        <v>132</v>
      </c>
      <c r="B72" s="85">
        <v>0.508</v>
      </c>
      <c r="C72" s="26">
        <v>20</v>
      </c>
      <c r="D72" s="26" t="s">
        <v>41</v>
      </c>
      <c r="E72" s="26" t="s">
        <v>39</v>
      </c>
      <c r="F72" s="29" t="s">
        <v>47</v>
      </c>
      <c r="G72" s="27">
        <v>14.464</v>
      </c>
      <c r="H72" s="26">
        <f t="shared" si="33"/>
        <v>173.568</v>
      </c>
      <c r="I72" s="45">
        <f t="shared" si="34"/>
        <v>192.80512</v>
      </c>
      <c r="J72" s="26">
        <f t="shared" si="35"/>
        <v>202.496</v>
      </c>
      <c r="K72" s="26">
        <f t="shared" si="36"/>
        <v>128.44032</v>
      </c>
      <c r="L72" s="45">
        <f t="shared" si="37"/>
        <v>138.8544</v>
      </c>
      <c r="M72" s="45">
        <f t="shared" si="38"/>
        <v>208.2816</v>
      </c>
      <c r="N72" s="45">
        <f t="shared" si="39"/>
        <v>154.18624</v>
      </c>
      <c r="O72" s="45">
        <f t="shared" si="40"/>
        <v>231.424</v>
      </c>
      <c r="P72" s="45">
        <f t="shared" si="41"/>
        <v>161.9968</v>
      </c>
      <c r="Q72" s="45">
        <f t="shared" si="42"/>
        <v>242.9952</v>
      </c>
      <c r="R72" s="90">
        <f t="shared" si="43"/>
        <v>178.7692544</v>
      </c>
      <c r="S72" s="82"/>
    </row>
    <row r="73" spans="1:19">
      <c r="A73" s="26" t="s">
        <v>132</v>
      </c>
      <c r="B73" s="85">
        <v>0.5334</v>
      </c>
      <c r="C73" s="26">
        <v>21</v>
      </c>
      <c r="D73" s="26" t="s">
        <v>41</v>
      </c>
      <c r="E73" s="26" t="s">
        <v>39</v>
      </c>
      <c r="F73" s="26" t="s">
        <v>48</v>
      </c>
      <c r="G73" s="27">
        <v>13.159</v>
      </c>
      <c r="H73" s="26">
        <f t="shared" si="33"/>
        <v>157.908</v>
      </c>
      <c r="I73" s="45">
        <f t="shared" si="34"/>
        <v>175.40947</v>
      </c>
      <c r="J73" s="26">
        <f t="shared" si="35"/>
        <v>184.226</v>
      </c>
      <c r="K73" s="26">
        <f t="shared" si="36"/>
        <v>116.85192</v>
      </c>
      <c r="L73" s="45">
        <f t="shared" si="37"/>
        <v>126.3264</v>
      </c>
      <c r="M73" s="45">
        <f t="shared" si="38"/>
        <v>189.4896</v>
      </c>
      <c r="N73" s="45">
        <f t="shared" si="39"/>
        <v>140.27494</v>
      </c>
      <c r="O73" s="45">
        <f t="shared" si="40"/>
        <v>210.544</v>
      </c>
      <c r="P73" s="45">
        <f t="shared" si="41"/>
        <v>147.3808</v>
      </c>
      <c r="Q73" s="45">
        <f t="shared" si="42"/>
        <v>221.0712</v>
      </c>
      <c r="R73" s="90">
        <f t="shared" si="43"/>
        <v>162.6399764</v>
      </c>
      <c r="S73" s="82"/>
    </row>
    <row r="74" ht="31.2" spans="1:19">
      <c r="A74" s="26" t="s">
        <v>132</v>
      </c>
      <c r="B74" s="85">
        <f>C74*0.0254</f>
        <v>0.6096</v>
      </c>
      <c r="C74" s="26">
        <v>24</v>
      </c>
      <c r="D74" s="26" t="s">
        <v>44</v>
      </c>
      <c r="E74" s="26" t="s">
        <v>42</v>
      </c>
      <c r="F74" s="26" t="s">
        <v>115</v>
      </c>
      <c r="G74" s="27">
        <v>12.113</v>
      </c>
      <c r="H74" s="26">
        <f t="shared" si="33"/>
        <v>145.356</v>
      </c>
      <c r="I74" s="45">
        <f t="shared" si="34"/>
        <v>161.46629</v>
      </c>
      <c r="J74" s="26">
        <f t="shared" si="35"/>
        <v>169.582</v>
      </c>
      <c r="K74" s="26">
        <f t="shared" si="36"/>
        <v>107.56344</v>
      </c>
      <c r="L74" s="45">
        <f t="shared" si="37"/>
        <v>116.2848</v>
      </c>
      <c r="M74" s="45">
        <f t="shared" si="38"/>
        <v>174.4272</v>
      </c>
      <c r="N74" s="45">
        <f t="shared" si="39"/>
        <v>129.12458</v>
      </c>
      <c r="O74" s="45">
        <f t="shared" si="40"/>
        <v>193.808</v>
      </c>
      <c r="P74" s="45">
        <f t="shared" si="41"/>
        <v>135.6656</v>
      </c>
      <c r="Q74" s="45">
        <f t="shared" si="42"/>
        <v>203.4984</v>
      </c>
      <c r="R74" s="90">
        <f t="shared" si="43"/>
        <v>149.7118348</v>
      </c>
      <c r="S74" s="82"/>
    </row>
    <row r="75" spans="1:19">
      <c r="A75" s="26" t="s">
        <v>132</v>
      </c>
      <c r="B75" s="85">
        <f>C75/39.37</f>
        <v>0.711201422402845</v>
      </c>
      <c r="C75" s="26">
        <v>28</v>
      </c>
      <c r="D75" s="26" t="s">
        <v>44</v>
      </c>
      <c r="E75" s="26" t="s">
        <v>42</v>
      </c>
      <c r="F75" s="26" t="s">
        <v>49</v>
      </c>
      <c r="G75" s="27">
        <v>13.53</v>
      </c>
      <c r="H75" s="26">
        <f t="shared" si="33"/>
        <v>162.36</v>
      </c>
      <c r="I75" s="45">
        <f t="shared" si="34"/>
        <v>180.3549</v>
      </c>
      <c r="J75" s="26">
        <f t="shared" si="35"/>
        <v>189.42</v>
      </c>
      <c r="K75" s="26">
        <f t="shared" si="36"/>
        <v>120.1464</v>
      </c>
      <c r="L75" s="45">
        <f t="shared" si="37"/>
        <v>129.888</v>
      </c>
      <c r="M75" s="45">
        <f t="shared" si="38"/>
        <v>194.832</v>
      </c>
      <c r="N75" s="45">
        <f t="shared" si="39"/>
        <v>144.2298</v>
      </c>
      <c r="O75" s="45">
        <f t="shared" si="40"/>
        <v>216.48</v>
      </c>
      <c r="P75" s="45">
        <f t="shared" si="41"/>
        <v>151.536</v>
      </c>
      <c r="Q75" s="45">
        <f t="shared" si="42"/>
        <v>227.304</v>
      </c>
      <c r="R75" s="90">
        <f t="shared" si="43"/>
        <v>167.225388</v>
      </c>
      <c r="S75" s="82"/>
    </row>
    <row r="76" spans="1:19">
      <c r="A76" s="26" t="s">
        <v>132</v>
      </c>
      <c r="B76" s="85">
        <v>0.9144</v>
      </c>
      <c r="C76" s="26">
        <v>36</v>
      </c>
      <c r="D76" s="26" t="s">
        <v>44</v>
      </c>
      <c r="E76" s="26" t="s">
        <v>39</v>
      </c>
      <c r="F76" s="26" t="s">
        <v>51</v>
      </c>
      <c r="G76" s="27">
        <v>19.144</v>
      </c>
      <c r="H76" s="26">
        <f t="shared" si="33"/>
        <v>229.728</v>
      </c>
      <c r="I76" s="45">
        <f t="shared" si="34"/>
        <v>255.18952</v>
      </c>
      <c r="J76" s="26">
        <f t="shared" si="35"/>
        <v>268.016</v>
      </c>
      <c r="K76" s="26">
        <f t="shared" si="36"/>
        <v>169.99872</v>
      </c>
      <c r="L76" s="45">
        <f t="shared" si="37"/>
        <v>183.7824</v>
      </c>
      <c r="M76" s="45">
        <f t="shared" si="38"/>
        <v>275.6736</v>
      </c>
      <c r="N76" s="45">
        <f t="shared" si="39"/>
        <v>204.07504</v>
      </c>
      <c r="O76" s="45">
        <f t="shared" si="40"/>
        <v>306.304</v>
      </c>
      <c r="P76" s="45">
        <f t="shared" si="41"/>
        <v>214.4128</v>
      </c>
      <c r="Q76" s="45">
        <f t="shared" si="42"/>
        <v>321.6192</v>
      </c>
      <c r="R76" s="90">
        <f t="shared" si="43"/>
        <v>236.6121824</v>
      </c>
      <c r="S76" s="82"/>
    </row>
    <row r="77" spans="1:19">
      <c r="A77" s="26" t="s">
        <v>132</v>
      </c>
      <c r="B77" s="85">
        <v>0.9906</v>
      </c>
      <c r="C77" s="26">
        <v>39</v>
      </c>
      <c r="D77" s="26" t="s">
        <v>41</v>
      </c>
      <c r="E77" s="26" t="s">
        <v>39</v>
      </c>
      <c r="F77" s="26" t="s">
        <v>51</v>
      </c>
      <c r="G77" s="27">
        <v>29.032</v>
      </c>
      <c r="H77" s="26">
        <f t="shared" si="33"/>
        <v>348.384</v>
      </c>
      <c r="I77" s="45">
        <f t="shared" si="34"/>
        <v>386.99656</v>
      </c>
      <c r="J77" s="26">
        <f t="shared" si="35"/>
        <v>406.448</v>
      </c>
      <c r="K77" s="26">
        <f t="shared" si="36"/>
        <v>257.80416</v>
      </c>
      <c r="L77" s="45">
        <f t="shared" si="37"/>
        <v>278.7072</v>
      </c>
      <c r="M77" s="45">
        <f t="shared" si="38"/>
        <v>418.0608</v>
      </c>
      <c r="N77" s="45">
        <f t="shared" si="39"/>
        <v>309.48112</v>
      </c>
      <c r="O77" s="45">
        <f t="shared" si="40"/>
        <v>464.512</v>
      </c>
      <c r="P77" s="45">
        <f t="shared" si="41"/>
        <v>325.1584</v>
      </c>
      <c r="Q77" s="45">
        <f t="shared" si="42"/>
        <v>487.7376</v>
      </c>
      <c r="R77" s="90">
        <f t="shared" si="43"/>
        <v>358.8239072</v>
      </c>
      <c r="S77" s="82"/>
    </row>
    <row r="78" spans="1:19">
      <c r="A78" s="26" t="s">
        <v>132</v>
      </c>
      <c r="B78" s="85">
        <v>0.9906</v>
      </c>
      <c r="C78" s="26">
        <v>39</v>
      </c>
      <c r="D78" s="26" t="s">
        <v>44</v>
      </c>
      <c r="E78" s="26" t="s">
        <v>39</v>
      </c>
      <c r="F78" s="26" t="s">
        <v>51</v>
      </c>
      <c r="G78" s="27">
        <v>21.13</v>
      </c>
      <c r="H78" s="26">
        <f t="shared" si="33"/>
        <v>253.56</v>
      </c>
      <c r="I78" s="45">
        <f t="shared" si="34"/>
        <v>281.6629</v>
      </c>
      <c r="J78" s="26">
        <f t="shared" si="35"/>
        <v>295.82</v>
      </c>
      <c r="K78" s="26">
        <f t="shared" si="36"/>
        <v>187.6344</v>
      </c>
      <c r="L78" s="45">
        <f t="shared" si="37"/>
        <v>202.848</v>
      </c>
      <c r="M78" s="45">
        <f t="shared" si="38"/>
        <v>304.272</v>
      </c>
      <c r="N78" s="45">
        <f t="shared" si="39"/>
        <v>225.2458</v>
      </c>
      <c r="O78" s="45">
        <f t="shared" si="40"/>
        <v>338.08</v>
      </c>
      <c r="P78" s="45">
        <f t="shared" si="41"/>
        <v>236.656</v>
      </c>
      <c r="Q78" s="45">
        <f t="shared" si="42"/>
        <v>354.984</v>
      </c>
      <c r="R78" s="90">
        <f t="shared" si="43"/>
        <v>261.158348</v>
      </c>
      <c r="S78" s="82"/>
    </row>
    <row r="79" spans="1:19">
      <c r="A79" s="26" t="s">
        <v>132</v>
      </c>
      <c r="B79" s="85">
        <v>1.245</v>
      </c>
      <c r="C79" s="26">
        <v>49</v>
      </c>
      <c r="D79" s="26" t="s">
        <v>44</v>
      </c>
      <c r="E79" s="26" t="s">
        <v>39</v>
      </c>
      <c r="F79" s="26" t="s">
        <v>51</v>
      </c>
      <c r="G79" s="27">
        <v>23.999</v>
      </c>
      <c r="H79" s="26">
        <f t="shared" si="33"/>
        <v>287.988</v>
      </c>
      <c r="I79" s="45">
        <f t="shared" si="34"/>
        <v>319.90667</v>
      </c>
      <c r="J79" s="26">
        <f t="shared" si="35"/>
        <v>335.986</v>
      </c>
      <c r="K79" s="26">
        <f t="shared" si="36"/>
        <v>213.11112</v>
      </c>
      <c r="L79" s="45">
        <f t="shared" si="37"/>
        <v>230.3904</v>
      </c>
      <c r="M79" s="45">
        <f t="shared" si="38"/>
        <v>345.5856</v>
      </c>
      <c r="N79" s="45">
        <f t="shared" si="39"/>
        <v>255.82934</v>
      </c>
      <c r="O79" s="45">
        <f t="shared" si="40"/>
        <v>383.984</v>
      </c>
      <c r="P79" s="45">
        <f t="shared" si="41"/>
        <v>268.7888</v>
      </c>
      <c r="Q79" s="45">
        <f t="shared" si="42"/>
        <v>403.1832</v>
      </c>
      <c r="R79" s="90">
        <f t="shared" si="43"/>
        <v>296.6180404</v>
      </c>
      <c r="S79" s="82"/>
    </row>
    <row r="80" spans="1:19">
      <c r="A80" s="26" t="s">
        <v>132</v>
      </c>
      <c r="B80" s="85">
        <f>C80*0.0254</f>
        <v>1.2954</v>
      </c>
      <c r="C80" s="26">
        <v>51</v>
      </c>
      <c r="D80" s="26" t="s">
        <v>41</v>
      </c>
      <c r="E80" s="26" t="s">
        <v>39</v>
      </c>
      <c r="F80" s="26" t="s">
        <v>53</v>
      </c>
      <c r="G80" s="27">
        <v>27.427</v>
      </c>
      <c r="H80" s="26">
        <f t="shared" si="33"/>
        <v>329.124</v>
      </c>
      <c r="I80" s="45">
        <f t="shared" si="34"/>
        <v>365.60191</v>
      </c>
      <c r="J80" s="26">
        <f t="shared" si="35"/>
        <v>383.978</v>
      </c>
      <c r="K80" s="26">
        <f t="shared" si="36"/>
        <v>243.55176</v>
      </c>
      <c r="L80" s="45">
        <f t="shared" si="37"/>
        <v>263.2992</v>
      </c>
      <c r="M80" s="45">
        <f t="shared" si="38"/>
        <v>394.9488</v>
      </c>
      <c r="N80" s="45">
        <f t="shared" si="39"/>
        <v>292.37182</v>
      </c>
      <c r="O80" s="45">
        <f t="shared" si="40"/>
        <v>438.832</v>
      </c>
      <c r="P80" s="45">
        <f t="shared" si="41"/>
        <v>307.1824</v>
      </c>
      <c r="Q80" s="45">
        <f t="shared" si="42"/>
        <v>460.7736</v>
      </c>
      <c r="R80" s="90">
        <f t="shared" si="43"/>
        <v>338.9867492</v>
      </c>
      <c r="S80" s="82"/>
    </row>
    <row r="81" spans="1:18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ht="16.2" spans="1:18">
      <c r="A82" s="92" t="s">
        <v>140</v>
      </c>
      <c r="B82" s="92"/>
      <c r="C82" s="92"/>
      <c r="D82" s="92"/>
      <c r="E82" s="92"/>
      <c r="F82" s="92"/>
      <c r="G82" s="92"/>
      <c r="H82" s="92"/>
      <c r="I82" s="92"/>
      <c r="J82" s="30"/>
      <c r="K82" s="30"/>
      <c r="L82" s="30"/>
      <c r="M82" s="30"/>
      <c r="N82" s="30"/>
      <c r="O82" s="30"/>
      <c r="P82" s="30"/>
      <c r="Q82" s="30"/>
      <c r="R82" s="30"/>
    </row>
    <row r="83" ht="31.2" spans="1:18">
      <c r="A83" s="32" t="s">
        <v>59</v>
      </c>
      <c r="B83" s="32" t="s">
        <v>60</v>
      </c>
      <c r="C83" s="32" t="s">
        <v>61</v>
      </c>
      <c r="D83" s="32" t="s">
        <v>62</v>
      </c>
      <c r="E83" s="93" t="s">
        <v>63</v>
      </c>
      <c r="F83" s="94"/>
      <c r="G83" s="95"/>
      <c r="H83" s="93" t="s">
        <v>64</v>
      </c>
      <c r="I83" s="101"/>
      <c r="J83" s="30"/>
      <c r="K83" s="30"/>
      <c r="L83" s="30"/>
      <c r="M83" s="30"/>
      <c r="N83" s="30"/>
      <c r="O83" s="30"/>
      <c r="P83" s="30"/>
      <c r="Q83" s="30"/>
      <c r="R83" s="30"/>
    </row>
    <row r="84" ht="31.2" spans="1:18">
      <c r="A84" s="35" t="s">
        <v>65</v>
      </c>
      <c r="B84" s="35" t="s">
        <v>66</v>
      </c>
      <c r="C84" s="35" t="s">
        <v>67</v>
      </c>
      <c r="D84" s="35" t="s">
        <v>68</v>
      </c>
      <c r="E84" s="36" t="s">
        <v>69</v>
      </c>
      <c r="F84" s="36" t="s">
        <v>70</v>
      </c>
      <c r="G84" s="36" t="s">
        <v>71</v>
      </c>
      <c r="H84" s="36" t="s">
        <v>70</v>
      </c>
      <c r="I84" s="36" t="s">
        <v>71</v>
      </c>
      <c r="J84" s="30"/>
      <c r="K84" s="30"/>
      <c r="L84" s="30"/>
      <c r="M84" s="30"/>
      <c r="N84" s="30"/>
      <c r="O84" s="30"/>
      <c r="P84" s="30"/>
      <c r="Q84" s="30"/>
      <c r="R84" s="30"/>
    </row>
    <row r="85" spans="1:18">
      <c r="A85" s="26" t="s">
        <v>141</v>
      </c>
      <c r="B85" s="37">
        <v>106</v>
      </c>
      <c r="C85" s="38">
        <v>0.72</v>
      </c>
      <c r="D85" s="37">
        <v>300</v>
      </c>
      <c r="E85" s="27">
        <v>2.281</v>
      </c>
      <c r="F85" s="39">
        <f t="shared" ref="F85:F118" si="44">G85/D85</f>
        <v>29.92672</v>
      </c>
      <c r="G85" s="39">
        <f t="shared" ref="G85:G107" si="45">E85*3936</f>
        <v>8978.016</v>
      </c>
      <c r="H85" s="39">
        <f t="shared" ref="H85:H118" si="46">I85/D85</f>
        <v>28.430384</v>
      </c>
      <c r="I85" s="26">
        <f t="shared" ref="I85:I118" si="47">G85*0.95</f>
        <v>8529.1152</v>
      </c>
      <c r="J85" s="79"/>
      <c r="K85" s="30"/>
      <c r="L85" s="30"/>
      <c r="M85" s="30"/>
      <c r="N85" s="30"/>
      <c r="O85" s="30"/>
      <c r="P85" s="30"/>
      <c r="Q85" s="30"/>
      <c r="R85" s="30"/>
    </row>
    <row r="86" spans="1:18">
      <c r="A86" s="26" t="s">
        <v>141</v>
      </c>
      <c r="B86" s="37">
        <v>106</v>
      </c>
      <c r="C86" s="38">
        <v>0.75</v>
      </c>
      <c r="D86" s="37">
        <v>300</v>
      </c>
      <c r="E86" s="27">
        <v>2.353</v>
      </c>
      <c r="F86" s="39">
        <f t="shared" si="44"/>
        <v>30.87136</v>
      </c>
      <c r="G86" s="39">
        <f t="shared" si="45"/>
        <v>9261.408</v>
      </c>
      <c r="H86" s="39">
        <f t="shared" si="46"/>
        <v>29.327792</v>
      </c>
      <c r="I86" s="26">
        <f t="shared" si="47"/>
        <v>8798.3376</v>
      </c>
      <c r="J86" s="79"/>
      <c r="K86" s="30"/>
      <c r="L86" s="30"/>
      <c r="M86" s="30"/>
      <c r="N86" s="30"/>
      <c r="O86" s="30"/>
      <c r="P86" s="30"/>
      <c r="Q86" s="30"/>
      <c r="R86" s="30"/>
    </row>
    <row r="87" spans="1:18">
      <c r="A87" s="26" t="s">
        <v>141</v>
      </c>
      <c r="B87" s="37">
        <v>1027</v>
      </c>
      <c r="C87" s="38">
        <v>0.73</v>
      </c>
      <c r="D87" s="37">
        <v>300</v>
      </c>
      <c r="E87" s="27">
        <v>3.444</v>
      </c>
      <c r="F87" s="39">
        <f t="shared" si="44"/>
        <v>45.18528</v>
      </c>
      <c r="G87" s="39">
        <f t="shared" si="45"/>
        <v>13555.584</v>
      </c>
      <c r="H87" s="39">
        <f t="shared" si="46"/>
        <v>42.926016</v>
      </c>
      <c r="I87" s="26">
        <f t="shared" si="47"/>
        <v>12877.8048</v>
      </c>
      <c r="J87" s="79"/>
      <c r="K87" s="30"/>
      <c r="L87" s="30"/>
      <c r="M87" s="30"/>
      <c r="N87" s="30"/>
      <c r="O87" s="30"/>
      <c r="P87" s="30"/>
      <c r="Q87" s="30"/>
      <c r="R87" s="30"/>
    </row>
    <row r="88" spans="1:18">
      <c r="A88" s="26" t="s">
        <v>141</v>
      </c>
      <c r="B88" s="37">
        <v>1037</v>
      </c>
      <c r="C88" s="38">
        <v>0.7</v>
      </c>
      <c r="D88" s="37">
        <v>300</v>
      </c>
      <c r="E88" s="27">
        <v>2.686</v>
      </c>
      <c r="F88" s="39">
        <f t="shared" si="44"/>
        <v>35.24032</v>
      </c>
      <c r="G88" s="39">
        <f t="shared" si="45"/>
        <v>10572.096</v>
      </c>
      <c r="H88" s="39">
        <f t="shared" si="46"/>
        <v>33.478304</v>
      </c>
      <c r="I88" s="26">
        <f t="shared" si="47"/>
        <v>10043.4912</v>
      </c>
      <c r="J88" s="79"/>
      <c r="K88" s="30"/>
      <c r="L88" s="30"/>
      <c r="M88" s="30"/>
      <c r="N88" s="30"/>
      <c r="O88" s="30"/>
      <c r="P88" s="30"/>
      <c r="Q88" s="30"/>
      <c r="R88" s="30"/>
    </row>
    <row r="89" spans="1:18">
      <c r="A89" s="26" t="s">
        <v>141</v>
      </c>
      <c r="B89" s="37">
        <v>1037</v>
      </c>
      <c r="C89" s="38">
        <v>0.71</v>
      </c>
      <c r="D89" s="37">
        <v>300</v>
      </c>
      <c r="E89" s="27">
        <v>2.719</v>
      </c>
      <c r="F89" s="39">
        <f t="shared" si="44"/>
        <v>35.67328</v>
      </c>
      <c r="G89" s="39">
        <f t="shared" si="45"/>
        <v>10701.984</v>
      </c>
      <c r="H89" s="39">
        <f t="shared" si="46"/>
        <v>33.889616</v>
      </c>
      <c r="I89" s="26">
        <f t="shared" si="47"/>
        <v>10166.8848</v>
      </c>
      <c r="J89" s="79"/>
      <c r="K89" s="30"/>
      <c r="L89" s="30"/>
      <c r="M89" s="30"/>
      <c r="N89" s="30"/>
      <c r="O89" s="30"/>
      <c r="P89" s="30"/>
      <c r="Q89" s="30"/>
      <c r="R89" s="30"/>
    </row>
    <row r="90" spans="1:18">
      <c r="A90" s="26" t="s">
        <v>141</v>
      </c>
      <c r="B90" s="37">
        <v>1037</v>
      </c>
      <c r="C90" s="38">
        <v>0.73</v>
      </c>
      <c r="D90" s="37">
        <v>300</v>
      </c>
      <c r="E90" s="27">
        <v>2.809</v>
      </c>
      <c r="F90" s="39">
        <f t="shared" si="44"/>
        <v>36.85408</v>
      </c>
      <c r="G90" s="39">
        <f t="shared" si="45"/>
        <v>11056.224</v>
      </c>
      <c r="H90" s="39">
        <f t="shared" si="46"/>
        <v>35.011376</v>
      </c>
      <c r="I90" s="26">
        <f t="shared" si="47"/>
        <v>10503.4128</v>
      </c>
      <c r="J90" s="79"/>
      <c r="K90" s="30"/>
      <c r="L90" s="30"/>
      <c r="M90" s="30"/>
      <c r="N90" s="30"/>
      <c r="O90" s="30"/>
      <c r="P90" s="30"/>
      <c r="Q90" s="30"/>
      <c r="R90" s="30"/>
    </row>
    <row r="91" spans="1:18">
      <c r="A91" s="26" t="s">
        <v>141</v>
      </c>
      <c r="B91" s="37">
        <v>1067</v>
      </c>
      <c r="C91" s="38">
        <v>0.68</v>
      </c>
      <c r="D91" s="37">
        <v>300</v>
      </c>
      <c r="E91" s="27">
        <v>2.521</v>
      </c>
      <c r="F91" s="39">
        <f t="shared" si="44"/>
        <v>33.07552</v>
      </c>
      <c r="G91" s="39">
        <f t="shared" si="45"/>
        <v>9922.656</v>
      </c>
      <c r="H91" s="39">
        <f t="shared" si="46"/>
        <v>31.421744</v>
      </c>
      <c r="I91" s="26">
        <f t="shared" si="47"/>
        <v>9426.5232</v>
      </c>
      <c r="J91" s="79"/>
      <c r="K91" s="30"/>
      <c r="L91" s="30"/>
      <c r="M91" s="30"/>
      <c r="N91" s="30"/>
      <c r="O91" s="30"/>
      <c r="P91" s="30"/>
      <c r="Q91" s="30"/>
      <c r="R91" s="30"/>
    </row>
    <row r="92" spans="1:18">
      <c r="A92" s="26" t="s">
        <v>141</v>
      </c>
      <c r="B92" s="37">
        <v>1067</v>
      </c>
      <c r="C92" s="38">
        <v>0.72</v>
      </c>
      <c r="D92" s="37">
        <v>300</v>
      </c>
      <c r="E92" s="27">
        <v>2.549</v>
      </c>
      <c r="F92" s="39">
        <f t="shared" si="44"/>
        <v>33.44288</v>
      </c>
      <c r="G92" s="39">
        <f t="shared" si="45"/>
        <v>10032.864</v>
      </c>
      <c r="H92" s="39">
        <f t="shared" si="46"/>
        <v>31.770736</v>
      </c>
      <c r="I92" s="26">
        <f t="shared" si="47"/>
        <v>9531.2208</v>
      </c>
      <c r="J92" s="79"/>
      <c r="K92" s="30"/>
      <c r="L92" s="30"/>
      <c r="M92" s="30"/>
      <c r="N92" s="30"/>
      <c r="O92" s="30"/>
      <c r="P92" s="30"/>
      <c r="Q92" s="30"/>
      <c r="R92" s="30"/>
    </row>
    <row r="93" spans="1:18">
      <c r="A93" s="26" t="s">
        <v>141</v>
      </c>
      <c r="B93" s="37">
        <v>1067</v>
      </c>
      <c r="C93" s="38">
        <v>0.75</v>
      </c>
      <c r="D93" s="37">
        <v>300</v>
      </c>
      <c r="E93" s="27">
        <v>2.653</v>
      </c>
      <c r="F93" s="39">
        <f t="shared" si="44"/>
        <v>34.80736</v>
      </c>
      <c r="G93" s="39">
        <f t="shared" si="45"/>
        <v>10442.208</v>
      </c>
      <c r="H93" s="39">
        <f t="shared" si="46"/>
        <v>33.066992</v>
      </c>
      <c r="I93" s="26">
        <f t="shared" si="47"/>
        <v>9920.0976</v>
      </c>
      <c r="J93" s="79"/>
      <c r="K93" s="30"/>
      <c r="L93" s="30"/>
      <c r="M93" s="30"/>
      <c r="N93" s="30"/>
      <c r="O93" s="30"/>
      <c r="P93" s="30"/>
      <c r="Q93" s="30"/>
      <c r="R93" s="30"/>
    </row>
    <row r="94" spans="1:18">
      <c r="A94" s="26" t="s">
        <v>141</v>
      </c>
      <c r="B94" s="37">
        <v>1067</v>
      </c>
      <c r="C94" s="38">
        <v>0.77</v>
      </c>
      <c r="D94" s="37">
        <v>300</v>
      </c>
      <c r="E94" s="27">
        <v>2.68</v>
      </c>
      <c r="F94" s="39">
        <f t="shared" si="44"/>
        <v>35.1616</v>
      </c>
      <c r="G94" s="39">
        <f t="shared" si="45"/>
        <v>10548.48</v>
      </c>
      <c r="H94" s="39">
        <f t="shared" si="46"/>
        <v>33.40352</v>
      </c>
      <c r="I94" s="26">
        <f t="shared" si="47"/>
        <v>10021.056</v>
      </c>
      <c r="J94" s="79"/>
      <c r="K94" s="30"/>
      <c r="L94" s="30"/>
      <c r="M94" s="30"/>
      <c r="N94" s="30"/>
      <c r="O94" s="30"/>
      <c r="P94" s="30"/>
      <c r="Q94" s="30"/>
      <c r="R94" s="30"/>
    </row>
    <row r="95" spans="1:18">
      <c r="A95" s="26" t="s">
        <v>141</v>
      </c>
      <c r="B95" s="37">
        <v>1078</v>
      </c>
      <c r="C95" s="38">
        <v>0.61</v>
      </c>
      <c r="D95" s="37">
        <v>300</v>
      </c>
      <c r="E95" s="27">
        <v>2.171</v>
      </c>
      <c r="F95" s="39">
        <f t="shared" si="44"/>
        <v>28.48352</v>
      </c>
      <c r="G95" s="39">
        <f t="shared" si="45"/>
        <v>8545.056</v>
      </c>
      <c r="H95" s="39">
        <f t="shared" si="46"/>
        <v>27.059344</v>
      </c>
      <c r="I95" s="26">
        <f t="shared" si="47"/>
        <v>8117.8032</v>
      </c>
      <c r="J95" s="79"/>
      <c r="K95" s="30"/>
      <c r="L95" s="30"/>
      <c r="M95" s="30"/>
      <c r="N95" s="30"/>
      <c r="O95" s="30"/>
      <c r="P95" s="30"/>
      <c r="Q95" s="30"/>
      <c r="R95" s="30"/>
    </row>
    <row r="96" spans="1:18">
      <c r="A96" s="26" t="s">
        <v>141</v>
      </c>
      <c r="B96" s="37">
        <v>1078</v>
      </c>
      <c r="C96" s="38">
        <v>0.63</v>
      </c>
      <c r="D96" s="37">
        <v>300</v>
      </c>
      <c r="E96" s="27">
        <v>2.171</v>
      </c>
      <c r="F96" s="39">
        <f t="shared" si="44"/>
        <v>28.48352</v>
      </c>
      <c r="G96" s="39">
        <f t="shared" si="45"/>
        <v>8545.056</v>
      </c>
      <c r="H96" s="39">
        <f t="shared" si="46"/>
        <v>27.059344</v>
      </c>
      <c r="I96" s="26">
        <f t="shared" si="47"/>
        <v>8117.8032</v>
      </c>
      <c r="J96" s="79"/>
      <c r="K96" s="30"/>
      <c r="L96" s="30"/>
      <c r="M96" s="30"/>
      <c r="N96" s="30"/>
      <c r="O96" s="30"/>
      <c r="P96" s="30"/>
      <c r="Q96" s="30"/>
      <c r="R96" s="30"/>
    </row>
    <row r="97" spans="1:18">
      <c r="A97" s="26" t="s">
        <v>141</v>
      </c>
      <c r="B97" s="37">
        <v>1078</v>
      </c>
      <c r="C97" s="38">
        <v>0.65</v>
      </c>
      <c r="D97" s="37">
        <v>300</v>
      </c>
      <c r="E97" s="27">
        <v>2.297</v>
      </c>
      <c r="F97" s="39">
        <f t="shared" si="44"/>
        <v>30.13664</v>
      </c>
      <c r="G97" s="39">
        <f t="shared" si="45"/>
        <v>9040.992</v>
      </c>
      <c r="H97" s="39">
        <f t="shared" si="46"/>
        <v>28.629808</v>
      </c>
      <c r="I97" s="26">
        <f t="shared" si="47"/>
        <v>8588.9424</v>
      </c>
      <c r="J97" s="79"/>
      <c r="K97" s="30"/>
      <c r="L97" s="30"/>
      <c r="M97" s="30"/>
      <c r="N97" s="30"/>
      <c r="O97" s="30"/>
      <c r="P97" s="30"/>
      <c r="Q97" s="30"/>
      <c r="R97" s="30"/>
    </row>
    <row r="98" spans="1:18">
      <c r="A98" s="26" t="s">
        <v>141</v>
      </c>
      <c r="B98" s="37">
        <v>1080</v>
      </c>
      <c r="C98" s="38">
        <v>0.63</v>
      </c>
      <c r="D98" s="37">
        <v>300</v>
      </c>
      <c r="E98" s="27">
        <v>2.106</v>
      </c>
      <c r="F98" s="39">
        <f t="shared" si="44"/>
        <v>27.63072</v>
      </c>
      <c r="G98" s="39">
        <f t="shared" si="45"/>
        <v>8289.216</v>
      </c>
      <c r="H98" s="39">
        <f t="shared" si="46"/>
        <v>26.249184</v>
      </c>
      <c r="I98" s="26">
        <f t="shared" si="47"/>
        <v>7874.7552</v>
      </c>
      <c r="J98" s="79"/>
      <c r="K98" s="30"/>
      <c r="L98" s="30"/>
      <c r="M98" s="30"/>
      <c r="N98" s="30"/>
      <c r="O98" s="30"/>
      <c r="P98" s="30"/>
      <c r="Q98" s="30"/>
      <c r="R98" s="30"/>
    </row>
    <row r="99" spans="1:18">
      <c r="A99" s="26" t="s">
        <v>141</v>
      </c>
      <c r="B99" s="37">
        <v>1080</v>
      </c>
      <c r="C99" s="38">
        <v>0.65</v>
      </c>
      <c r="D99" s="37">
        <v>300</v>
      </c>
      <c r="E99" s="27">
        <v>2.125</v>
      </c>
      <c r="F99" s="39">
        <f t="shared" si="44"/>
        <v>27.88</v>
      </c>
      <c r="G99" s="39">
        <f t="shared" si="45"/>
        <v>8364</v>
      </c>
      <c r="H99" s="39">
        <f t="shared" si="46"/>
        <v>26.486</v>
      </c>
      <c r="I99" s="26">
        <f t="shared" si="47"/>
        <v>7945.8</v>
      </c>
      <c r="J99" s="79"/>
      <c r="K99" s="30"/>
      <c r="L99" s="30"/>
      <c r="M99" s="30"/>
      <c r="N99" s="30"/>
      <c r="O99" s="30"/>
      <c r="P99" s="30"/>
      <c r="Q99" s="30"/>
      <c r="R99" s="30"/>
    </row>
    <row r="100" spans="1:18">
      <c r="A100" s="26" t="s">
        <v>141</v>
      </c>
      <c r="B100" s="37">
        <v>1080</v>
      </c>
      <c r="C100" s="38">
        <v>0.68</v>
      </c>
      <c r="D100" s="37">
        <v>300</v>
      </c>
      <c r="E100" s="27">
        <v>2.206</v>
      </c>
      <c r="F100" s="39">
        <f t="shared" si="44"/>
        <v>28.94272</v>
      </c>
      <c r="G100" s="39">
        <f t="shared" si="45"/>
        <v>8682.816</v>
      </c>
      <c r="H100" s="39">
        <f t="shared" si="46"/>
        <v>27.495584</v>
      </c>
      <c r="I100" s="26">
        <f t="shared" si="47"/>
        <v>8248.6752</v>
      </c>
      <c r="J100" s="79"/>
      <c r="K100" s="30"/>
      <c r="L100" s="30"/>
      <c r="M100" s="30"/>
      <c r="N100" s="30"/>
      <c r="O100" s="30"/>
      <c r="P100" s="30"/>
      <c r="Q100" s="30"/>
      <c r="R100" s="30"/>
    </row>
    <row r="101" spans="1:18">
      <c r="A101" s="26" t="s">
        <v>141</v>
      </c>
      <c r="B101" s="37">
        <v>1080</v>
      </c>
      <c r="C101" s="38">
        <v>0.72</v>
      </c>
      <c r="D101" s="37">
        <v>300</v>
      </c>
      <c r="E101" s="27">
        <v>2.366</v>
      </c>
      <c r="F101" s="39">
        <f t="shared" si="44"/>
        <v>31.04192</v>
      </c>
      <c r="G101" s="39">
        <f t="shared" si="45"/>
        <v>9312.576</v>
      </c>
      <c r="H101" s="39">
        <f t="shared" si="46"/>
        <v>29.489824</v>
      </c>
      <c r="I101" s="26">
        <f t="shared" si="47"/>
        <v>8846.9472</v>
      </c>
      <c r="J101" s="79"/>
      <c r="K101" s="30"/>
      <c r="L101" s="30"/>
      <c r="M101" s="30"/>
      <c r="N101" s="30"/>
      <c r="O101" s="30"/>
      <c r="P101" s="30"/>
      <c r="Q101" s="30"/>
      <c r="R101" s="30"/>
    </row>
    <row r="102" spans="1:18">
      <c r="A102" s="26" t="s">
        <v>141</v>
      </c>
      <c r="B102" s="37">
        <v>1086</v>
      </c>
      <c r="C102" s="38">
        <v>0.61</v>
      </c>
      <c r="D102" s="37">
        <v>300</v>
      </c>
      <c r="E102" s="27">
        <v>2.14</v>
      </c>
      <c r="F102" s="39">
        <f t="shared" si="44"/>
        <v>28.0768</v>
      </c>
      <c r="G102" s="39">
        <f t="shared" si="45"/>
        <v>8423.04</v>
      </c>
      <c r="H102" s="39">
        <f t="shared" si="46"/>
        <v>26.67296</v>
      </c>
      <c r="I102" s="26">
        <f t="shared" si="47"/>
        <v>8001.888</v>
      </c>
      <c r="J102" s="79"/>
      <c r="K102" s="30"/>
      <c r="L102" s="30"/>
      <c r="M102" s="30"/>
      <c r="N102" s="30"/>
      <c r="O102" s="30"/>
      <c r="P102" s="30"/>
      <c r="Q102" s="30"/>
      <c r="R102" s="30"/>
    </row>
    <row r="103" spans="1:18">
      <c r="A103" s="26" t="s">
        <v>141</v>
      </c>
      <c r="B103" s="37">
        <v>1086</v>
      </c>
      <c r="C103" s="38">
        <v>0.63</v>
      </c>
      <c r="D103" s="37">
        <v>300</v>
      </c>
      <c r="E103" s="27">
        <v>2.204</v>
      </c>
      <c r="F103" s="39">
        <f t="shared" si="44"/>
        <v>28.91648</v>
      </c>
      <c r="G103" s="39">
        <f t="shared" si="45"/>
        <v>8674.944</v>
      </c>
      <c r="H103" s="39">
        <f t="shared" si="46"/>
        <v>27.470656</v>
      </c>
      <c r="I103" s="26">
        <f t="shared" si="47"/>
        <v>8241.1968</v>
      </c>
      <c r="J103" s="79"/>
      <c r="K103" s="30"/>
      <c r="L103" s="30"/>
      <c r="M103" s="30"/>
      <c r="N103" s="30"/>
      <c r="O103" s="30"/>
      <c r="P103" s="30"/>
      <c r="Q103" s="30"/>
      <c r="R103" s="30"/>
    </row>
    <row r="104" spans="1:18">
      <c r="A104" s="26" t="s">
        <v>141</v>
      </c>
      <c r="B104" s="37">
        <v>1086</v>
      </c>
      <c r="C104" s="38">
        <v>0.65</v>
      </c>
      <c r="D104" s="37">
        <v>300</v>
      </c>
      <c r="E104" s="27">
        <v>2.29</v>
      </c>
      <c r="F104" s="39">
        <f t="shared" si="44"/>
        <v>30.0448</v>
      </c>
      <c r="G104" s="39">
        <f t="shared" si="45"/>
        <v>9013.44</v>
      </c>
      <c r="H104" s="39">
        <f t="shared" si="46"/>
        <v>28.54256</v>
      </c>
      <c r="I104" s="26">
        <f t="shared" si="47"/>
        <v>8562.768</v>
      </c>
      <c r="J104" s="79"/>
      <c r="K104" s="30"/>
      <c r="L104" s="30"/>
      <c r="M104" s="30"/>
      <c r="N104" s="30"/>
      <c r="O104" s="30"/>
      <c r="P104" s="30"/>
      <c r="Q104" s="30"/>
      <c r="R104" s="30"/>
    </row>
    <row r="105" spans="1:18">
      <c r="A105" s="26" t="s">
        <v>141</v>
      </c>
      <c r="B105" s="37">
        <v>1086</v>
      </c>
      <c r="C105" s="38">
        <v>0.68</v>
      </c>
      <c r="D105" s="37">
        <v>300</v>
      </c>
      <c r="E105" s="27">
        <v>2.405</v>
      </c>
      <c r="F105" s="39">
        <f t="shared" si="44"/>
        <v>31.5536</v>
      </c>
      <c r="G105" s="39">
        <f t="shared" si="45"/>
        <v>9466.08</v>
      </c>
      <c r="H105" s="39">
        <f t="shared" si="46"/>
        <v>29.97592</v>
      </c>
      <c r="I105" s="26">
        <f t="shared" si="47"/>
        <v>8992.776</v>
      </c>
      <c r="J105" s="79"/>
      <c r="K105" s="30"/>
      <c r="L105" s="30"/>
      <c r="M105" s="30"/>
      <c r="N105" s="30"/>
      <c r="O105" s="30"/>
      <c r="P105" s="30"/>
      <c r="Q105" s="30"/>
      <c r="R105" s="30"/>
    </row>
    <row r="106" spans="1:18">
      <c r="A106" s="26" t="s">
        <v>141</v>
      </c>
      <c r="B106" s="37">
        <v>1086</v>
      </c>
      <c r="C106" s="38">
        <v>0.71</v>
      </c>
      <c r="D106" s="37">
        <v>300</v>
      </c>
      <c r="E106" s="27">
        <v>2.445</v>
      </c>
      <c r="F106" s="39">
        <f t="shared" si="44"/>
        <v>32.0784</v>
      </c>
      <c r="G106" s="39">
        <f t="shared" si="45"/>
        <v>9623.52</v>
      </c>
      <c r="H106" s="39">
        <f t="shared" si="46"/>
        <v>30.47448</v>
      </c>
      <c r="I106" s="26">
        <f t="shared" si="47"/>
        <v>9142.344</v>
      </c>
      <c r="J106" s="79"/>
      <c r="K106" s="30"/>
      <c r="L106" s="30"/>
      <c r="M106" s="30"/>
      <c r="N106" s="30"/>
      <c r="O106" s="30"/>
      <c r="P106" s="30"/>
      <c r="Q106" s="30"/>
      <c r="R106" s="30"/>
    </row>
    <row r="107" spans="1:18">
      <c r="A107" s="26" t="s">
        <v>141</v>
      </c>
      <c r="B107" s="37">
        <v>1506</v>
      </c>
      <c r="C107" s="38">
        <v>0.48</v>
      </c>
      <c r="D107" s="37">
        <v>300</v>
      </c>
      <c r="E107" s="27">
        <v>3.466</v>
      </c>
      <c r="F107" s="39">
        <f t="shared" si="44"/>
        <v>45.47392</v>
      </c>
      <c r="G107" s="39">
        <f t="shared" si="45"/>
        <v>13642.176</v>
      </c>
      <c r="H107" s="39">
        <f t="shared" si="46"/>
        <v>43.200224</v>
      </c>
      <c r="I107" s="26">
        <f t="shared" si="47"/>
        <v>12960.0672</v>
      </c>
      <c r="J107" s="79"/>
      <c r="K107" s="30"/>
      <c r="L107" s="30"/>
      <c r="M107" s="30"/>
      <c r="N107" s="30"/>
      <c r="O107" s="30"/>
      <c r="P107" s="30"/>
      <c r="Q107" s="30"/>
      <c r="R107" s="30"/>
    </row>
    <row r="108" spans="1:18">
      <c r="A108" s="26" t="s">
        <v>141</v>
      </c>
      <c r="B108" s="37">
        <v>2116</v>
      </c>
      <c r="C108" s="38">
        <v>0.53</v>
      </c>
      <c r="D108" s="37">
        <v>200</v>
      </c>
      <c r="E108" s="27">
        <v>2.312</v>
      </c>
      <c r="F108" s="39">
        <f t="shared" si="44"/>
        <v>30.33344</v>
      </c>
      <c r="G108" s="39">
        <f>E108*3936/3*2</f>
        <v>6066.688</v>
      </c>
      <c r="H108" s="39">
        <f t="shared" si="46"/>
        <v>28.816768</v>
      </c>
      <c r="I108" s="26">
        <f t="shared" si="47"/>
        <v>5763.3536</v>
      </c>
      <c r="J108" s="79"/>
      <c r="K108" s="30"/>
      <c r="L108" s="30"/>
      <c r="M108" s="30"/>
      <c r="N108" s="30"/>
      <c r="O108" s="30"/>
      <c r="P108" s="30"/>
      <c r="Q108" s="30"/>
      <c r="R108" s="30"/>
    </row>
    <row r="109" spans="1:18">
      <c r="A109" s="26" t="s">
        <v>141</v>
      </c>
      <c r="B109" s="37">
        <v>2116</v>
      </c>
      <c r="C109" s="38">
        <v>0.55</v>
      </c>
      <c r="D109" s="37">
        <v>200</v>
      </c>
      <c r="E109" s="27">
        <v>2.396</v>
      </c>
      <c r="F109" s="39">
        <f t="shared" si="44"/>
        <v>31.43552</v>
      </c>
      <c r="G109" s="39">
        <f>E109*3936/3*2</f>
        <v>6287.104</v>
      </c>
      <c r="H109" s="39">
        <f t="shared" si="46"/>
        <v>29.863744</v>
      </c>
      <c r="I109" s="26">
        <f t="shared" si="47"/>
        <v>5972.7488</v>
      </c>
      <c r="J109" s="79"/>
      <c r="K109" s="30"/>
      <c r="L109" s="30"/>
      <c r="M109" s="30"/>
      <c r="N109" s="30"/>
      <c r="O109" s="30"/>
      <c r="P109" s="30"/>
      <c r="Q109" s="30"/>
      <c r="R109" s="30"/>
    </row>
    <row r="110" spans="1:18">
      <c r="A110" s="26" t="s">
        <v>141</v>
      </c>
      <c r="B110" s="37">
        <v>2116</v>
      </c>
      <c r="C110" s="38">
        <v>0.57</v>
      </c>
      <c r="D110" s="37">
        <v>200</v>
      </c>
      <c r="E110" s="27">
        <v>2.471</v>
      </c>
      <c r="F110" s="39">
        <f t="shared" si="44"/>
        <v>32.41952</v>
      </c>
      <c r="G110" s="39">
        <f>E110*3936/3*2</f>
        <v>6483.904</v>
      </c>
      <c r="H110" s="39">
        <f t="shared" si="46"/>
        <v>30.798544</v>
      </c>
      <c r="I110" s="26">
        <f t="shared" si="47"/>
        <v>6159.7088</v>
      </c>
      <c r="J110" s="79"/>
      <c r="K110" s="30"/>
      <c r="L110" s="30"/>
      <c r="M110" s="30"/>
      <c r="N110" s="30"/>
      <c r="O110" s="30"/>
      <c r="P110" s="30"/>
      <c r="Q110" s="30"/>
      <c r="R110" s="30"/>
    </row>
    <row r="111" spans="1:18">
      <c r="A111" s="26" t="s">
        <v>141</v>
      </c>
      <c r="B111" s="37">
        <v>2116</v>
      </c>
      <c r="C111" s="38">
        <v>0.6</v>
      </c>
      <c r="D111" s="37">
        <v>300</v>
      </c>
      <c r="E111" s="27">
        <v>2.668</v>
      </c>
      <c r="F111" s="39">
        <f t="shared" si="44"/>
        <v>35.00416</v>
      </c>
      <c r="G111" s="39">
        <f>E111*3936</f>
        <v>10501.248</v>
      </c>
      <c r="H111" s="39">
        <f t="shared" si="46"/>
        <v>33.253952</v>
      </c>
      <c r="I111" s="26">
        <f t="shared" si="47"/>
        <v>9976.1856</v>
      </c>
      <c r="J111" s="79"/>
      <c r="K111" s="30"/>
      <c r="L111" s="30"/>
      <c r="M111" s="30"/>
      <c r="N111" s="30"/>
      <c r="O111" s="30"/>
      <c r="P111" s="30"/>
      <c r="Q111" s="30"/>
      <c r="R111" s="30"/>
    </row>
    <row r="112" spans="1:18">
      <c r="A112" s="26" t="s">
        <v>141</v>
      </c>
      <c r="B112" s="37">
        <v>3313</v>
      </c>
      <c r="C112" s="38">
        <v>0.56</v>
      </c>
      <c r="D112" s="37">
        <v>150</v>
      </c>
      <c r="E112" s="27">
        <v>2.729</v>
      </c>
      <c r="F112" s="39">
        <f t="shared" si="44"/>
        <v>35.80448</v>
      </c>
      <c r="G112" s="39">
        <f>E112*3936/2</f>
        <v>5370.672</v>
      </c>
      <c r="H112" s="39">
        <f t="shared" si="46"/>
        <v>34.014256</v>
      </c>
      <c r="I112" s="26">
        <f t="shared" si="47"/>
        <v>5102.1384</v>
      </c>
      <c r="J112" s="79"/>
      <c r="K112" s="30"/>
      <c r="L112" s="30"/>
      <c r="M112" s="30"/>
      <c r="N112" s="30"/>
      <c r="O112" s="30"/>
      <c r="P112" s="30"/>
      <c r="Q112" s="30"/>
      <c r="R112" s="30"/>
    </row>
    <row r="113" spans="1:18">
      <c r="A113" s="26" t="s">
        <v>141</v>
      </c>
      <c r="B113" s="37">
        <v>3313</v>
      </c>
      <c r="C113" s="38">
        <v>0.58</v>
      </c>
      <c r="D113" s="37">
        <v>300</v>
      </c>
      <c r="E113" s="27">
        <v>2.761</v>
      </c>
      <c r="F113" s="39">
        <f t="shared" si="44"/>
        <v>36.22432</v>
      </c>
      <c r="G113" s="39">
        <f>E113*3936</f>
        <v>10867.296</v>
      </c>
      <c r="H113" s="39">
        <f t="shared" si="46"/>
        <v>34.413104</v>
      </c>
      <c r="I113" s="26">
        <f t="shared" si="47"/>
        <v>10323.9312</v>
      </c>
      <c r="J113" s="79"/>
      <c r="K113" s="30"/>
      <c r="L113" s="30"/>
      <c r="M113" s="30"/>
      <c r="N113" s="30"/>
      <c r="O113" s="30"/>
      <c r="P113" s="30"/>
      <c r="Q113" s="30"/>
      <c r="R113" s="30"/>
    </row>
    <row r="114" spans="1:18">
      <c r="A114" s="26" t="s">
        <v>141</v>
      </c>
      <c r="B114" s="37">
        <v>3313</v>
      </c>
      <c r="C114" s="38">
        <v>0.6</v>
      </c>
      <c r="D114" s="37">
        <v>300</v>
      </c>
      <c r="E114" s="27">
        <v>2.793</v>
      </c>
      <c r="F114" s="39">
        <f t="shared" si="44"/>
        <v>36.64416</v>
      </c>
      <c r="G114" s="39">
        <f>E114*3936</f>
        <v>10993.248</v>
      </c>
      <c r="H114" s="39">
        <f t="shared" si="46"/>
        <v>34.811952</v>
      </c>
      <c r="I114" s="26">
        <f t="shared" si="47"/>
        <v>10443.5856</v>
      </c>
      <c r="J114" s="79"/>
      <c r="K114" s="30"/>
      <c r="L114" s="30"/>
      <c r="M114" s="30"/>
      <c r="N114" s="30"/>
      <c r="O114" s="30"/>
      <c r="P114" s="30"/>
      <c r="Q114" s="30"/>
      <c r="R114" s="30"/>
    </row>
    <row r="115" spans="1:18">
      <c r="A115" s="26" t="s">
        <v>141</v>
      </c>
      <c r="B115" s="37">
        <v>7628</v>
      </c>
      <c r="C115" s="38">
        <v>0.46</v>
      </c>
      <c r="D115" s="37">
        <v>150</v>
      </c>
      <c r="E115" s="27">
        <v>2.763</v>
      </c>
      <c r="F115" s="39">
        <f t="shared" si="44"/>
        <v>36.25056</v>
      </c>
      <c r="G115" s="39">
        <f>E115*3936/2</f>
        <v>5437.584</v>
      </c>
      <c r="H115" s="39">
        <f t="shared" si="46"/>
        <v>34.438032</v>
      </c>
      <c r="I115" s="26">
        <f t="shared" si="47"/>
        <v>5165.7048</v>
      </c>
      <c r="J115" s="79"/>
      <c r="K115" s="30"/>
      <c r="L115" s="30"/>
      <c r="M115" s="30"/>
      <c r="N115" s="30"/>
      <c r="O115" s="30"/>
      <c r="P115" s="30"/>
      <c r="Q115" s="30"/>
      <c r="R115" s="30"/>
    </row>
    <row r="116" spans="1:18">
      <c r="A116" s="26" t="s">
        <v>141</v>
      </c>
      <c r="B116" s="37">
        <v>7628</v>
      </c>
      <c r="C116" s="38">
        <v>0.48</v>
      </c>
      <c r="D116" s="37">
        <v>150</v>
      </c>
      <c r="E116" s="27">
        <v>2.877</v>
      </c>
      <c r="F116" s="39">
        <f t="shared" si="44"/>
        <v>37.74624</v>
      </c>
      <c r="G116" s="39">
        <f>E116*3936/2</f>
        <v>5661.936</v>
      </c>
      <c r="H116" s="39">
        <f t="shared" si="46"/>
        <v>35.858928</v>
      </c>
      <c r="I116" s="26">
        <f t="shared" si="47"/>
        <v>5378.8392</v>
      </c>
      <c r="J116" s="79"/>
      <c r="K116" s="30"/>
      <c r="L116" s="30"/>
      <c r="M116" s="30"/>
      <c r="N116" s="30"/>
      <c r="O116" s="30"/>
      <c r="P116" s="30"/>
      <c r="Q116" s="30"/>
      <c r="R116" s="30"/>
    </row>
    <row r="117" spans="1:18">
      <c r="A117" s="26" t="s">
        <v>141</v>
      </c>
      <c r="B117" s="37">
        <v>7628</v>
      </c>
      <c r="C117" s="38">
        <v>0.49</v>
      </c>
      <c r="D117" s="37">
        <v>150</v>
      </c>
      <c r="E117" s="27">
        <v>3.049</v>
      </c>
      <c r="F117" s="39">
        <f t="shared" si="44"/>
        <v>40.00288</v>
      </c>
      <c r="G117" s="39">
        <f>E117*3936/2</f>
        <v>6000.432</v>
      </c>
      <c r="H117" s="39">
        <f t="shared" si="46"/>
        <v>38.002736</v>
      </c>
      <c r="I117" s="26">
        <f t="shared" si="47"/>
        <v>5700.4104</v>
      </c>
      <c r="J117" s="79"/>
      <c r="K117" s="30"/>
      <c r="L117" s="30"/>
      <c r="M117" s="30"/>
      <c r="N117" s="30"/>
      <c r="O117" s="30"/>
      <c r="P117" s="30"/>
      <c r="Q117" s="30"/>
      <c r="R117" s="30"/>
    </row>
    <row r="118" spans="1:18">
      <c r="A118" s="26" t="s">
        <v>141</v>
      </c>
      <c r="B118" s="37">
        <v>7628</v>
      </c>
      <c r="C118" s="38">
        <v>0.5</v>
      </c>
      <c r="D118" s="37">
        <v>150</v>
      </c>
      <c r="E118" s="27">
        <v>3.049</v>
      </c>
      <c r="F118" s="39">
        <f t="shared" si="44"/>
        <v>40.00288</v>
      </c>
      <c r="G118" s="39">
        <f>E118*3936/2</f>
        <v>6000.432</v>
      </c>
      <c r="H118" s="39">
        <f t="shared" si="46"/>
        <v>38.002736</v>
      </c>
      <c r="I118" s="26">
        <f t="shared" si="47"/>
        <v>5700.4104</v>
      </c>
      <c r="J118" s="79"/>
      <c r="K118" s="30"/>
      <c r="L118" s="30"/>
      <c r="M118" s="30"/>
      <c r="N118" s="30"/>
      <c r="O118" s="30"/>
      <c r="P118" s="30"/>
      <c r="Q118" s="30"/>
      <c r="R118" s="30"/>
    </row>
    <row r="119" spans="1:18">
      <c r="A119" s="96"/>
      <c r="B119" s="97"/>
      <c r="C119" s="98"/>
      <c r="D119" s="97"/>
      <c r="E119" s="99"/>
      <c r="F119" s="100"/>
      <c r="G119" s="100"/>
      <c r="H119" s="100"/>
      <c r="I119" s="102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1:13">
      <c r="A120" s="40" t="s">
        <v>109</v>
      </c>
      <c r="B120" s="41"/>
      <c r="C120" s="41"/>
      <c r="D120" s="41"/>
      <c r="J120" s="40" t="s">
        <v>76</v>
      </c>
      <c r="K120" s="41"/>
      <c r="L120" s="41"/>
      <c r="M120" s="41"/>
    </row>
  </sheetData>
  <mergeCells count="10">
    <mergeCell ref="A1:N1"/>
    <mergeCell ref="A5:R5"/>
    <mergeCell ref="A6:R6"/>
    <mergeCell ref="A12:R12"/>
    <mergeCell ref="B13:C13"/>
    <mergeCell ref="G13:R13"/>
    <mergeCell ref="A82:I82"/>
    <mergeCell ref="E83:G83"/>
    <mergeCell ref="H83:I83"/>
    <mergeCell ref="A2:R4"/>
  </mergeCells>
  <pageMargins left="0.75" right="0.75" top="1" bottom="1" header="0.5" footer="0.5"/>
  <pageSetup paperSize="9" scale="71" orientation="landscape"/>
  <headerFooter/>
  <rowBreaks count="1" manualBreakCount="1">
    <brk id="81" max="17" man="1"/>
  </rowBreaks>
  <colBreaks count="1" manualBreakCount="1">
    <brk id="18" max="1048575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8"/>
  <sheetViews>
    <sheetView view="pageBreakPreview" zoomScale="85" zoomScaleNormal="85" topLeftCell="A3" workbookViewId="0">
      <selection activeCell="G23" sqref="G23"/>
    </sheetView>
  </sheetViews>
  <sheetFormatPr defaultColWidth="8.8" defaultRowHeight="15.6"/>
  <cols>
    <col min="1" max="1" width="12.3" customWidth="1"/>
    <col min="7" max="7" width="10.1"/>
    <col min="9" max="9" width="10.1"/>
    <col min="11" max="11" width="14"/>
    <col min="19" max="19" width="9"/>
    <col min="21" max="21" width="12.8"/>
  </cols>
  <sheetData>
    <row r="1" s="72" customForma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  <c r="S1" s="42"/>
    </row>
    <row r="2" s="72" customFormat="1" ht="61.2" spans="1:20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2"/>
    </row>
    <row r="3" s="72" customFormat="1" ht="61.2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2"/>
    </row>
    <row r="4" s="72" customFormat="1" ht="61.2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42"/>
    </row>
    <row r="5" s="72" customFormat="1" spans="1:20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2"/>
    </row>
    <row r="6" s="72" customFormat="1" spans="1:20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2"/>
    </row>
    <row r="7" s="72" customFormat="1" ht="17.4" spans="1:20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  <c r="S7" s="43"/>
      <c r="T7" s="42"/>
    </row>
    <row r="8" s="72" customFormat="1" ht="17.4" spans="1:20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  <c r="S8" s="43"/>
      <c r="T8" s="42"/>
    </row>
    <row r="9" s="72" customFormat="1" ht="17.4" spans="1:20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  <c r="S9" s="43"/>
      <c r="T9" s="42"/>
    </row>
    <row r="10" s="72" customFormat="1" ht="17.4" spans="1:20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10</v>
      </c>
      <c r="P10" s="43"/>
      <c r="Q10" s="43"/>
      <c r="R10" s="43"/>
      <c r="S10" s="43"/>
      <c r="T10" s="42"/>
    </row>
    <row r="11" s="72" customFormat="1" ht="17.4" spans="1:20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2"/>
    </row>
    <row r="12" ht="17.4" spans="1:19">
      <c r="A12" s="74" t="s">
        <v>142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</row>
    <row r="13" spans="1:20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75" t="s">
        <v>18</v>
      </c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80"/>
      <c r="T13" s="64" t="s">
        <v>36</v>
      </c>
    </row>
    <row r="14" ht="19" customHeight="1" spans="1:20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24" t="s">
        <v>24</v>
      </c>
      <c r="H14" s="25" t="s">
        <v>25</v>
      </c>
      <c r="I14" s="25" t="s">
        <v>26</v>
      </c>
      <c r="J14" s="23" t="s">
        <v>27</v>
      </c>
      <c r="K14" s="44" t="s">
        <v>35</v>
      </c>
      <c r="L14" s="25" t="s">
        <v>29</v>
      </c>
      <c r="M14" s="23" t="s">
        <v>30</v>
      </c>
      <c r="N14" s="24" t="s">
        <v>31</v>
      </c>
      <c r="O14" s="25" t="s">
        <v>32</v>
      </c>
      <c r="P14" s="23" t="s">
        <v>33</v>
      </c>
      <c r="Q14" s="23" t="s">
        <v>34</v>
      </c>
      <c r="R14" s="23" t="s">
        <v>28</v>
      </c>
      <c r="S14" s="23" t="s">
        <v>143</v>
      </c>
      <c r="T14" s="64"/>
    </row>
    <row r="15" spans="1:21">
      <c r="A15" s="26" t="s">
        <v>144</v>
      </c>
      <c r="B15" s="27">
        <v>0.0508001016002032</v>
      </c>
      <c r="C15" s="61">
        <v>2</v>
      </c>
      <c r="D15" s="26" t="s">
        <v>44</v>
      </c>
      <c r="E15" s="26" t="s">
        <v>134</v>
      </c>
      <c r="F15" s="26" t="s">
        <v>40</v>
      </c>
      <c r="G15" s="27">
        <v>7.51</v>
      </c>
      <c r="H15" s="26">
        <f t="shared" ref="H15:H25" si="0">G15*12</f>
        <v>90.12</v>
      </c>
      <c r="I15" s="45">
        <f t="shared" ref="I15:I25" si="1">G15*13.33</f>
        <v>100.1083</v>
      </c>
      <c r="J15" s="26">
        <f t="shared" ref="J15:J25" si="2">G15*14</f>
        <v>105.14</v>
      </c>
      <c r="K15" s="26">
        <f t="shared" ref="K15:K25" si="3">G15*8.88</f>
        <v>66.6888</v>
      </c>
      <c r="L15" s="45">
        <f t="shared" ref="L15:L25" si="4">G15*9.6</f>
        <v>72.096</v>
      </c>
      <c r="M15" s="45">
        <f t="shared" ref="M15:M25" si="5">G15*14.4</f>
        <v>108.144</v>
      </c>
      <c r="N15" s="45">
        <f t="shared" ref="N15:N25" si="6">G15*10.66</f>
        <v>80.0566</v>
      </c>
      <c r="O15" s="45">
        <f t="shared" ref="O15:O25" si="7">G15*16</f>
        <v>120.16</v>
      </c>
      <c r="P15" s="45">
        <f t="shared" ref="P15:P25" si="8">G15*11.2</f>
        <v>84.112</v>
      </c>
      <c r="Q15" s="45">
        <f t="shared" ref="Q15:Q25" si="9">G15*16.8</f>
        <v>126.168</v>
      </c>
      <c r="R15" s="45">
        <f>G15*11.66*1.06</f>
        <v>92.820596</v>
      </c>
      <c r="S15" s="45">
        <f>27.2*43/144*G15*1.06</f>
        <v>64.6577622222222</v>
      </c>
      <c r="T15" s="81"/>
      <c r="U15" s="82"/>
    </row>
    <row r="16" spans="1:21">
      <c r="A16" s="26" t="s">
        <v>144</v>
      </c>
      <c r="B16" s="27">
        <v>0.0508001016002032</v>
      </c>
      <c r="C16" s="61">
        <v>2</v>
      </c>
      <c r="D16" s="28" t="s">
        <v>83</v>
      </c>
      <c r="E16" s="26" t="s">
        <v>134</v>
      </c>
      <c r="F16" s="26" t="s">
        <v>40</v>
      </c>
      <c r="G16" s="27">
        <v>9.22</v>
      </c>
      <c r="H16" s="26">
        <f t="shared" si="0"/>
        <v>110.64</v>
      </c>
      <c r="I16" s="45">
        <f t="shared" si="1"/>
        <v>122.9026</v>
      </c>
      <c r="J16" s="26">
        <f t="shared" si="2"/>
        <v>129.08</v>
      </c>
      <c r="K16" s="26">
        <f t="shared" si="3"/>
        <v>81.8736</v>
      </c>
      <c r="L16" s="45">
        <f t="shared" si="4"/>
        <v>88.512</v>
      </c>
      <c r="M16" s="45">
        <f t="shared" si="5"/>
        <v>132.768</v>
      </c>
      <c r="N16" s="45">
        <f t="shared" si="6"/>
        <v>98.2852</v>
      </c>
      <c r="O16" s="45">
        <f t="shared" si="7"/>
        <v>147.52</v>
      </c>
      <c r="P16" s="45">
        <f t="shared" si="8"/>
        <v>103.264</v>
      </c>
      <c r="Q16" s="45">
        <f t="shared" si="9"/>
        <v>154.896</v>
      </c>
      <c r="R16" s="45">
        <f t="shared" ref="R15:R25" si="10">G16*11.66*1.06</f>
        <v>113.955512</v>
      </c>
      <c r="S16" s="45">
        <f>27.2*43/144*G16*1.06</f>
        <v>79.3801022222222</v>
      </c>
      <c r="T16" s="81"/>
      <c r="U16" s="82"/>
    </row>
    <row r="17" spans="1:21">
      <c r="A17" s="26" t="s">
        <v>144</v>
      </c>
      <c r="B17" s="27">
        <v>0.0508001016002032</v>
      </c>
      <c r="C17" s="61">
        <v>2</v>
      </c>
      <c r="D17" s="28" t="s">
        <v>41</v>
      </c>
      <c r="E17" s="26" t="s">
        <v>134</v>
      </c>
      <c r="F17" s="26" t="s">
        <v>40</v>
      </c>
      <c r="G17" s="27">
        <v>10.88</v>
      </c>
      <c r="H17" s="26">
        <f t="shared" si="0"/>
        <v>130.56</v>
      </c>
      <c r="I17" s="45">
        <f t="shared" si="1"/>
        <v>145.0304</v>
      </c>
      <c r="J17" s="26">
        <f t="shared" si="2"/>
        <v>152.32</v>
      </c>
      <c r="K17" s="26">
        <f t="shared" si="3"/>
        <v>96.6144</v>
      </c>
      <c r="L17" s="45">
        <f t="shared" si="4"/>
        <v>104.448</v>
      </c>
      <c r="M17" s="45">
        <f t="shared" si="5"/>
        <v>156.672</v>
      </c>
      <c r="N17" s="45">
        <f t="shared" si="6"/>
        <v>115.9808</v>
      </c>
      <c r="O17" s="45">
        <f t="shared" si="7"/>
        <v>174.08</v>
      </c>
      <c r="P17" s="45">
        <f t="shared" si="8"/>
        <v>121.856</v>
      </c>
      <c r="Q17" s="45">
        <f t="shared" si="9"/>
        <v>182.784</v>
      </c>
      <c r="R17" s="45">
        <f t="shared" si="10"/>
        <v>134.472448</v>
      </c>
      <c r="S17" s="45">
        <f t="shared" ref="S17:S22" si="11">27.2*43/144*G17*1.06</f>
        <v>93.6719644444445</v>
      </c>
      <c r="T17" s="81"/>
      <c r="U17" s="82"/>
    </row>
    <row r="18" s="66" customFormat="1" spans="1:22">
      <c r="A18" s="26" t="s">
        <v>144</v>
      </c>
      <c r="B18" s="27">
        <v>0.063500127000254</v>
      </c>
      <c r="C18" s="26">
        <v>2.5</v>
      </c>
      <c r="D18" s="28" t="s">
        <v>83</v>
      </c>
      <c r="E18" s="26" t="s">
        <v>134</v>
      </c>
      <c r="F18" s="26" t="s">
        <v>114</v>
      </c>
      <c r="G18" s="27">
        <v>9.304</v>
      </c>
      <c r="H18" s="26">
        <f t="shared" si="0"/>
        <v>111.648</v>
      </c>
      <c r="I18" s="45">
        <f t="shared" si="1"/>
        <v>124.02232</v>
      </c>
      <c r="J18" s="26">
        <f t="shared" si="2"/>
        <v>130.256</v>
      </c>
      <c r="K18" s="26">
        <f t="shared" si="3"/>
        <v>82.61952</v>
      </c>
      <c r="L18" s="45">
        <f t="shared" si="4"/>
        <v>89.3184</v>
      </c>
      <c r="M18" s="45">
        <f t="shared" si="5"/>
        <v>133.9776</v>
      </c>
      <c r="N18" s="45">
        <f t="shared" si="6"/>
        <v>99.18064</v>
      </c>
      <c r="O18" s="45">
        <f t="shared" si="7"/>
        <v>148.864</v>
      </c>
      <c r="P18" s="45">
        <f t="shared" si="8"/>
        <v>104.2048</v>
      </c>
      <c r="Q18" s="45">
        <f t="shared" si="9"/>
        <v>156.3072</v>
      </c>
      <c r="R18" s="45">
        <f t="shared" si="10"/>
        <v>114.9937184</v>
      </c>
      <c r="S18" s="45">
        <f t="shared" si="11"/>
        <v>80.1033048888889</v>
      </c>
      <c r="T18" s="83" t="s">
        <v>145</v>
      </c>
      <c r="U18" s="82"/>
      <c r="V18"/>
    </row>
    <row r="19" s="66" customFormat="1" spans="1:22">
      <c r="A19" s="26" t="s">
        <v>144</v>
      </c>
      <c r="B19" s="27">
        <v>0.063500127000254</v>
      </c>
      <c r="C19" s="26">
        <v>2.5</v>
      </c>
      <c r="D19" s="26" t="s">
        <v>44</v>
      </c>
      <c r="E19" s="26" t="s">
        <v>134</v>
      </c>
      <c r="F19" s="26" t="s">
        <v>114</v>
      </c>
      <c r="G19" s="27">
        <v>7.551</v>
      </c>
      <c r="H19" s="26">
        <f t="shared" si="0"/>
        <v>90.612</v>
      </c>
      <c r="I19" s="45">
        <f t="shared" si="1"/>
        <v>100.65483</v>
      </c>
      <c r="J19" s="26">
        <f t="shared" si="2"/>
        <v>105.714</v>
      </c>
      <c r="K19" s="26">
        <f t="shared" si="3"/>
        <v>67.05288</v>
      </c>
      <c r="L19" s="45">
        <f t="shared" si="4"/>
        <v>72.4896</v>
      </c>
      <c r="M19" s="45">
        <f t="shared" si="5"/>
        <v>108.7344</v>
      </c>
      <c r="N19" s="45">
        <f t="shared" si="6"/>
        <v>80.49366</v>
      </c>
      <c r="O19" s="45">
        <f t="shared" si="7"/>
        <v>120.816</v>
      </c>
      <c r="P19" s="45">
        <f t="shared" si="8"/>
        <v>84.5712</v>
      </c>
      <c r="Q19" s="45">
        <f t="shared" si="9"/>
        <v>126.8568</v>
      </c>
      <c r="R19" s="45">
        <f t="shared" si="10"/>
        <v>93.3273396</v>
      </c>
      <c r="S19" s="45">
        <f t="shared" si="11"/>
        <v>65.010754</v>
      </c>
      <c r="T19" s="83" t="s">
        <v>145</v>
      </c>
      <c r="U19" s="82"/>
      <c r="V19"/>
    </row>
    <row r="20" s="73" customFormat="1" spans="1:21">
      <c r="A20" s="26" t="s">
        <v>144</v>
      </c>
      <c r="B20" s="27">
        <v>0.063500127000254</v>
      </c>
      <c r="C20" s="26">
        <v>2.5</v>
      </c>
      <c r="D20" s="28" t="s">
        <v>41</v>
      </c>
      <c r="E20" s="26" t="s">
        <v>134</v>
      </c>
      <c r="F20" s="26" t="s">
        <v>114</v>
      </c>
      <c r="G20" s="27">
        <v>11.357</v>
      </c>
      <c r="H20" s="26">
        <f t="shared" si="0"/>
        <v>136.284</v>
      </c>
      <c r="I20" s="45">
        <f t="shared" si="1"/>
        <v>151.38881</v>
      </c>
      <c r="J20" s="26">
        <f t="shared" si="2"/>
        <v>158.998</v>
      </c>
      <c r="K20" s="26">
        <f t="shared" si="3"/>
        <v>100.85016</v>
      </c>
      <c r="L20" s="45">
        <f t="shared" si="4"/>
        <v>109.0272</v>
      </c>
      <c r="M20" s="45">
        <f t="shared" si="5"/>
        <v>163.5408</v>
      </c>
      <c r="N20" s="45">
        <f t="shared" si="6"/>
        <v>121.06562</v>
      </c>
      <c r="O20" s="45">
        <f t="shared" si="7"/>
        <v>181.712</v>
      </c>
      <c r="P20" s="45">
        <f t="shared" si="8"/>
        <v>127.1984</v>
      </c>
      <c r="Q20" s="45">
        <f t="shared" si="9"/>
        <v>190.7976</v>
      </c>
      <c r="R20" s="45">
        <f t="shared" si="10"/>
        <v>140.3679772</v>
      </c>
      <c r="S20" s="45">
        <f t="shared" si="11"/>
        <v>97.7787224444444</v>
      </c>
      <c r="T20" s="83" t="s">
        <v>145</v>
      </c>
      <c r="U20" s="82"/>
    </row>
    <row r="21" spans="1:21">
      <c r="A21" s="26" t="s">
        <v>144</v>
      </c>
      <c r="B21" s="27">
        <v>0.063500127000254</v>
      </c>
      <c r="C21" s="26">
        <v>2.5</v>
      </c>
      <c r="D21" s="26" t="s">
        <v>44</v>
      </c>
      <c r="E21" s="26" t="s">
        <v>39</v>
      </c>
      <c r="F21" s="26" t="s">
        <v>114</v>
      </c>
      <c r="G21" s="27">
        <v>7.477</v>
      </c>
      <c r="H21" s="26">
        <f t="shared" si="0"/>
        <v>89.724</v>
      </c>
      <c r="I21" s="45">
        <f t="shared" si="1"/>
        <v>99.66841</v>
      </c>
      <c r="J21" s="26">
        <f t="shared" si="2"/>
        <v>104.678</v>
      </c>
      <c r="K21" s="26">
        <f t="shared" si="3"/>
        <v>66.39576</v>
      </c>
      <c r="L21" s="45">
        <f t="shared" si="4"/>
        <v>71.7792</v>
      </c>
      <c r="M21" s="45">
        <f t="shared" si="5"/>
        <v>107.6688</v>
      </c>
      <c r="N21" s="45">
        <f t="shared" si="6"/>
        <v>79.70482</v>
      </c>
      <c r="O21" s="45">
        <f t="shared" si="7"/>
        <v>119.632</v>
      </c>
      <c r="P21" s="45">
        <f t="shared" si="8"/>
        <v>83.7424</v>
      </c>
      <c r="Q21" s="45">
        <f t="shared" si="9"/>
        <v>125.6136</v>
      </c>
      <c r="R21" s="45">
        <f t="shared" si="10"/>
        <v>92.4127292</v>
      </c>
      <c r="S21" s="45">
        <f t="shared" si="11"/>
        <v>64.3736468888889</v>
      </c>
      <c r="T21" s="81"/>
      <c r="U21" s="82"/>
    </row>
    <row r="22" spans="1:21">
      <c r="A22" s="26" t="s">
        <v>144</v>
      </c>
      <c r="B22" s="27">
        <v>0.063500127000254</v>
      </c>
      <c r="C22" s="26">
        <v>2.5</v>
      </c>
      <c r="D22" s="28" t="s">
        <v>41</v>
      </c>
      <c r="E22" s="26" t="s">
        <v>39</v>
      </c>
      <c r="F22" s="26" t="s">
        <v>114</v>
      </c>
      <c r="G22" s="27">
        <v>11.026</v>
      </c>
      <c r="H22" s="26">
        <f t="shared" si="0"/>
        <v>132.312</v>
      </c>
      <c r="I22" s="45">
        <f t="shared" si="1"/>
        <v>146.97658</v>
      </c>
      <c r="J22" s="26">
        <f t="shared" si="2"/>
        <v>154.364</v>
      </c>
      <c r="K22" s="26">
        <f t="shared" si="3"/>
        <v>97.91088</v>
      </c>
      <c r="L22" s="45">
        <f t="shared" si="4"/>
        <v>105.8496</v>
      </c>
      <c r="M22" s="45">
        <f t="shared" si="5"/>
        <v>158.7744</v>
      </c>
      <c r="N22" s="45">
        <f t="shared" si="6"/>
        <v>117.53716</v>
      </c>
      <c r="O22" s="45">
        <f t="shared" si="7"/>
        <v>176.416</v>
      </c>
      <c r="P22" s="45">
        <f t="shared" si="8"/>
        <v>123.4912</v>
      </c>
      <c r="Q22" s="45">
        <f t="shared" si="9"/>
        <v>185.2368</v>
      </c>
      <c r="R22" s="45">
        <f t="shared" si="10"/>
        <v>136.2769496</v>
      </c>
      <c r="S22" s="45">
        <f t="shared" si="11"/>
        <v>94.9289595555556</v>
      </c>
      <c r="T22" s="83"/>
      <c r="U22" s="82"/>
    </row>
    <row r="23" spans="1:21">
      <c r="A23" s="26" t="s">
        <v>144</v>
      </c>
      <c r="B23" s="27">
        <v>0.079</v>
      </c>
      <c r="C23" s="26">
        <v>3</v>
      </c>
      <c r="D23" s="26" t="s">
        <v>83</v>
      </c>
      <c r="E23" s="26" t="s">
        <v>134</v>
      </c>
      <c r="F23" s="26" t="s">
        <v>114</v>
      </c>
      <c r="G23" s="27">
        <v>9.274</v>
      </c>
      <c r="H23" s="26">
        <f t="shared" si="0"/>
        <v>111.288</v>
      </c>
      <c r="I23" s="45">
        <f t="shared" si="1"/>
        <v>123.62242</v>
      </c>
      <c r="J23" s="26">
        <f t="shared" si="2"/>
        <v>129.836</v>
      </c>
      <c r="K23" s="26">
        <f t="shared" si="3"/>
        <v>82.35312</v>
      </c>
      <c r="L23" s="45">
        <f t="shared" si="4"/>
        <v>89.0304</v>
      </c>
      <c r="M23" s="45">
        <f t="shared" si="5"/>
        <v>133.5456</v>
      </c>
      <c r="N23" s="45">
        <f t="shared" si="6"/>
        <v>98.86084</v>
      </c>
      <c r="O23" s="45">
        <f t="shared" si="7"/>
        <v>148.384</v>
      </c>
      <c r="P23" s="45">
        <f t="shared" si="8"/>
        <v>103.8688</v>
      </c>
      <c r="Q23" s="45">
        <f t="shared" si="9"/>
        <v>155.8032</v>
      </c>
      <c r="R23" s="45">
        <f t="shared" si="10"/>
        <v>114.6229304</v>
      </c>
      <c r="S23" s="45">
        <f t="shared" ref="S23:S55" si="12">27.2*43/144*G23*1.06</f>
        <v>79.8450182222222</v>
      </c>
      <c r="T23" s="81"/>
      <c r="U23" s="82"/>
    </row>
    <row r="24" spans="1:21">
      <c r="A24" s="26" t="s">
        <v>144</v>
      </c>
      <c r="B24" s="27">
        <v>0.079</v>
      </c>
      <c r="C24" s="26">
        <v>3</v>
      </c>
      <c r="D24" s="28" t="s">
        <v>41</v>
      </c>
      <c r="E24" s="26" t="s">
        <v>134</v>
      </c>
      <c r="F24" s="26" t="s">
        <v>114</v>
      </c>
      <c r="G24" s="27">
        <v>11.384</v>
      </c>
      <c r="H24" s="26">
        <f t="shared" si="0"/>
        <v>136.608</v>
      </c>
      <c r="I24" s="45">
        <f t="shared" si="1"/>
        <v>151.74872</v>
      </c>
      <c r="J24" s="26">
        <f t="shared" si="2"/>
        <v>159.376</v>
      </c>
      <c r="K24" s="26">
        <f t="shared" si="3"/>
        <v>101.08992</v>
      </c>
      <c r="L24" s="45">
        <f t="shared" si="4"/>
        <v>109.2864</v>
      </c>
      <c r="M24" s="45">
        <f t="shared" si="5"/>
        <v>163.9296</v>
      </c>
      <c r="N24" s="45">
        <f t="shared" si="6"/>
        <v>121.35344</v>
      </c>
      <c r="O24" s="45">
        <f t="shared" si="7"/>
        <v>182.144</v>
      </c>
      <c r="P24" s="45">
        <f t="shared" si="8"/>
        <v>127.5008</v>
      </c>
      <c r="Q24" s="45">
        <f t="shared" si="9"/>
        <v>191.2512</v>
      </c>
      <c r="R24" s="45">
        <f t="shared" si="10"/>
        <v>140.7016864</v>
      </c>
      <c r="S24" s="45">
        <f t="shared" si="12"/>
        <v>98.0111804444444</v>
      </c>
      <c r="T24" s="81"/>
      <c r="U24" s="82"/>
    </row>
    <row r="25" spans="1:21">
      <c r="A25" s="26" t="s">
        <v>144</v>
      </c>
      <c r="B25" s="27">
        <v>0.079</v>
      </c>
      <c r="C25" s="26">
        <v>3</v>
      </c>
      <c r="D25" s="26" t="s">
        <v>83</v>
      </c>
      <c r="E25" s="26" t="s">
        <v>134</v>
      </c>
      <c r="F25" s="26" t="s">
        <v>82</v>
      </c>
      <c r="G25" s="27">
        <v>9.698</v>
      </c>
      <c r="H25" s="26">
        <f t="shared" si="0"/>
        <v>116.376</v>
      </c>
      <c r="I25" s="45">
        <f t="shared" si="1"/>
        <v>129.27434</v>
      </c>
      <c r="J25" s="26">
        <f t="shared" si="2"/>
        <v>135.772</v>
      </c>
      <c r="K25" s="26">
        <f t="shared" si="3"/>
        <v>86.11824</v>
      </c>
      <c r="L25" s="45">
        <f t="shared" si="4"/>
        <v>93.1008</v>
      </c>
      <c r="M25" s="45">
        <f t="shared" si="5"/>
        <v>139.6512</v>
      </c>
      <c r="N25" s="45">
        <f t="shared" si="6"/>
        <v>103.38068</v>
      </c>
      <c r="O25" s="45">
        <f t="shared" si="7"/>
        <v>155.168</v>
      </c>
      <c r="P25" s="45">
        <f t="shared" si="8"/>
        <v>108.6176</v>
      </c>
      <c r="Q25" s="45">
        <f t="shared" si="9"/>
        <v>162.9264</v>
      </c>
      <c r="R25" s="45">
        <f t="shared" si="10"/>
        <v>119.8634008</v>
      </c>
      <c r="S25" s="45">
        <f t="shared" si="12"/>
        <v>83.4954697777778</v>
      </c>
      <c r="T25" s="81"/>
      <c r="U25" s="82"/>
    </row>
    <row r="26" spans="1:21">
      <c r="A26" s="26" t="s">
        <v>144</v>
      </c>
      <c r="B26" s="27">
        <v>0.079</v>
      </c>
      <c r="C26" s="26">
        <v>3</v>
      </c>
      <c r="D26" s="28" t="s">
        <v>41</v>
      </c>
      <c r="E26" s="26" t="s">
        <v>134</v>
      </c>
      <c r="F26" s="26" t="s">
        <v>82</v>
      </c>
      <c r="G26" s="27">
        <v>11.722</v>
      </c>
      <c r="H26" s="26">
        <f t="shared" ref="H26:H32" si="13">G26*12</f>
        <v>140.664</v>
      </c>
      <c r="I26" s="45">
        <f t="shared" ref="I26:I32" si="14">G26*13.33</f>
        <v>156.25426</v>
      </c>
      <c r="J26" s="26">
        <f t="shared" ref="J26:J32" si="15">G26*14</f>
        <v>164.108</v>
      </c>
      <c r="K26" s="26">
        <f t="shared" ref="K26:K32" si="16">G26*8.88</f>
        <v>104.09136</v>
      </c>
      <c r="L26" s="45">
        <f t="shared" ref="L26:L32" si="17">G26*9.6</f>
        <v>112.5312</v>
      </c>
      <c r="M26" s="45">
        <f t="shared" ref="M26:M32" si="18">G26*14.4</f>
        <v>168.7968</v>
      </c>
      <c r="N26" s="45">
        <f t="shared" ref="N26:N32" si="19">G26*10.66</f>
        <v>124.95652</v>
      </c>
      <c r="O26" s="45">
        <f t="shared" ref="O26:O32" si="20">G26*16</f>
        <v>187.552</v>
      </c>
      <c r="P26" s="45">
        <f t="shared" ref="P26:P32" si="21">G26*11.2</f>
        <v>131.2864</v>
      </c>
      <c r="Q26" s="45">
        <f t="shared" ref="Q26:Q32" si="22">G26*16.8</f>
        <v>196.9296</v>
      </c>
      <c r="R26" s="45">
        <f t="shared" ref="R26:R32" si="23">G26*11.66*1.06</f>
        <v>144.8792312</v>
      </c>
      <c r="S26" s="45">
        <f t="shared" si="12"/>
        <v>100.921210222222</v>
      </c>
      <c r="T26" s="81"/>
      <c r="U26" s="82"/>
    </row>
    <row r="27" spans="1:21">
      <c r="A27" s="26" t="s">
        <v>144</v>
      </c>
      <c r="B27" s="27">
        <v>0.079</v>
      </c>
      <c r="C27" s="26">
        <v>3</v>
      </c>
      <c r="D27" s="26" t="s">
        <v>44</v>
      </c>
      <c r="E27" s="26" t="s">
        <v>134</v>
      </c>
      <c r="F27" s="26" t="s">
        <v>114</v>
      </c>
      <c r="G27" s="27">
        <v>7.805</v>
      </c>
      <c r="H27" s="26">
        <f t="shared" si="13"/>
        <v>93.66</v>
      </c>
      <c r="I27" s="45">
        <f t="shared" si="14"/>
        <v>104.04065</v>
      </c>
      <c r="J27" s="26">
        <f t="shared" si="15"/>
        <v>109.27</v>
      </c>
      <c r="K27" s="26">
        <f t="shared" si="16"/>
        <v>69.3084</v>
      </c>
      <c r="L27" s="45">
        <f t="shared" si="17"/>
        <v>74.928</v>
      </c>
      <c r="M27" s="45">
        <f t="shared" si="18"/>
        <v>112.392</v>
      </c>
      <c r="N27" s="45">
        <f t="shared" si="19"/>
        <v>83.2013</v>
      </c>
      <c r="O27" s="45">
        <f t="shared" si="20"/>
        <v>124.88</v>
      </c>
      <c r="P27" s="45">
        <f t="shared" si="21"/>
        <v>87.416</v>
      </c>
      <c r="Q27" s="45">
        <f t="shared" si="22"/>
        <v>131.124</v>
      </c>
      <c r="R27" s="45">
        <f t="shared" si="23"/>
        <v>96.466678</v>
      </c>
      <c r="S27" s="45">
        <f t="shared" si="12"/>
        <v>67.1975811111111</v>
      </c>
      <c r="T27" s="81"/>
      <c r="U27" s="82"/>
    </row>
    <row r="28" spans="1:21">
      <c r="A28" s="26" t="s">
        <v>144</v>
      </c>
      <c r="B28" s="27">
        <v>0.079</v>
      </c>
      <c r="C28" s="26">
        <v>3</v>
      </c>
      <c r="D28" s="26" t="s">
        <v>44</v>
      </c>
      <c r="E28" s="26" t="s">
        <v>134</v>
      </c>
      <c r="F28" s="26" t="s">
        <v>82</v>
      </c>
      <c r="G28" s="27">
        <v>8.326</v>
      </c>
      <c r="H28" s="26">
        <f t="shared" si="13"/>
        <v>99.912</v>
      </c>
      <c r="I28" s="45">
        <f t="shared" si="14"/>
        <v>110.98558</v>
      </c>
      <c r="J28" s="26">
        <f t="shared" si="15"/>
        <v>116.564</v>
      </c>
      <c r="K28" s="26">
        <f t="shared" si="16"/>
        <v>73.93488</v>
      </c>
      <c r="L28" s="45">
        <f t="shared" si="17"/>
        <v>79.9296</v>
      </c>
      <c r="M28" s="45">
        <f t="shared" si="18"/>
        <v>119.8944</v>
      </c>
      <c r="N28" s="45">
        <f t="shared" si="19"/>
        <v>88.75516</v>
      </c>
      <c r="O28" s="45">
        <f t="shared" si="20"/>
        <v>133.216</v>
      </c>
      <c r="P28" s="45">
        <f t="shared" si="21"/>
        <v>93.2512</v>
      </c>
      <c r="Q28" s="45">
        <f t="shared" si="22"/>
        <v>139.8768</v>
      </c>
      <c r="R28" s="45">
        <f t="shared" si="23"/>
        <v>102.9060296</v>
      </c>
      <c r="S28" s="45">
        <f t="shared" si="12"/>
        <v>71.6831595555556</v>
      </c>
      <c r="T28" s="81"/>
      <c r="U28" s="82"/>
    </row>
    <row r="29" spans="1:21">
      <c r="A29" s="26" t="s">
        <v>144</v>
      </c>
      <c r="B29" s="27">
        <v>0.079</v>
      </c>
      <c r="C29" s="26">
        <v>3</v>
      </c>
      <c r="D29" s="28" t="s">
        <v>105</v>
      </c>
      <c r="E29" s="29" t="s">
        <v>146</v>
      </c>
      <c r="F29" s="26" t="s">
        <v>82</v>
      </c>
      <c r="G29" s="27">
        <v>16.575</v>
      </c>
      <c r="H29" s="26">
        <f t="shared" si="13"/>
        <v>198.9</v>
      </c>
      <c r="I29" s="45">
        <f t="shared" si="14"/>
        <v>220.94475</v>
      </c>
      <c r="J29" s="26">
        <f t="shared" si="15"/>
        <v>232.05</v>
      </c>
      <c r="K29" s="26">
        <f t="shared" si="16"/>
        <v>147.186</v>
      </c>
      <c r="L29" s="45">
        <f t="shared" si="17"/>
        <v>159.12</v>
      </c>
      <c r="M29" s="45">
        <f t="shared" si="18"/>
        <v>238.68</v>
      </c>
      <c r="N29" s="45">
        <f t="shared" si="19"/>
        <v>176.6895</v>
      </c>
      <c r="O29" s="45">
        <f t="shared" si="20"/>
        <v>265.2</v>
      </c>
      <c r="P29" s="45">
        <f t="shared" si="21"/>
        <v>185.64</v>
      </c>
      <c r="Q29" s="45">
        <f t="shared" si="22"/>
        <v>278.46</v>
      </c>
      <c r="R29" s="45">
        <f t="shared" si="23"/>
        <v>204.86037</v>
      </c>
      <c r="S29" s="45">
        <f t="shared" si="12"/>
        <v>142.703383333333</v>
      </c>
      <c r="T29" s="81"/>
      <c r="U29" s="82"/>
    </row>
    <row r="30" spans="1:21">
      <c r="A30" s="26" t="s">
        <v>144</v>
      </c>
      <c r="B30" s="27">
        <v>0.101600203200406</v>
      </c>
      <c r="C30" s="26">
        <v>4</v>
      </c>
      <c r="D30" s="28" t="s">
        <v>44</v>
      </c>
      <c r="E30" s="26" t="s">
        <v>134</v>
      </c>
      <c r="F30" s="26" t="s">
        <v>87</v>
      </c>
      <c r="G30" s="27">
        <v>8.184</v>
      </c>
      <c r="H30" s="26">
        <f t="shared" si="13"/>
        <v>98.208</v>
      </c>
      <c r="I30" s="45">
        <f t="shared" si="14"/>
        <v>109.09272</v>
      </c>
      <c r="J30" s="26">
        <f t="shared" si="15"/>
        <v>114.576</v>
      </c>
      <c r="K30" s="26">
        <f t="shared" si="16"/>
        <v>72.67392</v>
      </c>
      <c r="L30" s="45">
        <f t="shared" si="17"/>
        <v>78.5664</v>
      </c>
      <c r="M30" s="45">
        <f t="shared" si="18"/>
        <v>117.8496</v>
      </c>
      <c r="N30" s="45">
        <f t="shared" si="19"/>
        <v>87.24144</v>
      </c>
      <c r="O30" s="45">
        <f t="shared" si="20"/>
        <v>130.944</v>
      </c>
      <c r="P30" s="45">
        <f t="shared" si="21"/>
        <v>91.6608</v>
      </c>
      <c r="Q30" s="45">
        <f t="shared" si="22"/>
        <v>137.4912</v>
      </c>
      <c r="R30" s="45">
        <f t="shared" si="23"/>
        <v>101.1509664</v>
      </c>
      <c r="S30" s="45">
        <f t="shared" si="12"/>
        <v>70.4606026666667</v>
      </c>
      <c r="T30" s="81"/>
      <c r="U30" s="82"/>
    </row>
    <row r="31" spans="1:21">
      <c r="A31" s="26" t="s">
        <v>144</v>
      </c>
      <c r="B31" s="27">
        <v>0.101600203200406</v>
      </c>
      <c r="C31" s="26">
        <v>4</v>
      </c>
      <c r="D31" s="28" t="s">
        <v>44</v>
      </c>
      <c r="E31" s="26" t="s">
        <v>134</v>
      </c>
      <c r="F31" s="26" t="s">
        <v>136</v>
      </c>
      <c r="G31" s="27">
        <v>9.015</v>
      </c>
      <c r="H31" s="26">
        <f t="shared" si="13"/>
        <v>108.18</v>
      </c>
      <c r="I31" s="45">
        <f t="shared" si="14"/>
        <v>120.16995</v>
      </c>
      <c r="J31" s="26">
        <f t="shared" si="15"/>
        <v>126.21</v>
      </c>
      <c r="K31" s="26">
        <f t="shared" si="16"/>
        <v>80.0532</v>
      </c>
      <c r="L31" s="45">
        <f t="shared" si="17"/>
        <v>86.544</v>
      </c>
      <c r="M31" s="45">
        <f t="shared" si="18"/>
        <v>129.816</v>
      </c>
      <c r="N31" s="45">
        <f t="shared" si="19"/>
        <v>96.0999</v>
      </c>
      <c r="O31" s="45">
        <f t="shared" si="20"/>
        <v>144.24</v>
      </c>
      <c r="P31" s="45">
        <f t="shared" si="21"/>
        <v>100.968</v>
      </c>
      <c r="Q31" s="45">
        <f t="shared" si="22"/>
        <v>151.452</v>
      </c>
      <c r="R31" s="45">
        <f t="shared" si="23"/>
        <v>111.421794</v>
      </c>
      <c r="S31" s="45">
        <f t="shared" si="12"/>
        <v>77.6151433333333</v>
      </c>
      <c r="T31" s="81"/>
      <c r="U31" s="82"/>
    </row>
    <row r="32" spans="1:21">
      <c r="A32" s="26" t="s">
        <v>144</v>
      </c>
      <c r="B32" s="27">
        <v>0.101600203200406</v>
      </c>
      <c r="C32" s="26">
        <v>4</v>
      </c>
      <c r="D32" s="28" t="s">
        <v>44</v>
      </c>
      <c r="E32" s="26" t="s">
        <v>39</v>
      </c>
      <c r="F32" s="26" t="s">
        <v>106</v>
      </c>
      <c r="G32" s="27">
        <v>8.157</v>
      </c>
      <c r="H32" s="26">
        <f t="shared" si="13"/>
        <v>97.884</v>
      </c>
      <c r="I32" s="45">
        <f t="shared" si="14"/>
        <v>108.73281</v>
      </c>
      <c r="J32" s="26">
        <f t="shared" si="15"/>
        <v>114.198</v>
      </c>
      <c r="K32" s="26">
        <f t="shared" si="16"/>
        <v>72.43416</v>
      </c>
      <c r="L32" s="45">
        <f t="shared" si="17"/>
        <v>78.3072</v>
      </c>
      <c r="M32" s="45">
        <f t="shared" si="18"/>
        <v>117.4608</v>
      </c>
      <c r="N32" s="45">
        <f t="shared" si="19"/>
        <v>86.95362</v>
      </c>
      <c r="O32" s="45">
        <f t="shared" si="20"/>
        <v>130.512</v>
      </c>
      <c r="P32" s="45">
        <f t="shared" si="21"/>
        <v>91.3584</v>
      </c>
      <c r="Q32" s="45">
        <f t="shared" si="22"/>
        <v>137.0376</v>
      </c>
      <c r="R32" s="45">
        <f t="shared" si="23"/>
        <v>100.8172572</v>
      </c>
      <c r="S32" s="45">
        <f t="shared" si="12"/>
        <v>70.2281446666667</v>
      </c>
      <c r="T32" s="81"/>
      <c r="U32" s="82"/>
    </row>
    <row r="33" spans="1:21">
      <c r="A33" s="26" t="s">
        <v>144</v>
      </c>
      <c r="B33" s="27">
        <v>0.101600203200406</v>
      </c>
      <c r="C33" s="26">
        <v>4</v>
      </c>
      <c r="D33" s="28" t="s">
        <v>83</v>
      </c>
      <c r="E33" s="26" t="s">
        <v>134</v>
      </c>
      <c r="F33" s="26" t="s">
        <v>136</v>
      </c>
      <c r="G33" s="27">
        <v>10.456</v>
      </c>
      <c r="H33" s="26">
        <f t="shared" ref="H33:H36" si="24">G33*12</f>
        <v>125.472</v>
      </c>
      <c r="I33" s="45">
        <f t="shared" ref="I33:I36" si="25">G33*13.33</f>
        <v>139.37848</v>
      </c>
      <c r="J33" s="26">
        <f t="shared" ref="J33:J36" si="26">G33*14</f>
        <v>146.384</v>
      </c>
      <c r="K33" s="26">
        <f t="shared" ref="K33:K36" si="27">G33*8.88</f>
        <v>92.84928</v>
      </c>
      <c r="L33" s="45">
        <f t="shared" ref="L33:L36" si="28">G33*9.6</f>
        <v>100.3776</v>
      </c>
      <c r="M33" s="45">
        <f t="shared" ref="M33:M36" si="29">G33*14.4</f>
        <v>150.5664</v>
      </c>
      <c r="N33" s="45">
        <f t="shared" ref="N33:N36" si="30">G33*10.66</f>
        <v>111.46096</v>
      </c>
      <c r="O33" s="45">
        <f t="shared" ref="O33:O36" si="31">G33*16</f>
        <v>167.296</v>
      </c>
      <c r="P33" s="45">
        <f t="shared" ref="P33:P36" si="32">G33*11.2</f>
        <v>117.1072</v>
      </c>
      <c r="Q33" s="45">
        <f t="shared" ref="Q33:Q36" si="33">G33*16.8</f>
        <v>175.6608</v>
      </c>
      <c r="R33" s="45">
        <f t="shared" ref="R33:R36" si="34">G33*11.66*1.06</f>
        <v>129.2319776</v>
      </c>
      <c r="S33" s="45">
        <f t="shared" si="12"/>
        <v>90.0215128888889</v>
      </c>
      <c r="T33" s="81"/>
      <c r="U33" s="82"/>
    </row>
    <row r="34" spans="1:21">
      <c r="A34" s="26" t="s">
        <v>144</v>
      </c>
      <c r="B34" s="27">
        <v>0.101600203200406</v>
      </c>
      <c r="C34" s="26">
        <v>4</v>
      </c>
      <c r="D34" s="28" t="s">
        <v>41</v>
      </c>
      <c r="E34" s="26" t="s">
        <v>134</v>
      </c>
      <c r="F34" s="26" t="s">
        <v>87</v>
      </c>
      <c r="G34" s="27">
        <v>11.723</v>
      </c>
      <c r="H34" s="26">
        <f t="shared" si="24"/>
        <v>140.676</v>
      </c>
      <c r="I34" s="45">
        <f t="shared" si="25"/>
        <v>156.26759</v>
      </c>
      <c r="J34" s="26">
        <f t="shared" si="26"/>
        <v>164.122</v>
      </c>
      <c r="K34" s="26">
        <f t="shared" si="27"/>
        <v>104.10024</v>
      </c>
      <c r="L34" s="45">
        <f t="shared" si="28"/>
        <v>112.5408</v>
      </c>
      <c r="M34" s="45">
        <f t="shared" si="29"/>
        <v>168.8112</v>
      </c>
      <c r="N34" s="45">
        <f t="shared" si="30"/>
        <v>124.96718</v>
      </c>
      <c r="O34" s="45">
        <f t="shared" si="31"/>
        <v>187.568</v>
      </c>
      <c r="P34" s="45">
        <f t="shared" si="32"/>
        <v>131.2976</v>
      </c>
      <c r="Q34" s="45">
        <f t="shared" si="33"/>
        <v>196.9464</v>
      </c>
      <c r="R34" s="45">
        <f t="shared" si="34"/>
        <v>144.8915908</v>
      </c>
      <c r="S34" s="45">
        <f t="shared" si="12"/>
        <v>100.929819777778</v>
      </c>
      <c r="T34" s="81"/>
      <c r="U34" s="82"/>
    </row>
    <row r="35" spans="1:21">
      <c r="A35" s="26" t="s">
        <v>144</v>
      </c>
      <c r="B35" s="27">
        <v>0.101600203200406</v>
      </c>
      <c r="C35" s="26">
        <v>4</v>
      </c>
      <c r="D35" s="28" t="s">
        <v>41</v>
      </c>
      <c r="E35" s="26" t="s">
        <v>134</v>
      </c>
      <c r="F35" s="26" t="s">
        <v>136</v>
      </c>
      <c r="G35" s="27">
        <v>12.614</v>
      </c>
      <c r="H35" s="26">
        <f t="shared" si="24"/>
        <v>151.368</v>
      </c>
      <c r="I35" s="45">
        <f t="shared" si="25"/>
        <v>168.14462</v>
      </c>
      <c r="J35" s="26">
        <f t="shared" si="26"/>
        <v>176.596</v>
      </c>
      <c r="K35" s="26">
        <f t="shared" si="27"/>
        <v>112.01232</v>
      </c>
      <c r="L35" s="45">
        <f t="shared" si="28"/>
        <v>121.0944</v>
      </c>
      <c r="M35" s="45">
        <f t="shared" si="29"/>
        <v>181.6416</v>
      </c>
      <c r="N35" s="45">
        <f t="shared" si="30"/>
        <v>134.46524</v>
      </c>
      <c r="O35" s="45">
        <f t="shared" si="31"/>
        <v>201.824</v>
      </c>
      <c r="P35" s="45">
        <f t="shared" si="32"/>
        <v>141.2768</v>
      </c>
      <c r="Q35" s="45">
        <f t="shared" si="33"/>
        <v>211.9152</v>
      </c>
      <c r="R35" s="45">
        <f t="shared" si="34"/>
        <v>155.9039944</v>
      </c>
      <c r="S35" s="45">
        <f t="shared" si="12"/>
        <v>108.600933777778</v>
      </c>
      <c r="T35" s="81"/>
      <c r="U35" s="82"/>
    </row>
    <row r="36" spans="1:21">
      <c r="A36" s="26" t="s">
        <v>144</v>
      </c>
      <c r="B36" s="27">
        <v>0.127000254000508</v>
      </c>
      <c r="C36" s="26">
        <v>5</v>
      </c>
      <c r="D36" s="28" t="s">
        <v>44</v>
      </c>
      <c r="E36" s="26" t="s">
        <v>39</v>
      </c>
      <c r="F36" s="26" t="s">
        <v>87</v>
      </c>
      <c r="G36" s="27">
        <v>7.827</v>
      </c>
      <c r="H36" s="26">
        <f t="shared" si="24"/>
        <v>93.924</v>
      </c>
      <c r="I36" s="45">
        <f t="shared" si="25"/>
        <v>104.33391</v>
      </c>
      <c r="J36" s="26">
        <f t="shared" si="26"/>
        <v>109.578</v>
      </c>
      <c r="K36" s="26">
        <f t="shared" si="27"/>
        <v>69.50376</v>
      </c>
      <c r="L36" s="45">
        <f t="shared" si="28"/>
        <v>75.1392</v>
      </c>
      <c r="M36" s="45">
        <f t="shared" si="29"/>
        <v>112.7088</v>
      </c>
      <c r="N36" s="45">
        <f t="shared" si="30"/>
        <v>83.43582</v>
      </c>
      <c r="O36" s="45">
        <f t="shared" si="31"/>
        <v>125.232</v>
      </c>
      <c r="P36" s="45">
        <f t="shared" si="32"/>
        <v>87.6624</v>
      </c>
      <c r="Q36" s="45">
        <f t="shared" si="33"/>
        <v>131.4936</v>
      </c>
      <c r="R36" s="45">
        <f t="shared" si="34"/>
        <v>96.7385892</v>
      </c>
      <c r="S36" s="45">
        <f t="shared" si="12"/>
        <v>67.3869913333333</v>
      </c>
      <c r="T36" s="81"/>
      <c r="U36" s="82"/>
    </row>
    <row r="37" spans="1:21">
      <c r="A37" s="26" t="s">
        <v>144</v>
      </c>
      <c r="B37" s="27">
        <v>0.127000254000508</v>
      </c>
      <c r="C37" s="26">
        <v>5</v>
      </c>
      <c r="D37" s="28" t="s">
        <v>44</v>
      </c>
      <c r="E37" s="26" t="s">
        <v>134</v>
      </c>
      <c r="F37" s="26" t="s">
        <v>87</v>
      </c>
      <c r="G37" s="27">
        <v>8.002</v>
      </c>
      <c r="H37" s="26">
        <f t="shared" ref="H37:H40" si="35">G37*12</f>
        <v>96.024</v>
      </c>
      <c r="I37" s="45">
        <f t="shared" ref="I37:I40" si="36">G37*13.33</f>
        <v>106.66666</v>
      </c>
      <c r="J37" s="26">
        <f t="shared" ref="J37:J40" si="37">G37*14</f>
        <v>112.028</v>
      </c>
      <c r="K37" s="26">
        <f t="shared" ref="K37:K40" si="38">G37*8.88</f>
        <v>71.05776</v>
      </c>
      <c r="L37" s="45">
        <f t="shared" ref="L37:L40" si="39">G37*9.6</f>
        <v>76.8192</v>
      </c>
      <c r="M37" s="45">
        <f t="shared" ref="M37:M40" si="40">G37*14.4</f>
        <v>115.2288</v>
      </c>
      <c r="N37" s="45">
        <f t="shared" ref="N37:N40" si="41">G37*10.66</f>
        <v>85.30132</v>
      </c>
      <c r="O37" s="45">
        <f t="shared" ref="O37:O40" si="42">G37*16</f>
        <v>128.032</v>
      </c>
      <c r="P37" s="45">
        <f t="shared" ref="P37:P40" si="43">G37*11.2</f>
        <v>89.6224</v>
      </c>
      <c r="Q37" s="45">
        <f t="shared" ref="Q37:Q40" si="44">G37*16.8</f>
        <v>134.4336</v>
      </c>
      <c r="R37" s="45">
        <f t="shared" ref="R37:R40" si="45">G37*11.66*1.06</f>
        <v>98.9015192</v>
      </c>
      <c r="S37" s="45">
        <f t="shared" si="12"/>
        <v>68.8936635555556</v>
      </c>
      <c r="T37" s="81"/>
      <c r="U37" s="82"/>
    </row>
    <row r="38" spans="1:21">
      <c r="A38" s="26" t="s">
        <v>144</v>
      </c>
      <c r="B38" s="27">
        <v>0.127000254000508</v>
      </c>
      <c r="C38" s="26">
        <v>5</v>
      </c>
      <c r="D38" s="28" t="s">
        <v>83</v>
      </c>
      <c r="E38" s="26" t="s">
        <v>134</v>
      </c>
      <c r="F38" s="26" t="s">
        <v>87</v>
      </c>
      <c r="G38" s="27">
        <v>9.658</v>
      </c>
      <c r="H38" s="26">
        <f t="shared" si="35"/>
        <v>115.896</v>
      </c>
      <c r="I38" s="45">
        <f t="shared" si="36"/>
        <v>128.74114</v>
      </c>
      <c r="J38" s="26">
        <f t="shared" si="37"/>
        <v>135.212</v>
      </c>
      <c r="K38" s="26">
        <f t="shared" si="38"/>
        <v>85.76304</v>
      </c>
      <c r="L38" s="45">
        <f t="shared" si="39"/>
        <v>92.7168</v>
      </c>
      <c r="M38" s="45">
        <f t="shared" si="40"/>
        <v>139.0752</v>
      </c>
      <c r="N38" s="45">
        <f t="shared" si="41"/>
        <v>102.95428</v>
      </c>
      <c r="O38" s="45">
        <f t="shared" si="42"/>
        <v>154.528</v>
      </c>
      <c r="P38" s="45">
        <f t="shared" si="43"/>
        <v>108.1696</v>
      </c>
      <c r="Q38" s="45">
        <f t="shared" si="44"/>
        <v>162.2544</v>
      </c>
      <c r="R38" s="45">
        <f t="shared" si="45"/>
        <v>119.3690168</v>
      </c>
      <c r="S38" s="45">
        <f t="shared" si="12"/>
        <v>83.1510875555555</v>
      </c>
      <c r="T38" s="81"/>
      <c r="U38" s="82"/>
    </row>
    <row r="39" spans="1:21">
      <c r="A39" s="26" t="s">
        <v>144</v>
      </c>
      <c r="B39" s="27">
        <v>0.127000254000508</v>
      </c>
      <c r="C39" s="26">
        <v>5</v>
      </c>
      <c r="D39" s="28" t="s">
        <v>83</v>
      </c>
      <c r="E39" s="26" t="s">
        <v>39</v>
      </c>
      <c r="F39" s="26" t="s">
        <v>87</v>
      </c>
      <c r="G39" s="27">
        <v>9.944</v>
      </c>
      <c r="H39" s="26">
        <f t="shared" si="35"/>
        <v>119.328</v>
      </c>
      <c r="I39" s="45">
        <f t="shared" si="36"/>
        <v>132.55352</v>
      </c>
      <c r="J39" s="26">
        <f t="shared" si="37"/>
        <v>139.216</v>
      </c>
      <c r="K39" s="26">
        <f t="shared" si="38"/>
        <v>88.30272</v>
      </c>
      <c r="L39" s="45">
        <f t="shared" si="39"/>
        <v>95.4624</v>
      </c>
      <c r="M39" s="45">
        <f t="shared" si="40"/>
        <v>143.1936</v>
      </c>
      <c r="N39" s="45">
        <f t="shared" si="41"/>
        <v>106.00304</v>
      </c>
      <c r="O39" s="45">
        <f t="shared" si="42"/>
        <v>159.104</v>
      </c>
      <c r="P39" s="45">
        <f t="shared" si="43"/>
        <v>111.3728</v>
      </c>
      <c r="Q39" s="45">
        <f t="shared" si="44"/>
        <v>167.0592</v>
      </c>
      <c r="R39" s="45">
        <f t="shared" si="45"/>
        <v>122.9038624</v>
      </c>
      <c r="S39" s="45">
        <f t="shared" si="12"/>
        <v>85.6134204444445</v>
      </c>
      <c r="T39" s="81"/>
      <c r="U39" s="82"/>
    </row>
    <row r="40" spans="1:21">
      <c r="A40" s="26" t="s">
        <v>144</v>
      </c>
      <c r="B40" s="27">
        <v>0.127000254000508</v>
      </c>
      <c r="C40" s="26">
        <v>5</v>
      </c>
      <c r="D40" s="28" t="s">
        <v>41</v>
      </c>
      <c r="E40" s="26" t="s">
        <v>39</v>
      </c>
      <c r="F40" s="26" t="s">
        <v>87</v>
      </c>
      <c r="G40" s="27">
        <v>11.264</v>
      </c>
      <c r="H40" s="26">
        <f t="shared" si="35"/>
        <v>135.168</v>
      </c>
      <c r="I40" s="45">
        <f t="shared" si="36"/>
        <v>150.14912</v>
      </c>
      <c r="J40" s="26">
        <f t="shared" si="37"/>
        <v>157.696</v>
      </c>
      <c r="K40" s="26">
        <f t="shared" si="38"/>
        <v>100.02432</v>
      </c>
      <c r="L40" s="45">
        <f t="shared" si="39"/>
        <v>108.1344</v>
      </c>
      <c r="M40" s="45">
        <f t="shared" si="40"/>
        <v>162.2016</v>
      </c>
      <c r="N40" s="45">
        <f t="shared" si="41"/>
        <v>120.07424</v>
      </c>
      <c r="O40" s="45">
        <f t="shared" si="42"/>
        <v>180.224</v>
      </c>
      <c r="P40" s="45">
        <f t="shared" si="43"/>
        <v>126.1568</v>
      </c>
      <c r="Q40" s="45">
        <f t="shared" si="44"/>
        <v>189.2352</v>
      </c>
      <c r="R40" s="45">
        <f t="shared" si="45"/>
        <v>139.2185344</v>
      </c>
      <c r="S40" s="45">
        <f t="shared" si="12"/>
        <v>96.9780337777778</v>
      </c>
      <c r="T40" s="81"/>
      <c r="U40" s="82"/>
    </row>
    <row r="41" spans="1:21">
      <c r="A41" s="26" t="s">
        <v>144</v>
      </c>
      <c r="B41" s="27">
        <v>0.127000254000508</v>
      </c>
      <c r="C41" s="26">
        <v>5</v>
      </c>
      <c r="D41" s="28" t="s">
        <v>41</v>
      </c>
      <c r="E41" s="26" t="s">
        <v>134</v>
      </c>
      <c r="F41" s="26" t="s">
        <v>87</v>
      </c>
      <c r="G41" s="27">
        <v>11.634</v>
      </c>
      <c r="H41" s="26">
        <f t="shared" ref="H41:H55" si="46">G41*12</f>
        <v>139.608</v>
      </c>
      <c r="I41" s="45">
        <f t="shared" ref="I41:I55" si="47">G41*13.33</f>
        <v>155.08122</v>
      </c>
      <c r="J41" s="26">
        <f t="shared" ref="J41:J55" si="48">G41*14</f>
        <v>162.876</v>
      </c>
      <c r="K41" s="26">
        <f t="shared" ref="K41:K55" si="49">G41*8.88</f>
        <v>103.30992</v>
      </c>
      <c r="L41" s="45">
        <f t="shared" ref="L41:L55" si="50">G41*9.6</f>
        <v>111.6864</v>
      </c>
      <c r="M41" s="45">
        <f t="shared" ref="M41:M55" si="51">G41*14.4</f>
        <v>167.5296</v>
      </c>
      <c r="N41" s="45">
        <f t="shared" ref="N41:N55" si="52">G41*10.66</f>
        <v>124.01844</v>
      </c>
      <c r="O41" s="45">
        <f t="shared" ref="O41:O55" si="53">G41*16</f>
        <v>186.144</v>
      </c>
      <c r="P41" s="45">
        <f t="shared" ref="P41:P55" si="54">G41*11.2</f>
        <v>130.3008</v>
      </c>
      <c r="Q41" s="45">
        <f t="shared" ref="Q41:Q55" si="55">G41*16.8</f>
        <v>195.4512</v>
      </c>
      <c r="R41" s="45">
        <f t="shared" ref="R41:R55" si="56">G41*11.66*1.06</f>
        <v>143.7915864</v>
      </c>
      <c r="S41" s="45">
        <f t="shared" si="12"/>
        <v>100.163569333333</v>
      </c>
      <c r="T41" s="81"/>
      <c r="U41" s="82"/>
    </row>
    <row r="42" spans="1:21">
      <c r="A42" s="26" t="s">
        <v>144</v>
      </c>
      <c r="B42" s="27">
        <v>0.15240030480061</v>
      </c>
      <c r="C42" s="26">
        <v>6</v>
      </c>
      <c r="D42" s="28" t="s">
        <v>44</v>
      </c>
      <c r="E42" s="26" t="s">
        <v>134</v>
      </c>
      <c r="F42" s="26" t="s">
        <v>138</v>
      </c>
      <c r="G42" s="27">
        <v>9.33</v>
      </c>
      <c r="H42" s="26">
        <f t="shared" si="46"/>
        <v>111.96</v>
      </c>
      <c r="I42" s="45">
        <f t="shared" si="47"/>
        <v>124.3689</v>
      </c>
      <c r="J42" s="26">
        <f t="shared" si="48"/>
        <v>130.62</v>
      </c>
      <c r="K42" s="26">
        <f t="shared" si="49"/>
        <v>82.8504</v>
      </c>
      <c r="L42" s="45">
        <f t="shared" si="50"/>
        <v>89.568</v>
      </c>
      <c r="M42" s="45">
        <f t="shared" si="51"/>
        <v>134.352</v>
      </c>
      <c r="N42" s="45">
        <f t="shared" si="52"/>
        <v>99.4578</v>
      </c>
      <c r="O42" s="45">
        <f t="shared" si="53"/>
        <v>149.28</v>
      </c>
      <c r="P42" s="45">
        <f t="shared" si="54"/>
        <v>104.496</v>
      </c>
      <c r="Q42" s="45">
        <f t="shared" si="55"/>
        <v>156.744</v>
      </c>
      <c r="R42" s="45">
        <f t="shared" si="56"/>
        <v>115.315068</v>
      </c>
      <c r="S42" s="45">
        <f t="shared" si="12"/>
        <v>80.3271533333333</v>
      </c>
      <c r="T42" s="81"/>
      <c r="U42" s="82"/>
    </row>
    <row r="43" spans="1:21">
      <c r="A43" s="26" t="s">
        <v>144</v>
      </c>
      <c r="B43" s="27">
        <v>0.15240030480061</v>
      </c>
      <c r="C43" s="26">
        <v>6</v>
      </c>
      <c r="D43" s="28" t="s">
        <v>83</v>
      </c>
      <c r="E43" s="26" t="s">
        <v>134</v>
      </c>
      <c r="F43" s="26" t="s">
        <v>138</v>
      </c>
      <c r="G43" s="27">
        <v>11.041</v>
      </c>
      <c r="H43" s="26">
        <f t="shared" si="46"/>
        <v>132.492</v>
      </c>
      <c r="I43" s="45">
        <f t="shared" si="47"/>
        <v>147.17653</v>
      </c>
      <c r="J43" s="26">
        <f t="shared" si="48"/>
        <v>154.574</v>
      </c>
      <c r="K43" s="26">
        <f t="shared" si="49"/>
        <v>98.04408</v>
      </c>
      <c r="L43" s="45">
        <f t="shared" si="50"/>
        <v>105.9936</v>
      </c>
      <c r="M43" s="45">
        <f t="shared" si="51"/>
        <v>158.9904</v>
      </c>
      <c r="N43" s="45">
        <f t="shared" si="52"/>
        <v>117.69706</v>
      </c>
      <c r="O43" s="45">
        <f t="shared" si="53"/>
        <v>176.656</v>
      </c>
      <c r="P43" s="45">
        <f t="shared" si="54"/>
        <v>123.6592</v>
      </c>
      <c r="Q43" s="45">
        <f t="shared" si="55"/>
        <v>185.4888</v>
      </c>
      <c r="R43" s="45">
        <f t="shared" si="56"/>
        <v>136.4623436</v>
      </c>
      <c r="S43" s="45">
        <f t="shared" si="12"/>
        <v>95.0581028888889</v>
      </c>
      <c r="T43" s="81"/>
      <c r="U43" s="82"/>
    </row>
    <row r="44" spans="1:21">
      <c r="A44" s="26" t="s">
        <v>144</v>
      </c>
      <c r="B44" s="27">
        <v>0.15240030480061</v>
      </c>
      <c r="C44" s="26">
        <v>6</v>
      </c>
      <c r="D44" s="28" t="s">
        <v>41</v>
      </c>
      <c r="E44" s="26" t="s">
        <v>134</v>
      </c>
      <c r="F44" s="26" t="s">
        <v>138</v>
      </c>
      <c r="G44" s="27">
        <v>13.033</v>
      </c>
      <c r="H44" s="26">
        <f t="shared" si="46"/>
        <v>156.396</v>
      </c>
      <c r="I44" s="45">
        <f t="shared" si="47"/>
        <v>173.72989</v>
      </c>
      <c r="J44" s="26">
        <f t="shared" si="48"/>
        <v>182.462</v>
      </c>
      <c r="K44" s="26">
        <f t="shared" si="49"/>
        <v>115.73304</v>
      </c>
      <c r="L44" s="45">
        <f t="shared" si="50"/>
        <v>125.1168</v>
      </c>
      <c r="M44" s="45">
        <f t="shared" si="51"/>
        <v>187.6752</v>
      </c>
      <c r="N44" s="45">
        <f t="shared" si="52"/>
        <v>138.93178</v>
      </c>
      <c r="O44" s="45">
        <f t="shared" si="53"/>
        <v>208.528</v>
      </c>
      <c r="P44" s="45">
        <f t="shared" si="54"/>
        <v>145.9696</v>
      </c>
      <c r="Q44" s="45">
        <f t="shared" si="55"/>
        <v>218.9544</v>
      </c>
      <c r="R44" s="45">
        <f t="shared" si="56"/>
        <v>161.0826668</v>
      </c>
      <c r="S44" s="45">
        <f t="shared" si="12"/>
        <v>112.208337555556</v>
      </c>
      <c r="T44" s="81"/>
      <c r="U44" s="82"/>
    </row>
    <row r="45" spans="1:21">
      <c r="A45" s="26" t="s">
        <v>144</v>
      </c>
      <c r="B45" s="27">
        <v>0.203200406400813</v>
      </c>
      <c r="C45" s="26">
        <v>8</v>
      </c>
      <c r="D45" s="28" t="s">
        <v>44</v>
      </c>
      <c r="E45" s="26" t="s">
        <v>134</v>
      </c>
      <c r="F45" s="26" t="s">
        <v>91</v>
      </c>
      <c r="G45" s="27">
        <v>9.366</v>
      </c>
      <c r="H45" s="26">
        <f t="shared" si="46"/>
        <v>112.392</v>
      </c>
      <c r="I45" s="45">
        <f t="shared" si="47"/>
        <v>124.84878</v>
      </c>
      <c r="J45" s="26">
        <f t="shared" si="48"/>
        <v>131.124</v>
      </c>
      <c r="K45" s="26">
        <f t="shared" si="49"/>
        <v>83.17008</v>
      </c>
      <c r="L45" s="45">
        <f t="shared" si="50"/>
        <v>89.9136</v>
      </c>
      <c r="M45" s="45">
        <f t="shared" si="51"/>
        <v>134.8704</v>
      </c>
      <c r="N45" s="45">
        <f t="shared" si="52"/>
        <v>99.84156</v>
      </c>
      <c r="O45" s="45">
        <f t="shared" si="53"/>
        <v>149.856</v>
      </c>
      <c r="P45" s="45">
        <f t="shared" si="54"/>
        <v>104.8992</v>
      </c>
      <c r="Q45" s="45">
        <f t="shared" si="55"/>
        <v>157.3488</v>
      </c>
      <c r="R45" s="45">
        <f t="shared" si="56"/>
        <v>115.7600136</v>
      </c>
      <c r="S45" s="45">
        <f t="shared" si="12"/>
        <v>80.6370973333333</v>
      </c>
      <c r="T45" s="81"/>
      <c r="U45" s="82"/>
    </row>
    <row r="46" spans="1:21">
      <c r="A46" s="26" t="s">
        <v>144</v>
      </c>
      <c r="B46" s="27">
        <v>0.203200406400813</v>
      </c>
      <c r="C46" s="26">
        <v>8</v>
      </c>
      <c r="D46" s="28" t="s">
        <v>41</v>
      </c>
      <c r="E46" s="26" t="s">
        <v>134</v>
      </c>
      <c r="F46" s="26" t="s">
        <v>91</v>
      </c>
      <c r="G46" s="27">
        <v>12.85</v>
      </c>
      <c r="H46" s="26">
        <f t="shared" si="46"/>
        <v>154.2</v>
      </c>
      <c r="I46" s="45">
        <f t="shared" si="47"/>
        <v>171.2905</v>
      </c>
      <c r="J46" s="26">
        <f t="shared" si="48"/>
        <v>179.9</v>
      </c>
      <c r="K46" s="26">
        <f t="shared" si="49"/>
        <v>114.108</v>
      </c>
      <c r="L46" s="45">
        <f t="shared" si="50"/>
        <v>123.36</v>
      </c>
      <c r="M46" s="45">
        <f t="shared" si="51"/>
        <v>185.04</v>
      </c>
      <c r="N46" s="45">
        <f t="shared" si="52"/>
        <v>136.981</v>
      </c>
      <c r="O46" s="45">
        <f t="shared" si="53"/>
        <v>205.6</v>
      </c>
      <c r="P46" s="45">
        <f t="shared" si="54"/>
        <v>143.92</v>
      </c>
      <c r="Q46" s="45">
        <f t="shared" si="55"/>
        <v>215.88</v>
      </c>
      <c r="R46" s="45">
        <f t="shared" si="56"/>
        <v>158.82086</v>
      </c>
      <c r="S46" s="45">
        <f t="shared" si="12"/>
        <v>110.632788888889</v>
      </c>
      <c r="T46" s="81"/>
      <c r="U46" s="82"/>
    </row>
    <row r="47" spans="1:21">
      <c r="A47" s="26" t="s">
        <v>144</v>
      </c>
      <c r="B47" s="27">
        <v>0.203200406400813</v>
      </c>
      <c r="C47" s="26">
        <v>8</v>
      </c>
      <c r="D47" s="28" t="s">
        <v>38</v>
      </c>
      <c r="E47" s="26" t="s">
        <v>39</v>
      </c>
      <c r="F47" s="26" t="s">
        <v>91</v>
      </c>
      <c r="G47" s="27">
        <v>21.127</v>
      </c>
      <c r="H47" s="26">
        <f t="shared" si="46"/>
        <v>253.524</v>
      </c>
      <c r="I47" s="45">
        <f t="shared" si="47"/>
        <v>281.62291</v>
      </c>
      <c r="J47" s="26">
        <f t="shared" si="48"/>
        <v>295.778</v>
      </c>
      <c r="K47" s="26">
        <f t="shared" si="49"/>
        <v>187.60776</v>
      </c>
      <c r="L47" s="45">
        <f t="shared" si="50"/>
        <v>202.8192</v>
      </c>
      <c r="M47" s="45">
        <f t="shared" si="51"/>
        <v>304.2288</v>
      </c>
      <c r="N47" s="45">
        <f t="shared" si="52"/>
        <v>225.21382</v>
      </c>
      <c r="O47" s="45">
        <f t="shared" si="53"/>
        <v>338.032</v>
      </c>
      <c r="P47" s="45">
        <f t="shared" si="54"/>
        <v>236.6224</v>
      </c>
      <c r="Q47" s="45">
        <f t="shared" si="55"/>
        <v>354.9336</v>
      </c>
      <c r="R47" s="45">
        <f t="shared" si="56"/>
        <v>261.1212692</v>
      </c>
      <c r="S47" s="45">
        <f t="shared" si="12"/>
        <v>181.894080222222</v>
      </c>
      <c r="T47" s="81"/>
      <c r="U47" s="82"/>
    </row>
    <row r="48" spans="1:21">
      <c r="A48" s="26" t="s">
        <v>144</v>
      </c>
      <c r="B48" s="27">
        <v>0.203200406400813</v>
      </c>
      <c r="C48" s="26">
        <v>8</v>
      </c>
      <c r="D48" s="28" t="s">
        <v>83</v>
      </c>
      <c r="E48" s="26" t="s">
        <v>134</v>
      </c>
      <c r="F48" s="26" t="s">
        <v>91</v>
      </c>
      <c r="G48" s="27">
        <v>11.037</v>
      </c>
      <c r="H48" s="26">
        <f t="shared" si="46"/>
        <v>132.444</v>
      </c>
      <c r="I48" s="45">
        <f t="shared" si="47"/>
        <v>147.12321</v>
      </c>
      <c r="J48" s="26">
        <f t="shared" si="48"/>
        <v>154.518</v>
      </c>
      <c r="K48" s="26">
        <f t="shared" si="49"/>
        <v>98.00856</v>
      </c>
      <c r="L48" s="45">
        <f t="shared" si="50"/>
        <v>105.9552</v>
      </c>
      <c r="M48" s="45">
        <f t="shared" si="51"/>
        <v>158.9328</v>
      </c>
      <c r="N48" s="45">
        <f t="shared" si="52"/>
        <v>117.65442</v>
      </c>
      <c r="O48" s="45">
        <f t="shared" si="53"/>
        <v>176.592</v>
      </c>
      <c r="P48" s="45">
        <f t="shared" si="54"/>
        <v>123.6144</v>
      </c>
      <c r="Q48" s="45">
        <f t="shared" si="55"/>
        <v>185.4216</v>
      </c>
      <c r="R48" s="45">
        <f t="shared" si="56"/>
        <v>136.4129052</v>
      </c>
      <c r="S48" s="45">
        <f t="shared" si="12"/>
        <v>95.0236646666667</v>
      </c>
      <c r="T48" s="81"/>
      <c r="U48" s="82"/>
    </row>
    <row r="49" spans="1:21">
      <c r="A49" s="26" t="s">
        <v>144</v>
      </c>
      <c r="B49" s="27">
        <v>0.254000508001016</v>
      </c>
      <c r="C49" s="26">
        <v>10</v>
      </c>
      <c r="D49" s="28" t="s">
        <v>38</v>
      </c>
      <c r="E49" s="26" t="s">
        <v>39</v>
      </c>
      <c r="F49" s="26" t="s">
        <v>91</v>
      </c>
      <c r="G49" s="27">
        <v>21.496</v>
      </c>
      <c r="H49" s="26">
        <f t="shared" si="46"/>
        <v>257.952</v>
      </c>
      <c r="I49" s="45">
        <f t="shared" si="47"/>
        <v>286.54168</v>
      </c>
      <c r="J49" s="26">
        <f t="shared" si="48"/>
        <v>300.944</v>
      </c>
      <c r="K49" s="26">
        <f t="shared" si="49"/>
        <v>190.88448</v>
      </c>
      <c r="L49" s="45">
        <f t="shared" si="50"/>
        <v>206.3616</v>
      </c>
      <c r="M49" s="45">
        <f t="shared" si="51"/>
        <v>309.5424</v>
      </c>
      <c r="N49" s="45">
        <f t="shared" si="52"/>
        <v>229.14736</v>
      </c>
      <c r="O49" s="45">
        <f t="shared" si="53"/>
        <v>343.936</v>
      </c>
      <c r="P49" s="45">
        <f t="shared" si="54"/>
        <v>240.7552</v>
      </c>
      <c r="Q49" s="45">
        <f t="shared" si="55"/>
        <v>361.1328</v>
      </c>
      <c r="R49" s="45">
        <f t="shared" si="56"/>
        <v>265.6819616</v>
      </c>
      <c r="S49" s="45">
        <f t="shared" si="12"/>
        <v>185.071006222222</v>
      </c>
      <c r="T49" s="81"/>
      <c r="U49" s="82"/>
    </row>
    <row r="50" spans="1:21">
      <c r="A50" s="26" t="s">
        <v>144</v>
      </c>
      <c r="B50" s="27">
        <v>0.254000508001016</v>
      </c>
      <c r="C50" s="26">
        <v>10</v>
      </c>
      <c r="D50" s="28" t="s">
        <v>44</v>
      </c>
      <c r="E50" s="26" t="s">
        <v>134</v>
      </c>
      <c r="F50" s="26" t="s">
        <v>91</v>
      </c>
      <c r="G50" s="27">
        <v>9.687</v>
      </c>
      <c r="H50" s="26">
        <f t="shared" si="46"/>
        <v>116.244</v>
      </c>
      <c r="I50" s="45">
        <f t="shared" si="47"/>
        <v>129.12771</v>
      </c>
      <c r="J50" s="26">
        <f t="shared" si="48"/>
        <v>135.618</v>
      </c>
      <c r="K50" s="26">
        <f t="shared" si="49"/>
        <v>86.02056</v>
      </c>
      <c r="L50" s="45">
        <f t="shared" si="50"/>
        <v>92.9952</v>
      </c>
      <c r="M50" s="45">
        <f t="shared" si="51"/>
        <v>139.4928</v>
      </c>
      <c r="N50" s="45">
        <f t="shared" si="52"/>
        <v>103.26342</v>
      </c>
      <c r="O50" s="45">
        <f t="shared" si="53"/>
        <v>154.992</v>
      </c>
      <c r="P50" s="45">
        <f t="shared" si="54"/>
        <v>108.4944</v>
      </c>
      <c r="Q50" s="45">
        <f t="shared" si="55"/>
        <v>162.7416</v>
      </c>
      <c r="R50" s="45">
        <f t="shared" si="56"/>
        <v>119.7274452</v>
      </c>
      <c r="S50" s="45">
        <f t="shared" si="12"/>
        <v>83.4007646666667</v>
      </c>
      <c r="T50" s="81"/>
      <c r="U50" s="82"/>
    </row>
    <row r="51" spans="1:21">
      <c r="A51" s="26" t="s">
        <v>144</v>
      </c>
      <c r="B51" s="27">
        <v>0.254000508001016</v>
      </c>
      <c r="C51" s="26">
        <v>10</v>
      </c>
      <c r="D51" s="28" t="s">
        <v>83</v>
      </c>
      <c r="E51" s="26" t="s">
        <v>134</v>
      </c>
      <c r="F51" s="26" t="s">
        <v>91</v>
      </c>
      <c r="G51" s="27">
        <v>11.697</v>
      </c>
      <c r="H51" s="26">
        <f t="shared" si="46"/>
        <v>140.364</v>
      </c>
      <c r="I51" s="45">
        <f t="shared" si="47"/>
        <v>155.92101</v>
      </c>
      <c r="J51" s="26">
        <f t="shared" si="48"/>
        <v>163.758</v>
      </c>
      <c r="K51" s="26">
        <f t="shared" si="49"/>
        <v>103.86936</v>
      </c>
      <c r="L51" s="45">
        <f t="shared" si="50"/>
        <v>112.2912</v>
      </c>
      <c r="M51" s="45">
        <f t="shared" si="51"/>
        <v>168.4368</v>
      </c>
      <c r="N51" s="45">
        <f t="shared" si="52"/>
        <v>124.69002</v>
      </c>
      <c r="O51" s="45">
        <f t="shared" si="53"/>
        <v>187.152</v>
      </c>
      <c r="P51" s="45">
        <f t="shared" si="54"/>
        <v>131.0064</v>
      </c>
      <c r="Q51" s="45">
        <f t="shared" si="55"/>
        <v>196.5096</v>
      </c>
      <c r="R51" s="45">
        <f t="shared" si="56"/>
        <v>144.5702412</v>
      </c>
      <c r="S51" s="45">
        <f t="shared" si="12"/>
        <v>100.705971333333</v>
      </c>
      <c r="T51" s="81"/>
      <c r="U51" s="82"/>
    </row>
    <row r="52" spans="1:21">
      <c r="A52" s="26" t="s">
        <v>144</v>
      </c>
      <c r="B52" s="27">
        <v>0.254000508001016</v>
      </c>
      <c r="C52" s="26">
        <v>10</v>
      </c>
      <c r="D52" s="28" t="s">
        <v>41</v>
      </c>
      <c r="E52" s="26" t="s">
        <v>134</v>
      </c>
      <c r="F52" s="26" t="s">
        <v>91</v>
      </c>
      <c r="G52" s="27">
        <v>13.425</v>
      </c>
      <c r="H52" s="26">
        <f t="shared" si="46"/>
        <v>161.1</v>
      </c>
      <c r="I52" s="45">
        <f t="shared" si="47"/>
        <v>178.95525</v>
      </c>
      <c r="J52" s="26">
        <f t="shared" si="48"/>
        <v>187.95</v>
      </c>
      <c r="K52" s="26">
        <f t="shared" si="49"/>
        <v>119.214</v>
      </c>
      <c r="L52" s="45">
        <f t="shared" si="50"/>
        <v>128.88</v>
      </c>
      <c r="M52" s="45">
        <f t="shared" si="51"/>
        <v>193.32</v>
      </c>
      <c r="N52" s="45">
        <f t="shared" si="52"/>
        <v>143.1105</v>
      </c>
      <c r="O52" s="45">
        <f t="shared" si="53"/>
        <v>214.8</v>
      </c>
      <c r="P52" s="45">
        <f t="shared" si="54"/>
        <v>150.36</v>
      </c>
      <c r="Q52" s="45">
        <f t="shared" si="55"/>
        <v>225.54</v>
      </c>
      <c r="R52" s="45">
        <f t="shared" si="56"/>
        <v>165.92763</v>
      </c>
      <c r="S52" s="45">
        <f t="shared" si="12"/>
        <v>115.583283333333</v>
      </c>
      <c r="T52" s="81"/>
      <c r="U52" s="82"/>
    </row>
    <row r="53" spans="1:21">
      <c r="A53" s="26" t="s">
        <v>144</v>
      </c>
      <c r="B53" s="27">
        <v>0.304800609601219</v>
      </c>
      <c r="C53" s="26">
        <v>12</v>
      </c>
      <c r="D53" s="28" t="s">
        <v>41</v>
      </c>
      <c r="E53" s="26" t="s">
        <v>134</v>
      </c>
      <c r="F53" s="26" t="s">
        <v>93</v>
      </c>
      <c r="G53" s="27">
        <v>14.289</v>
      </c>
      <c r="H53" s="26">
        <f t="shared" si="46"/>
        <v>171.468</v>
      </c>
      <c r="I53" s="45">
        <f t="shared" si="47"/>
        <v>190.47237</v>
      </c>
      <c r="J53" s="26">
        <f t="shared" si="48"/>
        <v>200.046</v>
      </c>
      <c r="K53" s="26">
        <f t="shared" si="49"/>
        <v>126.88632</v>
      </c>
      <c r="L53" s="45">
        <f t="shared" si="50"/>
        <v>137.1744</v>
      </c>
      <c r="M53" s="45">
        <f t="shared" si="51"/>
        <v>205.7616</v>
      </c>
      <c r="N53" s="45">
        <f t="shared" si="52"/>
        <v>152.32074</v>
      </c>
      <c r="O53" s="45">
        <f t="shared" si="53"/>
        <v>228.624</v>
      </c>
      <c r="P53" s="45">
        <f t="shared" si="54"/>
        <v>160.0368</v>
      </c>
      <c r="Q53" s="45">
        <f t="shared" si="55"/>
        <v>240.0552</v>
      </c>
      <c r="R53" s="45">
        <f t="shared" si="56"/>
        <v>176.6063244</v>
      </c>
      <c r="S53" s="45">
        <f t="shared" si="12"/>
        <v>123.021939333333</v>
      </c>
      <c r="T53" s="81"/>
      <c r="U53" s="82"/>
    </row>
    <row r="54" spans="1:21">
      <c r="A54" s="26" t="s">
        <v>144</v>
      </c>
      <c r="B54" s="27">
        <v>0.508001016002032</v>
      </c>
      <c r="C54" s="26">
        <v>20</v>
      </c>
      <c r="D54" s="26" t="s">
        <v>44</v>
      </c>
      <c r="E54" s="26" t="s">
        <v>134</v>
      </c>
      <c r="F54" s="26" t="s">
        <v>147</v>
      </c>
      <c r="G54" s="27">
        <v>14.788</v>
      </c>
      <c r="H54" s="26">
        <f t="shared" si="46"/>
        <v>177.456</v>
      </c>
      <c r="I54" s="45">
        <f t="shared" si="47"/>
        <v>197.12404</v>
      </c>
      <c r="J54" s="26">
        <f t="shared" si="48"/>
        <v>207.032</v>
      </c>
      <c r="K54" s="26">
        <f t="shared" si="49"/>
        <v>131.31744</v>
      </c>
      <c r="L54" s="45">
        <f t="shared" si="50"/>
        <v>141.9648</v>
      </c>
      <c r="M54" s="45">
        <f t="shared" si="51"/>
        <v>212.9472</v>
      </c>
      <c r="N54" s="45">
        <f t="shared" si="52"/>
        <v>157.64008</v>
      </c>
      <c r="O54" s="45">
        <f t="shared" si="53"/>
        <v>236.608</v>
      </c>
      <c r="P54" s="45">
        <f t="shared" si="54"/>
        <v>165.6256</v>
      </c>
      <c r="Q54" s="45">
        <f t="shared" si="55"/>
        <v>248.4384</v>
      </c>
      <c r="R54" s="45">
        <f t="shared" si="56"/>
        <v>182.7737648</v>
      </c>
      <c r="S54" s="45">
        <f t="shared" si="12"/>
        <v>127.318107555556</v>
      </c>
      <c r="T54" s="81"/>
      <c r="U54" s="82"/>
    </row>
    <row r="55" spans="1:21">
      <c r="A55" s="26" t="s">
        <v>144</v>
      </c>
      <c r="B55" s="27">
        <v>0.533401066802134</v>
      </c>
      <c r="C55" s="26">
        <v>21</v>
      </c>
      <c r="D55" s="28" t="s">
        <v>41</v>
      </c>
      <c r="E55" s="26" t="s">
        <v>134</v>
      </c>
      <c r="F55" s="26" t="s">
        <v>147</v>
      </c>
      <c r="G55" s="27">
        <v>19.109</v>
      </c>
      <c r="H55" s="26">
        <f t="shared" si="46"/>
        <v>229.308</v>
      </c>
      <c r="I55" s="45">
        <f t="shared" si="47"/>
        <v>254.72297</v>
      </c>
      <c r="J55" s="26">
        <f t="shared" si="48"/>
        <v>267.526</v>
      </c>
      <c r="K55" s="26">
        <f t="shared" si="49"/>
        <v>169.68792</v>
      </c>
      <c r="L55" s="45">
        <f t="shared" si="50"/>
        <v>183.4464</v>
      </c>
      <c r="M55" s="45">
        <f t="shared" si="51"/>
        <v>275.1696</v>
      </c>
      <c r="N55" s="45">
        <f t="shared" si="52"/>
        <v>203.70194</v>
      </c>
      <c r="O55" s="45">
        <f t="shared" si="53"/>
        <v>305.744</v>
      </c>
      <c r="P55" s="45">
        <f t="shared" si="54"/>
        <v>214.0208</v>
      </c>
      <c r="Q55" s="45">
        <f t="shared" si="55"/>
        <v>321.0312</v>
      </c>
      <c r="R55" s="45">
        <f t="shared" si="56"/>
        <v>236.1795964</v>
      </c>
      <c r="S55" s="45">
        <f t="shared" si="12"/>
        <v>164.519997111111</v>
      </c>
      <c r="T55" s="81"/>
      <c r="U55" s="82"/>
    </row>
    <row r="56" spans="1:19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</row>
    <row r="57" spans="1:19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</row>
    <row r="58" ht="19.2" spans="1:19">
      <c r="A58" s="31" t="s">
        <v>148</v>
      </c>
      <c r="B58" s="31"/>
      <c r="C58" s="31"/>
      <c r="D58" s="31"/>
      <c r="E58" s="31"/>
      <c r="F58" s="31"/>
      <c r="G58" s="31"/>
      <c r="H58" s="31"/>
      <c r="I58" s="31"/>
      <c r="J58" s="77"/>
      <c r="K58" s="77"/>
      <c r="L58" s="77"/>
      <c r="M58" s="77"/>
      <c r="N58" s="77"/>
      <c r="O58" s="77"/>
      <c r="P58" s="77"/>
      <c r="Q58" s="77"/>
      <c r="R58" s="77"/>
      <c r="S58" s="77"/>
    </row>
    <row r="59" ht="31.2" spans="1:10">
      <c r="A59" s="32" t="s">
        <v>59</v>
      </c>
      <c r="B59" s="32" t="s">
        <v>60</v>
      </c>
      <c r="C59" s="32" t="s">
        <v>61</v>
      </c>
      <c r="D59" s="32" t="s">
        <v>62</v>
      </c>
      <c r="E59" s="33" t="s">
        <v>63</v>
      </c>
      <c r="F59" s="34"/>
      <c r="G59" s="34"/>
      <c r="H59" s="33" t="s">
        <v>64</v>
      </c>
      <c r="I59" s="33"/>
      <c r="J59" s="77"/>
    </row>
    <row r="60" ht="31.2" spans="1:10">
      <c r="A60" s="35" t="s">
        <v>65</v>
      </c>
      <c r="B60" s="35" t="s">
        <v>66</v>
      </c>
      <c r="C60" s="35" t="s">
        <v>67</v>
      </c>
      <c r="D60" s="35" t="s">
        <v>68</v>
      </c>
      <c r="E60" s="36" t="s">
        <v>69</v>
      </c>
      <c r="F60" s="36" t="s">
        <v>70</v>
      </c>
      <c r="G60" s="36" t="s">
        <v>71</v>
      </c>
      <c r="H60" s="36" t="s">
        <v>70</v>
      </c>
      <c r="I60" s="36" t="s">
        <v>71</v>
      </c>
      <c r="J60" s="77"/>
    </row>
    <row r="61" spans="1:10">
      <c r="A61" s="26" t="s">
        <v>149</v>
      </c>
      <c r="B61" s="37">
        <v>106</v>
      </c>
      <c r="C61" s="38">
        <v>0.7</v>
      </c>
      <c r="D61" s="37">
        <v>300</v>
      </c>
      <c r="E61" s="27">
        <v>1.895</v>
      </c>
      <c r="F61" s="39">
        <f t="shared" ref="F61:F65" si="57">G61/D61</f>
        <v>24.8624</v>
      </c>
      <c r="G61" s="39">
        <f t="shared" ref="G61:G65" si="58">E61*3936</f>
        <v>7458.72</v>
      </c>
      <c r="H61" s="39">
        <f t="shared" ref="H61:H65" si="59">I61/D61</f>
        <v>23.61928</v>
      </c>
      <c r="I61" s="78">
        <f t="shared" ref="I61:I65" si="60">G61*0.95</f>
        <v>7085.784</v>
      </c>
      <c r="J61" s="79"/>
    </row>
    <row r="62" spans="1:10">
      <c r="A62" s="26" t="s">
        <v>149</v>
      </c>
      <c r="B62" s="37">
        <v>106</v>
      </c>
      <c r="C62" s="38">
        <v>0.74</v>
      </c>
      <c r="D62" s="37">
        <v>300</v>
      </c>
      <c r="E62" s="27">
        <v>2.12</v>
      </c>
      <c r="F62" s="39">
        <f t="shared" si="57"/>
        <v>27.8144</v>
      </c>
      <c r="G62" s="39">
        <f t="shared" si="58"/>
        <v>8344.32</v>
      </c>
      <c r="H62" s="39">
        <f t="shared" si="59"/>
        <v>26.42368</v>
      </c>
      <c r="I62" s="78">
        <f t="shared" si="60"/>
        <v>7927.104</v>
      </c>
      <c r="J62" s="79"/>
    </row>
    <row r="63" spans="1:10">
      <c r="A63" s="26" t="s">
        <v>149</v>
      </c>
      <c r="B63" s="37">
        <v>106</v>
      </c>
      <c r="C63" s="38">
        <v>0.75</v>
      </c>
      <c r="D63" s="37">
        <v>300</v>
      </c>
      <c r="E63" s="27">
        <v>2.162</v>
      </c>
      <c r="F63" s="39">
        <f t="shared" si="57"/>
        <v>28.36544</v>
      </c>
      <c r="G63" s="39">
        <f t="shared" si="58"/>
        <v>8509.632</v>
      </c>
      <c r="H63" s="39">
        <f t="shared" si="59"/>
        <v>26.947168</v>
      </c>
      <c r="I63" s="78">
        <f t="shared" si="60"/>
        <v>8084.1504</v>
      </c>
      <c r="J63" s="79"/>
    </row>
    <row r="64" spans="1:10">
      <c r="A64" s="26" t="s">
        <v>149</v>
      </c>
      <c r="B64" s="37">
        <v>106</v>
      </c>
      <c r="C64" s="38">
        <v>0.76</v>
      </c>
      <c r="D64" s="37">
        <v>300</v>
      </c>
      <c r="E64" s="27">
        <v>2.262</v>
      </c>
      <c r="F64" s="39">
        <f t="shared" si="57"/>
        <v>29.67744</v>
      </c>
      <c r="G64" s="39">
        <f t="shared" si="58"/>
        <v>8903.232</v>
      </c>
      <c r="H64" s="39">
        <f t="shared" si="59"/>
        <v>28.193568</v>
      </c>
      <c r="I64" s="78">
        <f t="shared" si="60"/>
        <v>8458.0704</v>
      </c>
      <c r="J64" s="79"/>
    </row>
    <row r="65" spans="1:10">
      <c r="A65" s="26" t="s">
        <v>149</v>
      </c>
      <c r="B65" s="37">
        <v>1037</v>
      </c>
      <c r="C65" s="38">
        <v>0.72</v>
      </c>
      <c r="D65" s="37">
        <v>300</v>
      </c>
      <c r="E65" s="27">
        <v>2.941</v>
      </c>
      <c r="F65" s="39">
        <f t="shared" si="57"/>
        <v>38.58592</v>
      </c>
      <c r="G65" s="39">
        <f t="shared" si="58"/>
        <v>11575.776</v>
      </c>
      <c r="H65" s="39">
        <f t="shared" si="59"/>
        <v>36.656624</v>
      </c>
      <c r="I65" s="78">
        <f t="shared" si="60"/>
        <v>10996.9872</v>
      </c>
      <c r="J65" s="79"/>
    </row>
    <row r="66" spans="1:10">
      <c r="A66" s="26" t="s">
        <v>149</v>
      </c>
      <c r="B66" s="37">
        <v>1037</v>
      </c>
      <c r="C66" s="38">
        <v>0.74</v>
      </c>
      <c r="D66" s="37">
        <v>300</v>
      </c>
      <c r="E66" s="27">
        <v>3.174</v>
      </c>
      <c r="F66" s="39">
        <f t="shared" ref="F66:F80" si="61">G66/D66</f>
        <v>41.64288</v>
      </c>
      <c r="G66" s="39">
        <f t="shared" ref="G66:G79" si="62">E66*3936</f>
        <v>12492.864</v>
      </c>
      <c r="H66" s="39">
        <f t="shared" ref="H66:H80" si="63">I66/D66</f>
        <v>39.560736</v>
      </c>
      <c r="I66" s="78">
        <f t="shared" ref="I66:I80" si="64">G66*0.95</f>
        <v>11868.2208</v>
      </c>
      <c r="J66" s="79"/>
    </row>
    <row r="67" spans="1:10">
      <c r="A67" s="26" t="s">
        <v>149</v>
      </c>
      <c r="B67" s="37">
        <v>1067</v>
      </c>
      <c r="C67" s="38">
        <v>0.7</v>
      </c>
      <c r="D67" s="37">
        <v>300</v>
      </c>
      <c r="E67" s="27">
        <v>2.29</v>
      </c>
      <c r="F67" s="39">
        <f t="shared" si="61"/>
        <v>30.0448</v>
      </c>
      <c r="G67" s="39">
        <f t="shared" si="62"/>
        <v>9013.44</v>
      </c>
      <c r="H67" s="39">
        <f t="shared" si="63"/>
        <v>28.54256</v>
      </c>
      <c r="I67" s="78">
        <f t="shared" si="64"/>
        <v>8562.768</v>
      </c>
      <c r="J67" s="79"/>
    </row>
    <row r="68" spans="1:10">
      <c r="A68" s="26" t="s">
        <v>149</v>
      </c>
      <c r="B68" s="37">
        <v>1067</v>
      </c>
      <c r="C68" s="38">
        <v>0.73</v>
      </c>
      <c r="D68" s="37">
        <v>300</v>
      </c>
      <c r="E68" s="27">
        <v>2.359</v>
      </c>
      <c r="F68" s="39">
        <f t="shared" si="61"/>
        <v>30.95008</v>
      </c>
      <c r="G68" s="39">
        <f t="shared" si="62"/>
        <v>9285.024</v>
      </c>
      <c r="H68" s="39">
        <f t="shared" si="63"/>
        <v>29.402576</v>
      </c>
      <c r="I68" s="78">
        <f t="shared" si="64"/>
        <v>8820.7728</v>
      </c>
      <c r="J68" s="79"/>
    </row>
    <row r="69" spans="1:10">
      <c r="A69" s="26" t="s">
        <v>149</v>
      </c>
      <c r="B69" s="37">
        <v>1067</v>
      </c>
      <c r="C69" s="38">
        <v>0.76</v>
      </c>
      <c r="D69" s="37">
        <v>300</v>
      </c>
      <c r="E69" s="27">
        <v>2.481</v>
      </c>
      <c r="F69" s="39">
        <f t="shared" si="61"/>
        <v>32.55072</v>
      </c>
      <c r="G69" s="39">
        <f t="shared" si="62"/>
        <v>9765.216</v>
      </c>
      <c r="H69" s="39">
        <f t="shared" si="63"/>
        <v>30.923184</v>
      </c>
      <c r="I69" s="78">
        <f t="shared" si="64"/>
        <v>9276.9552</v>
      </c>
      <c r="J69" s="79"/>
    </row>
    <row r="70" spans="1:10">
      <c r="A70" s="26" t="s">
        <v>149</v>
      </c>
      <c r="B70" s="37">
        <v>1078</v>
      </c>
      <c r="C70" s="38">
        <v>0.67</v>
      </c>
      <c r="D70" s="37">
        <v>300</v>
      </c>
      <c r="E70" s="27">
        <v>2.462</v>
      </c>
      <c r="F70" s="39">
        <f t="shared" si="61"/>
        <v>32.30144</v>
      </c>
      <c r="G70" s="39">
        <f t="shared" si="62"/>
        <v>9690.432</v>
      </c>
      <c r="H70" s="39">
        <f t="shared" si="63"/>
        <v>30.686368</v>
      </c>
      <c r="I70" s="78">
        <f t="shared" si="64"/>
        <v>9205.9104</v>
      </c>
      <c r="J70" s="79"/>
    </row>
    <row r="71" spans="1:10">
      <c r="A71" s="26" t="s">
        <v>149</v>
      </c>
      <c r="B71" s="37">
        <v>1080</v>
      </c>
      <c r="C71" s="38">
        <v>0.63</v>
      </c>
      <c r="D71" s="37">
        <v>300</v>
      </c>
      <c r="E71" s="27">
        <v>2.222</v>
      </c>
      <c r="F71" s="39">
        <f t="shared" si="61"/>
        <v>29.15264</v>
      </c>
      <c r="G71" s="39">
        <f t="shared" si="62"/>
        <v>8745.792</v>
      </c>
      <c r="H71" s="39">
        <f t="shared" si="63"/>
        <v>27.695008</v>
      </c>
      <c r="I71" s="78">
        <f t="shared" si="64"/>
        <v>8308.5024</v>
      </c>
      <c r="J71" s="79"/>
    </row>
    <row r="72" spans="1:10">
      <c r="A72" s="26" t="s">
        <v>149</v>
      </c>
      <c r="B72" s="37">
        <v>1080</v>
      </c>
      <c r="C72" s="38">
        <v>0.64</v>
      </c>
      <c r="D72" s="37">
        <v>300</v>
      </c>
      <c r="E72" s="27">
        <v>2.222</v>
      </c>
      <c r="F72" s="39">
        <f t="shared" si="61"/>
        <v>29.15264</v>
      </c>
      <c r="G72" s="39">
        <f t="shared" si="62"/>
        <v>8745.792</v>
      </c>
      <c r="H72" s="39">
        <f t="shared" si="63"/>
        <v>27.695008</v>
      </c>
      <c r="I72" s="78">
        <f t="shared" si="64"/>
        <v>8308.5024</v>
      </c>
      <c r="J72" s="79"/>
    </row>
    <row r="73" spans="1:10">
      <c r="A73" s="26" t="s">
        <v>149</v>
      </c>
      <c r="B73" s="37">
        <v>1080</v>
      </c>
      <c r="C73" s="38">
        <v>0.65</v>
      </c>
      <c r="D73" s="37">
        <v>300</v>
      </c>
      <c r="E73" s="27">
        <v>2.232</v>
      </c>
      <c r="F73" s="39">
        <f t="shared" ref="F73:F79" si="65">G73/D73</f>
        <v>29.28384</v>
      </c>
      <c r="G73" s="39">
        <f t="shared" ref="G73:G83" si="66">E73*3936</f>
        <v>8785.152</v>
      </c>
      <c r="H73" s="39">
        <f t="shared" ref="H73:H79" si="67">I73/D73</f>
        <v>27.819648</v>
      </c>
      <c r="I73" s="78">
        <f t="shared" ref="I73:I79" si="68">G73*0.95</f>
        <v>8345.8944</v>
      </c>
      <c r="J73" s="79"/>
    </row>
    <row r="74" spans="1:10">
      <c r="A74" s="26" t="s">
        <v>149</v>
      </c>
      <c r="B74" s="37">
        <v>1080</v>
      </c>
      <c r="C74" s="38">
        <v>0.68</v>
      </c>
      <c r="D74" s="37">
        <v>300</v>
      </c>
      <c r="E74" s="27">
        <v>2.385</v>
      </c>
      <c r="F74" s="39">
        <f t="shared" si="65"/>
        <v>31.2912</v>
      </c>
      <c r="G74" s="39">
        <f t="shared" si="66"/>
        <v>9387.36</v>
      </c>
      <c r="H74" s="39">
        <f t="shared" si="67"/>
        <v>29.72664</v>
      </c>
      <c r="I74" s="78">
        <f t="shared" si="68"/>
        <v>8917.992</v>
      </c>
      <c r="J74" s="79"/>
    </row>
    <row r="75" spans="1:10">
      <c r="A75" s="26" t="s">
        <v>149</v>
      </c>
      <c r="B75" s="37">
        <v>1080</v>
      </c>
      <c r="C75" s="38">
        <v>0.69</v>
      </c>
      <c r="D75" s="37">
        <v>300</v>
      </c>
      <c r="E75" s="27">
        <v>2.453</v>
      </c>
      <c r="F75" s="39">
        <f t="shared" si="65"/>
        <v>32.18336</v>
      </c>
      <c r="G75" s="39">
        <f t="shared" si="66"/>
        <v>9655.008</v>
      </c>
      <c r="H75" s="39">
        <f t="shared" si="67"/>
        <v>30.574192</v>
      </c>
      <c r="I75" s="78">
        <f t="shared" si="68"/>
        <v>9172.2576</v>
      </c>
      <c r="J75" s="79"/>
    </row>
    <row r="76" spans="1:10">
      <c r="A76" s="26" t="s">
        <v>149</v>
      </c>
      <c r="B76" s="37">
        <v>1080</v>
      </c>
      <c r="C76" s="38">
        <v>0.72</v>
      </c>
      <c r="D76" s="37">
        <v>300</v>
      </c>
      <c r="E76" s="27">
        <v>2.596</v>
      </c>
      <c r="F76" s="39">
        <f t="shared" si="65"/>
        <v>34.05952</v>
      </c>
      <c r="G76" s="39">
        <f t="shared" si="66"/>
        <v>10217.856</v>
      </c>
      <c r="H76" s="39">
        <f t="shared" si="67"/>
        <v>32.356544</v>
      </c>
      <c r="I76" s="78">
        <f t="shared" si="68"/>
        <v>9706.9632</v>
      </c>
      <c r="J76" s="79"/>
    </row>
    <row r="77" spans="1:10">
      <c r="A77" s="26" t="s">
        <v>149</v>
      </c>
      <c r="B77" s="37">
        <v>1086</v>
      </c>
      <c r="C77" s="38">
        <v>0.66</v>
      </c>
      <c r="D77" s="37">
        <v>300</v>
      </c>
      <c r="E77" s="27">
        <v>2.582</v>
      </c>
      <c r="F77" s="39">
        <f t="shared" si="65"/>
        <v>33.87584</v>
      </c>
      <c r="G77" s="39">
        <f t="shared" si="66"/>
        <v>10162.752</v>
      </c>
      <c r="H77" s="39">
        <f t="shared" si="67"/>
        <v>32.182048</v>
      </c>
      <c r="I77" s="78">
        <f t="shared" si="68"/>
        <v>9654.6144</v>
      </c>
      <c r="J77" s="79"/>
    </row>
    <row r="78" spans="1:10">
      <c r="A78" s="26" t="s">
        <v>149</v>
      </c>
      <c r="B78" s="37">
        <v>1086</v>
      </c>
      <c r="C78" s="38">
        <v>0.69</v>
      </c>
      <c r="D78" s="37">
        <v>300</v>
      </c>
      <c r="E78" s="27">
        <v>2.75</v>
      </c>
      <c r="F78" s="39">
        <f t="shared" si="65"/>
        <v>36.08</v>
      </c>
      <c r="G78" s="39">
        <f t="shared" si="66"/>
        <v>10824</v>
      </c>
      <c r="H78" s="39">
        <f t="shared" si="67"/>
        <v>34.276</v>
      </c>
      <c r="I78" s="78">
        <f t="shared" si="68"/>
        <v>10282.8</v>
      </c>
      <c r="J78" s="79"/>
    </row>
    <row r="79" spans="1:10">
      <c r="A79" s="26" t="s">
        <v>149</v>
      </c>
      <c r="B79" s="37">
        <v>1506</v>
      </c>
      <c r="C79" s="38">
        <v>0.5</v>
      </c>
      <c r="D79" s="37">
        <v>300</v>
      </c>
      <c r="E79" s="27">
        <v>3.255</v>
      </c>
      <c r="F79" s="39">
        <f t="shared" si="65"/>
        <v>42.7056</v>
      </c>
      <c r="G79" s="39">
        <f t="shared" si="66"/>
        <v>12811.68</v>
      </c>
      <c r="H79" s="39">
        <f t="shared" si="67"/>
        <v>40.57032</v>
      </c>
      <c r="I79" s="78">
        <f t="shared" si="68"/>
        <v>12171.096</v>
      </c>
      <c r="J79" s="79"/>
    </row>
    <row r="80" spans="1:10">
      <c r="A80" s="26" t="s">
        <v>149</v>
      </c>
      <c r="B80" s="37">
        <v>2116</v>
      </c>
      <c r="C80" s="38">
        <v>0.56</v>
      </c>
      <c r="D80" s="37">
        <v>300</v>
      </c>
      <c r="E80" s="27">
        <v>2.867</v>
      </c>
      <c r="F80" s="39">
        <f t="shared" ref="F80:F87" si="69">G80/D80</f>
        <v>37.61504</v>
      </c>
      <c r="G80" s="39">
        <f t="shared" si="66"/>
        <v>11284.512</v>
      </c>
      <c r="H80" s="39">
        <f t="shared" ref="H80:H87" si="70">I80/D80</f>
        <v>35.734288</v>
      </c>
      <c r="I80" s="78">
        <f t="shared" ref="I80:I87" si="71">G80*0.95</f>
        <v>10720.2864</v>
      </c>
      <c r="J80" s="79"/>
    </row>
    <row r="81" spans="1:10">
      <c r="A81" s="26" t="s">
        <v>149</v>
      </c>
      <c r="B81" s="37">
        <v>2116</v>
      </c>
      <c r="C81" s="38">
        <v>0.59</v>
      </c>
      <c r="D81" s="37">
        <v>300</v>
      </c>
      <c r="E81" s="27">
        <v>3.164</v>
      </c>
      <c r="F81" s="39">
        <f t="shared" si="69"/>
        <v>41.51168</v>
      </c>
      <c r="G81" s="39">
        <f t="shared" si="66"/>
        <v>12453.504</v>
      </c>
      <c r="H81" s="39">
        <f t="shared" si="70"/>
        <v>39.436096</v>
      </c>
      <c r="I81" s="78">
        <f t="shared" si="71"/>
        <v>11830.8288</v>
      </c>
      <c r="J81" s="79"/>
    </row>
    <row r="82" spans="1:10">
      <c r="A82" s="26" t="s">
        <v>149</v>
      </c>
      <c r="B82" s="37">
        <v>2116</v>
      </c>
      <c r="C82" s="38">
        <v>0.6</v>
      </c>
      <c r="D82" s="37">
        <v>300</v>
      </c>
      <c r="E82" s="27">
        <v>3.173</v>
      </c>
      <c r="F82" s="39">
        <f t="shared" si="69"/>
        <v>41.62976</v>
      </c>
      <c r="G82" s="39">
        <f t="shared" si="66"/>
        <v>12488.928</v>
      </c>
      <c r="H82" s="39">
        <f t="shared" si="70"/>
        <v>39.548272</v>
      </c>
      <c r="I82" s="78">
        <f t="shared" si="71"/>
        <v>11864.4816</v>
      </c>
      <c r="J82" s="79"/>
    </row>
    <row r="83" spans="1:10">
      <c r="A83" s="26" t="s">
        <v>149</v>
      </c>
      <c r="B83" s="37">
        <v>3313</v>
      </c>
      <c r="C83" s="38">
        <v>0.56</v>
      </c>
      <c r="D83" s="37">
        <v>150</v>
      </c>
      <c r="E83" s="27">
        <v>2.617</v>
      </c>
      <c r="F83" s="39">
        <f t="shared" si="69"/>
        <v>68.67008</v>
      </c>
      <c r="G83" s="39">
        <f t="shared" si="66"/>
        <v>10300.512</v>
      </c>
      <c r="H83" s="39">
        <f t="shared" si="70"/>
        <v>65.236576</v>
      </c>
      <c r="I83" s="78">
        <f t="shared" si="71"/>
        <v>9785.4864</v>
      </c>
      <c r="J83" s="79"/>
    </row>
    <row r="84" spans="1:10">
      <c r="A84" s="26" t="s">
        <v>149</v>
      </c>
      <c r="B84" s="37">
        <v>3313</v>
      </c>
      <c r="C84" s="84">
        <v>0.595</v>
      </c>
      <c r="D84" s="37">
        <v>150</v>
      </c>
      <c r="E84" s="27">
        <v>2.752</v>
      </c>
      <c r="F84" s="39">
        <f t="shared" si="69"/>
        <v>36.10624</v>
      </c>
      <c r="G84" s="39">
        <f>E84*3936/2</f>
        <v>5415.936</v>
      </c>
      <c r="H84" s="39">
        <f t="shared" si="70"/>
        <v>34.300928</v>
      </c>
      <c r="I84" s="78">
        <f t="shared" si="71"/>
        <v>5145.1392</v>
      </c>
      <c r="J84" s="79"/>
    </row>
    <row r="85" spans="1:10">
      <c r="A85" s="26" t="s">
        <v>149</v>
      </c>
      <c r="B85" s="37">
        <v>7628</v>
      </c>
      <c r="C85" s="38">
        <v>0.48</v>
      </c>
      <c r="D85" s="37">
        <v>150</v>
      </c>
      <c r="E85" s="27">
        <v>3.194</v>
      </c>
      <c r="F85" s="39">
        <f t="shared" si="69"/>
        <v>41.90528</v>
      </c>
      <c r="G85" s="39">
        <f>E85*3936/2</f>
        <v>6285.792</v>
      </c>
      <c r="H85" s="39">
        <f t="shared" si="70"/>
        <v>39.810016</v>
      </c>
      <c r="I85" s="78">
        <f t="shared" si="71"/>
        <v>5971.5024</v>
      </c>
      <c r="J85" s="79"/>
    </row>
    <row r="86" spans="1:10">
      <c r="A86" s="26" t="s">
        <v>149</v>
      </c>
      <c r="B86" s="37">
        <v>7628</v>
      </c>
      <c r="C86" s="38">
        <v>0.5</v>
      </c>
      <c r="D86" s="37">
        <v>150</v>
      </c>
      <c r="E86" s="27">
        <v>3.344</v>
      </c>
      <c r="F86" s="39">
        <f t="shared" si="69"/>
        <v>43.87328</v>
      </c>
      <c r="G86" s="39">
        <f>E86*3936/2</f>
        <v>6580.992</v>
      </c>
      <c r="H86" s="39">
        <f t="shared" si="70"/>
        <v>41.679616</v>
      </c>
      <c r="I86" s="78">
        <f t="shared" si="71"/>
        <v>6251.9424</v>
      </c>
      <c r="J86" s="79"/>
    </row>
    <row r="87" spans="1:10">
      <c r="A87" s="66"/>
      <c r="B87" s="66"/>
      <c r="C87" s="66"/>
      <c r="D87" s="66"/>
      <c r="E87" s="66"/>
      <c r="F87" s="66"/>
      <c r="G87" s="66"/>
      <c r="H87" s="66"/>
      <c r="I87" s="66"/>
      <c r="J87" s="66"/>
    </row>
    <row r="88" spans="1:19">
      <c r="A88" s="40" t="s">
        <v>109</v>
      </c>
      <c r="B88" s="41"/>
      <c r="C88" s="41"/>
      <c r="D88" s="41"/>
      <c r="E88" s="66"/>
      <c r="F88" s="66"/>
      <c r="G88" s="66"/>
      <c r="H88" s="66"/>
      <c r="I88" s="66"/>
      <c r="J88" s="40" t="s">
        <v>76</v>
      </c>
      <c r="K88" s="41"/>
      <c r="L88" s="41"/>
      <c r="M88" s="41"/>
      <c r="N88" s="66"/>
      <c r="O88" s="66"/>
      <c r="P88" s="66"/>
      <c r="Q88" s="66"/>
      <c r="R88" s="66"/>
      <c r="S88" s="66"/>
    </row>
  </sheetData>
  <mergeCells count="10">
    <mergeCell ref="A1:N1"/>
    <mergeCell ref="A5:R5"/>
    <mergeCell ref="A6:R6"/>
    <mergeCell ref="A12:R12"/>
    <mergeCell ref="B13:C13"/>
    <mergeCell ref="G13:S13"/>
    <mergeCell ref="A58:I58"/>
    <mergeCell ref="E59:G59"/>
    <mergeCell ref="H59:I59"/>
    <mergeCell ref="A2:R4"/>
  </mergeCells>
  <pageMargins left="0.75" right="0.75" top="1" bottom="1" header="0.5" footer="0.5"/>
  <pageSetup paperSize="9" scale="59" orientation="landscape"/>
  <headerFooter/>
  <rowBreaks count="1" manualBreakCount="1">
    <brk id="40" max="19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view="pageBreakPreview" zoomScale="85" zoomScaleNormal="85" workbookViewId="0">
      <selection activeCell="A16" sqref="A16:R25"/>
    </sheetView>
  </sheetViews>
  <sheetFormatPr defaultColWidth="8.8" defaultRowHeight="15.6"/>
  <cols>
    <col min="1" max="1" width="13.3" style="66" customWidth="1"/>
    <col min="2" max="6" width="8.8" style="66"/>
    <col min="7" max="7" width="9" style="66"/>
    <col min="8" max="8" width="8.8" style="66"/>
    <col min="9" max="9" width="9" style="66"/>
    <col min="10" max="10" width="11.525" style="66" customWidth="1"/>
    <col min="11" max="12" width="8.8" style="66"/>
    <col min="13" max="14" width="10.3" style="66" customWidth="1"/>
    <col min="15" max="15" width="9" style="66" customWidth="1"/>
    <col min="16" max="16" width="9.425" style="66" customWidth="1"/>
    <col min="17" max="17" width="10.1416666666667" style="66" customWidth="1"/>
    <col min="18" max="19" width="8.8" style="66"/>
    <col min="20" max="20" width="12.8" style="66"/>
    <col min="21" max="16384" width="8.8" style="66"/>
  </cols>
  <sheetData>
    <row r="1" s="65" customFormat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="65" customFormat="1" ht="19" customHeight="1" spans="1:19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42"/>
    </row>
    <row r="3" s="65" customFormat="1" ht="10" customHeight="1" spans="1:19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42"/>
    </row>
    <row r="4" s="65" customFormat="1" ht="19" customHeight="1" spans="1:19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42"/>
    </row>
    <row r="5" s="65" customFormat="1" ht="12" customHeight="1" spans="1:19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2"/>
    </row>
    <row r="6" s="65" customFormat="1" spans="1:19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2"/>
    </row>
    <row r="7" s="65" customFormat="1" ht="17.4" spans="1:19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  <c r="S7" s="42"/>
    </row>
    <row r="8" s="65" customFormat="1" ht="17.4" spans="1:19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  <c r="S8" s="42"/>
    </row>
    <row r="9" s="65" customFormat="1" ht="17.4" spans="1:19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  <c r="S9" s="42"/>
    </row>
    <row r="10" s="65" customFormat="1" ht="17.4" spans="1:19">
      <c r="A10" s="10" t="s">
        <v>9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100</v>
      </c>
      <c r="P10" s="43"/>
      <c r="Q10" s="43"/>
      <c r="R10" s="43"/>
      <c r="S10" s="42"/>
    </row>
    <row r="11" s="65" customFormat="1" ht="17.4" spans="1:19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  <c r="S11" s="42"/>
    </row>
    <row r="12" ht="19.2" spans="1:18">
      <c r="A12" s="20" t="s">
        <v>150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9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22" t="s">
        <v>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24" t="s">
        <v>24</v>
      </c>
      <c r="H14" s="25" t="s">
        <v>25</v>
      </c>
      <c r="I14" s="25" t="s">
        <v>26</v>
      </c>
      <c r="J14" s="23" t="s">
        <v>27</v>
      </c>
      <c r="K14" s="44" t="s">
        <v>35</v>
      </c>
      <c r="L14" s="25" t="s">
        <v>29</v>
      </c>
      <c r="M14" s="23" t="s">
        <v>30</v>
      </c>
      <c r="N14" s="24" t="s">
        <v>31</v>
      </c>
      <c r="O14" s="25" t="s">
        <v>32</v>
      </c>
      <c r="P14" s="23" t="s">
        <v>33</v>
      </c>
      <c r="Q14" s="23" t="s">
        <v>34</v>
      </c>
      <c r="R14" s="23" t="s">
        <v>28</v>
      </c>
      <c r="S14" s="71" t="s">
        <v>36</v>
      </c>
    </row>
    <row r="15" spans="1:20">
      <c r="A15" s="26" t="s">
        <v>151</v>
      </c>
      <c r="B15" s="27">
        <v>0.051</v>
      </c>
      <c r="C15" s="26">
        <v>2.5</v>
      </c>
      <c r="D15" s="28" t="s">
        <v>41</v>
      </c>
      <c r="E15" s="26" t="s">
        <v>42</v>
      </c>
      <c r="F15" s="26" t="s">
        <v>40</v>
      </c>
      <c r="G15" s="27">
        <v>9.42</v>
      </c>
      <c r="H15" s="26">
        <f t="shared" ref="H15:H20" si="0">G15*12</f>
        <v>113.04</v>
      </c>
      <c r="I15" s="45">
        <f t="shared" ref="I15:I20" si="1">G15*13.33</f>
        <v>125.5686</v>
      </c>
      <c r="J15" s="26">
        <f t="shared" ref="J15:J20" si="2">G15*14</f>
        <v>131.88</v>
      </c>
      <c r="K15" s="26">
        <f t="shared" ref="K15:K20" si="3">G15*8.88</f>
        <v>83.6496</v>
      </c>
      <c r="L15" s="45">
        <f t="shared" ref="L15:L20" si="4">G15*9.6</f>
        <v>90.432</v>
      </c>
      <c r="M15" s="45">
        <f t="shared" ref="M15:M20" si="5">G15*14.4</f>
        <v>135.648</v>
      </c>
      <c r="N15" s="45">
        <f t="shared" ref="N15:N20" si="6">G15*10.66</f>
        <v>100.4172</v>
      </c>
      <c r="O15" s="45">
        <f t="shared" ref="O15:O20" si="7">G15*16</f>
        <v>150.72</v>
      </c>
      <c r="P15" s="45">
        <f t="shared" ref="P15:P20" si="8">G15*11.2</f>
        <v>105.504</v>
      </c>
      <c r="Q15" s="45">
        <f t="shared" ref="Q15:Q20" si="9">G15*16.8</f>
        <v>158.256</v>
      </c>
      <c r="R15" s="45">
        <f t="shared" ref="R15:R20" si="10">G15*11.66*1.06</f>
        <v>116.427432</v>
      </c>
      <c r="S15" s="71"/>
      <c r="T15" s="70"/>
    </row>
    <row r="16" spans="1:20">
      <c r="A16" s="26" t="s">
        <v>151</v>
      </c>
      <c r="B16" s="27">
        <v>0.079</v>
      </c>
      <c r="C16" s="26">
        <v>3</v>
      </c>
      <c r="D16" s="28" t="s">
        <v>41</v>
      </c>
      <c r="E16" s="26" t="s">
        <v>42</v>
      </c>
      <c r="F16" s="26" t="s">
        <v>82</v>
      </c>
      <c r="G16" s="27">
        <v>9.985</v>
      </c>
      <c r="H16" s="26">
        <f t="shared" si="0"/>
        <v>119.82</v>
      </c>
      <c r="I16" s="45">
        <f t="shared" si="1"/>
        <v>133.10005</v>
      </c>
      <c r="J16" s="26">
        <f t="shared" si="2"/>
        <v>139.79</v>
      </c>
      <c r="K16" s="26">
        <f t="shared" si="3"/>
        <v>88.6668</v>
      </c>
      <c r="L16" s="45">
        <f t="shared" si="4"/>
        <v>95.856</v>
      </c>
      <c r="M16" s="45">
        <f t="shared" si="5"/>
        <v>143.784</v>
      </c>
      <c r="N16" s="45">
        <f t="shared" si="6"/>
        <v>106.4401</v>
      </c>
      <c r="O16" s="45">
        <f t="shared" si="7"/>
        <v>159.76</v>
      </c>
      <c r="P16" s="45">
        <f t="shared" si="8"/>
        <v>111.832</v>
      </c>
      <c r="Q16" s="45">
        <f t="shared" si="9"/>
        <v>167.748</v>
      </c>
      <c r="R16" s="45">
        <f t="shared" si="10"/>
        <v>123.410606</v>
      </c>
      <c r="S16" s="71"/>
      <c r="T16" s="70"/>
    </row>
    <row r="17" spans="1:20">
      <c r="A17" s="26" t="s">
        <v>151</v>
      </c>
      <c r="B17" s="27">
        <v>0.079</v>
      </c>
      <c r="C17" s="26">
        <v>3</v>
      </c>
      <c r="D17" s="28" t="s">
        <v>41</v>
      </c>
      <c r="E17" s="26" t="s">
        <v>42</v>
      </c>
      <c r="F17" s="26" t="s">
        <v>84</v>
      </c>
      <c r="G17" s="27">
        <v>10.086</v>
      </c>
      <c r="H17" s="26">
        <f t="shared" si="0"/>
        <v>121.032</v>
      </c>
      <c r="I17" s="45">
        <f t="shared" si="1"/>
        <v>134.44638</v>
      </c>
      <c r="J17" s="26">
        <f t="shared" si="2"/>
        <v>141.204</v>
      </c>
      <c r="K17" s="26">
        <f t="shared" si="3"/>
        <v>89.56368</v>
      </c>
      <c r="L17" s="45">
        <f t="shared" si="4"/>
        <v>96.8256</v>
      </c>
      <c r="M17" s="45">
        <f t="shared" si="5"/>
        <v>145.2384</v>
      </c>
      <c r="N17" s="45">
        <f t="shared" si="6"/>
        <v>107.51676</v>
      </c>
      <c r="O17" s="45">
        <f t="shared" si="7"/>
        <v>161.376</v>
      </c>
      <c r="P17" s="45">
        <f t="shared" si="8"/>
        <v>112.9632</v>
      </c>
      <c r="Q17" s="45">
        <f t="shared" si="9"/>
        <v>169.4448</v>
      </c>
      <c r="R17" s="45">
        <f t="shared" si="10"/>
        <v>124.6589256</v>
      </c>
      <c r="S17" s="71"/>
      <c r="T17" s="70"/>
    </row>
    <row r="18" spans="1:20">
      <c r="A18" s="26" t="s">
        <v>151</v>
      </c>
      <c r="B18" s="27">
        <v>0.079</v>
      </c>
      <c r="C18" s="26">
        <v>3</v>
      </c>
      <c r="D18" s="28" t="s">
        <v>41</v>
      </c>
      <c r="E18" s="26" t="s">
        <v>39</v>
      </c>
      <c r="F18" s="26" t="s">
        <v>82</v>
      </c>
      <c r="G18" s="27">
        <v>9.24</v>
      </c>
      <c r="H18" s="26">
        <f t="shared" si="0"/>
        <v>110.88</v>
      </c>
      <c r="I18" s="45">
        <f t="shared" si="1"/>
        <v>123.1692</v>
      </c>
      <c r="J18" s="26">
        <f t="shared" si="2"/>
        <v>129.36</v>
      </c>
      <c r="K18" s="26">
        <f t="shared" si="3"/>
        <v>82.0512</v>
      </c>
      <c r="L18" s="45">
        <f t="shared" si="4"/>
        <v>88.704</v>
      </c>
      <c r="M18" s="45">
        <f t="shared" si="5"/>
        <v>133.056</v>
      </c>
      <c r="N18" s="45">
        <f t="shared" si="6"/>
        <v>98.4984</v>
      </c>
      <c r="O18" s="45">
        <f t="shared" si="7"/>
        <v>147.84</v>
      </c>
      <c r="P18" s="45">
        <f t="shared" si="8"/>
        <v>103.488</v>
      </c>
      <c r="Q18" s="45">
        <f t="shared" si="9"/>
        <v>155.232</v>
      </c>
      <c r="R18" s="45">
        <f t="shared" si="10"/>
        <v>114.202704</v>
      </c>
      <c r="S18" s="71"/>
      <c r="T18" s="70"/>
    </row>
    <row r="19" spans="1:20">
      <c r="A19" s="26" t="s">
        <v>151</v>
      </c>
      <c r="B19" s="27">
        <v>0.079</v>
      </c>
      <c r="C19" s="26">
        <v>3</v>
      </c>
      <c r="D19" s="28" t="s">
        <v>41</v>
      </c>
      <c r="E19" s="26" t="s">
        <v>39</v>
      </c>
      <c r="F19" s="26" t="s">
        <v>84</v>
      </c>
      <c r="G19" s="27">
        <v>10.12</v>
      </c>
      <c r="H19" s="26">
        <f t="shared" si="0"/>
        <v>121.44</v>
      </c>
      <c r="I19" s="45">
        <f t="shared" si="1"/>
        <v>134.8996</v>
      </c>
      <c r="J19" s="26">
        <f t="shared" si="2"/>
        <v>141.68</v>
      </c>
      <c r="K19" s="26">
        <f t="shared" si="3"/>
        <v>89.8656</v>
      </c>
      <c r="L19" s="45">
        <f t="shared" si="4"/>
        <v>97.152</v>
      </c>
      <c r="M19" s="45">
        <f t="shared" si="5"/>
        <v>145.728</v>
      </c>
      <c r="N19" s="45">
        <f t="shared" si="6"/>
        <v>107.8792</v>
      </c>
      <c r="O19" s="45">
        <f t="shared" si="7"/>
        <v>161.92</v>
      </c>
      <c r="P19" s="45">
        <f t="shared" si="8"/>
        <v>113.344</v>
      </c>
      <c r="Q19" s="45">
        <f t="shared" si="9"/>
        <v>170.016</v>
      </c>
      <c r="R19" s="45">
        <f t="shared" si="10"/>
        <v>125.079152</v>
      </c>
      <c r="S19" s="71"/>
      <c r="T19" s="70"/>
    </row>
    <row r="20" spans="1:20">
      <c r="A20" s="26" t="s">
        <v>151</v>
      </c>
      <c r="B20" s="27">
        <v>0.079</v>
      </c>
      <c r="C20" s="26">
        <v>3</v>
      </c>
      <c r="D20" s="28" t="s">
        <v>104</v>
      </c>
      <c r="E20" s="26" t="s">
        <v>39</v>
      </c>
      <c r="F20" s="26" t="s">
        <v>82</v>
      </c>
      <c r="G20" s="27">
        <v>7.789</v>
      </c>
      <c r="H20" s="26">
        <f t="shared" si="0"/>
        <v>93.468</v>
      </c>
      <c r="I20" s="45">
        <f t="shared" si="1"/>
        <v>103.82737</v>
      </c>
      <c r="J20" s="26">
        <f t="shared" si="2"/>
        <v>109.046</v>
      </c>
      <c r="K20" s="26">
        <f t="shared" si="3"/>
        <v>69.16632</v>
      </c>
      <c r="L20" s="45">
        <f t="shared" si="4"/>
        <v>74.7744</v>
      </c>
      <c r="M20" s="45">
        <f t="shared" si="5"/>
        <v>112.1616</v>
      </c>
      <c r="N20" s="45">
        <f t="shared" si="6"/>
        <v>83.03074</v>
      </c>
      <c r="O20" s="45">
        <f t="shared" si="7"/>
        <v>124.624</v>
      </c>
      <c r="P20" s="45">
        <f t="shared" si="8"/>
        <v>87.2368</v>
      </c>
      <c r="Q20" s="45">
        <f t="shared" si="9"/>
        <v>130.8552</v>
      </c>
      <c r="R20" s="45">
        <f t="shared" si="10"/>
        <v>96.2689244</v>
      </c>
      <c r="S20" s="71"/>
      <c r="T20" s="70"/>
    </row>
    <row r="21" spans="1:20">
      <c r="A21" s="26" t="s">
        <v>151</v>
      </c>
      <c r="B21" s="27">
        <v>0.079</v>
      </c>
      <c r="C21" s="26">
        <v>3</v>
      </c>
      <c r="D21" s="28" t="s">
        <v>44</v>
      </c>
      <c r="E21" s="26" t="s">
        <v>42</v>
      </c>
      <c r="F21" s="26" t="s">
        <v>82</v>
      </c>
      <c r="G21" s="27">
        <v>6.875</v>
      </c>
      <c r="H21" s="26">
        <f t="shared" ref="H21:H30" si="11">G21*12</f>
        <v>82.5</v>
      </c>
      <c r="I21" s="45">
        <f t="shared" ref="I21:I30" si="12">G21*13.33</f>
        <v>91.64375</v>
      </c>
      <c r="J21" s="26">
        <f t="shared" ref="J21:J30" si="13">G21*14</f>
        <v>96.25</v>
      </c>
      <c r="K21" s="26">
        <f t="shared" ref="K21:K30" si="14">G21*8.88</f>
        <v>61.05</v>
      </c>
      <c r="L21" s="45">
        <f t="shared" ref="L21:L30" si="15">G21*9.6</f>
        <v>66</v>
      </c>
      <c r="M21" s="45">
        <f t="shared" ref="M21:M30" si="16">G21*14.4</f>
        <v>99</v>
      </c>
      <c r="N21" s="45">
        <f t="shared" ref="N21:N30" si="17">G21*10.66</f>
        <v>73.2875</v>
      </c>
      <c r="O21" s="45">
        <f t="shared" ref="O21:O30" si="18">G21*16</f>
        <v>110</v>
      </c>
      <c r="P21" s="45">
        <f t="shared" ref="P21:P30" si="19">G21*11.2</f>
        <v>77</v>
      </c>
      <c r="Q21" s="45">
        <f t="shared" ref="Q21:Q30" si="20">G21*16.8</f>
        <v>115.5</v>
      </c>
      <c r="R21" s="45">
        <f t="shared" ref="R21:R30" si="21">G21*11.66*1.06</f>
        <v>84.97225</v>
      </c>
      <c r="S21" s="71"/>
      <c r="T21" s="70"/>
    </row>
    <row r="22" spans="1:20">
      <c r="A22" s="26" t="s">
        <v>151</v>
      </c>
      <c r="B22" s="27">
        <v>0.079</v>
      </c>
      <c r="C22" s="26">
        <v>3</v>
      </c>
      <c r="D22" s="28" t="s">
        <v>44</v>
      </c>
      <c r="E22" s="26" t="s">
        <v>42</v>
      </c>
      <c r="F22" s="26" t="s">
        <v>84</v>
      </c>
      <c r="G22" s="27">
        <v>6.611</v>
      </c>
      <c r="H22" s="26">
        <f t="shared" si="11"/>
        <v>79.332</v>
      </c>
      <c r="I22" s="45">
        <f t="shared" si="12"/>
        <v>88.12463</v>
      </c>
      <c r="J22" s="26">
        <f t="shared" si="13"/>
        <v>92.554</v>
      </c>
      <c r="K22" s="26">
        <f t="shared" si="14"/>
        <v>58.70568</v>
      </c>
      <c r="L22" s="45">
        <f t="shared" si="15"/>
        <v>63.4656</v>
      </c>
      <c r="M22" s="45">
        <f t="shared" si="16"/>
        <v>95.1984</v>
      </c>
      <c r="N22" s="45">
        <f t="shared" si="17"/>
        <v>70.47326</v>
      </c>
      <c r="O22" s="45">
        <f t="shared" si="18"/>
        <v>105.776</v>
      </c>
      <c r="P22" s="45">
        <f t="shared" si="19"/>
        <v>74.0432</v>
      </c>
      <c r="Q22" s="45">
        <f t="shared" si="20"/>
        <v>111.0648</v>
      </c>
      <c r="R22" s="45">
        <f t="shared" si="21"/>
        <v>81.7093156</v>
      </c>
      <c r="S22" s="71"/>
      <c r="T22" s="70"/>
    </row>
    <row r="23" spans="1:20">
      <c r="A23" s="26" t="s">
        <v>151</v>
      </c>
      <c r="B23" s="27">
        <v>0.079</v>
      </c>
      <c r="C23" s="26">
        <v>3</v>
      </c>
      <c r="D23" s="28" t="s">
        <v>44</v>
      </c>
      <c r="E23" s="26" t="s">
        <v>39</v>
      </c>
      <c r="F23" s="26" t="s">
        <v>84</v>
      </c>
      <c r="G23" s="27">
        <v>6.492</v>
      </c>
      <c r="H23" s="26">
        <f t="shared" si="11"/>
        <v>77.904</v>
      </c>
      <c r="I23" s="45">
        <f t="shared" si="12"/>
        <v>86.53836</v>
      </c>
      <c r="J23" s="26">
        <f t="shared" si="13"/>
        <v>90.888</v>
      </c>
      <c r="K23" s="26">
        <f t="shared" si="14"/>
        <v>57.64896</v>
      </c>
      <c r="L23" s="45">
        <f t="shared" si="15"/>
        <v>62.3232</v>
      </c>
      <c r="M23" s="45">
        <f t="shared" si="16"/>
        <v>93.4848</v>
      </c>
      <c r="N23" s="45">
        <f t="shared" si="17"/>
        <v>69.20472</v>
      </c>
      <c r="O23" s="45">
        <f t="shared" si="18"/>
        <v>103.872</v>
      </c>
      <c r="P23" s="45">
        <f t="shared" si="19"/>
        <v>72.7104</v>
      </c>
      <c r="Q23" s="45">
        <f t="shared" si="20"/>
        <v>109.0656</v>
      </c>
      <c r="R23" s="45">
        <f t="shared" si="21"/>
        <v>80.2385232</v>
      </c>
      <c r="S23" s="71"/>
      <c r="T23" s="70"/>
    </row>
    <row r="24" spans="1:20">
      <c r="A24" s="26" t="s">
        <v>151</v>
      </c>
      <c r="B24" s="27">
        <v>0.089</v>
      </c>
      <c r="C24" s="26">
        <v>3.5</v>
      </c>
      <c r="D24" s="28" t="s">
        <v>41</v>
      </c>
      <c r="E24" s="26" t="s">
        <v>39</v>
      </c>
      <c r="F24" s="26" t="s">
        <v>82</v>
      </c>
      <c r="G24" s="27">
        <v>11.239</v>
      </c>
      <c r="H24" s="26">
        <f t="shared" si="11"/>
        <v>134.868</v>
      </c>
      <c r="I24" s="45">
        <f t="shared" si="12"/>
        <v>149.81587</v>
      </c>
      <c r="J24" s="26">
        <f t="shared" si="13"/>
        <v>157.346</v>
      </c>
      <c r="K24" s="26">
        <f t="shared" si="14"/>
        <v>99.80232</v>
      </c>
      <c r="L24" s="45">
        <f t="shared" si="15"/>
        <v>107.8944</v>
      </c>
      <c r="M24" s="45">
        <f t="shared" si="16"/>
        <v>161.8416</v>
      </c>
      <c r="N24" s="45">
        <f t="shared" si="17"/>
        <v>119.80774</v>
      </c>
      <c r="O24" s="45">
        <f t="shared" si="18"/>
        <v>179.824</v>
      </c>
      <c r="P24" s="45">
        <f t="shared" si="19"/>
        <v>125.8768</v>
      </c>
      <c r="Q24" s="45">
        <f t="shared" si="20"/>
        <v>188.8152</v>
      </c>
      <c r="R24" s="45">
        <f t="shared" si="21"/>
        <v>138.9095444</v>
      </c>
      <c r="S24" s="71"/>
      <c r="T24" s="70"/>
    </row>
    <row r="25" spans="1:20">
      <c r="A25" s="26" t="s">
        <v>151</v>
      </c>
      <c r="B25" s="27">
        <v>0.102</v>
      </c>
      <c r="C25" s="26">
        <v>4</v>
      </c>
      <c r="D25" s="28" t="s">
        <v>41</v>
      </c>
      <c r="E25" s="26" t="s">
        <v>42</v>
      </c>
      <c r="F25" s="26" t="s">
        <v>106</v>
      </c>
      <c r="G25" s="27">
        <v>10.179</v>
      </c>
      <c r="H25" s="26">
        <f t="shared" si="11"/>
        <v>122.148</v>
      </c>
      <c r="I25" s="45">
        <f t="shared" si="12"/>
        <v>135.68607</v>
      </c>
      <c r="J25" s="26">
        <f t="shared" si="13"/>
        <v>142.506</v>
      </c>
      <c r="K25" s="26">
        <f t="shared" si="14"/>
        <v>90.38952</v>
      </c>
      <c r="L25" s="45">
        <f t="shared" si="15"/>
        <v>97.7184</v>
      </c>
      <c r="M25" s="45">
        <f t="shared" si="16"/>
        <v>146.5776</v>
      </c>
      <c r="N25" s="45">
        <f t="shared" si="17"/>
        <v>108.50814</v>
      </c>
      <c r="O25" s="45">
        <f t="shared" si="18"/>
        <v>162.864</v>
      </c>
      <c r="P25" s="45">
        <f t="shared" si="19"/>
        <v>114.0048</v>
      </c>
      <c r="Q25" s="45">
        <f t="shared" si="20"/>
        <v>171.0072</v>
      </c>
      <c r="R25" s="45">
        <f t="shared" si="21"/>
        <v>125.8083684</v>
      </c>
      <c r="S25" s="71"/>
      <c r="T25" s="70"/>
    </row>
    <row r="26" spans="1:20">
      <c r="A26" s="26" t="s">
        <v>151</v>
      </c>
      <c r="B26" s="27">
        <v>0.102</v>
      </c>
      <c r="C26" s="26">
        <v>4</v>
      </c>
      <c r="D26" s="28" t="s">
        <v>44</v>
      </c>
      <c r="E26" s="26" t="s">
        <v>42</v>
      </c>
      <c r="F26" s="26" t="s">
        <v>106</v>
      </c>
      <c r="G26" s="27">
        <v>6.918</v>
      </c>
      <c r="H26" s="26">
        <f t="shared" si="11"/>
        <v>83.016</v>
      </c>
      <c r="I26" s="45">
        <f t="shared" si="12"/>
        <v>92.21694</v>
      </c>
      <c r="J26" s="26">
        <f t="shared" si="13"/>
        <v>96.852</v>
      </c>
      <c r="K26" s="26">
        <f t="shared" si="14"/>
        <v>61.43184</v>
      </c>
      <c r="L26" s="45">
        <f t="shared" si="15"/>
        <v>66.4128</v>
      </c>
      <c r="M26" s="45">
        <f t="shared" si="16"/>
        <v>99.6192</v>
      </c>
      <c r="N26" s="45">
        <f t="shared" si="17"/>
        <v>73.74588</v>
      </c>
      <c r="O26" s="45">
        <f t="shared" si="18"/>
        <v>110.688</v>
      </c>
      <c r="P26" s="45">
        <f t="shared" si="19"/>
        <v>77.4816</v>
      </c>
      <c r="Q26" s="45">
        <f t="shared" si="20"/>
        <v>116.2224</v>
      </c>
      <c r="R26" s="45">
        <f t="shared" si="21"/>
        <v>85.5037128</v>
      </c>
      <c r="S26" s="71"/>
      <c r="T26" s="70"/>
    </row>
    <row r="27" spans="1:20">
      <c r="A27" s="26" t="s">
        <v>151</v>
      </c>
      <c r="B27" s="27">
        <v>0.127</v>
      </c>
      <c r="C27" s="26">
        <v>4.99999</v>
      </c>
      <c r="D27" s="28" t="s">
        <v>41</v>
      </c>
      <c r="E27" s="26" t="s">
        <v>42</v>
      </c>
      <c r="F27" s="26" t="s">
        <v>87</v>
      </c>
      <c r="G27" s="27">
        <v>10.179</v>
      </c>
      <c r="H27" s="26">
        <f t="shared" si="11"/>
        <v>122.148</v>
      </c>
      <c r="I27" s="45">
        <f t="shared" si="12"/>
        <v>135.68607</v>
      </c>
      <c r="J27" s="26">
        <f t="shared" si="13"/>
        <v>142.506</v>
      </c>
      <c r="K27" s="26">
        <f t="shared" si="14"/>
        <v>90.38952</v>
      </c>
      <c r="L27" s="45">
        <f t="shared" si="15"/>
        <v>97.7184</v>
      </c>
      <c r="M27" s="45">
        <f t="shared" si="16"/>
        <v>146.5776</v>
      </c>
      <c r="N27" s="45">
        <f t="shared" si="17"/>
        <v>108.50814</v>
      </c>
      <c r="O27" s="45">
        <f t="shared" si="18"/>
        <v>162.864</v>
      </c>
      <c r="P27" s="45">
        <f t="shared" si="19"/>
        <v>114.0048</v>
      </c>
      <c r="Q27" s="45">
        <f t="shared" si="20"/>
        <v>171.0072</v>
      </c>
      <c r="R27" s="45">
        <f t="shared" si="21"/>
        <v>125.8083684</v>
      </c>
      <c r="S27" s="71"/>
      <c r="T27" s="70"/>
    </row>
    <row r="28" spans="1:20">
      <c r="A28" s="26" t="s">
        <v>151</v>
      </c>
      <c r="B28" s="27">
        <v>0.127</v>
      </c>
      <c r="C28" s="26">
        <v>5</v>
      </c>
      <c r="D28" s="28" t="s">
        <v>44</v>
      </c>
      <c r="E28" s="26" t="s">
        <v>42</v>
      </c>
      <c r="F28" s="26" t="s">
        <v>87</v>
      </c>
      <c r="G28" s="27">
        <v>6.778</v>
      </c>
      <c r="H28" s="26">
        <f t="shared" si="11"/>
        <v>81.336</v>
      </c>
      <c r="I28" s="45">
        <f t="shared" si="12"/>
        <v>90.35074</v>
      </c>
      <c r="J28" s="26">
        <f t="shared" si="13"/>
        <v>94.892</v>
      </c>
      <c r="K28" s="26">
        <f t="shared" si="14"/>
        <v>60.18864</v>
      </c>
      <c r="L28" s="45">
        <f t="shared" si="15"/>
        <v>65.0688</v>
      </c>
      <c r="M28" s="45">
        <f t="shared" si="16"/>
        <v>97.6032</v>
      </c>
      <c r="N28" s="45">
        <f t="shared" si="17"/>
        <v>72.25348</v>
      </c>
      <c r="O28" s="45">
        <f t="shared" si="18"/>
        <v>108.448</v>
      </c>
      <c r="P28" s="45">
        <f t="shared" si="19"/>
        <v>75.9136</v>
      </c>
      <c r="Q28" s="45">
        <f t="shared" si="20"/>
        <v>113.8704</v>
      </c>
      <c r="R28" s="45">
        <f t="shared" si="21"/>
        <v>83.7733688</v>
      </c>
      <c r="S28" s="71"/>
      <c r="T28" s="70"/>
    </row>
    <row r="29" spans="1:20">
      <c r="A29" s="26" t="s">
        <v>151</v>
      </c>
      <c r="B29" s="27">
        <f>C29/39.37</f>
        <v>0.304800609601219</v>
      </c>
      <c r="C29" s="26">
        <v>12</v>
      </c>
      <c r="D29" s="28" t="s">
        <v>44</v>
      </c>
      <c r="E29" s="26" t="s">
        <v>42</v>
      </c>
      <c r="F29" s="26" t="s">
        <v>93</v>
      </c>
      <c r="G29" s="27">
        <v>10.981</v>
      </c>
      <c r="H29" s="26">
        <f t="shared" si="11"/>
        <v>131.772</v>
      </c>
      <c r="I29" s="45">
        <f t="shared" si="12"/>
        <v>146.37673</v>
      </c>
      <c r="J29" s="26">
        <f t="shared" si="13"/>
        <v>153.734</v>
      </c>
      <c r="K29" s="26">
        <f t="shared" si="14"/>
        <v>97.51128</v>
      </c>
      <c r="L29" s="45">
        <f t="shared" si="15"/>
        <v>105.4176</v>
      </c>
      <c r="M29" s="45">
        <f t="shared" si="16"/>
        <v>158.1264</v>
      </c>
      <c r="N29" s="45">
        <f t="shared" si="17"/>
        <v>117.05746</v>
      </c>
      <c r="O29" s="45">
        <f t="shared" si="18"/>
        <v>175.696</v>
      </c>
      <c r="P29" s="45">
        <f t="shared" si="19"/>
        <v>122.9872</v>
      </c>
      <c r="Q29" s="45">
        <f t="shared" si="20"/>
        <v>184.4808</v>
      </c>
      <c r="R29" s="45">
        <f t="shared" si="21"/>
        <v>135.7207676</v>
      </c>
      <c r="S29" s="71"/>
      <c r="T29" s="70"/>
    </row>
    <row r="30" ht="18" customHeight="1" spans="1:20">
      <c r="A30" s="26" t="s">
        <v>151</v>
      </c>
      <c r="B30" s="27">
        <v>0.914</v>
      </c>
      <c r="C30" s="26">
        <v>36</v>
      </c>
      <c r="D30" s="28" t="s">
        <v>38</v>
      </c>
      <c r="E30" s="26" t="s">
        <v>39</v>
      </c>
      <c r="F30" s="26" t="s">
        <v>49</v>
      </c>
      <c r="G30" s="27">
        <v>24.759</v>
      </c>
      <c r="H30" s="26">
        <f t="shared" si="11"/>
        <v>297.108</v>
      </c>
      <c r="I30" s="45">
        <f t="shared" si="12"/>
        <v>330.03747</v>
      </c>
      <c r="J30" s="26">
        <f t="shared" si="13"/>
        <v>346.626</v>
      </c>
      <c r="K30" s="26">
        <f t="shared" si="14"/>
        <v>219.85992</v>
      </c>
      <c r="L30" s="45">
        <f t="shared" si="15"/>
        <v>237.6864</v>
      </c>
      <c r="M30" s="45">
        <f t="shared" si="16"/>
        <v>356.5296</v>
      </c>
      <c r="N30" s="45">
        <f t="shared" si="17"/>
        <v>263.93094</v>
      </c>
      <c r="O30" s="45">
        <f t="shared" si="18"/>
        <v>396.144</v>
      </c>
      <c r="P30" s="45">
        <f t="shared" si="19"/>
        <v>277.3008</v>
      </c>
      <c r="Q30" s="45">
        <f t="shared" si="20"/>
        <v>415.9512</v>
      </c>
      <c r="R30" s="45">
        <f t="shared" si="21"/>
        <v>306.0113364</v>
      </c>
      <c r="S30" s="71"/>
      <c r="T30" s="70"/>
    </row>
    <row r="31" ht="22" customHeight="1" spans="1:9">
      <c r="A31" s="31" t="s">
        <v>152</v>
      </c>
      <c r="B31" s="31"/>
      <c r="C31" s="31"/>
      <c r="D31" s="31"/>
      <c r="E31" s="31"/>
      <c r="F31" s="31"/>
      <c r="G31" s="31"/>
      <c r="H31" s="31"/>
      <c r="I31" s="31"/>
    </row>
    <row r="32" ht="31.2" spans="1:9">
      <c r="A32" s="32" t="s">
        <v>59</v>
      </c>
      <c r="B32" s="32" t="s">
        <v>60</v>
      </c>
      <c r="C32" s="32" t="s">
        <v>61</v>
      </c>
      <c r="D32" s="32" t="s">
        <v>62</v>
      </c>
      <c r="E32" s="33" t="s">
        <v>63</v>
      </c>
      <c r="F32" s="34"/>
      <c r="G32" s="34"/>
      <c r="H32" s="33" t="s">
        <v>64</v>
      </c>
      <c r="I32" s="33"/>
    </row>
    <row r="33" ht="31.2" spans="1:9">
      <c r="A33" s="35" t="s">
        <v>65</v>
      </c>
      <c r="B33" s="35" t="s">
        <v>66</v>
      </c>
      <c r="C33" s="35" t="s">
        <v>67</v>
      </c>
      <c r="D33" s="35" t="s">
        <v>68</v>
      </c>
      <c r="E33" s="36" t="s">
        <v>69</v>
      </c>
      <c r="F33" s="36" t="s">
        <v>70</v>
      </c>
      <c r="G33" s="36" t="s">
        <v>71</v>
      </c>
      <c r="H33" s="36" t="s">
        <v>70</v>
      </c>
      <c r="I33" s="36" t="s">
        <v>71</v>
      </c>
    </row>
    <row r="34" spans="1:10">
      <c r="A34" s="68" t="s">
        <v>153</v>
      </c>
      <c r="B34" s="37">
        <v>106</v>
      </c>
      <c r="C34" s="38">
        <v>0.74</v>
      </c>
      <c r="D34" s="37">
        <v>300</v>
      </c>
      <c r="E34" s="27">
        <v>1.478</v>
      </c>
      <c r="F34" s="39">
        <f t="shared" ref="F34:F39" si="22">G34/D34</f>
        <v>19.39136</v>
      </c>
      <c r="G34" s="39">
        <f t="shared" ref="G34:G39" si="23">E34*3936</f>
        <v>5817.408</v>
      </c>
      <c r="H34" s="69">
        <f t="shared" ref="H34:H39" si="24">I34/D34</f>
        <v>18.421792</v>
      </c>
      <c r="I34" s="26">
        <f t="shared" ref="I34:I39" si="25">G34*0.95</f>
        <v>5526.5376</v>
      </c>
      <c r="J34" s="70"/>
    </row>
    <row r="35" spans="1:10">
      <c r="A35" s="68" t="s">
        <v>153</v>
      </c>
      <c r="B35" s="37">
        <v>106</v>
      </c>
      <c r="C35" s="38">
        <v>0.75</v>
      </c>
      <c r="D35" s="37">
        <v>300</v>
      </c>
      <c r="E35" s="27">
        <v>1.516</v>
      </c>
      <c r="F35" s="39">
        <f t="shared" si="22"/>
        <v>19.88992</v>
      </c>
      <c r="G35" s="39">
        <f t="shared" si="23"/>
        <v>5966.976</v>
      </c>
      <c r="H35" s="69">
        <f t="shared" si="24"/>
        <v>18.895424</v>
      </c>
      <c r="I35" s="26">
        <f t="shared" si="25"/>
        <v>5668.6272</v>
      </c>
      <c r="J35" s="70"/>
    </row>
    <row r="36" spans="1:10">
      <c r="A36" s="68" t="s">
        <v>153</v>
      </c>
      <c r="B36" s="37">
        <v>106</v>
      </c>
      <c r="C36" s="38">
        <v>0.76</v>
      </c>
      <c r="D36" s="37">
        <v>300</v>
      </c>
      <c r="E36" s="27">
        <v>1.723</v>
      </c>
      <c r="F36" s="39">
        <f t="shared" si="22"/>
        <v>22.60576</v>
      </c>
      <c r="G36" s="39">
        <f t="shared" si="23"/>
        <v>6781.728</v>
      </c>
      <c r="H36" s="69">
        <f t="shared" si="24"/>
        <v>21.475472</v>
      </c>
      <c r="I36" s="26">
        <f t="shared" si="25"/>
        <v>6442.6416</v>
      </c>
      <c r="J36" s="70"/>
    </row>
    <row r="37" spans="1:10">
      <c r="A37" s="68" t="s">
        <v>153</v>
      </c>
      <c r="B37" s="37">
        <v>106</v>
      </c>
      <c r="C37" s="38">
        <v>0.78</v>
      </c>
      <c r="D37" s="37">
        <v>300</v>
      </c>
      <c r="E37" s="27">
        <v>1.773</v>
      </c>
      <c r="F37" s="39">
        <f t="shared" si="22"/>
        <v>23.26176</v>
      </c>
      <c r="G37" s="39">
        <f t="shared" si="23"/>
        <v>6978.528</v>
      </c>
      <c r="H37" s="69">
        <f t="shared" si="24"/>
        <v>22.098672</v>
      </c>
      <c r="I37" s="26">
        <f t="shared" si="25"/>
        <v>6629.6016</v>
      </c>
      <c r="J37" s="70"/>
    </row>
    <row r="38" spans="1:10">
      <c r="A38" s="68" t="s">
        <v>153</v>
      </c>
      <c r="B38" s="37">
        <v>1067</v>
      </c>
      <c r="C38" s="38">
        <v>0.72</v>
      </c>
      <c r="D38" s="37">
        <v>300</v>
      </c>
      <c r="E38" s="27">
        <v>1.944</v>
      </c>
      <c r="F38" s="39">
        <f t="shared" si="22"/>
        <v>25.50528</v>
      </c>
      <c r="G38" s="39">
        <f t="shared" si="23"/>
        <v>7651.584</v>
      </c>
      <c r="H38" s="69">
        <f t="shared" si="24"/>
        <v>24.230016</v>
      </c>
      <c r="I38" s="26">
        <f t="shared" si="25"/>
        <v>7269.0048</v>
      </c>
      <c r="J38" s="70"/>
    </row>
    <row r="39" spans="1:10">
      <c r="A39" s="68" t="s">
        <v>153</v>
      </c>
      <c r="B39" s="37">
        <v>1067</v>
      </c>
      <c r="C39" s="38">
        <v>0.76</v>
      </c>
      <c r="D39" s="37">
        <v>300</v>
      </c>
      <c r="E39" s="27">
        <v>2.103</v>
      </c>
      <c r="F39" s="39">
        <f t="shared" si="22"/>
        <v>27.59136</v>
      </c>
      <c r="G39" s="39">
        <f t="shared" si="23"/>
        <v>8277.408</v>
      </c>
      <c r="H39" s="69">
        <f t="shared" si="24"/>
        <v>26.211792</v>
      </c>
      <c r="I39" s="26">
        <f t="shared" si="25"/>
        <v>7863.5376</v>
      </c>
      <c r="J39" s="70"/>
    </row>
    <row r="40" spans="1:10">
      <c r="A40" s="68" t="s">
        <v>153</v>
      </c>
      <c r="B40" s="37">
        <v>1078</v>
      </c>
      <c r="C40" s="38">
        <v>0.68</v>
      </c>
      <c r="D40" s="37">
        <v>300</v>
      </c>
      <c r="E40" s="27">
        <v>1.86</v>
      </c>
      <c r="F40" s="39">
        <f t="shared" ref="F40:F51" si="26">G40/D40</f>
        <v>24.4032</v>
      </c>
      <c r="G40" s="39">
        <f t="shared" ref="G40:G49" si="27">E40*3936</f>
        <v>7320.96</v>
      </c>
      <c r="H40" s="69">
        <f t="shared" ref="H40:H51" si="28">I40/D40</f>
        <v>23.18304</v>
      </c>
      <c r="I40" s="26">
        <f t="shared" ref="I40:I51" si="29">G40*0.95</f>
        <v>6954.912</v>
      </c>
      <c r="J40" s="70"/>
    </row>
    <row r="41" spans="1:10">
      <c r="A41" s="68" t="s">
        <v>153</v>
      </c>
      <c r="B41" s="37">
        <v>1080</v>
      </c>
      <c r="C41" s="38">
        <v>0.63</v>
      </c>
      <c r="D41" s="37">
        <v>300</v>
      </c>
      <c r="E41" s="27">
        <v>1.542</v>
      </c>
      <c r="F41" s="39">
        <f t="shared" si="26"/>
        <v>20.23104</v>
      </c>
      <c r="G41" s="39">
        <f t="shared" si="27"/>
        <v>6069.312</v>
      </c>
      <c r="H41" s="69">
        <f t="shared" si="28"/>
        <v>19.219488</v>
      </c>
      <c r="I41" s="26">
        <f t="shared" si="29"/>
        <v>5765.8464</v>
      </c>
      <c r="J41" s="70"/>
    </row>
    <row r="42" spans="1:10">
      <c r="A42" s="68" t="s">
        <v>153</v>
      </c>
      <c r="B42" s="37">
        <v>1080</v>
      </c>
      <c r="C42" s="38">
        <v>0.65</v>
      </c>
      <c r="D42" s="37">
        <v>300</v>
      </c>
      <c r="E42" s="27">
        <v>1.692</v>
      </c>
      <c r="F42" s="39">
        <f t="shared" si="26"/>
        <v>22.19904</v>
      </c>
      <c r="G42" s="39">
        <f t="shared" si="27"/>
        <v>6659.712</v>
      </c>
      <c r="H42" s="69">
        <f t="shared" si="28"/>
        <v>21.089088</v>
      </c>
      <c r="I42" s="26">
        <f t="shared" si="29"/>
        <v>6326.7264</v>
      </c>
      <c r="J42" s="70"/>
    </row>
    <row r="43" spans="1:10">
      <c r="A43" s="68" t="s">
        <v>153</v>
      </c>
      <c r="B43" s="37">
        <v>1080</v>
      </c>
      <c r="C43" s="38">
        <v>0.68</v>
      </c>
      <c r="D43" s="37">
        <v>300</v>
      </c>
      <c r="E43" s="27">
        <v>1.741</v>
      </c>
      <c r="F43" s="39">
        <f t="shared" si="26"/>
        <v>22.84192</v>
      </c>
      <c r="G43" s="39">
        <f t="shared" si="27"/>
        <v>6852.576</v>
      </c>
      <c r="H43" s="69">
        <f t="shared" si="28"/>
        <v>21.699824</v>
      </c>
      <c r="I43" s="26">
        <f t="shared" si="29"/>
        <v>6509.9472</v>
      </c>
      <c r="J43" s="70"/>
    </row>
    <row r="44" spans="1:10">
      <c r="A44" s="68" t="s">
        <v>153</v>
      </c>
      <c r="B44" s="37">
        <v>1080</v>
      </c>
      <c r="C44" s="38">
        <v>0.7</v>
      </c>
      <c r="D44" s="37">
        <v>300</v>
      </c>
      <c r="E44" s="27">
        <v>2.0273</v>
      </c>
      <c r="F44" s="39">
        <f t="shared" si="26"/>
        <v>26.598176</v>
      </c>
      <c r="G44" s="39">
        <f t="shared" si="27"/>
        <v>7979.4528</v>
      </c>
      <c r="H44" s="69">
        <f t="shared" si="28"/>
        <v>25.2682672</v>
      </c>
      <c r="I44" s="26">
        <f t="shared" si="29"/>
        <v>7580.48016</v>
      </c>
      <c r="J44" s="70"/>
    </row>
    <row r="45" spans="1:10">
      <c r="A45" s="68" t="s">
        <v>153</v>
      </c>
      <c r="B45" s="37">
        <v>1086</v>
      </c>
      <c r="C45" s="38">
        <v>0.65</v>
      </c>
      <c r="D45" s="37">
        <v>300</v>
      </c>
      <c r="E45" s="27">
        <v>1.9723</v>
      </c>
      <c r="F45" s="39">
        <f t="shared" si="26"/>
        <v>25.876576</v>
      </c>
      <c r="G45" s="39">
        <f t="shared" si="27"/>
        <v>7762.9728</v>
      </c>
      <c r="H45" s="69">
        <f t="shared" si="28"/>
        <v>24.5827472</v>
      </c>
      <c r="I45" s="26">
        <f t="shared" si="29"/>
        <v>7374.82416</v>
      </c>
      <c r="J45" s="70"/>
    </row>
    <row r="46" spans="1:10">
      <c r="A46" s="68" t="s">
        <v>153</v>
      </c>
      <c r="B46" s="37">
        <v>1086</v>
      </c>
      <c r="C46" s="38">
        <v>0.68</v>
      </c>
      <c r="D46" s="37">
        <v>300</v>
      </c>
      <c r="E46" s="27">
        <v>2.152</v>
      </c>
      <c r="F46" s="39">
        <f t="shared" si="26"/>
        <v>28.23424</v>
      </c>
      <c r="G46" s="39">
        <f t="shared" si="27"/>
        <v>8470.272</v>
      </c>
      <c r="H46" s="69">
        <f t="shared" si="28"/>
        <v>26.822528</v>
      </c>
      <c r="I46" s="26">
        <f t="shared" si="29"/>
        <v>8046.7584</v>
      </c>
      <c r="J46" s="70"/>
    </row>
    <row r="47" spans="1:10">
      <c r="A47" s="68" t="s">
        <v>153</v>
      </c>
      <c r="B47" s="37">
        <v>2116</v>
      </c>
      <c r="C47" s="38">
        <v>0.6</v>
      </c>
      <c r="D47" s="37">
        <v>300</v>
      </c>
      <c r="E47" s="27">
        <v>2.274</v>
      </c>
      <c r="F47" s="39">
        <f t="shared" si="26"/>
        <v>29.83488</v>
      </c>
      <c r="G47" s="39">
        <f t="shared" si="27"/>
        <v>8950.464</v>
      </c>
      <c r="H47" s="69">
        <f t="shared" si="28"/>
        <v>28.343136</v>
      </c>
      <c r="I47" s="26">
        <f t="shared" si="29"/>
        <v>8502.9408</v>
      </c>
      <c r="J47" s="70"/>
    </row>
    <row r="48" spans="1:10">
      <c r="A48" s="68" t="s">
        <v>153</v>
      </c>
      <c r="B48" s="37">
        <v>2116</v>
      </c>
      <c r="C48" s="38">
        <v>0.54</v>
      </c>
      <c r="D48" s="37">
        <v>300</v>
      </c>
      <c r="E48" s="27">
        <v>2.033</v>
      </c>
      <c r="F48" s="39">
        <f t="shared" si="26"/>
        <v>26.67296</v>
      </c>
      <c r="G48" s="39">
        <f t="shared" si="27"/>
        <v>8001.888</v>
      </c>
      <c r="H48" s="69">
        <f t="shared" si="28"/>
        <v>25.339312</v>
      </c>
      <c r="I48" s="26">
        <f t="shared" si="29"/>
        <v>7601.7936</v>
      </c>
      <c r="J48" s="70"/>
    </row>
    <row r="49" spans="1:10">
      <c r="A49" s="68" t="s">
        <v>153</v>
      </c>
      <c r="B49" s="37">
        <v>2116</v>
      </c>
      <c r="C49" s="38">
        <v>0.56</v>
      </c>
      <c r="D49" s="37">
        <v>300</v>
      </c>
      <c r="E49" s="27">
        <v>2.053</v>
      </c>
      <c r="F49" s="39">
        <f t="shared" si="26"/>
        <v>26.93536</v>
      </c>
      <c r="G49" s="39">
        <f t="shared" si="27"/>
        <v>8080.608</v>
      </c>
      <c r="H49" s="69">
        <f t="shared" si="28"/>
        <v>25.588592</v>
      </c>
      <c r="I49" s="26">
        <f t="shared" si="29"/>
        <v>7676.5776</v>
      </c>
      <c r="J49" s="70"/>
    </row>
    <row r="50" spans="1:10">
      <c r="A50" s="68" t="s">
        <v>153</v>
      </c>
      <c r="B50" s="37">
        <v>7628</v>
      </c>
      <c r="C50" s="38">
        <v>0.48</v>
      </c>
      <c r="D50" s="37">
        <v>150</v>
      </c>
      <c r="E50" s="27">
        <v>2.181</v>
      </c>
      <c r="F50" s="39">
        <f t="shared" si="26"/>
        <v>28.61472</v>
      </c>
      <c r="G50" s="39">
        <f>E50*3936/2</f>
        <v>4292.208</v>
      </c>
      <c r="H50" s="69">
        <f t="shared" si="28"/>
        <v>27.183984</v>
      </c>
      <c r="I50" s="26">
        <f t="shared" si="29"/>
        <v>4077.5976</v>
      </c>
      <c r="J50" s="70"/>
    </row>
    <row r="51" spans="1:10">
      <c r="A51" s="68" t="s">
        <v>153</v>
      </c>
      <c r="B51" s="37">
        <v>7628</v>
      </c>
      <c r="C51" s="38">
        <v>0.5</v>
      </c>
      <c r="D51" s="37">
        <v>150</v>
      </c>
      <c r="E51" s="27">
        <v>2.311</v>
      </c>
      <c r="F51" s="39">
        <f t="shared" si="26"/>
        <v>30.32032</v>
      </c>
      <c r="G51" s="39">
        <f>E51*3936/2</f>
        <v>4548.048</v>
      </c>
      <c r="H51" s="69">
        <f t="shared" si="28"/>
        <v>28.804304</v>
      </c>
      <c r="I51" s="26">
        <f t="shared" si="29"/>
        <v>4320.6456</v>
      </c>
      <c r="J51" s="70"/>
    </row>
    <row r="52" spans="1:13">
      <c r="A52" s="40" t="s">
        <v>109</v>
      </c>
      <c r="B52" s="41"/>
      <c r="C52" s="41"/>
      <c r="D52" s="41"/>
      <c r="J52" s="40" t="s">
        <v>76</v>
      </c>
      <c r="L52" s="41"/>
      <c r="M52" s="41"/>
    </row>
  </sheetData>
  <mergeCells count="10">
    <mergeCell ref="A1:N1"/>
    <mergeCell ref="A5:R5"/>
    <mergeCell ref="A6:R6"/>
    <mergeCell ref="A12:R12"/>
    <mergeCell ref="B13:C13"/>
    <mergeCell ref="G13:S13"/>
    <mergeCell ref="A31:I31"/>
    <mergeCell ref="E32:G32"/>
    <mergeCell ref="H32:I32"/>
    <mergeCell ref="A2:R4"/>
  </mergeCells>
  <pageMargins left="0.75" right="0.75" top="1" bottom="1" header="0.5" footer="0.5"/>
  <pageSetup paperSize="9" scale="55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"/>
  <sheetViews>
    <sheetView view="pageBreakPreview" zoomScale="85" zoomScaleNormal="85" topLeftCell="A16" workbookViewId="0">
      <selection activeCell="K68" sqref="K68"/>
    </sheetView>
  </sheetViews>
  <sheetFormatPr defaultColWidth="8.8" defaultRowHeight="15.6"/>
  <cols>
    <col min="1" max="1" width="9.9" customWidth="1"/>
    <col min="7" max="7" width="10.1"/>
    <col min="9" max="9" width="10.1"/>
    <col min="10" max="10" width="11.5"/>
    <col min="19" max="19" width="9.0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pans="1:1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46" t="s">
        <v>3</v>
      </c>
      <c r="B7" s="47"/>
      <c r="C7" s="47"/>
      <c r="D7" s="48"/>
      <c r="E7" s="47"/>
      <c r="F7" s="47"/>
      <c r="G7" s="49"/>
      <c r="H7" s="50"/>
      <c r="I7" s="50"/>
      <c r="J7" s="41"/>
      <c r="K7" s="41"/>
      <c r="L7" s="41"/>
      <c r="M7" s="41"/>
      <c r="N7" s="41"/>
      <c r="O7" s="50" t="s">
        <v>4</v>
      </c>
      <c r="P7" s="41"/>
      <c r="Q7" s="41"/>
      <c r="R7" s="41"/>
    </row>
    <row r="8" spans="1:18">
      <c r="A8" s="51" t="s">
        <v>5</v>
      </c>
      <c r="B8" s="47"/>
      <c r="C8" s="47"/>
      <c r="D8" s="48"/>
      <c r="E8" s="47"/>
      <c r="F8" s="47"/>
      <c r="G8" s="49"/>
      <c r="H8" s="52"/>
      <c r="I8" s="50"/>
      <c r="J8" s="41"/>
      <c r="K8" s="41"/>
      <c r="L8" s="41"/>
      <c r="M8" s="41"/>
      <c r="N8" s="41"/>
      <c r="O8" s="50" t="s">
        <v>6</v>
      </c>
      <c r="P8" s="41"/>
      <c r="Q8" s="41"/>
      <c r="R8" s="41"/>
    </row>
    <row r="9" spans="1:18">
      <c r="A9" s="51" t="s">
        <v>7</v>
      </c>
      <c r="B9" s="47"/>
      <c r="C9" s="47"/>
      <c r="D9" s="48"/>
      <c r="E9" s="47"/>
      <c r="F9" s="47"/>
      <c r="G9" s="49"/>
      <c r="H9" s="50"/>
      <c r="I9" s="50"/>
      <c r="J9" s="41"/>
      <c r="K9" s="41"/>
      <c r="L9" s="41"/>
      <c r="M9" s="41"/>
      <c r="N9" s="41"/>
      <c r="O9" s="55" t="s">
        <v>8</v>
      </c>
      <c r="P9" s="41"/>
      <c r="Q9" s="41"/>
      <c r="R9" s="41"/>
    </row>
    <row r="10" spans="1:18">
      <c r="A10" s="51" t="s">
        <v>154</v>
      </c>
      <c r="B10" s="53"/>
      <c r="C10" s="53"/>
      <c r="D10" s="54"/>
      <c r="E10" s="53"/>
      <c r="F10" s="53"/>
      <c r="G10" s="55"/>
      <c r="H10" s="56"/>
      <c r="I10" s="50"/>
      <c r="J10" s="41"/>
      <c r="K10" s="41"/>
      <c r="L10" s="41"/>
      <c r="M10" s="41"/>
      <c r="N10" s="41"/>
      <c r="O10" s="55" t="s">
        <v>155</v>
      </c>
      <c r="P10" s="41"/>
      <c r="Q10" s="41"/>
      <c r="R10" s="41"/>
    </row>
    <row r="11" spans="1:18">
      <c r="A11" s="46" t="s">
        <v>11</v>
      </c>
      <c r="B11" s="53"/>
      <c r="C11" s="57"/>
      <c r="D11" s="58"/>
      <c r="E11" s="57"/>
      <c r="F11" s="57"/>
      <c r="G11" s="59"/>
      <c r="H11" s="60"/>
      <c r="I11" s="56"/>
      <c r="J11" s="41"/>
      <c r="K11" s="41"/>
      <c r="L11" s="41"/>
      <c r="M11" s="41"/>
      <c r="N11" s="41"/>
      <c r="O11" s="41"/>
      <c r="P11" s="41"/>
      <c r="Q11" s="41"/>
      <c r="R11" s="41"/>
    </row>
    <row r="12" ht="19.2" spans="1:18">
      <c r="A12" s="20" t="s">
        <v>156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9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22" t="s">
        <v>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24" t="s">
        <v>24</v>
      </c>
      <c r="H14" s="25" t="s">
        <v>25</v>
      </c>
      <c r="I14" s="25" t="s">
        <v>26</v>
      </c>
      <c r="J14" s="23" t="s">
        <v>27</v>
      </c>
      <c r="K14" s="44" t="s">
        <v>35</v>
      </c>
      <c r="L14" s="25" t="s">
        <v>29</v>
      </c>
      <c r="M14" s="23" t="s">
        <v>30</v>
      </c>
      <c r="N14" s="24" t="s">
        <v>31</v>
      </c>
      <c r="O14" s="25" t="s">
        <v>32</v>
      </c>
      <c r="P14" s="23" t="s">
        <v>33</v>
      </c>
      <c r="Q14" s="23" t="s">
        <v>34</v>
      </c>
      <c r="R14" s="23" t="s">
        <v>28</v>
      </c>
      <c r="S14" s="63" t="s">
        <v>36</v>
      </c>
    </row>
    <row r="15" spans="1:19">
      <c r="A15" s="26" t="s">
        <v>157</v>
      </c>
      <c r="B15" s="27">
        <f t="shared" ref="B15:B21" si="0">C15/39.37</f>
        <v>0.0508001016002032</v>
      </c>
      <c r="C15" s="26">
        <v>2</v>
      </c>
      <c r="D15" s="28" t="s">
        <v>83</v>
      </c>
      <c r="E15" s="61" t="s">
        <v>134</v>
      </c>
      <c r="F15" s="26" t="s">
        <v>40</v>
      </c>
      <c r="G15" s="27">
        <v>12.265</v>
      </c>
      <c r="H15" s="26">
        <f>G15*12</f>
        <v>147.18</v>
      </c>
      <c r="I15" s="45">
        <f>G15*13.33</f>
        <v>163.49245</v>
      </c>
      <c r="J15" s="26">
        <f>G15*14</f>
        <v>171.71</v>
      </c>
      <c r="K15" s="26">
        <f>G15*8.88</f>
        <v>108.9132</v>
      </c>
      <c r="L15" s="45">
        <f>G15*9.6</f>
        <v>117.744</v>
      </c>
      <c r="M15" s="45">
        <f>G15*14.4</f>
        <v>176.616</v>
      </c>
      <c r="N15" s="45">
        <f>G15*10.66</f>
        <v>130.7449</v>
      </c>
      <c r="O15" s="45">
        <f>G15*16</f>
        <v>196.24</v>
      </c>
      <c r="P15" s="45">
        <f>G15*11.2</f>
        <v>137.368</v>
      </c>
      <c r="Q15" s="45">
        <f>G15*16.8</f>
        <v>206.052</v>
      </c>
      <c r="R15" s="45">
        <f>G15*11.66*1.06</f>
        <v>151.590494</v>
      </c>
      <c r="S15" s="64"/>
    </row>
    <row r="16" spans="1:19">
      <c r="A16" s="26" t="s">
        <v>157</v>
      </c>
      <c r="B16" s="27">
        <f t="shared" si="0"/>
        <v>0.0508001016002032</v>
      </c>
      <c r="C16" s="26">
        <v>2</v>
      </c>
      <c r="D16" s="28" t="s">
        <v>41</v>
      </c>
      <c r="E16" s="61" t="s">
        <v>134</v>
      </c>
      <c r="F16" s="26" t="s">
        <v>40</v>
      </c>
      <c r="G16" s="27">
        <v>14.216</v>
      </c>
      <c r="H16" s="26">
        <f>G16*12</f>
        <v>170.592</v>
      </c>
      <c r="I16" s="45">
        <f>G16*13.33</f>
        <v>189.49928</v>
      </c>
      <c r="J16" s="26">
        <f>G16*14</f>
        <v>199.024</v>
      </c>
      <c r="K16" s="26">
        <f>G16*8.88</f>
        <v>126.23808</v>
      </c>
      <c r="L16" s="45">
        <f>G16*9.6</f>
        <v>136.4736</v>
      </c>
      <c r="M16" s="45">
        <f>G16*14.4</f>
        <v>204.7104</v>
      </c>
      <c r="N16" s="45">
        <f>G16*10.66</f>
        <v>151.54256</v>
      </c>
      <c r="O16" s="45">
        <f>G16*16</f>
        <v>227.456</v>
      </c>
      <c r="P16" s="45">
        <f>G16*11.2</f>
        <v>159.2192</v>
      </c>
      <c r="Q16" s="45">
        <f>G16*16.8</f>
        <v>238.8288</v>
      </c>
      <c r="R16" s="45">
        <f>G16*11.66*1.06</f>
        <v>175.7040736</v>
      </c>
      <c r="S16" s="64"/>
    </row>
    <row r="17" spans="1:19">
      <c r="A17" s="26" t="s">
        <v>157</v>
      </c>
      <c r="B17" s="27">
        <f t="shared" si="0"/>
        <v>0.0508001016002032</v>
      </c>
      <c r="C17" s="26">
        <v>2</v>
      </c>
      <c r="D17" s="28" t="s">
        <v>38</v>
      </c>
      <c r="E17" s="26" t="s">
        <v>39</v>
      </c>
      <c r="F17" s="26" t="s">
        <v>40</v>
      </c>
      <c r="G17" s="27">
        <v>22.178</v>
      </c>
      <c r="H17" s="26">
        <f>G17*12</f>
        <v>266.136</v>
      </c>
      <c r="I17" s="45">
        <f>G17*13.33</f>
        <v>295.63274</v>
      </c>
      <c r="J17" s="26">
        <f>G17*14</f>
        <v>310.492</v>
      </c>
      <c r="K17" s="26">
        <f>G17*8.88</f>
        <v>196.94064</v>
      </c>
      <c r="L17" s="45">
        <f>G17*9.6</f>
        <v>212.9088</v>
      </c>
      <c r="M17" s="45">
        <f>G17*14.4</f>
        <v>319.3632</v>
      </c>
      <c r="N17" s="45">
        <f>G17*10.66</f>
        <v>236.41748</v>
      </c>
      <c r="O17" s="45">
        <f>G17*16</f>
        <v>354.848</v>
      </c>
      <c r="P17" s="45">
        <f>G17*11.2</f>
        <v>248.3936</v>
      </c>
      <c r="Q17" s="45">
        <f>G17*16.8</f>
        <v>372.5904</v>
      </c>
      <c r="R17" s="45">
        <f>G17*11.66*1.06</f>
        <v>274.1112088</v>
      </c>
      <c r="S17" s="64"/>
    </row>
    <row r="18" spans="1:19">
      <c r="A18" s="26" t="s">
        <v>157</v>
      </c>
      <c r="B18" s="27">
        <f t="shared" si="0"/>
        <v>0.063500127000254</v>
      </c>
      <c r="C18" s="26">
        <v>2.5</v>
      </c>
      <c r="D18" s="26" t="s">
        <v>44</v>
      </c>
      <c r="E18" s="26" t="s">
        <v>39</v>
      </c>
      <c r="F18" s="26" t="s">
        <v>114</v>
      </c>
      <c r="G18" s="27">
        <v>9.789</v>
      </c>
      <c r="H18" s="26">
        <f>G18*12</f>
        <v>117.468</v>
      </c>
      <c r="I18" s="45">
        <f>G18*13.33</f>
        <v>130.48737</v>
      </c>
      <c r="J18" s="26">
        <f>G18*14</f>
        <v>137.046</v>
      </c>
      <c r="K18" s="26">
        <f>G18*8.88</f>
        <v>86.92632</v>
      </c>
      <c r="L18" s="45">
        <f>G18*9.6</f>
        <v>93.9744</v>
      </c>
      <c r="M18" s="45">
        <f>G18*14.4</f>
        <v>140.9616</v>
      </c>
      <c r="N18" s="45">
        <f>G18*10.66</f>
        <v>104.35074</v>
      </c>
      <c r="O18" s="45">
        <f>G18*16</f>
        <v>156.624</v>
      </c>
      <c r="P18" s="45">
        <f>G18*11.2</f>
        <v>109.6368</v>
      </c>
      <c r="Q18" s="45">
        <f>G18*16.8</f>
        <v>164.4552</v>
      </c>
      <c r="R18" s="45">
        <f>G18*11.66*1.06</f>
        <v>120.9881244</v>
      </c>
      <c r="S18" s="64"/>
    </row>
    <row r="19" spans="1:19">
      <c r="A19" s="26" t="s">
        <v>157</v>
      </c>
      <c r="B19" s="27">
        <f t="shared" si="0"/>
        <v>0.063500127000254</v>
      </c>
      <c r="C19" s="26">
        <v>2.5</v>
      </c>
      <c r="D19" s="26" t="s">
        <v>44</v>
      </c>
      <c r="E19" s="26" t="s">
        <v>134</v>
      </c>
      <c r="F19" s="26" t="s">
        <v>82</v>
      </c>
      <c r="G19" s="27">
        <v>9.671</v>
      </c>
      <c r="H19" s="26">
        <f>G19*12</f>
        <v>116.052</v>
      </c>
      <c r="I19" s="45">
        <f>G19*13.33</f>
        <v>128.91443</v>
      </c>
      <c r="J19" s="26">
        <f>G19*14</f>
        <v>135.394</v>
      </c>
      <c r="K19" s="26">
        <f>G19*8.88</f>
        <v>85.87848</v>
      </c>
      <c r="L19" s="45">
        <f>G19*9.6</f>
        <v>92.8416</v>
      </c>
      <c r="M19" s="45">
        <f>G19*14.4</f>
        <v>139.2624</v>
      </c>
      <c r="N19" s="45">
        <f>G19*10.66</f>
        <v>103.09286</v>
      </c>
      <c r="O19" s="45">
        <f>G19*16</f>
        <v>154.736</v>
      </c>
      <c r="P19" s="45">
        <f>G19*11.2</f>
        <v>108.3152</v>
      </c>
      <c r="Q19" s="45">
        <f>G19*16.8</f>
        <v>162.4728</v>
      </c>
      <c r="R19" s="45">
        <f>G19*11.66*1.06</f>
        <v>119.5296916</v>
      </c>
      <c r="S19" s="64"/>
    </row>
    <row r="20" spans="1:19">
      <c r="A20" s="26" t="s">
        <v>157</v>
      </c>
      <c r="B20" s="27">
        <f t="shared" si="0"/>
        <v>0.063500127000254</v>
      </c>
      <c r="C20" s="26">
        <v>2.5</v>
      </c>
      <c r="D20" s="28" t="s">
        <v>83</v>
      </c>
      <c r="E20" s="26" t="s">
        <v>134</v>
      </c>
      <c r="F20" s="26" t="s">
        <v>114</v>
      </c>
      <c r="G20" s="27">
        <v>10.648</v>
      </c>
      <c r="H20" s="26">
        <f t="shared" ref="H20:H25" si="1">G20*12</f>
        <v>127.776</v>
      </c>
      <c r="I20" s="45">
        <f t="shared" ref="I20:I25" si="2">G20*13.33</f>
        <v>141.93784</v>
      </c>
      <c r="J20" s="26">
        <f t="shared" ref="J20:J25" si="3">G20*14</f>
        <v>149.072</v>
      </c>
      <c r="K20" s="26">
        <f t="shared" ref="K20:K25" si="4">G20*8.88</f>
        <v>94.55424</v>
      </c>
      <c r="L20" s="45">
        <f t="shared" ref="L20:L25" si="5">G20*9.6</f>
        <v>102.2208</v>
      </c>
      <c r="M20" s="45">
        <f t="shared" ref="M20:M25" si="6">G20*14.4</f>
        <v>153.3312</v>
      </c>
      <c r="N20" s="45">
        <f t="shared" ref="N20:N25" si="7">G20*10.66</f>
        <v>113.50768</v>
      </c>
      <c r="O20" s="45">
        <f t="shared" ref="O20:O25" si="8">G20*16</f>
        <v>170.368</v>
      </c>
      <c r="P20" s="45">
        <f t="shared" ref="P20:P25" si="9">G20*11.2</f>
        <v>119.2576</v>
      </c>
      <c r="Q20" s="45">
        <f t="shared" ref="Q20:Q25" si="10">G20*16.8</f>
        <v>178.8864</v>
      </c>
      <c r="R20" s="45">
        <f t="shared" ref="R20:R25" si="11">G20*11.66*1.06</f>
        <v>131.6050208</v>
      </c>
      <c r="S20" s="64"/>
    </row>
    <row r="21" spans="1:19">
      <c r="A21" s="26" t="s">
        <v>157</v>
      </c>
      <c r="B21" s="27">
        <f t="shared" si="0"/>
        <v>0.063500127000254</v>
      </c>
      <c r="C21" s="26">
        <v>2.5</v>
      </c>
      <c r="D21" s="28" t="s">
        <v>41</v>
      </c>
      <c r="E21" s="26" t="s">
        <v>134</v>
      </c>
      <c r="F21" s="26" t="s">
        <v>114</v>
      </c>
      <c r="G21" s="27">
        <v>13.001</v>
      </c>
      <c r="H21" s="26">
        <f t="shared" si="1"/>
        <v>156.012</v>
      </c>
      <c r="I21" s="45">
        <f t="shared" si="2"/>
        <v>173.30333</v>
      </c>
      <c r="J21" s="26">
        <f t="shared" si="3"/>
        <v>182.014</v>
      </c>
      <c r="K21" s="26">
        <f t="shared" si="4"/>
        <v>115.44888</v>
      </c>
      <c r="L21" s="45">
        <f t="shared" si="5"/>
        <v>124.8096</v>
      </c>
      <c r="M21" s="45">
        <f t="shared" si="6"/>
        <v>187.2144</v>
      </c>
      <c r="N21" s="45">
        <f t="shared" si="7"/>
        <v>138.59066</v>
      </c>
      <c r="O21" s="45">
        <f t="shared" si="8"/>
        <v>208.016</v>
      </c>
      <c r="P21" s="45">
        <f t="shared" si="9"/>
        <v>145.6112</v>
      </c>
      <c r="Q21" s="45">
        <f t="shared" si="10"/>
        <v>218.4168</v>
      </c>
      <c r="R21" s="45">
        <f t="shared" si="11"/>
        <v>160.6871596</v>
      </c>
      <c r="S21" s="64"/>
    </row>
    <row r="22" spans="1:19">
      <c r="A22" s="26" t="s">
        <v>157</v>
      </c>
      <c r="B22" s="27">
        <v>0.079</v>
      </c>
      <c r="C22" s="26">
        <v>3</v>
      </c>
      <c r="D22" s="26" t="s">
        <v>44</v>
      </c>
      <c r="E22" s="26" t="s">
        <v>134</v>
      </c>
      <c r="F22" s="26" t="s">
        <v>114</v>
      </c>
      <c r="G22" s="27">
        <v>9.553</v>
      </c>
      <c r="H22" s="26">
        <f t="shared" si="1"/>
        <v>114.636</v>
      </c>
      <c r="I22" s="45">
        <f t="shared" si="2"/>
        <v>127.34149</v>
      </c>
      <c r="J22" s="26">
        <f t="shared" si="3"/>
        <v>133.742</v>
      </c>
      <c r="K22" s="26">
        <f t="shared" si="4"/>
        <v>84.83064</v>
      </c>
      <c r="L22" s="45">
        <f t="shared" si="5"/>
        <v>91.7088</v>
      </c>
      <c r="M22" s="45">
        <f t="shared" si="6"/>
        <v>137.5632</v>
      </c>
      <c r="N22" s="45">
        <f t="shared" si="7"/>
        <v>101.83498</v>
      </c>
      <c r="O22" s="45">
        <f t="shared" si="8"/>
        <v>152.848</v>
      </c>
      <c r="P22" s="45">
        <f t="shared" si="9"/>
        <v>106.9936</v>
      </c>
      <c r="Q22" s="45">
        <f t="shared" si="10"/>
        <v>160.4904</v>
      </c>
      <c r="R22" s="45">
        <f t="shared" si="11"/>
        <v>118.0712588</v>
      </c>
      <c r="S22" s="64"/>
    </row>
    <row r="23" spans="1:19">
      <c r="A23" s="26" t="s">
        <v>157</v>
      </c>
      <c r="B23" s="27">
        <v>0.079</v>
      </c>
      <c r="C23" s="26">
        <v>3</v>
      </c>
      <c r="D23" s="28" t="s">
        <v>83</v>
      </c>
      <c r="E23" s="26" t="s">
        <v>134</v>
      </c>
      <c r="F23" s="26" t="s">
        <v>114</v>
      </c>
      <c r="G23" s="27">
        <v>12.31</v>
      </c>
      <c r="H23" s="26">
        <f t="shared" si="1"/>
        <v>147.72</v>
      </c>
      <c r="I23" s="45">
        <f t="shared" si="2"/>
        <v>164.0923</v>
      </c>
      <c r="J23" s="26">
        <f t="shared" si="3"/>
        <v>172.34</v>
      </c>
      <c r="K23" s="26">
        <f t="shared" si="4"/>
        <v>109.3128</v>
      </c>
      <c r="L23" s="45">
        <f t="shared" si="5"/>
        <v>118.176</v>
      </c>
      <c r="M23" s="45">
        <f t="shared" si="6"/>
        <v>177.264</v>
      </c>
      <c r="N23" s="45">
        <f t="shared" si="7"/>
        <v>131.2246</v>
      </c>
      <c r="O23" s="45">
        <f t="shared" si="8"/>
        <v>196.96</v>
      </c>
      <c r="P23" s="45">
        <f t="shared" si="9"/>
        <v>137.872</v>
      </c>
      <c r="Q23" s="45">
        <f t="shared" si="10"/>
        <v>206.808</v>
      </c>
      <c r="R23" s="45">
        <f t="shared" si="11"/>
        <v>152.146676</v>
      </c>
      <c r="S23" s="64"/>
    </row>
    <row r="24" spans="1:19">
      <c r="A24" s="26" t="s">
        <v>157</v>
      </c>
      <c r="B24" s="27">
        <v>0.079</v>
      </c>
      <c r="C24" s="26">
        <v>3</v>
      </c>
      <c r="D24" s="28" t="s">
        <v>41</v>
      </c>
      <c r="E24" s="26" t="s">
        <v>134</v>
      </c>
      <c r="F24" s="26" t="s">
        <v>114</v>
      </c>
      <c r="G24" s="27">
        <v>12.97</v>
      </c>
      <c r="H24" s="26">
        <f t="shared" si="1"/>
        <v>155.64</v>
      </c>
      <c r="I24" s="45">
        <f t="shared" si="2"/>
        <v>172.8901</v>
      </c>
      <c r="J24" s="26">
        <f t="shared" si="3"/>
        <v>181.58</v>
      </c>
      <c r="K24" s="26">
        <f t="shared" si="4"/>
        <v>115.1736</v>
      </c>
      <c r="L24" s="45">
        <f t="shared" si="5"/>
        <v>124.512</v>
      </c>
      <c r="M24" s="45">
        <f t="shared" si="6"/>
        <v>186.768</v>
      </c>
      <c r="N24" s="45">
        <f t="shared" si="7"/>
        <v>138.2602</v>
      </c>
      <c r="O24" s="45">
        <f t="shared" si="8"/>
        <v>207.52</v>
      </c>
      <c r="P24" s="45">
        <f t="shared" si="9"/>
        <v>145.264</v>
      </c>
      <c r="Q24" s="45">
        <f t="shared" si="10"/>
        <v>217.896</v>
      </c>
      <c r="R24" s="45">
        <f t="shared" si="11"/>
        <v>160.304012</v>
      </c>
      <c r="S24" s="64"/>
    </row>
    <row r="25" spans="1:19">
      <c r="A25" s="26" t="s">
        <v>157</v>
      </c>
      <c r="B25" s="27">
        <v>0.079</v>
      </c>
      <c r="C25" s="26">
        <v>3</v>
      </c>
      <c r="D25" s="28" t="s">
        <v>85</v>
      </c>
      <c r="E25" s="29" t="s">
        <v>158</v>
      </c>
      <c r="F25" s="26" t="s">
        <v>114</v>
      </c>
      <c r="G25" s="27">
        <v>19.87</v>
      </c>
      <c r="H25" s="26">
        <f t="shared" si="1"/>
        <v>238.44</v>
      </c>
      <c r="I25" s="45">
        <f t="shared" si="2"/>
        <v>264.8671</v>
      </c>
      <c r="J25" s="26">
        <f t="shared" si="3"/>
        <v>278.18</v>
      </c>
      <c r="K25" s="26">
        <f t="shared" si="4"/>
        <v>176.4456</v>
      </c>
      <c r="L25" s="45">
        <f t="shared" si="5"/>
        <v>190.752</v>
      </c>
      <c r="M25" s="45">
        <f t="shared" si="6"/>
        <v>286.128</v>
      </c>
      <c r="N25" s="45">
        <f t="shared" si="7"/>
        <v>211.8142</v>
      </c>
      <c r="O25" s="45">
        <f t="shared" si="8"/>
        <v>317.92</v>
      </c>
      <c r="P25" s="45">
        <f t="shared" si="9"/>
        <v>222.544</v>
      </c>
      <c r="Q25" s="45">
        <f t="shared" si="10"/>
        <v>333.816</v>
      </c>
      <c r="R25" s="45">
        <f t="shared" si="11"/>
        <v>245.585252</v>
      </c>
      <c r="S25" s="64"/>
    </row>
    <row r="26" spans="1:19">
      <c r="A26" s="26" t="s">
        <v>157</v>
      </c>
      <c r="B26" s="27">
        <v>0.079</v>
      </c>
      <c r="C26" s="26">
        <v>3</v>
      </c>
      <c r="D26" s="28" t="s">
        <v>38</v>
      </c>
      <c r="E26" s="26" t="s">
        <v>39</v>
      </c>
      <c r="F26" s="26" t="s">
        <v>114</v>
      </c>
      <c r="G26" s="27">
        <v>21.346</v>
      </c>
      <c r="H26" s="26">
        <f t="shared" ref="H26:H33" si="12">G26*12</f>
        <v>256.152</v>
      </c>
      <c r="I26" s="45">
        <f t="shared" ref="I26:I33" si="13">G26*13.33</f>
        <v>284.54218</v>
      </c>
      <c r="J26" s="26">
        <f t="shared" ref="J26:J33" si="14">G26*14</f>
        <v>298.844</v>
      </c>
      <c r="K26" s="26">
        <f t="shared" ref="K26:K33" si="15">G26*8.88</f>
        <v>189.55248</v>
      </c>
      <c r="L26" s="45">
        <f t="shared" ref="L26:L33" si="16">G26*9.6</f>
        <v>204.9216</v>
      </c>
      <c r="M26" s="45">
        <f t="shared" ref="M26:M33" si="17">G26*14.4</f>
        <v>307.3824</v>
      </c>
      <c r="N26" s="45">
        <f t="shared" ref="N26:N33" si="18">G26*10.66</f>
        <v>227.54836</v>
      </c>
      <c r="O26" s="45">
        <f t="shared" ref="O26:O33" si="19">G26*16</f>
        <v>341.536</v>
      </c>
      <c r="P26" s="45">
        <f t="shared" ref="P26:P33" si="20">G26*11.2</f>
        <v>239.0752</v>
      </c>
      <c r="Q26" s="45">
        <f t="shared" ref="Q26:Q33" si="21">G26*16.8</f>
        <v>358.6128</v>
      </c>
      <c r="R26" s="45">
        <f t="shared" ref="R26:R33" si="22">G26*11.66*1.06</f>
        <v>263.8280216</v>
      </c>
      <c r="S26" s="64"/>
    </row>
    <row r="27" spans="1:19">
      <c r="A27" s="26" t="s">
        <v>157</v>
      </c>
      <c r="B27" s="27">
        <f t="shared" ref="B27:B33" si="23">C27/39.37</f>
        <v>0.101600203200406</v>
      </c>
      <c r="C27" s="26">
        <v>4</v>
      </c>
      <c r="D27" s="28" t="s">
        <v>44</v>
      </c>
      <c r="E27" s="26" t="s">
        <v>134</v>
      </c>
      <c r="F27" s="26" t="s">
        <v>106</v>
      </c>
      <c r="G27" s="27">
        <v>10.794</v>
      </c>
      <c r="H27" s="26">
        <f t="shared" si="12"/>
        <v>129.528</v>
      </c>
      <c r="I27" s="45">
        <f t="shared" si="13"/>
        <v>143.88402</v>
      </c>
      <c r="J27" s="26">
        <f t="shared" si="14"/>
        <v>151.116</v>
      </c>
      <c r="K27" s="26">
        <f t="shared" si="15"/>
        <v>95.85072</v>
      </c>
      <c r="L27" s="45">
        <f t="shared" si="16"/>
        <v>103.6224</v>
      </c>
      <c r="M27" s="45">
        <f t="shared" si="17"/>
        <v>155.4336</v>
      </c>
      <c r="N27" s="45">
        <f t="shared" si="18"/>
        <v>115.06404</v>
      </c>
      <c r="O27" s="45">
        <f t="shared" si="19"/>
        <v>172.704</v>
      </c>
      <c r="P27" s="45">
        <f t="shared" si="20"/>
        <v>120.8928</v>
      </c>
      <c r="Q27" s="45">
        <f t="shared" si="21"/>
        <v>181.3392</v>
      </c>
      <c r="R27" s="45">
        <f t="shared" si="22"/>
        <v>133.4095224</v>
      </c>
      <c r="S27" s="64"/>
    </row>
    <row r="28" spans="1:19">
      <c r="A28" s="26" t="s">
        <v>157</v>
      </c>
      <c r="B28" s="27">
        <f t="shared" si="23"/>
        <v>0.101600203200406</v>
      </c>
      <c r="C28" s="26">
        <v>4</v>
      </c>
      <c r="D28" s="28" t="s">
        <v>44</v>
      </c>
      <c r="E28" s="26" t="s">
        <v>159</v>
      </c>
      <c r="F28" s="26" t="s">
        <v>106</v>
      </c>
      <c r="G28" s="27">
        <v>11.425</v>
      </c>
      <c r="H28" s="26">
        <f t="shared" si="12"/>
        <v>137.1</v>
      </c>
      <c r="I28" s="45">
        <f t="shared" si="13"/>
        <v>152.29525</v>
      </c>
      <c r="J28" s="26">
        <f t="shared" si="14"/>
        <v>159.95</v>
      </c>
      <c r="K28" s="26">
        <f t="shared" si="15"/>
        <v>101.454</v>
      </c>
      <c r="L28" s="45">
        <f t="shared" si="16"/>
        <v>109.68</v>
      </c>
      <c r="M28" s="45">
        <f t="shared" si="17"/>
        <v>164.52</v>
      </c>
      <c r="N28" s="45">
        <f t="shared" si="18"/>
        <v>121.7905</v>
      </c>
      <c r="O28" s="45">
        <f t="shared" si="19"/>
        <v>182.8</v>
      </c>
      <c r="P28" s="45">
        <f t="shared" si="20"/>
        <v>127.96</v>
      </c>
      <c r="Q28" s="45">
        <f t="shared" si="21"/>
        <v>191.94</v>
      </c>
      <c r="R28" s="45">
        <f t="shared" si="22"/>
        <v>141.20843</v>
      </c>
      <c r="S28" s="64"/>
    </row>
    <row r="29" spans="1:19">
      <c r="A29" s="26" t="s">
        <v>157</v>
      </c>
      <c r="B29" s="27">
        <f t="shared" si="23"/>
        <v>0.101600203200406</v>
      </c>
      <c r="C29" s="26">
        <v>4</v>
      </c>
      <c r="D29" s="28" t="s">
        <v>83</v>
      </c>
      <c r="E29" s="26" t="s">
        <v>134</v>
      </c>
      <c r="F29" s="26" t="s">
        <v>106</v>
      </c>
      <c r="G29" s="27">
        <v>12.622</v>
      </c>
      <c r="H29" s="26">
        <f t="shared" si="12"/>
        <v>151.464</v>
      </c>
      <c r="I29" s="45">
        <f t="shared" si="13"/>
        <v>168.25126</v>
      </c>
      <c r="J29" s="26">
        <f t="shared" si="14"/>
        <v>176.708</v>
      </c>
      <c r="K29" s="26">
        <f t="shared" si="15"/>
        <v>112.08336</v>
      </c>
      <c r="L29" s="45">
        <f t="shared" si="16"/>
        <v>121.1712</v>
      </c>
      <c r="M29" s="45">
        <f t="shared" si="17"/>
        <v>181.7568</v>
      </c>
      <c r="N29" s="45">
        <f t="shared" si="18"/>
        <v>134.55052</v>
      </c>
      <c r="O29" s="45">
        <f t="shared" si="19"/>
        <v>201.952</v>
      </c>
      <c r="P29" s="45">
        <f t="shared" si="20"/>
        <v>141.3664</v>
      </c>
      <c r="Q29" s="45">
        <f t="shared" si="21"/>
        <v>212.0496</v>
      </c>
      <c r="R29" s="45">
        <f t="shared" si="22"/>
        <v>156.0028712</v>
      </c>
      <c r="S29" s="64"/>
    </row>
    <row r="30" spans="1:19">
      <c r="A30" s="26" t="s">
        <v>157</v>
      </c>
      <c r="B30" s="27">
        <f t="shared" si="23"/>
        <v>0.101600203200406</v>
      </c>
      <c r="C30" s="26">
        <v>4</v>
      </c>
      <c r="D30" s="28" t="s">
        <v>41</v>
      </c>
      <c r="E30" s="26" t="s">
        <v>134</v>
      </c>
      <c r="F30" s="26" t="s">
        <v>106</v>
      </c>
      <c r="G30" s="27">
        <v>14.164</v>
      </c>
      <c r="H30" s="26">
        <f t="shared" si="12"/>
        <v>169.968</v>
      </c>
      <c r="I30" s="45">
        <f t="shared" si="13"/>
        <v>188.80612</v>
      </c>
      <c r="J30" s="26">
        <f t="shared" si="14"/>
        <v>198.296</v>
      </c>
      <c r="K30" s="26">
        <f t="shared" si="15"/>
        <v>125.77632</v>
      </c>
      <c r="L30" s="45">
        <f t="shared" si="16"/>
        <v>135.9744</v>
      </c>
      <c r="M30" s="45">
        <f t="shared" si="17"/>
        <v>203.9616</v>
      </c>
      <c r="N30" s="45">
        <f t="shared" si="18"/>
        <v>150.98824</v>
      </c>
      <c r="O30" s="45">
        <f t="shared" si="19"/>
        <v>226.624</v>
      </c>
      <c r="P30" s="45">
        <f t="shared" si="20"/>
        <v>158.6368</v>
      </c>
      <c r="Q30" s="45">
        <f t="shared" si="21"/>
        <v>237.9552</v>
      </c>
      <c r="R30" s="45">
        <f t="shared" si="22"/>
        <v>175.0613744</v>
      </c>
      <c r="S30" s="64"/>
    </row>
    <row r="31" spans="1:19">
      <c r="A31" s="26" t="s">
        <v>157</v>
      </c>
      <c r="B31" s="27">
        <f t="shared" si="23"/>
        <v>0.127000254000508</v>
      </c>
      <c r="C31" s="26">
        <v>5</v>
      </c>
      <c r="D31" s="28" t="s">
        <v>44</v>
      </c>
      <c r="E31" s="26" t="s">
        <v>134</v>
      </c>
      <c r="F31" s="26" t="s">
        <v>87</v>
      </c>
      <c r="G31" s="27">
        <v>11.595</v>
      </c>
      <c r="H31" s="26">
        <f t="shared" si="12"/>
        <v>139.14</v>
      </c>
      <c r="I31" s="45">
        <f t="shared" si="13"/>
        <v>154.56135</v>
      </c>
      <c r="J31" s="26">
        <f t="shared" si="14"/>
        <v>162.33</v>
      </c>
      <c r="K31" s="26">
        <f t="shared" si="15"/>
        <v>102.9636</v>
      </c>
      <c r="L31" s="45">
        <f t="shared" si="16"/>
        <v>111.312</v>
      </c>
      <c r="M31" s="45">
        <f t="shared" si="17"/>
        <v>166.968</v>
      </c>
      <c r="N31" s="45">
        <f t="shared" si="18"/>
        <v>123.6027</v>
      </c>
      <c r="O31" s="45">
        <f t="shared" si="19"/>
        <v>185.52</v>
      </c>
      <c r="P31" s="45">
        <f t="shared" si="20"/>
        <v>129.864</v>
      </c>
      <c r="Q31" s="45">
        <f t="shared" si="21"/>
        <v>194.796</v>
      </c>
      <c r="R31" s="45">
        <f t="shared" si="22"/>
        <v>143.309562</v>
      </c>
      <c r="S31" s="64"/>
    </row>
    <row r="32" spans="1:19">
      <c r="A32" s="26" t="s">
        <v>157</v>
      </c>
      <c r="B32" s="27">
        <f t="shared" si="23"/>
        <v>0.127000254000508</v>
      </c>
      <c r="C32" s="26">
        <v>5</v>
      </c>
      <c r="D32" s="28" t="s">
        <v>44</v>
      </c>
      <c r="E32" s="26" t="s">
        <v>159</v>
      </c>
      <c r="F32" s="26" t="s">
        <v>87</v>
      </c>
      <c r="G32" s="27">
        <v>12.22</v>
      </c>
      <c r="H32" s="26">
        <f t="shared" si="12"/>
        <v>146.64</v>
      </c>
      <c r="I32" s="45">
        <f t="shared" si="13"/>
        <v>162.8926</v>
      </c>
      <c r="J32" s="26">
        <f t="shared" si="14"/>
        <v>171.08</v>
      </c>
      <c r="K32" s="26">
        <f t="shared" si="15"/>
        <v>108.5136</v>
      </c>
      <c r="L32" s="45">
        <f t="shared" si="16"/>
        <v>117.312</v>
      </c>
      <c r="M32" s="45">
        <f t="shared" si="17"/>
        <v>175.968</v>
      </c>
      <c r="N32" s="45">
        <f t="shared" si="18"/>
        <v>130.2652</v>
      </c>
      <c r="O32" s="45">
        <f t="shared" si="19"/>
        <v>195.52</v>
      </c>
      <c r="P32" s="45">
        <f t="shared" si="20"/>
        <v>136.864</v>
      </c>
      <c r="Q32" s="45">
        <f t="shared" si="21"/>
        <v>205.296</v>
      </c>
      <c r="R32" s="45">
        <f t="shared" si="22"/>
        <v>151.034312</v>
      </c>
      <c r="S32" s="64"/>
    </row>
    <row r="33" spans="1:19">
      <c r="A33" s="26" t="s">
        <v>157</v>
      </c>
      <c r="B33" s="27">
        <f t="shared" si="23"/>
        <v>0.127000254000508</v>
      </c>
      <c r="C33" s="26">
        <v>5</v>
      </c>
      <c r="D33" s="28" t="s">
        <v>104</v>
      </c>
      <c r="E33" s="26" t="s">
        <v>159</v>
      </c>
      <c r="F33" s="26" t="s">
        <v>87</v>
      </c>
      <c r="G33" s="27">
        <v>14.89</v>
      </c>
      <c r="H33" s="26">
        <f t="shared" si="12"/>
        <v>178.68</v>
      </c>
      <c r="I33" s="45">
        <f t="shared" si="13"/>
        <v>198.4837</v>
      </c>
      <c r="J33" s="26">
        <f t="shared" si="14"/>
        <v>208.46</v>
      </c>
      <c r="K33" s="26">
        <f t="shared" si="15"/>
        <v>132.2232</v>
      </c>
      <c r="L33" s="45">
        <f t="shared" si="16"/>
        <v>142.944</v>
      </c>
      <c r="M33" s="45">
        <f t="shared" si="17"/>
        <v>214.416</v>
      </c>
      <c r="N33" s="45">
        <f t="shared" si="18"/>
        <v>158.7274</v>
      </c>
      <c r="O33" s="45">
        <f t="shared" si="19"/>
        <v>238.24</v>
      </c>
      <c r="P33" s="45">
        <f t="shared" si="20"/>
        <v>166.768</v>
      </c>
      <c r="Q33" s="45">
        <f t="shared" si="21"/>
        <v>250.152</v>
      </c>
      <c r="R33" s="45">
        <f t="shared" si="22"/>
        <v>184.034444</v>
      </c>
      <c r="S33" s="64"/>
    </row>
    <row r="34" spans="1:19">
      <c r="A34" s="26" t="s">
        <v>157</v>
      </c>
      <c r="B34" s="27">
        <f t="shared" ref="B34:B47" si="24">C34/39.37</f>
        <v>0.127000254000508</v>
      </c>
      <c r="C34" s="26">
        <v>5</v>
      </c>
      <c r="D34" s="28" t="s">
        <v>83</v>
      </c>
      <c r="E34" s="26" t="s">
        <v>134</v>
      </c>
      <c r="F34" s="26" t="s">
        <v>87</v>
      </c>
      <c r="G34" s="27">
        <v>13.181</v>
      </c>
      <c r="H34" s="26">
        <f t="shared" ref="H34:H47" si="25">G34*12</f>
        <v>158.172</v>
      </c>
      <c r="I34" s="45">
        <f t="shared" ref="I34:I47" si="26">G34*13.33</f>
        <v>175.70273</v>
      </c>
      <c r="J34" s="26">
        <f t="shared" ref="J34:J47" si="27">G34*14</f>
        <v>184.534</v>
      </c>
      <c r="K34" s="26">
        <f t="shared" ref="K34:K47" si="28">G34*8.88</f>
        <v>117.04728</v>
      </c>
      <c r="L34" s="45">
        <f t="shared" ref="L34:L47" si="29">G34*9.6</f>
        <v>126.5376</v>
      </c>
      <c r="M34" s="45">
        <f t="shared" ref="M34:M47" si="30">G34*14.4</f>
        <v>189.8064</v>
      </c>
      <c r="N34" s="45">
        <f t="shared" ref="N34:N47" si="31">G34*10.66</f>
        <v>140.50946</v>
      </c>
      <c r="O34" s="45">
        <f t="shared" ref="O34:O47" si="32">G34*16</f>
        <v>210.896</v>
      </c>
      <c r="P34" s="45">
        <f t="shared" ref="P34:P47" si="33">G34*11.2</f>
        <v>147.6272</v>
      </c>
      <c r="Q34" s="45">
        <f t="shared" ref="Q34:Q47" si="34">G34*16.8</f>
        <v>221.4408</v>
      </c>
      <c r="R34" s="45">
        <f t="shared" ref="R34:R47" si="35">G34*11.66*1.06</f>
        <v>162.9118876</v>
      </c>
      <c r="S34" s="64"/>
    </row>
    <row r="35" spans="1:19">
      <c r="A35" s="26" t="s">
        <v>157</v>
      </c>
      <c r="B35" s="27">
        <f t="shared" si="24"/>
        <v>0.127000254000508</v>
      </c>
      <c r="C35" s="26">
        <v>5</v>
      </c>
      <c r="D35" s="28" t="s">
        <v>41</v>
      </c>
      <c r="E35" s="26" t="s">
        <v>134</v>
      </c>
      <c r="F35" s="26" t="s">
        <v>87</v>
      </c>
      <c r="G35" s="27">
        <v>13.531</v>
      </c>
      <c r="H35" s="26">
        <f t="shared" si="25"/>
        <v>162.372</v>
      </c>
      <c r="I35" s="45">
        <f t="shared" si="26"/>
        <v>180.36823</v>
      </c>
      <c r="J35" s="26">
        <f t="shared" si="27"/>
        <v>189.434</v>
      </c>
      <c r="K35" s="26">
        <f t="shared" si="28"/>
        <v>120.15528</v>
      </c>
      <c r="L35" s="45">
        <f t="shared" si="29"/>
        <v>129.8976</v>
      </c>
      <c r="M35" s="45">
        <f t="shared" si="30"/>
        <v>194.8464</v>
      </c>
      <c r="N35" s="45">
        <f t="shared" si="31"/>
        <v>144.24046</v>
      </c>
      <c r="O35" s="45">
        <f t="shared" si="32"/>
        <v>216.496</v>
      </c>
      <c r="P35" s="45">
        <f t="shared" si="33"/>
        <v>151.5472</v>
      </c>
      <c r="Q35" s="45">
        <f t="shared" si="34"/>
        <v>227.3208</v>
      </c>
      <c r="R35" s="45">
        <f t="shared" si="35"/>
        <v>167.2377476</v>
      </c>
      <c r="S35" s="64" t="s">
        <v>160</v>
      </c>
    </row>
    <row r="36" spans="1:19">
      <c r="A36" s="26" t="s">
        <v>157</v>
      </c>
      <c r="B36" s="27">
        <f t="shared" si="24"/>
        <v>0.15240030480061</v>
      </c>
      <c r="C36" s="26">
        <v>6</v>
      </c>
      <c r="D36" s="28" t="s">
        <v>44</v>
      </c>
      <c r="E36" s="26" t="s">
        <v>134</v>
      </c>
      <c r="F36" s="26" t="s">
        <v>88</v>
      </c>
      <c r="G36" s="27">
        <v>13.179</v>
      </c>
      <c r="H36" s="26">
        <f t="shared" si="25"/>
        <v>158.148</v>
      </c>
      <c r="I36" s="45">
        <f t="shared" si="26"/>
        <v>175.67607</v>
      </c>
      <c r="J36" s="26">
        <f t="shared" si="27"/>
        <v>184.506</v>
      </c>
      <c r="K36" s="26">
        <f t="shared" si="28"/>
        <v>117.02952</v>
      </c>
      <c r="L36" s="45">
        <f t="shared" si="29"/>
        <v>126.5184</v>
      </c>
      <c r="M36" s="45">
        <f t="shared" si="30"/>
        <v>189.7776</v>
      </c>
      <c r="N36" s="45">
        <f t="shared" si="31"/>
        <v>140.48814</v>
      </c>
      <c r="O36" s="45">
        <f t="shared" si="32"/>
        <v>210.864</v>
      </c>
      <c r="P36" s="45">
        <f t="shared" si="33"/>
        <v>147.6048</v>
      </c>
      <c r="Q36" s="45">
        <f t="shared" si="34"/>
        <v>221.4072</v>
      </c>
      <c r="R36" s="45">
        <f t="shared" si="35"/>
        <v>162.8871684</v>
      </c>
      <c r="S36" s="64"/>
    </row>
    <row r="37" spans="1:19">
      <c r="A37" s="26" t="s">
        <v>157</v>
      </c>
      <c r="B37" s="27">
        <f t="shared" si="24"/>
        <v>0.15240030480061</v>
      </c>
      <c r="C37" s="26">
        <v>6</v>
      </c>
      <c r="D37" s="28" t="s">
        <v>83</v>
      </c>
      <c r="E37" s="26" t="s">
        <v>134</v>
      </c>
      <c r="F37" s="26" t="s">
        <v>88</v>
      </c>
      <c r="G37" s="27">
        <v>14.93</v>
      </c>
      <c r="H37" s="26">
        <f t="shared" si="25"/>
        <v>179.16</v>
      </c>
      <c r="I37" s="45">
        <f t="shared" si="26"/>
        <v>199.0169</v>
      </c>
      <c r="J37" s="26">
        <f t="shared" si="27"/>
        <v>209.02</v>
      </c>
      <c r="K37" s="26">
        <f t="shared" si="28"/>
        <v>132.5784</v>
      </c>
      <c r="L37" s="45">
        <f t="shared" si="29"/>
        <v>143.328</v>
      </c>
      <c r="M37" s="45">
        <f t="shared" si="30"/>
        <v>214.992</v>
      </c>
      <c r="N37" s="45">
        <f t="shared" si="31"/>
        <v>159.1538</v>
      </c>
      <c r="O37" s="45">
        <f t="shared" si="32"/>
        <v>238.88</v>
      </c>
      <c r="P37" s="45">
        <f t="shared" si="33"/>
        <v>167.216</v>
      </c>
      <c r="Q37" s="45">
        <f t="shared" si="34"/>
        <v>250.824</v>
      </c>
      <c r="R37" s="45">
        <f t="shared" si="35"/>
        <v>184.528828</v>
      </c>
      <c r="S37" s="64"/>
    </row>
    <row r="38" spans="1:19">
      <c r="A38" s="26" t="s">
        <v>157</v>
      </c>
      <c r="B38" s="27">
        <f t="shared" si="24"/>
        <v>0.15240030480061</v>
      </c>
      <c r="C38" s="26">
        <v>6</v>
      </c>
      <c r="D38" s="28" t="s">
        <v>41</v>
      </c>
      <c r="E38" s="26" t="s">
        <v>134</v>
      </c>
      <c r="F38" s="26" t="s">
        <v>88</v>
      </c>
      <c r="G38" s="27">
        <v>16.601</v>
      </c>
      <c r="H38" s="26">
        <f t="shared" si="25"/>
        <v>199.212</v>
      </c>
      <c r="I38" s="45">
        <f t="shared" si="26"/>
        <v>221.29133</v>
      </c>
      <c r="J38" s="26">
        <f t="shared" si="27"/>
        <v>232.414</v>
      </c>
      <c r="K38" s="26">
        <f t="shared" si="28"/>
        <v>147.41688</v>
      </c>
      <c r="L38" s="45">
        <f t="shared" si="29"/>
        <v>159.3696</v>
      </c>
      <c r="M38" s="45">
        <f t="shared" si="30"/>
        <v>239.0544</v>
      </c>
      <c r="N38" s="45">
        <f t="shared" si="31"/>
        <v>176.96666</v>
      </c>
      <c r="O38" s="45">
        <f t="shared" si="32"/>
        <v>265.616</v>
      </c>
      <c r="P38" s="45">
        <f t="shared" si="33"/>
        <v>185.9312</v>
      </c>
      <c r="Q38" s="45">
        <f t="shared" si="34"/>
        <v>278.8968</v>
      </c>
      <c r="R38" s="45">
        <f t="shared" si="35"/>
        <v>205.1817196</v>
      </c>
      <c r="S38" s="64"/>
    </row>
    <row r="39" spans="1:19">
      <c r="A39" s="26" t="s">
        <v>157</v>
      </c>
      <c r="B39" s="27">
        <f t="shared" si="24"/>
        <v>0.203200406400813</v>
      </c>
      <c r="C39" s="26">
        <v>8</v>
      </c>
      <c r="D39" s="28" t="s">
        <v>44</v>
      </c>
      <c r="E39" s="26" t="s">
        <v>134</v>
      </c>
      <c r="F39" s="26" t="s">
        <v>161</v>
      </c>
      <c r="G39" s="27">
        <v>15.227</v>
      </c>
      <c r="H39" s="26">
        <f t="shared" si="25"/>
        <v>182.724</v>
      </c>
      <c r="I39" s="45">
        <f t="shared" si="26"/>
        <v>202.97591</v>
      </c>
      <c r="J39" s="26">
        <f t="shared" si="27"/>
        <v>213.178</v>
      </c>
      <c r="K39" s="26">
        <f t="shared" si="28"/>
        <v>135.21576</v>
      </c>
      <c r="L39" s="45">
        <f t="shared" si="29"/>
        <v>146.1792</v>
      </c>
      <c r="M39" s="45">
        <f t="shared" si="30"/>
        <v>219.2688</v>
      </c>
      <c r="N39" s="45">
        <f t="shared" si="31"/>
        <v>162.31982</v>
      </c>
      <c r="O39" s="45">
        <f t="shared" si="32"/>
        <v>243.632</v>
      </c>
      <c r="P39" s="45">
        <f t="shared" si="33"/>
        <v>170.5424</v>
      </c>
      <c r="Q39" s="45">
        <f t="shared" si="34"/>
        <v>255.8136</v>
      </c>
      <c r="R39" s="45">
        <f t="shared" si="35"/>
        <v>188.1996292</v>
      </c>
      <c r="S39" s="64"/>
    </row>
    <row r="40" spans="1:19">
      <c r="A40" s="26" t="s">
        <v>157</v>
      </c>
      <c r="B40" s="27">
        <f t="shared" si="24"/>
        <v>0.203200406400813</v>
      </c>
      <c r="C40" s="26">
        <v>8</v>
      </c>
      <c r="D40" s="28" t="s">
        <v>83</v>
      </c>
      <c r="E40" s="26" t="s">
        <v>134</v>
      </c>
      <c r="F40" s="26" t="s">
        <v>161</v>
      </c>
      <c r="G40" s="27">
        <v>18.403</v>
      </c>
      <c r="H40" s="26">
        <f t="shared" si="25"/>
        <v>220.836</v>
      </c>
      <c r="I40" s="45">
        <f t="shared" si="26"/>
        <v>245.31199</v>
      </c>
      <c r="J40" s="26">
        <f t="shared" si="27"/>
        <v>257.642</v>
      </c>
      <c r="K40" s="26">
        <f t="shared" si="28"/>
        <v>163.41864</v>
      </c>
      <c r="L40" s="45">
        <f t="shared" si="29"/>
        <v>176.6688</v>
      </c>
      <c r="M40" s="45">
        <f t="shared" si="30"/>
        <v>265.0032</v>
      </c>
      <c r="N40" s="45">
        <f t="shared" si="31"/>
        <v>196.17598</v>
      </c>
      <c r="O40" s="45">
        <f t="shared" si="32"/>
        <v>294.448</v>
      </c>
      <c r="P40" s="45">
        <f t="shared" si="33"/>
        <v>206.1136</v>
      </c>
      <c r="Q40" s="45">
        <f t="shared" si="34"/>
        <v>309.1704</v>
      </c>
      <c r="R40" s="45">
        <f t="shared" si="35"/>
        <v>227.4537188</v>
      </c>
      <c r="S40" s="64"/>
    </row>
    <row r="41" spans="1:19">
      <c r="A41" s="26" t="s">
        <v>157</v>
      </c>
      <c r="B41" s="27">
        <f t="shared" si="24"/>
        <v>0.203200406400813</v>
      </c>
      <c r="C41" s="26">
        <v>8</v>
      </c>
      <c r="D41" s="28" t="s">
        <v>41</v>
      </c>
      <c r="E41" s="26" t="s">
        <v>134</v>
      </c>
      <c r="F41" s="26" t="s">
        <v>161</v>
      </c>
      <c r="G41" s="27">
        <v>18.669</v>
      </c>
      <c r="H41" s="26">
        <f t="shared" si="25"/>
        <v>224.028</v>
      </c>
      <c r="I41" s="45">
        <f t="shared" si="26"/>
        <v>248.85777</v>
      </c>
      <c r="J41" s="26">
        <f t="shared" si="27"/>
        <v>261.366</v>
      </c>
      <c r="K41" s="26">
        <f t="shared" si="28"/>
        <v>165.78072</v>
      </c>
      <c r="L41" s="45">
        <f t="shared" si="29"/>
        <v>179.2224</v>
      </c>
      <c r="M41" s="45">
        <f t="shared" si="30"/>
        <v>268.8336</v>
      </c>
      <c r="N41" s="45">
        <f t="shared" si="31"/>
        <v>199.01154</v>
      </c>
      <c r="O41" s="45">
        <f t="shared" si="32"/>
        <v>298.704</v>
      </c>
      <c r="P41" s="45">
        <f t="shared" si="33"/>
        <v>209.0928</v>
      </c>
      <c r="Q41" s="45">
        <f t="shared" si="34"/>
        <v>313.6392</v>
      </c>
      <c r="R41" s="45">
        <f t="shared" si="35"/>
        <v>230.7413724</v>
      </c>
      <c r="S41" s="64"/>
    </row>
    <row r="42" spans="1:19">
      <c r="A42" s="26" t="s">
        <v>157</v>
      </c>
      <c r="B42" s="27">
        <f t="shared" si="24"/>
        <v>0.254000508001016</v>
      </c>
      <c r="C42" s="26">
        <v>10</v>
      </c>
      <c r="D42" s="28" t="s">
        <v>44</v>
      </c>
      <c r="E42" s="26" t="s">
        <v>134</v>
      </c>
      <c r="F42" s="26" t="s">
        <v>91</v>
      </c>
      <c r="G42" s="27">
        <v>15.617</v>
      </c>
      <c r="H42" s="26">
        <f t="shared" si="25"/>
        <v>187.404</v>
      </c>
      <c r="I42" s="45">
        <f t="shared" si="26"/>
        <v>208.17461</v>
      </c>
      <c r="J42" s="26">
        <f t="shared" si="27"/>
        <v>218.638</v>
      </c>
      <c r="K42" s="26">
        <f t="shared" si="28"/>
        <v>138.67896</v>
      </c>
      <c r="L42" s="45">
        <f t="shared" si="29"/>
        <v>149.9232</v>
      </c>
      <c r="M42" s="45">
        <f t="shared" si="30"/>
        <v>224.8848</v>
      </c>
      <c r="N42" s="45">
        <f t="shared" si="31"/>
        <v>166.47722</v>
      </c>
      <c r="O42" s="45">
        <f t="shared" si="32"/>
        <v>249.872</v>
      </c>
      <c r="P42" s="45">
        <f t="shared" si="33"/>
        <v>174.9104</v>
      </c>
      <c r="Q42" s="45">
        <f t="shared" si="34"/>
        <v>262.3656</v>
      </c>
      <c r="R42" s="45">
        <f t="shared" si="35"/>
        <v>193.0198732</v>
      </c>
      <c r="S42" s="64"/>
    </row>
    <row r="43" spans="1:19">
      <c r="A43" s="26" t="s">
        <v>157</v>
      </c>
      <c r="B43" s="27">
        <f t="shared" si="24"/>
        <v>0.254000508001016</v>
      </c>
      <c r="C43" s="26">
        <v>10</v>
      </c>
      <c r="D43" s="28" t="s">
        <v>83</v>
      </c>
      <c r="E43" s="26" t="s">
        <v>134</v>
      </c>
      <c r="F43" s="26" t="s">
        <v>91</v>
      </c>
      <c r="G43" s="27">
        <v>17.411</v>
      </c>
      <c r="H43" s="26">
        <f t="shared" si="25"/>
        <v>208.932</v>
      </c>
      <c r="I43" s="45">
        <f t="shared" si="26"/>
        <v>232.08863</v>
      </c>
      <c r="J43" s="26">
        <f t="shared" si="27"/>
        <v>243.754</v>
      </c>
      <c r="K43" s="26">
        <f t="shared" si="28"/>
        <v>154.60968</v>
      </c>
      <c r="L43" s="45">
        <f t="shared" si="29"/>
        <v>167.1456</v>
      </c>
      <c r="M43" s="45">
        <f t="shared" si="30"/>
        <v>250.7184</v>
      </c>
      <c r="N43" s="45">
        <f t="shared" si="31"/>
        <v>185.60126</v>
      </c>
      <c r="O43" s="45">
        <f t="shared" si="32"/>
        <v>278.576</v>
      </c>
      <c r="P43" s="45">
        <f t="shared" si="33"/>
        <v>195.0032</v>
      </c>
      <c r="Q43" s="45">
        <f t="shared" si="34"/>
        <v>292.5048</v>
      </c>
      <c r="R43" s="45">
        <f t="shared" si="35"/>
        <v>215.1929956</v>
      </c>
      <c r="S43" s="64"/>
    </row>
    <row r="44" spans="1:19">
      <c r="A44" s="26" t="s">
        <v>157</v>
      </c>
      <c r="B44" s="27">
        <f t="shared" si="24"/>
        <v>0.254000508001016</v>
      </c>
      <c r="C44" s="26">
        <v>10</v>
      </c>
      <c r="D44" s="28" t="s">
        <v>41</v>
      </c>
      <c r="E44" s="26" t="s">
        <v>134</v>
      </c>
      <c r="F44" s="26" t="s">
        <v>91</v>
      </c>
      <c r="G44" s="27">
        <v>16.96</v>
      </c>
      <c r="H44" s="26">
        <f t="shared" si="25"/>
        <v>203.52</v>
      </c>
      <c r="I44" s="45">
        <f t="shared" si="26"/>
        <v>226.0768</v>
      </c>
      <c r="J44" s="26">
        <f t="shared" si="27"/>
        <v>237.44</v>
      </c>
      <c r="K44" s="26">
        <f t="shared" si="28"/>
        <v>150.6048</v>
      </c>
      <c r="L44" s="45">
        <f t="shared" si="29"/>
        <v>162.816</v>
      </c>
      <c r="M44" s="45">
        <f t="shared" si="30"/>
        <v>244.224</v>
      </c>
      <c r="N44" s="45">
        <f t="shared" si="31"/>
        <v>180.7936</v>
      </c>
      <c r="O44" s="45">
        <f t="shared" si="32"/>
        <v>271.36</v>
      </c>
      <c r="P44" s="45">
        <f t="shared" si="33"/>
        <v>189.952</v>
      </c>
      <c r="Q44" s="45">
        <f t="shared" si="34"/>
        <v>284.928</v>
      </c>
      <c r="R44" s="45">
        <f t="shared" si="35"/>
        <v>209.618816</v>
      </c>
      <c r="S44" s="64" t="s">
        <v>160</v>
      </c>
    </row>
    <row r="45" spans="1:19">
      <c r="A45" s="26" t="s">
        <v>157</v>
      </c>
      <c r="B45" s="27">
        <f t="shared" si="24"/>
        <v>0.609601219202438</v>
      </c>
      <c r="C45" s="26">
        <v>24</v>
      </c>
      <c r="D45" s="28" t="s">
        <v>44</v>
      </c>
      <c r="E45" s="26" t="s">
        <v>134</v>
      </c>
      <c r="F45" s="26" t="s">
        <v>147</v>
      </c>
      <c r="G45" s="27">
        <v>28.668</v>
      </c>
      <c r="H45" s="26">
        <f t="shared" si="25"/>
        <v>344.016</v>
      </c>
      <c r="I45" s="45">
        <f t="shared" si="26"/>
        <v>382.14444</v>
      </c>
      <c r="J45" s="26">
        <f t="shared" si="27"/>
        <v>401.352</v>
      </c>
      <c r="K45" s="26">
        <f t="shared" si="28"/>
        <v>254.57184</v>
      </c>
      <c r="L45" s="45">
        <f t="shared" si="29"/>
        <v>275.2128</v>
      </c>
      <c r="M45" s="45">
        <f t="shared" si="30"/>
        <v>412.8192</v>
      </c>
      <c r="N45" s="45">
        <f t="shared" si="31"/>
        <v>305.60088</v>
      </c>
      <c r="O45" s="45">
        <f t="shared" si="32"/>
        <v>458.688</v>
      </c>
      <c r="P45" s="45">
        <f t="shared" si="33"/>
        <v>321.0816</v>
      </c>
      <c r="Q45" s="45">
        <f t="shared" si="34"/>
        <v>481.6224</v>
      </c>
      <c r="R45" s="45">
        <f t="shared" si="35"/>
        <v>354.3250128</v>
      </c>
      <c r="S45" s="64"/>
    </row>
    <row r="46" spans="1:19">
      <c r="A46" s="26" t="s">
        <v>157</v>
      </c>
      <c r="B46" s="27">
        <f t="shared" si="24"/>
        <v>0.609601219202438</v>
      </c>
      <c r="C46" s="26">
        <v>24</v>
      </c>
      <c r="D46" s="28" t="s">
        <v>41</v>
      </c>
      <c r="E46" s="26" t="s">
        <v>134</v>
      </c>
      <c r="F46" s="26" t="s">
        <v>147</v>
      </c>
      <c r="G46" s="27">
        <v>31.553</v>
      </c>
      <c r="H46" s="26">
        <f t="shared" si="25"/>
        <v>378.636</v>
      </c>
      <c r="I46" s="45">
        <f t="shared" si="26"/>
        <v>420.60149</v>
      </c>
      <c r="J46" s="26">
        <f t="shared" si="27"/>
        <v>441.742</v>
      </c>
      <c r="K46" s="26">
        <f t="shared" si="28"/>
        <v>280.19064</v>
      </c>
      <c r="L46" s="45">
        <f t="shared" si="29"/>
        <v>302.9088</v>
      </c>
      <c r="M46" s="45">
        <f t="shared" si="30"/>
        <v>454.3632</v>
      </c>
      <c r="N46" s="45">
        <f t="shared" si="31"/>
        <v>336.35498</v>
      </c>
      <c r="O46" s="45">
        <f t="shared" si="32"/>
        <v>504.848</v>
      </c>
      <c r="P46" s="45">
        <f t="shared" si="33"/>
        <v>353.3936</v>
      </c>
      <c r="Q46" s="45">
        <f t="shared" si="34"/>
        <v>530.0904</v>
      </c>
      <c r="R46" s="45">
        <f t="shared" si="35"/>
        <v>389.9824588</v>
      </c>
      <c r="S46" s="64"/>
    </row>
    <row r="47" spans="1:19">
      <c r="A47" s="26" t="s">
        <v>157</v>
      </c>
      <c r="B47" s="27">
        <f t="shared" si="24"/>
        <v>0.711201422402845</v>
      </c>
      <c r="C47" s="26">
        <v>28</v>
      </c>
      <c r="D47" s="28" t="s">
        <v>41</v>
      </c>
      <c r="E47" s="26" t="s">
        <v>134</v>
      </c>
      <c r="F47" s="26" t="s">
        <v>162</v>
      </c>
      <c r="G47" s="27">
        <v>34.056</v>
      </c>
      <c r="H47" s="26">
        <f t="shared" si="25"/>
        <v>408.672</v>
      </c>
      <c r="I47" s="45">
        <f t="shared" si="26"/>
        <v>453.96648</v>
      </c>
      <c r="J47" s="26">
        <f t="shared" si="27"/>
        <v>476.784</v>
      </c>
      <c r="K47" s="26">
        <f t="shared" si="28"/>
        <v>302.41728</v>
      </c>
      <c r="L47" s="45">
        <f t="shared" si="29"/>
        <v>326.9376</v>
      </c>
      <c r="M47" s="45">
        <f t="shared" si="30"/>
        <v>490.4064</v>
      </c>
      <c r="N47" s="45">
        <f t="shared" si="31"/>
        <v>363.03696</v>
      </c>
      <c r="O47" s="45">
        <f t="shared" si="32"/>
        <v>544.896</v>
      </c>
      <c r="P47" s="45">
        <f t="shared" si="33"/>
        <v>381.4272</v>
      </c>
      <c r="Q47" s="45">
        <f t="shared" si="34"/>
        <v>572.1408</v>
      </c>
      <c r="R47" s="45">
        <f t="shared" si="35"/>
        <v>420.9185376</v>
      </c>
      <c r="S47" s="64"/>
    </row>
    <row r="48" spans="1:1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ht="19.2" spans="1:18">
      <c r="A49" s="31" t="s">
        <v>163</v>
      </c>
      <c r="B49" s="31"/>
      <c r="C49" s="31"/>
      <c r="D49" s="31"/>
      <c r="E49" s="31"/>
      <c r="F49" s="31"/>
      <c r="G49" s="31"/>
      <c r="H49" s="31"/>
      <c r="I49" s="31"/>
      <c r="J49" s="30"/>
      <c r="K49" s="30"/>
      <c r="L49" s="30"/>
      <c r="M49" s="30"/>
      <c r="N49" s="30"/>
      <c r="O49" s="30"/>
      <c r="P49" s="30"/>
      <c r="Q49" s="30"/>
      <c r="R49" s="30"/>
    </row>
    <row r="50" ht="31.2" spans="1:18">
      <c r="A50" s="32" t="s">
        <v>59</v>
      </c>
      <c r="B50" s="32" t="s">
        <v>60</v>
      </c>
      <c r="C50" s="32" t="s">
        <v>61</v>
      </c>
      <c r="D50" s="32" t="s">
        <v>62</v>
      </c>
      <c r="E50" s="33" t="s">
        <v>63</v>
      </c>
      <c r="F50" s="34"/>
      <c r="G50" s="34"/>
      <c r="H50" s="33" t="s">
        <v>64</v>
      </c>
      <c r="I50" s="33"/>
      <c r="J50" s="30"/>
      <c r="K50" s="30"/>
      <c r="L50" s="30"/>
      <c r="M50" s="30"/>
      <c r="N50" s="30"/>
      <c r="O50" s="30"/>
      <c r="P50" s="30"/>
      <c r="Q50" s="30"/>
      <c r="R50" s="30"/>
    </row>
    <row r="51" ht="31.2" spans="1:18">
      <c r="A51" s="35" t="s">
        <v>65</v>
      </c>
      <c r="B51" s="35" t="s">
        <v>66</v>
      </c>
      <c r="C51" s="35" t="s">
        <v>67</v>
      </c>
      <c r="D51" s="35" t="s">
        <v>68</v>
      </c>
      <c r="E51" s="36" t="s">
        <v>69</v>
      </c>
      <c r="F51" s="36" t="s">
        <v>70</v>
      </c>
      <c r="G51" s="36" t="s">
        <v>71</v>
      </c>
      <c r="H51" s="36" t="s">
        <v>70</v>
      </c>
      <c r="I51" s="36" t="s">
        <v>71</v>
      </c>
      <c r="J51" s="62" t="s">
        <v>36</v>
      </c>
      <c r="K51" s="30"/>
      <c r="L51" s="30"/>
      <c r="M51" s="30"/>
      <c r="N51" s="30"/>
      <c r="O51" s="30"/>
      <c r="P51" s="30"/>
      <c r="Q51" s="30"/>
      <c r="R51" s="30"/>
    </row>
    <row r="52" spans="1:18">
      <c r="A52" s="26" t="s">
        <v>164</v>
      </c>
      <c r="B52" s="37">
        <v>106</v>
      </c>
      <c r="C52" s="38">
        <v>0.73</v>
      </c>
      <c r="D52" s="37">
        <v>300</v>
      </c>
      <c r="E52" s="27">
        <v>4.288</v>
      </c>
      <c r="F52" s="39">
        <f t="shared" ref="F52:F66" si="36">G52/D52</f>
        <v>56.25856</v>
      </c>
      <c r="G52" s="39">
        <f t="shared" ref="G52:G64" si="37">E52*3936</f>
        <v>16877.568</v>
      </c>
      <c r="H52" s="39">
        <f t="shared" ref="H52:H66" si="38">I52/D52</f>
        <v>53.445632</v>
      </c>
      <c r="I52" s="26">
        <f t="shared" ref="I52:I66" si="39">G52*0.95</f>
        <v>16033.6896</v>
      </c>
      <c r="J52" s="62"/>
      <c r="K52" s="30"/>
      <c r="L52" s="30"/>
      <c r="M52" s="30"/>
      <c r="N52" s="30"/>
      <c r="O52" s="30"/>
      <c r="P52" s="30"/>
      <c r="Q52" s="30"/>
      <c r="R52" s="30"/>
    </row>
    <row r="53" spans="1:18">
      <c r="A53" s="26" t="s">
        <v>164</v>
      </c>
      <c r="B53" s="37">
        <v>106</v>
      </c>
      <c r="C53" s="38">
        <v>0.78</v>
      </c>
      <c r="D53" s="37">
        <v>300</v>
      </c>
      <c r="E53" s="27">
        <v>4.634</v>
      </c>
      <c r="F53" s="39">
        <f t="shared" si="36"/>
        <v>60.79808</v>
      </c>
      <c r="G53" s="39">
        <f t="shared" si="37"/>
        <v>18239.424</v>
      </c>
      <c r="H53" s="39">
        <f t="shared" si="38"/>
        <v>57.758176</v>
      </c>
      <c r="I53" s="26">
        <f t="shared" si="39"/>
        <v>17327.4528</v>
      </c>
      <c r="J53" s="62"/>
      <c r="K53" s="30"/>
      <c r="L53" s="30"/>
      <c r="M53" s="30"/>
      <c r="N53" s="30"/>
      <c r="O53" s="30"/>
      <c r="P53" s="30"/>
      <c r="Q53" s="30"/>
      <c r="R53" s="30"/>
    </row>
    <row r="54" spans="1:18">
      <c r="A54" s="26" t="s">
        <v>164</v>
      </c>
      <c r="B54" s="37">
        <v>1035</v>
      </c>
      <c r="C54" s="38">
        <v>0.75</v>
      </c>
      <c r="D54" s="37">
        <v>300</v>
      </c>
      <c r="E54" s="27">
        <v>4.043</v>
      </c>
      <c r="F54" s="39">
        <f t="shared" si="36"/>
        <v>53.04416</v>
      </c>
      <c r="G54" s="39">
        <f t="shared" si="37"/>
        <v>15913.248</v>
      </c>
      <c r="H54" s="39">
        <f t="shared" si="38"/>
        <v>50.391952</v>
      </c>
      <c r="I54" s="26">
        <f t="shared" si="39"/>
        <v>15117.5856</v>
      </c>
      <c r="J54" s="62"/>
      <c r="K54" s="30"/>
      <c r="L54" s="30"/>
      <c r="M54" s="30"/>
      <c r="N54" s="30"/>
      <c r="O54" s="30"/>
      <c r="P54" s="30"/>
      <c r="Q54" s="30"/>
      <c r="R54" s="30"/>
    </row>
    <row r="55" spans="1:18">
      <c r="A55" s="26" t="s">
        <v>164</v>
      </c>
      <c r="B55" s="37">
        <v>1067</v>
      </c>
      <c r="C55" s="38">
        <v>0.7</v>
      </c>
      <c r="D55" s="37">
        <v>300</v>
      </c>
      <c r="E55" s="27">
        <v>4.52</v>
      </c>
      <c r="F55" s="39">
        <f t="shared" si="36"/>
        <v>59.3024</v>
      </c>
      <c r="G55" s="39">
        <f t="shared" si="37"/>
        <v>17790.72</v>
      </c>
      <c r="H55" s="39">
        <f t="shared" si="38"/>
        <v>56.33728</v>
      </c>
      <c r="I55" s="26">
        <f t="shared" si="39"/>
        <v>16901.184</v>
      </c>
      <c r="J55" s="62"/>
      <c r="K55" s="30"/>
      <c r="L55" s="30"/>
      <c r="M55" s="30"/>
      <c r="N55" s="30"/>
      <c r="O55" s="30"/>
      <c r="P55" s="30"/>
      <c r="Q55" s="30"/>
      <c r="R55" s="30"/>
    </row>
    <row r="56" spans="1:18">
      <c r="A56" s="26" t="s">
        <v>164</v>
      </c>
      <c r="B56" s="37">
        <v>1067</v>
      </c>
      <c r="C56" s="38">
        <v>0.73</v>
      </c>
      <c r="D56" s="37">
        <v>300</v>
      </c>
      <c r="E56" s="27">
        <v>4.915</v>
      </c>
      <c r="F56" s="39">
        <f t="shared" si="36"/>
        <v>64.4848</v>
      </c>
      <c r="G56" s="39">
        <f t="shared" si="37"/>
        <v>19345.44</v>
      </c>
      <c r="H56" s="39">
        <f t="shared" si="38"/>
        <v>61.26056</v>
      </c>
      <c r="I56" s="26">
        <f t="shared" si="39"/>
        <v>18378.168</v>
      </c>
      <c r="J56" s="62"/>
      <c r="K56" s="30"/>
      <c r="L56" s="30"/>
      <c r="M56" s="30"/>
      <c r="N56" s="30"/>
      <c r="O56" s="30"/>
      <c r="P56" s="30"/>
      <c r="Q56" s="30"/>
      <c r="R56" s="30"/>
    </row>
    <row r="57" spans="1:18">
      <c r="A57" s="26" t="s">
        <v>164</v>
      </c>
      <c r="B57" s="37">
        <v>1067</v>
      </c>
      <c r="C57" s="38">
        <v>0.74</v>
      </c>
      <c r="D57" s="37">
        <v>300</v>
      </c>
      <c r="E57" s="27">
        <v>4.828</v>
      </c>
      <c r="F57" s="39">
        <f t="shared" si="36"/>
        <v>63.34336</v>
      </c>
      <c r="G57" s="39">
        <f t="shared" si="37"/>
        <v>19003.008</v>
      </c>
      <c r="H57" s="39">
        <f t="shared" si="38"/>
        <v>60.176192</v>
      </c>
      <c r="I57" s="26">
        <f t="shared" si="39"/>
        <v>18052.8576</v>
      </c>
      <c r="J57" s="62"/>
      <c r="K57" s="30"/>
      <c r="L57" s="30"/>
      <c r="M57" s="30"/>
      <c r="N57" s="30"/>
      <c r="O57" s="30"/>
      <c r="P57" s="30"/>
      <c r="Q57" s="30"/>
      <c r="R57" s="30"/>
    </row>
    <row r="58" spans="1:18">
      <c r="A58" s="26" t="s">
        <v>164</v>
      </c>
      <c r="B58" s="37">
        <v>1078</v>
      </c>
      <c r="C58" s="38">
        <v>0.64</v>
      </c>
      <c r="D58" s="37">
        <v>300</v>
      </c>
      <c r="E58" s="27">
        <v>4.977</v>
      </c>
      <c r="F58" s="39">
        <f t="shared" si="36"/>
        <v>65.29824</v>
      </c>
      <c r="G58" s="39">
        <f t="shared" si="37"/>
        <v>19589.472</v>
      </c>
      <c r="H58" s="39">
        <f t="shared" si="38"/>
        <v>62.033328</v>
      </c>
      <c r="I58" s="26">
        <f t="shared" si="39"/>
        <v>18609.9984</v>
      </c>
      <c r="J58" s="62"/>
      <c r="K58" s="30"/>
      <c r="L58" s="30"/>
      <c r="M58" s="30"/>
      <c r="N58" s="30"/>
      <c r="O58" s="30"/>
      <c r="P58" s="30"/>
      <c r="Q58" s="30"/>
      <c r="R58" s="30"/>
    </row>
    <row r="59" spans="1:18">
      <c r="A59" s="26" t="s">
        <v>164</v>
      </c>
      <c r="B59" s="37">
        <v>1080</v>
      </c>
      <c r="C59" s="38">
        <v>0.64</v>
      </c>
      <c r="D59" s="37">
        <v>300</v>
      </c>
      <c r="E59" s="27">
        <v>5.153</v>
      </c>
      <c r="F59" s="39">
        <f t="shared" si="36"/>
        <v>67.60736</v>
      </c>
      <c r="G59" s="39">
        <f t="shared" si="37"/>
        <v>20282.208</v>
      </c>
      <c r="H59" s="39">
        <f t="shared" si="38"/>
        <v>64.226992</v>
      </c>
      <c r="I59" s="26">
        <f t="shared" si="39"/>
        <v>19268.0976</v>
      </c>
      <c r="J59" s="62"/>
      <c r="K59" s="30"/>
      <c r="L59" s="30"/>
      <c r="M59" s="30"/>
      <c r="N59" s="30"/>
      <c r="O59" s="30"/>
      <c r="P59" s="30"/>
      <c r="Q59" s="30"/>
      <c r="R59" s="30"/>
    </row>
    <row r="60" spans="1:18">
      <c r="A60" s="26" t="s">
        <v>164</v>
      </c>
      <c r="B60" s="37">
        <v>1080</v>
      </c>
      <c r="C60" s="38">
        <v>0.66</v>
      </c>
      <c r="D60" s="37">
        <v>300</v>
      </c>
      <c r="E60" s="27">
        <v>3.3</v>
      </c>
      <c r="F60" s="39">
        <f t="shared" si="36"/>
        <v>43.296</v>
      </c>
      <c r="G60" s="39">
        <f t="shared" si="37"/>
        <v>12988.8</v>
      </c>
      <c r="H60" s="39">
        <f t="shared" si="38"/>
        <v>41.1312</v>
      </c>
      <c r="I60" s="26">
        <f t="shared" si="39"/>
        <v>12339.36</v>
      </c>
      <c r="J60" s="62" t="s">
        <v>160</v>
      </c>
      <c r="K60" s="30"/>
      <c r="L60" s="30"/>
      <c r="M60" s="30"/>
      <c r="N60" s="30"/>
      <c r="O60" s="30"/>
      <c r="P60" s="30"/>
      <c r="Q60" s="30"/>
      <c r="R60" s="30"/>
    </row>
    <row r="61" spans="1:18">
      <c r="A61" s="26" t="s">
        <v>164</v>
      </c>
      <c r="B61" s="37">
        <v>1080</v>
      </c>
      <c r="C61" s="38">
        <v>0.67</v>
      </c>
      <c r="D61" s="37">
        <v>300</v>
      </c>
      <c r="E61" s="27">
        <v>5.24</v>
      </c>
      <c r="F61" s="39">
        <f t="shared" si="36"/>
        <v>68.7488</v>
      </c>
      <c r="G61" s="39">
        <f t="shared" si="37"/>
        <v>20624.64</v>
      </c>
      <c r="H61" s="39">
        <f t="shared" si="38"/>
        <v>65.31136</v>
      </c>
      <c r="I61" s="26">
        <f t="shared" si="39"/>
        <v>19593.408</v>
      </c>
      <c r="J61" s="62"/>
      <c r="K61" s="30"/>
      <c r="L61" s="30"/>
      <c r="M61" s="30"/>
      <c r="N61" s="30"/>
      <c r="O61" s="30"/>
      <c r="P61" s="30"/>
      <c r="Q61" s="30"/>
      <c r="R61" s="30"/>
    </row>
    <row r="62" spans="1:18">
      <c r="A62" s="26" t="s">
        <v>164</v>
      </c>
      <c r="B62" s="37">
        <v>1080</v>
      </c>
      <c r="C62" s="38">
        <v>0.68</v>
      </c>
      <c r="D62" s="37">
        <v>300</v>
      </c>
      <c r="E62" s="27">
        <v>3.6</v>
      </c>
      <c r="F62" s="39">
        <f t="shared" ref="F62:F69" si="40">G62/D62</f>
        <v>47.232</v>
      </c>
      <c r="G62" s="39">
        <f t="shared" ref="G62:G67" si="41">E62*3936</f>
        <v>14169.6</v>
      </c>
      <c r="H62" s="39">
        <f t="shared" ref="H62:H69" si="42">I62/D62</f>
        <v>44.8704</v>
      </c>
      <c r="I62" s="26">
        <f t="shared" ref="I62:I69" si="43">G62*0.95</f>
        <v>13461.12</v>
      </c>
      <c r="J62" s="62" t="s">
        <v>160</v>
      </c>
      <c r="K62" s="30"/>
      <c r="L62" s="30"/>
      <c r="M62" s="30"/>
      <c r="N62" s="30"/>
      <c r="O62" s="30"/>
      <c r="P62" s="30"/>
      <c r="Q62" s="30"/>
      <c r="R62" s="30"/>
    </row>
    <row r="63" spans="1:18">
      <c r="A63" s="26" t="s">
        <v>164</v>
      </c>
      <c r="B63" s="37">
        <v>1080</v>
      </c>
      <c r="C63" s="38">
        <v>0.69</v>
      </c>
      <c r="D63" s="37">
        <v>300</v>
      </c>
      <c r="E63" s="27">
        <v>6.13</v>
      </c>
      <c r="F63" s="39">
        <f t="shared" si="40"/>
        <v>80.4256</v>
      </c>
      <c r="G63" s="39">
        <f t="shared" si="41"/>
        <v>24127.68</v>
      </c>
      <c r="H63" s="39">
        <f t="shared" si="42"/>
        <v>76.40432</v>
      </c>
      <c r="I63" s="26">
        <f t="shared" si="43"/>
        <v>22921.296</v>
      </c>
      <c r="J63" s="62"/>
      <c r="K63" s="30"/>
      <c r="L63" s="30"/>
      <c r="M63" s="30"/>
      <c r="N63" s="30"/>
      <c r="O63" s="30"/>
      <c r="P63" s="30"/>
      <c r="Q63" s="30"/>
      <c r="R63" s="30"/>
    </row>
    <row r="64" spans="1:18">
      <c r="A64" s="26" t="s">
        <v>164</v>
      </c>
      <c r="B64" s="37">
        <v>1080</v>
      </c>
      <c r="C64" s="38">
        <v>0.72</v>
      </c>
      <c r="D64" s="37">
        <v>300</v>
      </c>
      <c r="E64" s="27">
        <v>6.661</v>
      </c>
      <c r="F64" s="39">
        <f t="shared" si="40"/>
        <v>87.39232</v>
      </c>
      <c r="G64" s="39">
        <f t="shared" si="41"/>
        <v>26217.696</v>
      </c>
      <c r="H64" s="39">
        <f t="shared" si="42"/>
        <v>83.022704</v>
      </c>
      <c r="I64" s="26">
        <f t="shared" si="43"/>
        <v>24906.8112</v>
      </c>
      <c r="J64" s="62"/>
      <c r="K64" s="30"/>
      <c r="L64" s="30"/>
      <c r="M64" s="30"/>
      <c r="N64" s="30"/>
      <c r="O64" s="30"/>
      <c r="P64" s="30"/>
      <c r="Q64" s="30"/>
      <c r="R64" s="30"/>
    </row>
    <row r="65" spans="1:18">
      <c r="A65" s="26" t="s">
        <v>164</v>
      </c>
      <c r="B65" s="37">
        <v>2116</v>
      </c>
      <c r="C65" s="38">
        <v>0.56</v>
      </c>
      <c r="D65" s="37">
        <v>200</v>
      </c>
      <c r="E65" s="27">
        <v>5.72</v>
      </c>
      <c r="F65" s="39">
        <f t="shared" si="40"/>
        <v>75.0464</v>
      </c>
      <c r="G65" s="39">
        <f>E65*3936/3*2</f>
        <v>15009.28</v>
      </c>
      <c r="H65" s="39">
        <f t="shared" si="42"/>
        <v>71.29408</v>
      </c>
      <c r="I65" s="26">
        <f t="shared" si="43"/>
        <v>14258.816</v>
      </c>
      <c r="J65" s="62"/>
      <c r="K65" s="30"/>
      <c r="L65" s="30"/>
      <c r="M65" s="30"/>
      <c r="N65" s="30"/>
      <c r="O65" s="30"/>
      <c r="P65" s="30"/>
      <c r="Q65" s="30"/>
      <c r="R65" s="30"/>
    </row>
    <row r="66" spans="1:18">
      <c r="A66" s="26" t="s">
        <v>164</v>
      </c>
      <c r="B66" s="37">
        <v>2116</v>
      </c>
      <c r="C66" s="38">
        <v>0.58</v>
      </c>
      <c r="D66" s="37">
        <v>200</v>
      </c>
      <c r="E66" s="27">
        <v>6.12</v>
      </c>
      <c r="F66" s="39">
        <f t="shared" si="40"/>
        <v>80.2944</v>
      </c>
      <c r="G66" s="39">
        <f>E66*3936/3*2</f>
        <v>16058.88</v>
      </c>
      <c r="H66" s="39">
        <f t="shared" si="42"/>
        <v>76.27968</v>
      </c>
      <c r="I66" s="26">
        <f t="shared" si="43"/>
        <v>15255.936</v>
      </c>
      <c r="J66" s="62"/>
      <c r="K66" s="30"/>
      <c r="L66" s="30"/>
      <c r="M66" s="30"/>
      <c r="N66" s="30"/>
      <c r="O66" s="30"/>
      <c r="P66" s="30"/>
      <c r="Q66" s="30"/>
      <c r="R66" s="30"/>
    </row>
    <row r="67" spans="1:18">
      <c r="A67" s="26" t="s">
        <v>164</v>
      </c>
      <c r="B67" s="37">
        <v>2116</v>
      </c>
      <c r="C67" s="38">
        <v>0.6</v>
      </c>
      <c r="D67" s="37">
        <v>300</v>
      </c>
      <c r="E67" s="27">
        <v>4.7</v>
      </c>
      <c r="F67" s="39">
        <f t="shared" si="40"/>
        <v>61.664</v>
      </c>
      <c r="G67" s="39">
        <f t="shared" si="41"/>
        <v>18499.2</v>
      </c>
      <c r="H67" s="39">
        <f t="shared" si="42"/>
        <v>58.5808</v>
      </c>
      <c r="I67" s="26">
        <f t="shared" si="43"/>
        <v>17574.24</v>
      </c>
      <c r="J67" s="62" t="s">
        <v>160</v>
      </c>
      <c r="K67" s="30"/>
      <c r="L67" s="30"/>
      <c r="M67" s="30"/>
      <c r="N67" s="30"/>
      <c r="O67" s="30"/>
      <c r="P67" s="30"/>
      <c r="Q67" s="30"/>
      <c r="R67" s="30"/>
    </row>
    <row r="68" spans="1:18">
      <c r="A68" s="26" t="s">
        <v>164</v>
      </c>
      <c r="B68" s="37">
        <v>3313</v>
      </c>
      <c r="C68" s="38">
        <v>0.57</v>
      </c>
      <c r="D68" s="37">
        <v>200</v>
      </c>
      <c r="E68" s="27">
        <v>4.82</v>
      </c>
      <c r="F68" s="39">
        <f t="shared" si="40"/>
        <v>63.2384</v>
      </c>
      <c r="G68" s="39">
        <f>E68*3936/3*2</f>
        <v>12647.68</v>
      </c>
      <c r="H68" s="39">
        <f t="shared" si="42"/>
        <v>60.07648</v>
      </c>
      <c r="I68" s="26">
        <f t="shared" si="43"/>
        <v>12015.296</v>
      </c>
      <c r="J68" s="62"/>
      <c r="K68" s="30"/>
      <c r="L68" s="30"/>
      <c r="M68" s="30"/>
      <c r="N68" s="30"/>
      <c r="O68" s="30"/>
      <c r="P68" s="30"/>
      <c r="Q68" s="30"/>
      <c r="R68" s="30"/>
    </row>
    <row r="69" spans="1:18">
      <c r="A69" s="26" t="s">
        <v>164</v>
      </c>
      <c r="B69" s="37">
        <v>3313</v>
      </c>
      <c r="C69" s="38">
        <v>0.59</v>
      </c>
      <c r="D69" s="37">
        <v>200</v>
      </c>
      <c r="E69" s="27">
        <v>5.613</v>
      </c>
      <c r="F69" s="39">
        <f t="shared" si="40"/>
        <v>73.64256</v>
      </c>
      <c r="G69" s="39">
        <f>E69*3936/3*2</f>
        <v>14728.512</v>
      </c>
      <c r="H69" s="39">
        <f t="shared" si="42"/>
        <v>69.960432</v>
      </c>
      <c r="I69" s="26">
        <f t="shared" si="43"/>
        <v>13992.0864</v>
      </c>
      <c r="J69" s="62"/>
      <c r="K69" s="30"/>
      <c r="L69" s="30"/>
      <c r="M69" s="30"/>
      <c r="N69" s="30"/>
      <c r="O69" s="30"/>
      <c r="P69" s="30"/>
      <c r="Q69" s="30"/>
      <c r="R69" s="30"/>
    </row>
    <row r="73" spans="1:13">
      <c r="A73" s="40" t="s">
        <v>109</v>
      </c>
      <c r="B73" s="41"/>
      <c r="C73" s="41"/>
      <c r="D73" s="41"/>
      <c r="J73" s="40" t="s">
        <v>76</v>
      </c>
      <c r="K73" s="41"/>
      <c r="L73" s="41"/>
      <c r="M73" s="41"/>
    </row>
  </sheetData>
  <mergeCells count="10">
    <mergeCell ref="A1:N1"/>
    <mergeCell ref="A5:R5"/>
    <mergeCell ref="A6:R6"/>
    <mergeCell ref="A12:R12"/>
    <mergeCell ref="B13:C13"/>
    <mergeCell ref="G13:S13"/>
    <mergeCell ref="A49:I49"/>
    <mergeCell ref="E50:G50"/>
    <mergeCell ref="H50:I50"/>
    <mergeCell ref="A2:R4"/>
  </mergeCells>
  <pageMargins left="0.75" right="0.75" top="1" bottom="1" header="0.5" footer="0.5"/>
  <pageSetup paperSize="9" scale="68" orientation="landscape"/>
  <headerFooter/>
  <rowBreaks count="1" manualBreakCount="1">
    <brk id="3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view="pageBreakPreview" zoomScale="85" zoomScaleNormal="85" workbookViewId="0">
      <selection activeCell="S16" sqref="S16"/>
    </sheetView>
  </sheetViews>
  <sheetFormatPr defaultColWidth="8.8" defaultRowHeight="15.6"/>
  <cols>
    <col min="1" max="1" width="11.7" customWidth="1"/>
    <col min="7" max="7" width="10.1"/>
    <col min="9" max="9" width="10.1"/>
    <col min="10" max="10" width="10.9416666666667" customWidth="1"/>
    <col min="19" max="19" width="12.8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2"/>
      <c r="P1" s="42"/>
      <c r="Q1" s="42"/>
      <c r="R1" s="42"/>
    </row>
    <row r="2" spans="1:1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9" customHeight="1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7.4" spans="1:18">
      <c r="A7" s="5" t="s">
        <v>3</v>
      </c>
      <c r="B7" s="6"/>
      <c r="C7" s="6"/>
      <c r="D7" s="7"/>
      <c r="E7" s="6"/>
      <c r="F7" s="6"/>
      <c r="G7" s="8"/>
      <c r="H7" s="9"/>
      <c r="I7" s="9"/>
      <c r="J7" s="43"/>
      <c r="K7" s="43"/>
      <c r="L7" s="43"/>
      <c r="M7" s="43"/>
      <c r="N7" s="43"/>
      <c r="O7" s="9" t="s">
        <v>4</v>
      </c>
      <c r="P7" s="43"/>
      <c r="Q7" s="43"/>
      <c r="R7" s="43"/>
    </row>
    <row r="8" ht="17.4" spans="1:18">
      <c r="A8" s="10" t="s">
        <v>5</v>
      </c>
      <c r="B8" s="6"/>
      <c r="C8" s="6"/>
      <c r="D8" s="7"/>
      <c r="E8" s="6"/>
      <c r="F8" s="6"/>
      <c r="G8" s="8"/>
      <c r="H8" s="11"/>
      <c r="I8" s="9"/>
      <c r="J8" s="43"/>
      <c r="K8" s="43"/>
      <c r="L8" s="43"/>
      <c r="M8" s="43"/>
      <c r="N8" s="43"/>
      <c r="O8" s="9" t="s">
        <v>6</v>
      </c>
      <c r="P8" s="43"/>
      <c r="Q8" s="43"/>
      <c r="R8" s="43"/>
    </row>
    <row r="9" ht="17.4" spans="1:18">
      <c r="A9" s="10" t="s">
        <v>7</v>
      </c>
      <c r="B9" s="6"/>
      <c r="C9" s="6"/>
      <c r="D9" s="7"/>
      <c r="E9" s="6"/>
      <c r="F9" s="6"/>
      <c r="G9" s="8"/>
      <c r="H9" s="9"/>
      <c r="I9" s="9"/>
      <c r="J9" s="43"/>
      <c r="K9" s="43"/>
      <c r="L9" s="43"/>
      <c r="M9" s="43"/>
      <c r="N9" s="43"/>
      <c r="O9" s="14" t="s">
        <v>8</v>
      </c>
      <c r="P9" s="43"/>
      <c r="Q9" s="43"/>
      <c r="R9" s="43"/>
    </row>
    <row r="10" ht="17.4" spans="1:18">
      <c r="A10" s="10" t="s">
        <v>154</v>
      </c>
      <c r="B10" s="12"/>
      <c r="C10" s="12"/>
      <c r="D10" s="13"/>
      <c r="E10" s="12"/>
      <c r="F10" s="12"/>
      <c r="G10" s="14"/>
      <c r="H10" s="15"/>
      <c r="I10" s="9"/>
      <c r="J10" s="43"/>
      <c r="K10" s="43"/>
      <c r="L10" s="43"/>
      <c r="M10" s="43"/>
      <c r="N10" s="43"/>
      <c r="O10" s="14" t="s">
        <v>155</v>
      </c>
      <c r="P10" s="43"/>
      <c r="Q10" s="43"/>
      <c r="R10" s="43"/>
    </row>
    <row r="11" ht="17.4" spans="1:18">
      <c r="A11" s="5" t="s">
        <v>11</v>
      </c>
      <c r="B11" s="12"/>
      <c r="C11" s="16"/>
      <c r="D11" s="17"/>
      <c r="E11" s="16"/>
      <c r="F11" s="16"/>
      <c r="G11" s="18"/>
      <c r="H11" s="19"/>
      <c r="I11" s="15"/>
      <c r="J11" s="43"/>
      <c r="K11" s="43"/>
      <c r="L11" s="43"/>
      <c r="M11" s="43"/>
      <c r="N11" s="43"/>
      <c r="O11" s="43"/>
      <c r="P11" s="43"/>
      <c r="Q11" s="43"/>
      <c r="R11" s="43"/>
    </row>
    <row r="12" ht="19.2" spans="1:18">
      <c r="A12" s="20" t="s">
        <v>165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18">
      <c r="A13" s="21" t="s">
        <v>13</v>
      </c>
      <c r="B13" s="21" t="s">
        <v>14</v>
      </c>
      <c r="C13" s="21"/>
      <c r="D13" s="22" t="s">
        <v>15</v>
      </c>
      <c r="E13" s="22" t="s">
        <v>16</v>
      </c>
      <c r="F13" s="22" t="s">
        <v>17</v>
      </c>
      <c r="G13" s="22" t="s">
        <v>18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8">
      <c r="A14" s="23" t="s">
        <v>19</v>
      </c>
      <c r="B14" s="23" t="s">
        <v>20</v>
      </c>
      <c r="C14" s="23" t="s">
        <v>21</v>
      </c>
      <c r="D14" s="24" t="s">
        <v>22</v>
      </c>
      <c r="E14" s="24" t="s">
        <v>22</v>
      </c>
      <c r="F14" s="24" t="s">
        <v>23</v>
      </c>
      <c r="G14" s="24" t="s">
        <v>24</v>
      </c>
      <c r="H14" s="25" t="s">
        <v>25</v>
      </c>
      <c r="I14" s="25" t="s">
        <v>26</v>
      </c>
      <c r="J14" s="23" t="s">
        <v>27</v>
      </c>
      <c r="K14" s="44" t="s">
        <v>35</v>
      </c>
      <c r="L14" s="25" t="s">
        <v>29</v>
      </c>
      <c r="M14" s="23" t="s">
        <v>30</v>
      </c>
      <c r="N14" s="24" t="s">
        <v>31</v>
      </c>
      <c r="O14" s="25" t="s">
        <v>32</v>
      </c>
      <c r="P14" s="23" t="s">
        <v>33</v>
      </c>
      <c r="Q14" s="23" t="s">
        <v>34</v>
      </c>
      <c r="R14" s="23" t="s">
        <v>28</v>
      </c>
    </row>
    <row r="15" spans="1:18">
      <c r="A15" s="26" t="s">
        <v>166</v>
      </c>
      <c r="B15" s="27">
        <v>0.064</v>
      </c>
      <c r="C15" s="26">
        <v>2.5</v>
      </c>
      <c r="D15" s="26" t="s">
        <v>44</v>
      </c>
      <c r="E15" s="26" t="s">
        <v>39</v>
      </c>
      <c r="F15" s="26" t="s">
        <v>114</v>
      </c>
      <c r="G15" s="27">
        <v>12.501</v>
      </c>
      <c r="H15" s="26">
        <f t="shared" ref="H15:H21" si="0">G15*12</f>
        <v>150.012</v>
      </c>
      <c r="I15" s="45">
        <f t="shared" ref="I15:I21" si="1">G15*13.33</f>
        <v>166.63833</v>
      </c>
      <c r="J15" s="26">
        <f t="shared" ref="J15:J21" si="2">G15*14</f>
        <v>175.014</v>
      </c>
      <c r="K15" s="26">
        <f t="shared" ref="K15:K21" si="3">G15*8.88</f>
        <v>111.00888</v>
      </c>
      <c r="L15" s="45">
        <f t="shared" ref="L15:L21" si="4">G15*9.6</f>
        <v>120.0096</v>
      </c>
      <c r="M15" s="45">
        <f t="shared" ref="M15:M21" si="5">G15*14.4</f>
        <v>180.0144</v>
      </c>
      <c r="N15" s="45">
        <f t="shared" ref="N15:N21" si="6">G15*10.66</f>
        <v>133.26066</v>
      </c>
      <c r="O15" s="45">
        <f t="shared" ref="O15:O21" si="7">G15*16</f>
        <v>200.016</v>
      </c>
      <c r="P15" s="45">
        <f t="shared" ref="P15:P21" si="8">G15*11.2</f>
        <v>140.0112</v>
      </c>
      <c r="Q15" s="45">
        <f t="shared" ref="Q15:Q21" si="9">G15*16.8</f>
        <v>210.0168</v>
      </c>
      <c r="R15" s="45">
        <f t="shared" ref="R15:R21" si="10">G15*11.66*1.06</f>
        <v>154.5073596</v>
      </c>
    </row>
    <row r="16" spans="1:18">
      <c r="A16" s="26" t="s">
        <v>166</v>
      </c>
      <c r="B16" s="27">
        <v>0.079</v>
      </c>
      <c r="C16" s="26">
        <v>3</v>
      </c>
      <c r="D16" s="28" t="s">
        <v>104</v>
      </c>
      <c r="E16" s="26" t="s">
        <v>134</v>
      </c>
      <c r="F16" s="26" t="s">
        <v>114</v>
      </c>
      <c r="G16" s="27">
        <v>15.608</v>
      </c>
      <c r="H16" s="26">
        <f t="shared" si="0"/>
        <v>187.296</v>
      </c>
      <c r="I16" s="45">
        <f t="shared" si="1"/>
        <v>208.05464</v>
      </c>
      <c r="J16" s="26">
        <f t="shared" si="2"/>
        <v>218.512</v>
      </c>
      <c r="K16" s="26">
        <f t="shared" si="3"/>
        <v>138.59904</v>
      </c>
      <c r="L16" s="45">
        <f t="shared" si="4"/>
        <v>149.8368</v>
      </c>
      <c r="M16" s="45">
        <f t="shared" si="5"/>
        <v>224.7552</v>
      </c>
      <c r="N16" s="45">
        <f t="shared" si="6"/>
        <v>166.38128</v>
      </c>
      <c r="O16" s="45">
        <f t="shared" si="7"/>
        <v>249.728</v>
      </c>
      <c r="P16" s="45">
        <f t="shared" si="8"/>
        <v>174.8096</v>
      </c>
      <c r="Q16" s="45">
        <f t="shared" si="9"/>
        <v>262.2144</v>
      </c>
      <c r="R16" s="45">
        <f t="shared" si="10"/>
        <v>192.9086368</v>
      </c>
    </row>
    <row r="17" spans="1:18">
      <c r="A17" s="26" t="s">
        <v>166</v>
      </c>
      <c r="B17" s="27">
        <v>0.079</v>
      </c>
      <c r="C17" s="26">
        <v>3</v>
      </c>
      <c r="D17" s="28" t="s">
        <v>41</v>
      </c>
      <c r="E17" s="26" t="s">
        <v>167</v>
      </c>
      <c r="F17" s="26" t="s">
        <v>114</v>
      </c>
      <c r="G17" s="27">
        <v>17.46</v>
      </c>
      <c r="H17" s="26">
        <f t="shared" si="0"/>
        <v>209.52</v>
      </c>
      <c r="I17" s="45">
        <f t="shared" si="1"/>
        <v>232.7418</v>
      </c>
      <c r="J17" s="26">
        <f t="shared" si="2"/>
        <v>244.44</v>
      </c>
      <c r="K17" s="26">
        <f t="shared" si="3"/>
        <v>155.0448</v>
      </c>
      <c r="L17" s="45">
        <f t="shared" si="4"/>
        <v>167.616</v>
      </c>
      <c r="M17" s="45">
        <f t="shared" si="5"/>
        <v>251.424</v>
      </c>
      <c r="N17" s="45">
        <f t="shared" si="6"/>
        <v>186.1236</v>
      </c>
      <c r="O17" s="45">
        <f t="shared" si="7"/>
        <v>279.36</v>
      </c>
      <c r="P17" s="45">
        <f t="shared" si="8"/>
        <v>195.552</v>
      </c>
      <c r="Q17" s="45">
        <f t="shared" si="9"/>
        <v>293.328</v>
      </c>
      <c r="R17" s="45">
        <f t="shared" si="10"/>
        <v>215.798616</v>
      </c>
    </row>
    <row r="18" spans="1:18">
      <c r="A18" s="26" t="s">
        <v>166</v>
      </c>
      <c r="B18" s="27">
        <v>0.079</v>
      </c>
      <c r="C18" s="26">
        <v>3</v>
      </c>
      <c r="D18" s="28" t="s">
        <v>41</v>
      </c>
      <c r="E18" s="26" t="s">
        <v>134</v>
      </c>
      <c r="F18" s="26" t="s">
        <v>114</v>
      </c>
      <c r="G18" s="27">
        <v>17.101</v>
      </c>
      <c r="H18" s="26">
        <f t="shared" si="0"/>
        <v>205.212</v>
      </c>
      <c r="I18" s="45">
        <f t="shared" si="1"/>
        <v>227.95633</v>
      </c>
      <c r="J18" s="26">
        <f t="shared" si="2"/>
        <v>239.414</v>
      </c>
      <c r="K18" s="26">
        <f t="shared" si="3"/>
        <v>151.85688</v>
      </c>
      <c r="L18" s="45">
        <f t="shared" si="4"/>
        <v>164.1696</v>
      </c>
      <c r="M18" s="45">
        <f t="shared" si="5"/>
        <v>246.2544</v>
      </c>
      <c r="N18" s="45">
        <f t="shared" si="6"/>
        <v>182.29666</v>
      </c>
      <c r="O18" s="45">
        <f t="shared" si="7"/>
        <v>273.616</v>
      </c>
      <c r="P18" s="45">
        <f t="shared" si="8"/>
        <v>191.5312</v>
      </c>
      <c r="Q18" s="45">
        <f t="shared" si="9"/>
        <v>287.2968</v>
      </c>
      <c r="R18" s="45">
        <f t="shared" si="10"/>
        <v>211.3615196</v>
      </c>
    </row>
    <row r="19" spans="1:18">
      <c r="A19" s="26" t="s">
        <v>166</v>
      </c>
      <c r="B19" s="27">
        <v>0.079</v>
      </c>
      <c r="C19" s="26">
        <v>3</v>
      </c>
      <c r="D19" s="28" t="s">
        <v>105</v>
      </c>
      <c r="E19" s="29" t="s">
        <v>168</v>
      </c>
      <c r="F19" s="26" t="s">
        <v>114</v>
      </c>
      <c r="G19" s="27">
        <v>24.46</v>
      </c>
      <c r="H19" s="26">
        <f t="shared" si="0"/>
        <v>293.52</v>
      </c>
      <c r="I19" s="45">
        <f t="shared" si="1"/>
        <v>326.0518</v>
      </c>
      <c r="J19" s="26">
        <f t="shared" si="2"/>
        <v>342.44</v>
      </c>
      <c r="K19" s="26">
        <f t="shared" si="3"/>
        <v>217.2048</v>
      </c>
      <c r="L19" s="45">
        <f t="shared" si="4"/>
        <v>234.816</v>
      </c>
      <c r="M19" s="45">
        <f t="shared" si="5"/>
        <v>352.224</v>
      </c>
      <c r="N19" s="45">
        <f t="shared" si="6"/>
        <v>260.7436</v>
      </c>
      <c r="O19" s="45">
        <f t="shared" si="7"/>
        <v>391.36</v>
      </c>
      <c r="P19" s="45">
        <f t="shared" si="8"/>
        <v>273.952</v>
      </c>
      <c r="Q19" s="45">
        <f t="shared" si="9"/>
        <v>410.928</v>
      </c>
      <c r="R19" s="45">
        <f t="shared" si="10"/>
        <v>302.315816</v>
      </c>
    </row>
    <row r="20" spans="1:18">
      <c r="A20" s="26" t="s">
        <v>166</v>
      </c>
      <c r="B20" s="27">
        <v>0.079</v>
      </c>
      <c r="C20" s="26">
        <v>3</v>
      </c>
      <c r="D20" s="28" t="s">
        <v>38</v>
      </c>
      <c r="E20" s="26" t="s">
        <v>39</v>
      </c>
      <c r="F20" s="26" t="s">
        <v>114</v>
      </c>
      <c r="G20" s="27">
        <v>25.755</v>
      </c>
      <c r="H20" s="26">
        <f t="shared" si="0"/>
        <v>309.06</v>
      </c>
      <c r="I20" s="45">
        <f t="shared" si="1"/>
        <v>343.31415</v>
      </c>
      <c r="J20" s="26">
        <f t="shared" si="2"/>
        <v>360.57</v>
      </c>
      <c r="K20" s="26">
        <f t="shared" si="3"/>
        <v>228.7044</v>
      </c>
      <c r="L20" s="45">
        <f t="shared" si="4"/>
        <v>247.248</v>
      </c>
      <c r="M20" s="45">
        <f t="shared" si="5"/>
        <v>370.872</v>
      </c>
      <c r="N20" s="45">
        <f t="shared" si="6"/>
        <v>274.5483</v>
      </c>
      <c r="O20" s="45">
        <f t="shared" si="7"/>
        <v>412.08</v>
      </c>
      <c r="P20" s="45">
        <f t="shared" si="8"/>
        <v>288.456</v>
      </c>
      <c r="Q20" s="45">
        <f t="shared" si="9"/>
        <v>432.684</v>
      </c>
      <c r="R20" s="45">
        <f t="shared" si="10"/>
        <v>318.321498</v>
      </c>
    </row>
    <row r="21" spans="1:18">
      <c r="A21" s="26" t="s">
        <v>166</v>
      </c>
      <c r="B21" s="27">
        <f>C21/39.37</f>
        <v>0.381000762001524</v>
      </c>
      <c r="C21" s="26">
        <v>15</v>
      </c>
      <c r="D21" s="28" t="s">
        <v>41</v>
      </c>
      <c r="E21" s="26" t="s">
        <v>167</v>
      </c>
      <c r="F21" s="26" t="s">
        <v>169</v>
      </c>
      <c r="G21" s="27">
        <v>45.803</v>
      </c>
      <c r="H21" s="26">
        <f t="shared" si="0"/>
        <v>549.636</v>
      </c>
      <c r="I21" s="45">
        <f t="shared" si="1"/>
        <v>610.55399</v>
      </c>
      <c r="J21" s="26">
        <f t="shared" si="2"/>
        <v>641.242</v>
      </c>
      <c r="K21" s="26">
        <f t="shared" si="3"/>
        <v>406.73064</v>
      </c>
      <c r="L21" s="45">
        <f t="shared" si="4"/>
        <v>439.7088</v>
      </c>
      <c r="M21" s="45">
        <f t="shared" si="5"/>
        <v>659.5632</v>
      </c>
      <c r="N21" s="45">
        <f t="shared" si="6"/>
        <v>488.25998</v>
      </c>
      <c r="O21" s="45">
        <f t="shared" si="7"/>
        <v>732.848</v>
      </c>
      <c r="P21" s="45">
        <f t="shared" si="8"/>
        <v>512.9936</v>
      </c>
      <c r="Q21" s="45">
        <f t="shared" si="9"/>
        <v>769.4904</v>
      </c>
      <c r="R21" s="45">
        <f t="shared" si="10"/>
        <v>566.1067588</v>
      </c>
    </row>
    <row r="22" spans="1:18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ht="19.2" spans="1:18">
      <c r="A23" s="31" t="s">
        <v>170</v>
      </c>
      <c r="B23" s="31"/>
      <c r="C23" s="31"/>
      <c r="D23" s="31"/>
      <c r="E23" s="31"/>
      <c r="F23" s="31"/>
      <c r="G23" s="31"/>
      <c r="H23" s="31"/>
      <c r="I23" s="31"/>
      <c r="J23" s="30"/>
      <c r="K23" s="30"/>
      <c r="L23" s="30"/>
      <c r="M23" s="30"/>
      <c r="N23" s="30"/>
      <c r="O23" s="30"/>
      <c r="P23" s="30"/>
      <c r="Q23" s="30"/>
      <c r="R23" s="30"/>
    </row>
    <row r="24" ht="31.2" spans="1:18">
      <c r="A24" s="32" t="s">
        <v>59</v>
      </c>
      <c r="B24" s="32" t="s">
        <v>60</v>
      </c>
      <c r="C24" s="32" t="s">
        <v>61</v>
      </c>
      <c r="D24" s="32" t="s">
        <v>62</v>
      </c>
      <c r="E24" s="33" t="s">
        <v>63</v>
      </c>
      <c r="F24" s="34"/>
      <c r="G24" s="34"/>
      <c r="H24" s="33" t="s">
        <v>64</v>
      </c>
      <c r="I24" s="33"/>
      <c r="J24" s="30"/>
      <c r="K24" s="30"/>
      <c r="L24" s="30"/>
      <c r="M24" s="30"/>
      <c r="N24" s="30"/>
      <c r="O24" s="30"/>
      <c r="P24" s="30"/>
      <c r="Q24" s="30"/>
      <c r="R24" s="30"/>
    </row>
    <row r="25" ht="31.2" spans="1:18">
      <c r="A25" s="35" t="s">
        <v>65</v>
      </c>
      <c r="B25" s="35" t="s">
        <v>66</v>
      </c>
      <c r="C25" s="35" t="s">
        <v>67</v>
      </c>
      <c r="D25" s="35" t="s">
        <v>68</v>
      </c>
      <c r="E25" s="36" t="s">
        <v>69</v>
      </c>
      <c r="F25" s="36" t="s">
        <v>70</v>
      </c>
      <c r="G25" s="36" t="s">
        <v>71</v>
      </c>
      <c r="H25" s="36" t="s">
        <v>70</v>
      </c>
      <c r="I25" s="36" t="s">
        <v>71</v>
      </c>
      <c r="J25" s="30"/>
      <c r="K25" s="30"/>
      <c r="L25" s="30"/>
      <c r="M25" s="30"/>
      <c r="N25" s="30"/>
      <c r="O25" s="30"/>
      <c r="P25" s="30"/>
      <c r="Q25" s="30"/>
      <c r="R25" s="30"/>
    </row>
    <row r="26" spans="1:18">
      <c r="A26" s="26" t="s">
        <v>171</v>
      </c>
      <c r="B26" s="37">
        <v>1080</v>
      </c>
      <c r="C26" s="38">
        <v>0.65</v>
      </c>
      <c r="D26" s="37">
        <v>300</v>
      </c>
      <c r="E26" s="27">
        <v>10.345</v>
      </c>
      <c r="F26" s="39">
        <f t="shared" ref="F26:F34" si="11">G26/D26</f>
        <v>135.7264</v>
      </c>
      <c r="G26" s="39">
        <f t="shared" ref="G26:G32" si="12">E26*3936</f>
        <v>40717.92</v>
      </c>
      <c r="H26" s="39">
        <f t="shared" ref="H26:H34" si="13">I26/D26</f>
        <v>128.94008</v>
      </c>
      <c r="I26" s="26">
        <f t="shared" ref="I26:I34" si="14">G26*0.95</f>
        <v>38682.024</v>
      </c>
      <c r="J26" s="30"/>
      <c r="K26" s="30"/>
      <c r="L26" s="30"/>
      <c r="M26" s="30"/>
      <c r="N26" s="30"/>
      <c r="O26" s="30"/>
      <c r="P26" s="30"/>
      <c r="Q26" s="30"/>
      <c r="R26" s="30"/>
    </row>
    <row r="27" spans="1:18">
      <c r="A27" s="26" t="s">
        <v>171</v>
      </c>
      <c r="B27" s="37">
        <v>1080</v>
      </c>
      <c r="C27" s="38">
        <v>0.71</v>
      </c>
      <c r="D27" s="37">
        <v>300</v>
      </c>
      <c r="E27" s="27">
        <v>10.599</v>
      </c>
      <c r="F27" s="39">
        <f t="shared" si="11"/>
        <v>139.05888</v>
      </c>
      <c r="G27" s="39">
        <f t="shared" si="12"/>
        <v>41717.664</v>
      </c>
      <c r="H27" s="39">
        <f t="shared" si="13"/>
        <v>132.105936</v>
      </c>
      <c r="I27" s="26">
        <f t="shared" si="14"/>
        <v>39631.7808</v>
      </c>
      <c r="J27" s="30"/>
      <c r="K27" s="30"/>
      <c r="L27" s="30"/>
      <c r="M27" s="30"/>
      <c r="N27" s="30"/>
      <c r="O27" s="30"/>
      <c r="P27" s="30"/>
      <c r="Q27" s="30"/>
      <c r="R27" s="30"/>
    </row>
    <row r="28" spans="1:18">
      <c r="A28" s="26" t="s">
        <v>171</v>
      </c>
      <c r="B28" s="37">
        <v>1080</v>
      </c>
      <c r="C28" s="38">
        <v>0.73</v>
      </c>
      <c r="D28" s="37">
        <v>300</v>
      </c>
      <c r="E28" s="27">
        <v>10.872</v>
      </c>
      <c r="F28" s="39">
        <f t="shared" si="11"/>
        <v>142.64064</v>
      </c>
      <c r="G28" s="39">
        <f t="shared" si="12"/>
        <v>42792.192</v>
      </c>
      <c r="H28" s="39">
        <f t="shared" si="13"/>
        <v>135.508608</v>
      </c>
      <c r="I28" s="26">
        <f t="shared" si="14"/>
        <v>40652.5824</v>
      </c>
      <c r="J28" s="30"/>
      <c r="K28" s="30"/>
      <c r="L28" s="30"/>
      <c r="M28" s="30"/>
      <c r="N28" s="30"/>
      <c r="O28" s="30"/>
      <c r="P28" s="30"/>
      <c r="Q28" s="30"/>
      <c r="R28" s="30"/>
    </row>
    <row r="29" spans="1:18">
      <c r="A29" s="26" t="s">
        <v>171</v>
      </c>
      <c r="B29" s="37">
        <v>1080</v>
      </c>
      <c r="C29" s="38">
        <v>0.75</v>
      </c>
      <c r="D29" s="37">
        <v>300</v>
      </c>
      <c r="E29" s="27">
        <v>12.407</v>
      </c>
      <c r="F29" s="39">
        <f t="shared" si="11"/>
        <v>162.77984</v>
      </c>
      <c r="G29" s="39">
        <f t="shared" si="12"/>
        <v>48833.952</v>
      </c>
      <c r="H29" s="39">
        <f t="shared" si="13"/>
        <v>154.640848</v>
      </c>
      <c r="I29" s="26">
        <f t="shared" si="14"/>
        <v>46392.2544</v>
      </c>
      <c r="J29" s="30"/>
      <c r="K29" s="30"/>
      <c r="L29" s="30"/>
      <c r="M29" s="30"/>
      <c r="N29" s="30"/>
      <c r="O29" s="30"/>
      <c r="P29" s="30"/>
      <c r="Q29" s="30"/>
      <c r="R29" s="30"/>
    </row>
    <row r="30" spans="1:18">
      <c r="A30" s="26" t="s">
        <v>171</v>
      </c>
      <c r="B30" s="37">
        <v>1067</v>
      </c>
      <c r="C30" s="38">
        <v>0.71</v>
      </c>
      <c r="D30" s="37">
        <v>300</v>
      </c>
      <c r="E30" s="27">
        <v>9.294</v>
      </c>
      <c r="F30" s="39">
        <f t="shared" si="11"/>
        <v>121.93728</v>
      </c>
      <c r="G30" s="39">
        <f t="shared" si="12"/>
        <v>36581.184</v>
      </c>
      <c r="H30" s="39">
        <f t="shared" si="13"/>
        <v>115.840416</v>
      </c>
      <c r="I30" s="26">
        <f t="shared" si="14"/>
        <v>34752.1248</v>
      </c>
      <c r="J30" s="30"/>
      <c r="K30" s="30"/>
      <c r="L30" s="30"/>
      <c r="M30" s="30"/>
      <c r="N30" s="30"/>
      <c r="O30" s="30"/>
      <c r="P30" s="30"/>
      <c r="Q30" s="30"/>
      <c r="R30" s="30"/>
    </row>
    <row r="31" spans="1:18">
      <c r="A31" s="26" t="s">
        <v>171</v>
      </c>
      <c r="B31" s="37">
        <v>1067</v>
      </c>
      <c r="C31" s="38">
        <v>0.74</v>
      </c>
      <c r="D31" s="37">
        <v>300</v>
      </c>
      <c r="E31" s="27">
        <v>8.639</v>
      </c>
      <c r="F31" s="39">
        <f t="shared" si="11"/>
        <v>113.34368</v>
      </c>
      <c r="G31" s="39">
        <f t="shared" si="12"/>
        <v>34003.104</v>
      </c>
      <c r="H31" s="39">
        <f t="shared" si="13"/>
        <v>107.676496</v>
      </c>
      <c r="I31" s="26">
        <f t="shared" si="14"/>
        <v>32302.9488</v>
      </c>
      <c r="J31" s="30"/>
      <c r="K31" s="30"/>
      <c r="L31" s="30"/>
      <c r="M31" s="30"/>
      <c r="N31" s="30"/>
      <c r="O31" s="30"/>
      <c r="P31" s="30"/>
      <c r="Q31" s="30"/>
      <c r="R31" s="30"/>
    </row>
    <row r="32" spans="1:18">
      <c r="A32" s="26" t="s">
        <v>171</v>
      </c>
      <c r="B32" s="37">
        <v>1067</v>
      </c>
      <c r="C32" s="38">
        <v>0.75</v>
      </c>
      <c r="D32" s="37">
        <v>300</v>
      </c>
      <c r="E32" s="27">
        <v>8.404</v>
      </c>
      <c r="F32" s="39">
        <f t="shared" si="11"/>
        <v>110.26048</v>
      </c>
      <c r="G32" s="39">
        <f t="shared" si="12"/>
        <v>33078.144</v>
      </c>
      <c r="H32" s="39">
        <f t="shared" si="13"/>
        <v>104.747456</v>
      </c>
      <c r="I32" s="26">
        <f t="shared" si="14"/>
        <v>31424.2368</v>
      </c>
      <c r="J32" s="30"/>
      <c r="K32" s="30"/>
      <c r="L32" s="30"/>
      <c r="M32" s="30"/>
      <c r="N32" s="30"/>
      <c r="O32" s="30"/>
      <c r="P32" s="30"/>
      <c r="Q32" s="30"/>
      <c r="R32" s="30"/>
    </row>
    <row r="33" spans="1:18">
      <c r="A33" s="26" t="s">
        <v>171</v>
      </c>
      <c r="B33" s="37">
        <v>2116</v>
      </c>
      <c r="C33" s="38">
        <v>0.56</v>
      </c>
      <c r="D33" s="37">
        <v>200</v>
      </c>
      <c r="E33" s="27">
        <v>11.053</v>
      </c>
      <c r="F33" s="39">
        <f t="shared" si="11"/>
        <v>145.01536</v>
      </c>
      <c r="G33" s="39">
        <f>E33*3936/3*2</f>
        <v>29003.072</v>
      </c>
      <c r="H33" s="39">
        <f t="shared" si="13"/>
        <v>137.764592</v>
      </c>
      <c r="I33" s="26">
        <f t="shared" si="14"/>
        <v>27552.9184</v>
      </c>
      <c r="J33" s="30"/>
      <c r="K33" s="30"/>
      <c r="L33" s="30"/>
      <c r="M33" s="30"/>
      <c r="N33" s="30"/>
      <c r="O33" s="30"/>
      <c r="P33" s="30"/>
      <c r="Q33" s="30"/>
      <c r="R33" s="30"/>
    </row>
    <row r="34" spans="1:18">
      <c r="A34" s="26" t="s">
        <v>171</v>
      </c>
      <c r="B34" s="37">
        <v>2116</v>
      </c>
      <c r="C34" s="38">
        <v>0.58</v>
      </c>
      <c r="D34" s="37">
        <v>200</v>
      </c>
      <c r="E34" s="27">
        <v>11.328</v>
      </c>
      <c r="F34" s="39">
        <f t="shared" si="11"/>
        <v>148.62336</v>
      </c>
      <c r="G34" s="39">
        <f>E34*3936/3*2</f>
        <v>29724.672</v>
      </c>
      <c r="H34" s="39">
        <f t="shared" si="13"/>
        <v>141.192192</v>
      </c>
      <c r="I34" s="26">
        <f t="shared" si="14"/>
        <v>28238.4384</v>
      </c>
      <c r="J34" s="30"/>
      <c r="K34" s="30"/>
      <c r="L34" s="30"/>
      <c r="M34" s="30"/>
      <c r="N34" s="30"/>
      <c r="O34" s="30"/>
      <c r="P34" s="30"/>
      <c r="Q34" s="30"/>
      <c r="R34" s="30"/>
    </row>
    <row r="36" spans="1:13">
      <c r="A36" s="40" t="s">
        <v>109</v>
      </c>
      <c r="B36" s="41"/>
      <c r="C36" s="41"/>
      <c r="D36" s="41"/>
      <c r="J36" s="40" t="s">
        <v>76</v>
      </c>
      <c r="K36" s="41"/>
      <c r="L36" s="41"/>
      <c r="M36" s="41"/>
    </row>
  </sheetData>
  <mergeCells count="10">
    <mergeCell ref="A1:N1"/>
    <mergeCell ref="A5:R5"/>
    <mergeCell ref="A6:R6"/>
    <mergeCell ref="A12:R12"/>
    <mergeCell ref="B13:C13"/>
    <mergeCell ref="G13:R13"/>
    <mergeCell ref="A23:I23"/>
    <mergeCell ref="E24:G24"/>
    <mergeCell ref="H24:I24"/>
    <mergeCell ref="A2:R4"/>
  </mergeCells>
  <pageMargins left="0.75" right="0.75" top="1" bottom="1" header="0.5" footer="0.5"/>
  <pageSetup paperSize="9" scale="73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NY2140</vt:lpstr>
      <vt:lpstr>NY2150</vt:lpstr>
      <vt:lpstr>NY2170</vt:lpstr>
      <vt:lpstr>NY3150HF</vt:lpstr>
      <vt:lpstr>NY3150HC</vt:lpstr>
      <vt:lpstr>NY3170M</vt:lpstr>
      <vt:lpstr>NY3170M2</vt:lpstr>
      <vt:lpstr>NY3170HF</vt:lpstr>
      <vt:lpstr>NY6300S</vt:lpstr>
      <vt:lpstr>NY6300SN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23471</cp:lastModifiedBy>
  <dcterms:created xsi:type="dcterms:W3CDTF">1996-12-20T09:32:00Z</dcterms:created>
  <dcterms:modified xsi:type="dcterms:W3CDTF">2026-06-15T00:22:22Z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BFC09C78C15F467085670AA09EC54C69_13</vt:lpwstr>
  </property>
  <property fmtid="{D5CDD505-2E9C-101B-9397-08002B2CF9AE}" pid="4" name="KSOReadingLayout">
    <vt:bool>true</vt:bool>
  </property>
  <property fmtid="{D5CDD505-2E9C-101B-9397-08002B2CF9AE}" pid="5" name="5B77E7CEEC58BC6AFAE8886BEB80DBEB">
    <vt:lpwstr>otCYQxs9Dbw2bUEn/Soxv9pYAoWsCRIsU8+gIbxzzmNcJN13+qHIPyWmbF9hFzPHyi2m8DLwi54E5OVVM5pJ0yGmgAiYTaR6oYUdYZxdjep6I9xviFUFZ9aTScfBW9OGtVi2pNTO5bs3kuE6+UXzy4H0hYHNEAkWbt/jXeHipEvJUAGZ6Db7HOhkt9NGureI1nhA4Gpp8GdcuM+w4cZ/7lJmux3ES6eJ6I6rFVNdsyvoTrC25xOCdNVH5jNo1AIPw6cXEE+Bmu+74tF3jQwXHxIZ0n/hqEi00eUru8ooD/SAtfVWfEW3I6b10nQVJabGQSCuKQui+7yKQ/pT3OfSBXcNuYKcaoRejTrCWmaPzy/JqvNKwL7c2lKE9XfS+/n1nDWvNSpE/KYMmmfk5fEvzMsD2XHPMlJ9h53ElVkqbiqgFc8oriUrJ6cps32AbyqUzD/ajrJXowU+RrbDkbQ1G29ukQjY2nARzR7twb4zj5D7Ut6J55PNwLCXthuUsGwK/N/URJRP+v8/o3omA/LeX3oUQueSZlAGKEXGGe1LqY13pMv3k0pomzypk+4cVQWtDZqe6fHUqhkppbnO4HzXSqgCqwNS8Evr8F2n47RpmgPput/B0lEzSbDkgwRKBrreHwBMpyRGMyXKvGfWe3jlGqHXS4Vg7RzkMWVwfYTmg6PdjVkSvIUxqjSUyQY/7AM8aY5dEzf0uIGarOP/n5eg4W3uWeEgXvCHZ4jooPmVoGmjlyWjwSKox+HfFK108SYZwMgV1H7ncA073uJ7pwjze90J81S50X0g2mhOLYnMdDvWFpTMSMKarJCnPvI4z6NL6qY7VSFMrhQlMrn8mbCTFYchWzAQF5fMDlJCNIxwxQxRoyTByhpxI3wSlm0uNVC0JQ2N2EN6rjV/2Wa6/izkfTx5io8UjabySxr98zPePPwjCWQ5nIQDEVnyXzC/GPKDCfNqxGNA+UlUfZAAOUsktUbd1/AS4GERKo3rT4j0qrUxYne12JyZ8gq0VPlLHibMHUOO1THh2YblkinP4K/dGGMuQAw5lNsPOTHU8a7TaDUEI1lvYecGCsWT6ti4Q1eqNxivim2wqw8AEwH4m7YG082E4ZT66//nRqaMd5suQlg=</vt:lpwstr>
  </property>
  <property fmtid="{D5CDD505-2E9C-101B-9397-08002B2CF9AE}" pid="6" name="CalculationRule">
    <vt:i4>0</vt:i4>
  </property>
</Properties>
</file>